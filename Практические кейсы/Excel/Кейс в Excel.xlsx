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ovGT\Desktop\"/>
    </mc:Choice>
  </mc:AlternateContent>
  <xr:revisionPtr revIDLastSave="0" documentId="13_ncr:2001_{826755F0-73EF-4458-8F18-4AF9E2F2E154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Содержание" sheetId="1" r:id="rId1"/>
    <sheet name="Задание" sheetId="2" r:id="rId2"/>
    <sheet name="Личные данные" sheetId="4" r:id="rId3"/>
    <sheet name="Результаты опроса" sheetId="5" r:id="rId4"/>
    <sheet name="Свод (Рез. опр.)" sheetId="7" r:id="rId5"/>
    <sheet name="Сгруппированные данные" sheetId="9" r:id="rId6"/>
    <sheet name="Свод (Сгруп. дан.)" sheetId="10" r:id="rId7"/>
    <sheet name="Дополнительные данные" sheetId="6" r:id="rId8"/>
  </sheets>
  <definedNames>
    <definedName name="_xlnm._FilterDatabase" localSheetId="2" hidden="1">'Личные данные'!$A$5:$S$1144</definedName>
    <definedName name="_xlnm._FilterDatabase" localSheetId="3" hidden="1">'Результаты опроса'!$A$2:$F$299</definedName>
  </definedNames>
  <calcPr calcId="191029"/>
  <pivotCaches>
    <pivotCache cacheId="0" r:id="rId9"/>
    <pivotCache cacheId="62" r:id="rId10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7" i="4" l="1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6" i="4"/>
  <c r="U7" i="4" l="1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U1113" i="4"/>
  <c r="U111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134" i="4"/>
  <c r="U1135" i="4"/>
  <c r="U1136" i="4"/>
  <c r="U1137" i="4"/>
  <c r="U1138" i="4"/>
  <c r="U1139" i="4"/>
  <c r="U1140" i="4"/>
  <c r="U1141" i="4"/>
  <c r="U1142" i="4"/>
  <c r="U1143" i="4"/>
  <c r="U1144" i="4"/>
  <c r="U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6" i="4"/>
  <c r="P18" i="7"/>
  <c r="O18" i="7" l="1"/>
  <c r="N18" i="7"/>
  <c r="M18" i="7"/>
  <c r="L18" i="7"/>
  <c r="K18" i="7"/>
  <c r="P13" i="7"/>
  <c r="O13" i="7"/>
  <c r="N13" i="7"/>
  <c r="M13" i="7"/>
  <c r="L13" i="7"/>
  <c r="K13" i="7"/>
  <c r="P17" i="7"/>
  <c r="O17" i="7"/>
  <c r="N17" i="7"/>
  <c r="M17" i="7"/>
  <c r="L17" i="7"/>
  <c r="K17" i="7"/>
  <c r="P14" i="7"/>
  <c r="O14" i="7"/>
  <c r="N14" i="7"/>
  <c r="M14" i="7"/>
  <c r="L14" i="7"/>
  <c r="K14" i="7"/>
  <c r="P15" i="7"/>
  <c r="O15" i="7"/>
  <c r="N15" i="7"/>
  <c r="M15" i="7"/>
  <c r="L15" i="7"/>
  <c r="K15" i="7"/>
  <c r="P16" i="7"/>
  <c r="O16" i="7"/>
  <c r="N16" i="7"/>
  <c r="M16" i="7"/>
  <c r="L16" i="7"/>
  <c r="K16" i="7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P6" i="4"/>
  <c r="R6" i="4" s="1"/>
  <c r="P7" i="4"/>
  <c r="R7" i="4" s="1"/>
  <c r="P8" i="4"/>
  <c r="P9" i="4"/>
  <c r="P10" i="4"/>
  <c r="P11" i="4"/>
  <c r="R11" i="4" s="1"/>
  <c r="P12" i="4"/>
  <c r="R12" i="4" s="1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Q12" i="4" l="1"/>
  <c r="Q11" i="4"/>
  <c r="R1144" i="4"/>
  <c r="Q1144" i="4"/>
  <c r="R1132" i="4"/>
  <c r="Q1132" i="4"/>
  <c r="R1120" i="4"/>
  <c r="Q1120" i="4"/>
  <c r="R1108" i="4"/>
  <c r="Q1108" i="4"/>
  <c r="R1096" i="4"/>
  <c r="Q1096" i="4"/>
  <c r="R1084" i="4"/>
  <c r="Q1084" i="4"/>
  <c r="R1072" i="4"/>
  <c r="Q1072" i="4"/>
  <c r="R1060" i="4"/>
  <c r="Q1060" i="4"/>
  <c r="R1048" i="4"/>
  <c r="Q1048" i="4"/>
  <c r="R1036" i="4"/>
  <c r="Q1036" i="4"/>
  <c r="R1024" i="4"/>
  <c r="Q1024" i="4"/>
  <c r="R1012" i="4"/>
  <c r="Q1012" i="4"/>
  <c r="R1000" i="4"/>
  <c r="Q1000" i="4"/>
  <c r="R988" i="4"/>
  <c r="Q988" i="4"/>
  <c r="R976" i="4"/>
  <c r="Q976" i="4"/>
  <c r="R964" i="4"/>
  <c r="Q964" i="4"/>
  <c r="R952" i="4"/>
  <c r="Q952" i="4"/>
  <c r="R940" i="4"/>
  <c r="Q940" i="4"/>
  <c r="R928" i="4"/>
  <c r="Q928" i="4"/>
  <c r="R916" i="4"/>
  <c r="Q916" i="4"/>
  <c r="R904" i="4"/>
  <c r="Q904" i="4"/>
  <c r="R892" i="4"/>
  <c r="Q892" i="4"/>
  <c r="R880" i="4"/>
  <c r="Q880" i="4"/>
  <c r="R868" i="4"/>
  <c r="Q868" i="4"/>
  <c r="R856" i="4"/>
  <c r="Q856" i="4"/>
  <c r="R844" i="4"/>
  <c r="Q844" i="4"/>
  <c r="R832" i="4"/>
  <c r="Q832" i="4"/>
  <c r="R820" i="4"/>
  <c r="Q820" i="4"/>
  <c r="R808" i="4"/>
  <c r="Q808" i="4"/>
  <c r="R796" i="4"/>
  <c r="Q796" i="4"/>
  <c r="R784" i="4"/>
  <c r="Q784" i="4"/>
  <c r="R772" i="4"/>
  <c r="Q772" i="4"/>
  <c r="R760" i="4"/>
  <c r="Q760" i="4"/>
  <c r="R748" i="4"/>
  <c r="Q748" i="4"/>
  <c r="R736" i="4"/>
  <c r="Q736" i="4"/>
  <c r="R724" i="4"/>
  <c r="Q724" i="4"/>
  <c r="R712" i="4"/>
  <c r="Q712" i="4"/>
  <c r="R700" i="4"/>
  <c r="Q700" i="4"/>
  <c r="R688" i="4"/>
  <c r="Q688" i="4"/>
  <c r="R676" i="4"/>
  <c r="Q676" i="4"/>
  <c r="R664" i="4"/>
  <c r="Q664" i="4"/>
  <c r="R652" i="4"/>
  <c r="Q652" i="4"/>
  <c r="R640" i="4"/>
  <c r="Q640" i="4"/>
  <c r="R628" i="4"/>
  <c r="Q628" i="4"/>
  <c r="R616" i="4"/>
  <c r="Q616" i="4"/>
  <c r="R604" i="4"/>
  <c r="Q604" i="4"/>
  <c r="R592" i="4"/>
  <c r="Q592" i="4"/>
  <c r="R580" i="4"/>
  <c r="Q580" i="4"/>
  <c r="R568" i="4"/>
  <c r="Q568" i="4"/>
  <c r="R556" i="4"/>
  <c r="Q556" i="4"/>
  <c r="R544" i="4"/>
  <c r="Q544" i="4"/>
  <c r="R532" i="4"/>
  <c r="Q532" i="4"/>
  <c r="R520" i="4"/>
  <c r="Q520" i="4"/>
  <c r="R508" i="4"/>
  <c r="Q508" i="4"/>
  <c r="R496" i="4"/>
  <c r="Q496" i="4"/>
  <c r="R484" i="4"/>
  <c r="Q484" i="4"/>
  <c r="R472" i="4"/>
  <c r="Q472" i="4"/>
  <c r="R460" i="4"/>
  <c r="Q460" i="4"/>
  <c r="R448" i="4"/>
  <c r="Q448" i="4"/>
  <c r="R436" i="4"/>
  <c r="Q436" i="4"/>
  <c r="R424" i="4"/>
  <c r="Q424" i="4"/>
  <c r="R412" i="4"/>
  <c r="Q412" i="4"/>
  <c r="R400" i="4"/>
  <c r="Q400" i="4"/>
  <c r="R388" i="4"/>
  <c r="Q388" i="4"/>
  <c r="R376" i="4"/>
  <c r="Q376" i="4"/>
  <c r="R364" i="4"/>
  <c r="Q364" i="4"/>
  <c r="R352" i="4"/>
  <c r="Q352" i="4"/>
  <c r="R340" i="4"/>
  <c r="Q340" i="4"/>
  <c r="R328" i="4"/>
  <c r="Q328" i="4"/>
  <c r="R316" i="4"/>
  <c r="Q316" i="4"/>
  <c r="R304" i="4"/>
  <c r="Q304" i="4"/>
  <c r="R292" i="4"/>
  <c r="Q292" i="4"/>
  <c r="R280" i="4"/>
  <c r="Q280" i="4"/>
  <c r="R268" i="4"/>
  <c r="Q268" i="4"/>
  <c r="R256" i="4"/>
  <c r="Q256" i="4"/>
  <c r="R244" i="4"/>
  <c r="Q244" i="4"/>
  <c r="R232" i="4"/>
  <c r="Q232" i="4"/>
  <c r="R220" i="4"/>
  <c r="Q220" i="4"/>
  <c r="R208" i="4"/>
  <c r="Q208" i="4"/>
  <c r="R196" i="4"/>
  <c r="Q196" i="4"/>
  <c r="R184" i="4"/>
  <c r="Q184" i="4"/>
  <c r="R172" i="4"/>
  <c r="Q172" i="4"/>
  <c r="R160" i="4"/>
  <c r="Q160" i="4"/>
  <c r="R148" i="4"/>
  <c r="Q148" i="4"/>
  <c r="R136" i="4"/>
  <c r="Q136" i="4"/>
  <c r="R124" i="4"/>
  <c r="Q124" i="4"/>
  <c r="R112" i="4"/>
  <c r="Q112" i="4"/>
  <c r="R100" i="4"/>
  <c r="Q100" i="4"/>
  <c r="R88" i="4"/>
  <c r="Q88" i="4"/>
  <c r="R76" i="4"/>
  <c r="Q76" i="4"/>
  <c r="R64" i="4"/>
  <c r="Q64" i="4"/>
  <c r="R52" i="4"/>
  <c r="Q52" i="4"/>
  <c r="R40" i="4"/>
  <c r="Q40" i="4"/>
  <c r="R28" i="4"/>
  <c r="Q28" i="4"/>
  <c r="R16" i="4"/>
  <c r="Q16" i="4"/>
  <c r="R1119" i="4"/>
  <c r="Q1119" i="4"/>
  <c r="R1011" i="4"/>
  <c r="Q1011" i="4"/>
  <c r="R855" i="4"/>
  <c r="Q855" i="4"/>
  <c r="R735" i="4"/>
  <c r="Q735" i="4"/>
  <c r="R1034" i="4"/>
  <c r="Q1034" i="4"/>
  <c r="R890" i="4"/>
  <c r="Q890" i="4"/>
  <c r="R734" i="4"/>
  <c r="Q734" i="4"/>
  <c r="R614" i="4"/>
  <c r="Q614" i="4"/>
  <c r="R482" i="4"/>
  <c r="Q482" i="4"/>
  <c r="R350" i="4"/>
  <c r="Q350" i="4"/>
  <c r="R218" i="4"/>
  <c r="Q218" i="4"/>
  <c r="R98" i="4"/>
  <c r="Q98" i="4"/>
  <c r="R1023" i="4"/>
  <c r="Q1023" i="4"/>
  <c r="R927" i="4"/>
  <c r="Q927" i="4"/>
  <c r="R795" i="4"/>
  <c r="Q795" i="4"/>
  <c r="R1142" i="4"/>
  <c r="Q1142" i="4"/>
  <c r="R1058" i="4"/>
  <c r="Q1058" i="4"/>
  <c r="R938" i="4"/>
  <c r="Q938" i="4"/>
  <c r="R818" i="4"/>
  <c r="Q818" i="4"/>
  <c r="R674" i="4"/>
  <c r="Q674" i="4"/>
  <c r="R578" i="4"/>
  <c r="Q578" i="4"/>
  <c r="R458" i="4"/>
  <c r="Q458" i="4"/>
  <c r="R338" i="4"/>
  <c r="Q338" i="4"/>
  <c r="R242" i="4"/>
  <c r="Q242" i="4"/>
  <c r="R146" i="4"/>
  <c r="Q146" i="4"/>
  <c r="R50" i="4"/>
  <c r="Q50" i="4"/>
  <c r="R1117" i="4"/>
  <c r="Q1117" i="4"/>
  <c r="R1009" i="4"/>
  <c r="Q1009" i="4"/>
  <c r="R901" i="4"/>
  <c r="Q901" i="4"/>
  <c r="R793" i="4"/>
  <c r="Q793" i="4"/>
  <c r="R625" i="4"/>
  <c r="Q625" i="4"/>
  <c r="R493" i="4"/>
  <c r="Q493" i="4"/>
  <c r="R361" i="4"/>
  <c r="Q361" i="4"/>
  <c r="R229" i="4"/>
  <c r="Q229" i="4"/>
  <c r="R121" i="4"/>
  <c r="Q121" i="4"/>
  <c r="R49" i="4"/>
  <c r="Q49" i="4"/>
  <c r="R1107" i="4"/>
  <c r="Q1107" i="4"/>
  <c r="R987" i="4"/>
  <c r="Q987" i="4"/>
  <c r="R843" i="4"/>
  <c r="Q843" i="4"/>
  <c r="R711" i="4"/>
  <c r="Q711" i="4"/>
  <c r="R1106" i="4"/>
  <c r="Q1106" i="4"/>
  <c r="R1046" i="4"/>
  <c r="Q1046" i="4"/>
  <c r="R950" i="4"/>
  <c r="Q950" i="4"/>
  <c r="R830" i="4"/>
  <c r="Q830" i="4"/>
  <c r="R722" i="4"/>
  <c r="Q722" i="4"/>
  <c r="R602" i="4"/>
  <c r="Q602" i="4"/>
  <c r="R494" i="4"/>
  <c r="Q494" i="4"/>
  <c r="R374" i="4"/>
  <c r="Q374" i="4"/>
  <c r="R254" i="4"/>
  <c r="Q254" i="4"/>
  <c r="R134" i="4"/>
  <c r="Q134" i="4"/>
  <c r="R14" i="4"/>
  <c r="Q14" i="4"/>
  <c r="R1129" i="4"/>
  <c r="Q1129" i="4"/>
  <c r="R1045" i="4"/>
  <c r="Q1045" i="4"/>
  <c r="R949" i="4"/>
  <c r="Q949" i="4"/>
  <c r="R829" i="4"/>
  <c r="Q829" i="4"/>
  <c r="R721" i="4"/>
  <c r="Q721" i="4"/>
  <c r="R637" i="4"/>
  <c r="Q637" i="4"/>
  <c r="R553" i="4"/>
  <c r="Q553" i="4"/>
  <c r="R445" i="4"/>
  <c r="Q445" i="4"/>
  <c r="R337" i="4"/>
  <c r="Q337" i="4"/>
  <c r="R253" i="4"/>
  <c r="Q253" i="4"/>
  <c r="R169" i="4"/>
  <c r="Q169" i="4"/>
  <c r="R85" i="4"/>
  <c r="Q85" i="4"/>
  <c r="R1140" i="4"/>
  <c r="Q1140" i="4"/>
  <c r="R1128" i="4"/>
  <c r="Q1128" i="4"/>
  <c r="R1116" i="4"/>
  <c r="Q1116" i="4"/>
  <c r="R1104" i="4"/>
  <c r="Q1104" i="4"/>
  <c r="R1092" i="4"/>
  <c r="Q1092" i="4"/>
  <c r="R1080" i="4"/>
  <c r="Q1080" i="4"/>
  <c r="R1068" i="4"/>
  <c r="Q1068" i="4"/>
  <c r="R1056" i="4"/>
  <c r="Q1056" i="4"/>
  <c r="R1044" i="4"/>
  <c r="Q1044" i="4"/>
  <c r="R1032" i="4"/>
  <c r="Q1032" i="4"/>
  <c r="R1020" i="4"/>
  <c r="Q1020" i="4"/>
  <c r="R1008" i="4"/>
  <c r="Q1008" i="4"/>
  <c r="R996" i="4"/>
  <c r="Q996" i="4"/>
  <c r="R984" i="4"/>
  <c r="Q984" i="4"/>
  <c r="R972" i="4"/>
  <c r="Q972" i="4"/>
  <c r="R960" i="4"/>
  <c r="Q960" i="4"/>
  <c r="R948" i="4"/>
  <c r="Q948" i="4"/>
  <c r="R936" i="4"/>
  <c r="Q936" i="4"/>
  <c r="R924" i="4"/>
  <c r="Q924" i="4"/>
  <c r="R912" i="4"/>
  <c r="Q912" i="4"/>
  <c r="R900" i="4"/>
  <c r="Q900" i="4"/>
  <c r="R888" i="4"/>
  <c r="Q888" i="4"/>
  <c r="R876" i="4"/>
  <c r="Q876" i="4"/>
  <c r="R864" i="4"/>
  <c r="Q864" i="4"/>
  <c r="R852" i="4"/>
  <c r="Q852" i="4"/>
  <c r="R840" i="4"/>
  <c r="Q840" i="4"/>
  <c r="R828" i="4"/>
  <c r="Q828" i="4"/>
  <c r="R816" i="4"/>
  <c r="Q816" i="4"/>
  <c r="R804" i="4"/>
  <c r="Q804" i="4"/>
  <c r="R792" i="4"/>
  <c r="Q792" i="4"/>
  <c r="R780" i="4"/>
  <c r="Q780" i="4"/>
  <c r="R768" i="4"/>
  <c r="Q768" i="4"/>
  <c r="R756" i="4"/>
  <c r="Q756" i="4"/>
  <c r="R744" i="4"/>
  <c r="Q744" i="4"/>
  <c r="R732" i="4"/>
  <c r="Q732" i="4"/>
  <c r="R720" i="4"/>
  <c r="Q720" i="4"/>
  <c r="R708" i="4"/>
  <c r="Q708" i="4"/>
  <c r="R696" i="4"/>
  <c r="Q696" i="4"/>
  <c r="R684" i="4"/>
  <c r="Q684" i="4"/>
  <c r="R672" i="4"/>
  <c r="Q672" i="4"/>
  <c r="R660" i="4"/>
  <c r="Q660" i="4"/>
  <c r="R648" i="4"/>
  <c r="Q648" i="4"/>
  <c r="R636" i="4"/>
  <c r="Q636" i="4"/>
  <c r="R624" i="4"/>
  <c r="Q624" i="4"/>
  <c r="R612" i="4"/>
  <c r="Q612" i="4"/>
  <c r="R600" i="4"/>
  <c r="Q600" i="4"/>
  <c r="R588" i="4"/>
  <c r="Q588" i="4"/>
  <c r="R576" i="4"/>
  <c r="Q576" i="4"/>
  <c r="R564" i="4"/>
  <c r="Q564" i="4"/>
  <c r="R552" i="4"/>
  <c r="Q552" i="4"/>
  <c r="R540" i="4"/>
  <c r="Q540" i="4"/>
  <c r="R528" i="4"/>
  <c r="Q528" i="4"/>
  <c r="R516" i="4"/>
  <c r="Q516" i="4"/>
  <c r="R504" i="4"/>
  <c r="Q504" i="4"/>
  <c r="R492" i="4"/>
  <c r="Q492" i="4"/>
  <c r="R480" i="4"/>
  <c r="Q480" i="4"/>
  <c r="R468" i="4"/>
  <c r="Q468" i="4"/>
  <c r="R456" i="4"/>
  <c r="Q456" i="4"/>
  <c r="R444" i="4"/>
  <c r="Q444" i="4"/>
  <c r="R432" i="4"/>
  <c r="Q432" i="4"/>
  <c r="R420" i="4"/>
  <c r="Q420" i="4"/>
  <c r="R408" i="4"/>
  <c r="Q408" i="4"/>
  <c r="R396" i="4"/>
  <c r="Q396" i="4"/>
  <c r="R384" i="4"/>
  <c r="Q384" i="4"/>
  <c r="R372" i="4"/>
  <c r="Q372" i="4"/>
  <c r="R360" i="4"/>
  <c r="Q360" i="4"/>
  <c r="R348" i="4"/>
  <c r="Q348" i="4"/>
  <c r="R336" i="4"/>
  <c r="Q336" i="4"/>
  <c r="R324" i="4"/>
  <c r="Q324" i="4"/>
  <c r="R312" i="4"/>
  <c r="Q312" i="4"/>
  <c r="R300" i="4"/>
  <c r="Q300" i="4"/>
  <c r="R288" i="4"/>
  <c r="Q288" i="4"/>
  <c r="R276" i="4"/>
  <c r="Q276" i="4"/>
  <c r="R264" i="4"/>
  <c r="Q264" i="4"/>
  <c r="R252" i="4"/>
  <c r="Q252" i="4"/>
  <c r="R240" i="4"/>
  <c r="Q240" i="4"/>
  <c r="R228" i="4"/>
  <c r="Q228" i="4"/>
  <c r="R216" i="4"/>
  <c r="Q216" i="4"/>
  <c r="R204" i="4"/>
  <c r="Q204" i="4"/>
  <c r="R192" i="4"/>
  <c r="Q192" i="4"/>
  <c r="R180" i="4"/>
  <c r="Q180" i="4"/>
  <c r="R168" i="4"/>
  <c r="Q168" i="4"/>
  <c r="R156" i="4"/>
  <c r="Q156" i="4"/>
  <c r="R144" i="4"/>
  <c r="Q144" i="4"/>
  <c r="R132" i="4"/>
  <c r="Q132" i="4"/>
  <c r="R120" i="4"/>
  <c r="Q120" i="4"/>
  <c r="R108" i="4"/>
  <c r="Q108" i="4"/>
  <c r="R96" i="4"/>
  <c r="Q96" i="4"/>
  <c r="R84" i="4"/>
  <c r="Q84" i="4"/>
  <c r="R72" i="4"/>
  <c r="Q72" i="4"/>
  <c r="R60" i="4"/>
  <c r="Q60" i="4"/>
  <c r="R48" i="4"/>
  <c r="Q48" i="4"/>
  <c r="R36" i="4"/>
  <c r="Q36" i="4"/>
  <c r="R24" i="4"/>
  <c r="Q24" i="4"/>
  <c r="R1047" i="4"/>
  <c r="Q1047" i="4"/>
  <c r="R915" i="4"/>
  <c r="Q915" i="4"/>
  <c r="R759" i="4"/>
  <c r="Q759" i="4"/>
  <c r="R1010" i="4"/>
  <c r="Q1010" i="4"/>
  <c r="R902" i="4"/>
  <c r="Q902" i="4"/>
  <c r="R794" i="4"/>
  <c r="Q794" i="4"/>
  <c r="R710" i="4"/>
  <c r="Q710" i="4"/>
  <c r="R590" i="4"/>
  <c r="Q590" i="4"/>
  <c r="R470" i="4"/>
  <c r="Q470" i="4"/>
  <c r="R362" i="4"/>
  <c r="Q362" i="4"/>
  <c r="R230" i="4"/>
  <c r="Q230" i="4"/>
  <c r="R110" i="4"/>
  <c r="Q110" i="4"/>
  <c r="R1141" i="4"/>
  <c r="Q1141" i="4"/>
  <c r="R1021" i="4"/>
  <c r="Q1021" i="4"/>
  <c r="R913" i="4"/>
  <c r="Q913" i="4"/>
  <c r="R805" i="4"/>
  <c r="Q805" i="4"/>
  <c r="R709" i="4"/>
  <c r="Q709" i="4"/>
  <c r="R601" i="4"/>
  <c r="Q601" i="4"/>
  <c r="R517" i="4"/>
  <c r="Q517" i="4"/>
  <c r="R409" i="4"/>
  <c r="Q409" i="4"/>
  <c r="R301" i="4"/>
  <c r="Q301" i="4"/>
  <c r="R157" i="4"/>
  <c r="Q157" i="4"/>
  <c r="R37" i="4"/>
  <c r="Q37" i="4"/>
  <c r="R1139" i="4"/>
  <c r="Q1139" i="4"/>
  <c r="R1127" i="4"/>
  <c r="Q1127" i="4"/>
  <c r="R1115" i="4"/>
  <c r="Q1115" i="4"/>
  <c r="R1103" i="4"/>
  <c r="Q1103" i="4"/>
  <c r="R1091" i="4"/>
  <c r="Q1091" i="4"/>
  <c r="R1079" i="4"/>
  <c r="Q1079" i="4"/>
  <c r="R1067" i="4"/>
  <c r="Q1067" i="4"/>
  <c r="R1055" i="4"/>
  <c r="Q1055" i="4"/>
  <c r="R1043" i="4"/>
  <c r="Q1043" i="4"/>
  <c r="R1031" i="4"/>
  <c r="Q1031" i="4"/>
  <c r="R1019" i="4"/>
  <c r="Q1019" i="4"/>
  <c r="R1007" i="4"/>
  <c r="Q1007" i="4"/>
  <c r="R995" i="4"/>
  <c r="Q995" i="4"/>
  <c r="R983" i="4"/>
  <c r="Q983" i="4"/>
  <c r="R971" i="4"/>
  <c r="Q971" i="4"/>
  <c r="R959" i="4"/>
  <c r="Q959" i="4"/>
  <c r="R947" i="4"/>
  <c r="Q947" i="4"/>
  <c r="R935" i="4"/>
  <c r="Q935" i="4"/>
  <c r="R923" i="4"/>
  <c r="Q923" i="4"/>
  <c r="R911" i="4"/>
  <c r="Q911" i="4"/>
  <c r="R899" i="4"/>
  <c r="Q899" i="4"/>
  <c r="R887" i="4"/>
  <c r="Q887" i="4"/>
  <c r="R875" i="4"/>
  <c r="Q875" i="4"/>
  <c r="R863" i="4"/>
  <c r="Q863" i="4"/>
  <c r="R851" i="4"/>
  <c r="Q851" i="4"/>
  <c r="R839" i="4"/>
  <c r="Q839" i="4"/>
  <c r="R827" i="4"/>
  <c r="Q827" i="4"/>
  <c r="R815" i="4"/>
  <c r="Q815" i="4"/>
  <c r="R803" i="4"/>
  <c r="Q803" i="4"/>
  <c r="R791" i="4"/>
  <c r="Q791" i="4"/>
  <c r="R779" i="4"/>
  <c r="Q779" i="4"/>
  <c r="R767" i="4"/>
  <c r="Q767" i="4"/>
  <c r="R755" i="4"/>
  <c r="Q755" i="4"/>
  <c r="R743" i="4"/>
  <c r="Q743" i="4"/>
  <c r="R731" i="4"/>
  <c r="Q731" i="4"/>
  <c r="R719" i="4"/>
  <c r="Q719" i="4"/>
  <c r="R707" i="4"/>
  <c r="Q707" i="4"/>
  <c r="R695" i="4"/>
  <c r="Q695" i="4"/>
  <c r="R683" i="4"/>
  <c r="Q683" i="4"/>
  <c r="R671" i="4"/>
  <c r="Q671" i="4"/>
  <c r="R659" i="4"/>
  <c r="Q659" i="4"/>
  <c r="R647" i="4"/>
  <c r="Q647" i="4"/>
  <c r="R635" i="4"/>
  <c r="Q635" i="4"/>
  <c r="R623" i="4"/>
  <c r="Q623" i="4"/>
  <c r="R611" i="4"/>
  <c r="Q611" i="4"/>
  <c r="R599" i="4"/>
  <c r="Q599" i="4"/>
  <c r="R587" i="4"/>
  <c r="Q587" i="4"/>
  <c r="R575" i="4"/>
  <c r="Q575" i="4"/>
  <c r="R563" i="4"/>
  <c r="Q563" i="4"/>
  <c r="R551" i="4"/>
  <c r="Q551" i="4"/>
  <c r="R539" i="4"/>
  <c r="Q539" i="4"/>
  <c r="R527" i="4"/>
  <c r="Q527" i="4"/>
  <c r="R515" i="4"/>
  <c r="Q515" i="4"/>
  <c r="R503" i="4"/>
  <c r="Q503" i="4"/>
  <c r="R491" i="4"/>
  <c r="Q491" i="4"/>
  <c r="R479" i="4"/>
  <c r="Q479" i="4"/>
  <c r="R467" i="4"/>
  <c r="Q467" i="4"/>
  <c r="R455" i="4"/>
  <c r="Q455" i="4"/>
  <c r="R443" i="4"/>
  <c r="Q443" i="4"/>
  <c r="R431" i="4"/>
  <c r="Q431" i="4"/>
  <c r="R419" i="4"/>
  <c r="Q419" i="4"/>
  <c r="R407" i="4"/>
  <c r="Q407" i="4"/>
  <c r="R395" i="4"/>
  <c r="Q395" i="4"/>
  <c r="R383" i="4"/>
  <c r="Q383" i="4"/>
  <c r="R371" i="4"/>
  <c r="Q371" i="4"/>
  <c r="R359" i="4"/>
  <c r="Q359" i="4"/>
  <c r="R347" i="4"/>
  <c r="Q347" i="4"/>
  <c r="R335" i="4"/>
  <c r="Q335" i="4"/>
  <c r="R323" i="4"/>
  <c r="Q323" i="4"/>
  <c r="R311" i="4"/>
  <c r="Q311" i="4"/>
  <c r="R299" i="4"/>
  <c r="Q299" i="4"/>
  <c r="R287" i="4"/>
  <c r="Q287" i="4"/>
  <c r="R275" i="4"/>
  <c r="Q275" i="4"/>
  <c r="R263" i="4"/>
  <c r="Q263" i="4"/>
  <c r="R251" i="4"/>
  <c r="Q251" i="4"/>
  <c r="R239" i="4"/>
  <c r="Q239" i="4"/>
  <c r="R227" i="4"/>
  <c r="Q227" i="4"/>
  <c r="R215" i="4"/>
  <c r="Q215" i="4"/>
  <c r="R203" i="4"/>
  <c r="Q203" i="4"/>
  <c r="R191" i="4"/>
  <c r="Q191" i="4"/>
  <c r="R179" i="4"/>
  <c r="Q179" i="4"/>
  <c r="R167" i="4"/>
  <c r="Q167" i="4"/>
  <c r="R155" i="4"/>
  <c r="Q155" i="4"/>
  <c r="R143" i="4"/>
  <c r="Q143" i="4"/>
  <c r="R131" i="4"/>
  <c r="Q131" i="4"/>
  <c r="R119" i="4"/>
  <c r="Q119" i="4"/>
  <c r="R107" i="4"/>
  <c r="Q107" i="4"/>
  <c r="R1083" i="4"/>
  <c r="Q1083" i="4"/>
  <c r="R975" i="4"/>
  <c r="Q975" i="4"/>
  <c r="R903" i="4"/>
  <c r="Q903" i="4"/>
  <c r="R819" i="4"/>
  <c r="Q819" i="4"/>
  <c r="R998" i="4"/>
  <c r="Q998" i="4"/>
  <c r="R878" i="4"/>
  <c r="Q878" i="4"/>
  <c r="R770" i="4"/>
  <c r="Q770" i="4"/>
  <c r="R638" i="4"/>
  <c r="Q638" i="4"/>
  <c r="R518" i="4"/>
  <c r="Q518" i="4"/>
  <c r="R398" i="4"/>
  <c r="Q398" i="4"/>
  <c r="R302" i="4"/>
  <c r="Q302" i="4"/>
  <c r="R170" i="4"/>
  <c r="Q170" i="4"/>
  <c r="R38" i="4"/>
  <c r="Q38" i="4"/>
  <c r="R1093" i="4"/>
  <c r="Q1093" i="4"/>
  <c r="R973" i="4"/>
  <c r="Q973" i="4"/>
  <c r="R865" i="4"/>
  <c r="Q865" i="4"/>
  <c r="R781" i="4"/>
  <c r="Q781" i="4"/>
  <c r="R685" i="4"/>
  <c r="Q685" i="4"/>
  <c r="R565" i="4"/>
  <c r="Q565" i="4"/>
  <c r="R457" i="4"/>
  <c r="Q457" i="4"/>
  <c r="R385" i="4"/>
  <c r="Q385" i="4"/>
  <c r="R289" i="4"/>
  <c r="Q289" i="4"/>
  <c r="R217" i="4"/>
  <c r="Q217" i="4"/>
  <c r="R109" i="4"/>
  <c r="Q109" i="4"/>
  <c r="R1138" i="4"/>
  <c r="Q1138" i="4"/>
  <c r="R1114" i="4"/>
  <c r="Q1114" i="4"/>
  <c r="R1102" i="4"/>
  <c r="Q1102" i="4"/>
  <c r="R1090" i="4"/>
  <c r="Q1090" i="4"/>
  <c r="R1066" i="4"/>
  <c r="Q1066" i="4"/>
  <c r="R1018" i="4"/>
  <c r="Q1018" i="4"/>
  <c r="R1006" i="4"/>
  <c r="Q1006" i="4"/>
  <c r="R994" i="4"/>
  <c r="Q994" i="4"/>
  <c r="R982" i="4"/>
  <c r="Q982" i="4"/>
  <c r="R970" i="4"/>
  <c r="Q970" i="4"/>
  <c r="R958" i="4"/>
  <c r="Q958" i="4"/>
  <c r="R946" i="4"/>
  <c r="Q946" i="4"/>
  <c r="R934" i="4"/>
  <c r="Q934" i="4"/>
  <c r="R922" i="4"/>
  <c r="Q922" i="4"/>
  <c r="R910" i="4"/>
  <c r="Q910" i="4"/>
  <c r="R898" i="4"/>
  <c r="Q898" i="4"/>
  <c r="R886" i="4"/>
  <c r="Q886" i="4"/>
  <c r="R874" i="4"/>
  <c r="Q874" i="4"/>
  <c r="R862" i="4"/>
  <c r="Q862" i="4"/>
  <c r="R850" i="4"/>
  <c r="Q850" i="4"/>
  <c r="R838" i="4"/>
  <c r="Q838" i="4"/>
  <c r="R826" i="4"/>
  <c r="Q826" i="4"/>
  <c r="R814" i="4"/>
  <c r="Q814" i="4"/>
  <c r="R802" i="4"/>
  <c r="Q802" i="4"/>
  <c r="R790" i="4"/>
  <c r="Q790" i="4"/>
  <c r="R778" i="4"/>
  <c r="Q778" i="4"/>
  <c r="R766" i="4"/>
  <c r="Q766" i="4"/>
  <c r="R754" i="4"/>
  <c r="Q754" i="4"/>
  <c r="R742" i="4"/>
  <c r="Q742" i="4"/>
  <c r="R730" i="4"/>
  <c r="Q730" i="4"/>
  <c r="R718" i="4"/>
  <c r="Q718" i="4"/>
  <c r="R706" i="4"/>
  <c r="Q706" i="4"/>
  <c r="R694" i="4"/>
  <c r="Q694" i="4"/>
  <c r="R682" i="4"/>
  <c r="Q682" i="4"/>
  <c r="R670" i="4"/>
  <c r="Q670" i="4"/>
  <c r="R658" i="4"/>
  <c r="Q658" i="4"/>
  <c r="R646" i="4"/>
  <c r="Q646" i="4"/>
  <c r="R634" i="4"/>
  <c r="Q634" i="4"/>
  <c r="R622" i="4"/>
  <c r="Q622" i="4"/>
  <c r="R610" i="4"/>
  <c r="Q610" i="4"/>
  <c r="R598" i="4"/>
  <c r="Q598" i="4"/>
  <c r="R586" i="4"/>
  <c r="Q586" i="4"/>
  <c r="R574" i="4"/>
  <c r="Q574" i="4"/>
  <c r="R562" i="4"/>
  <c r="Q562" i="4"/>
  <c r="R550" i="4"/>
  <c r="Q550" i="4"/>
  <c r="R538" i="4"/>
  <c r="Q538" i="4"/>
  <c r="R526" i="4"/>
  <c r="Q526" i="4"/>
  <c r="R514" i="4"/>
  <c r="Q514" i="4"/>
  <c r="R502" i="4"/>
  <c r="Q502" i="4"/>
  <c r="R490" i="4"/>
  <c r="Q490" i="4"/>
  <c r="R478" i="4"/>
  <c r="Q478" i="4"/>
  <c r="R466" i="4"/>
  <c r="Q466" i="4"/>
  <c r="R454" i="4"/>
  <c r="Q454" i="4"/>
  <c r="R442" i="4"/>
  <c r="Q442" i="4"/>
  <c r="R430" i="4"/>
  <c r="Q430" i="4"/>
  <c r="R418" i="4"/>
  <c r="Q418" i="4"/>
  <c r="R406" i="4"/>
  <c r="Q406" i="4"/>
  <c r="R394" i="4"/>
  <c r="Q394" i="4"/>
  <c r="R382" i="4"/>
  <c r="Q382" i="4"/>
  <c r="R370" i="4"/>
  <c r="Q370" i="4"/>
  <c r="R358" i="4"/>
  <c r="Q358" i="4"/>
  <c r="R346" i="4"/>
  <c r="Q346" i="4"/>
  <c r="R334" i="4"/>
  <c r="Q334" i="4"/>
  <c r="R322" i="4"/>
  <c r="Q322" i="4"/>
  <c r="R310" i="4"/>
  <c r="Q310" i="4"/>
  <c r="R298" i="4"/>
  <c r="Q298" i="4"/>
  <c r="R286" i="4"/>
  <c r="Q286" i="4"/>
  <c r="R274" i="4"/>
  <c r="Q274" i="4"/>
  <c r="R262" i="4"/>
  <c r="Q262" i="4"/>
  <c r="R250" i="4"/>
  <c r="Q250" i="4"/>
  <c r="R238" i="4"/>
  <c r="Q238" i="4"/>
  <c r="R226" i="4"/>
  <c r="Q226" i="4"/>
  <c r="R214" i="4"/>
  <c r="Q214" i="4"/>
  <c r="R202" i="4"/>
  <c r="Q202" i="4"/>
  <c r="R190" i="4"/>
  <c r="Q190" i="4"/>
  <c r="R178" i="4"/>
  <c r="Q178" i="4"/>
  <c r="R166" i="4"/>
  <c r="Q166" i="4"/>
  <c r="R154" i="4"/>
  <c r="Q154" i="4"/>
  <c r="R142" i="4"/>
  <c r="Q142" i="4"/>
  <c r="R130" i="4"/>
  <c r="Q130" i="4"/>
  <c r="R118" i="4"/>
  <c r="Q118" i="4"/>
  <c r="R106" i="4"/>
  <c r="Q106" i="4"/>
  <c r="R94" i="4"/>
  <c r="Q94" i="4"/>
  <c r="R82" i="4"/>
  <c r="Q82" i="4"/>
  <c r="R70" i="4"/>
  <c r="Q70" i="4"/>
  <c r="R58" i="4"/>
  <c r="Q58" i="4"/>
  <c r="R46" i="4"/>
  <c r="Q46" i="4"/>
  <c r="R34" i="4"/>
  <c r="Q34" i="4"/>
  <c r="R22" i="4"/>
  <c r="Q22" i="4"/>
  <c r="R10" i="4"/>
  <c r="Q10" i="4"/>
  <c r="R1143" i="4"/>
  <c r="Q1143" i="4"/>
  <c r="R999" i="4"/>
  <c r="Q999" i="4"/>
  <c r="R879" i="4"/>
  <c r="Q879" i="4"/>
  <c r="R747" i="4"/>
  <c r="Q747" i="4"/>
  <c r="R1094" i="4"/>
  <c r="Q1094" i="4"/>
  <c r="R974" i="4"/>
  <c r="Q974" i="4"/>
  <c r="R866" i="4"/>
  <c r="Q866" i="4"/>
  <c r="R758" i="4"/>
  <c r="Q758" i="4"/>
  <c r="R650" i="4"/>
  <c r="Q650" i="4"/>
  <c r="R530" i="4"/>
  <c r="Q530" i="4"/>
  <c r="R434" i="4"/>
  <c r="Q434" i="4"/>
  <c r="R314" i="4"/>
  <c r="Q314" i="4"/>
  <c r="R206" i="4"/>
  <c r="Q206" i="4"/>
  <c r="R74" i="4"/>
  <c r="Q74" i="4"/>
  <c r="R1081" i="4"/>
  <c r="Q1081" i="4"/>
  <c r="R985" i="4"/>
  <c r="Q985" i="4"/>
  <c r="R877" i="4"/>
  <c r="Q877" i="4"/>
  <c r="R757" i="4"/>
  <c r="Q757" i="4"/>
  <c r="R673" i="4"/>
  <c r="Q673" i="4"/>
  <c r="R577" i="4"/>
  <c r="Q577" i="4"/>
  <c r="R469" i="4"/>
  <c r="Q469" i="4"/>
  <c r="R373" i="4"/>
  <c r="Q373" i="4"/>
  <c r="R277" i="4"/>
  <c r="Q277" i="4"/>
  <c r="R205" i="4"/>
  <c r="Q205" i="4"/>
  <c r="R97" i="4"/>
  <c r="Q97" i="4"/>
  <c r="R1126" i="4"/>
  <c r="Q1126" i="4"/>
  <c r="R1054" i="4"/>
  <c r="Q1054" i="4"/>
  <c r="R1137" i="4"/>
  <c r="Q1137" i="4"/>
  <c r="R1089" i="4"/>
  <c r="Q1089" i="4"/>
  <c r="R1041" i="4"/>
  <c r="Q1041" i="4"/>
  <c r="R993" i="4"/>
  <c r="Q993" i="4"/>
  <c r="R957" i="4"/>
  <c r="Q957" i="4"/>
  <c r="R909" i="4"/>
  <c r="Q909" i="4"/>
  <c r="R861" i="4"/>
  <c r="Q861" i="4"/>
  <c r="R789" i="4"/>
  <c r="Q789" i="4"/>
  <c r="R741" i="4"/>
  <c r="Q741" i="4"/>
  <c r="R693" i="4"/>
  <c r="Q693" i="4"/>
  <c r="R645" i="4"/>
  <c r="Q645" i="4"/>
  <c r="R597" i="4"/>
  <c r="Q597" i="4"/>
  <c r="R549" i="4"/>
  <c r="Q549" i="4"/>
  <c r="R513" i="4"/>
  <c r="Q513" i="4"/>
  <c r="R489" i="4"/>
  <c r="Q489" i="4"/>
  <c r="R453" i="4"/>
  <c r="Q453" i="4"/>
  <c r="R441" i="4"/>
  <c r="Q441" i="4"/>
  <c r="R429" i="4"/>
  <c r="Q429" i="4"/>
  <c r="R417" i="4"/>
  <c r="Q417" i="4"/>
  <c r="R405" i="4"/>
  <c r="Q405" i="4"/>
  <c r="R393" i="4"/>
  <c r="Q393" i="4"/>
  <c r="R357" i="4"/>
  <c r="Q357" i="4"/>
  <c r="R333" i="4"/>
  <c r="Q333" i="4"/>
  <c r="R321" i="4"/>
  <c r="Q321" i="4"/>
  <c r="R309" i="4"/>
  <c r="Q309" i="4"/>
  <c r="R297" i="4"/>
  <c r="Q297" i="4"/>
  <c r="R285" i="4"/>
  <c r="Q285" i="4"/>
  <c r="R273" i="4"/>
  <c r="Q273" i="4"/>
  <c r="R261" i="4"/>
  <c r="Q261" i="4"/>
  <c r="R249" i="4"/>
  <c r="Q249" i="4"/>
  <c r="R237" i="4"/>
  <c r="Q237" i="4"/>
  <c r="R225" i="4"/>
  <c r="Q225" i="4"/>
  <c r="R213" i="4"/>
  <c r="Q213" i="4"/>
  <c r="R201" i="4"/>
  <c r="Q201" i="4"/>
  <c r="R189" i="4"/>
  <c r="Q189" i="4"/>
  <c r="R177" i="4"/>
  <c r="Q177" i="4"/>
  <c r="R165" i="4"/>
  <c r="Q165" i="4"/>
  <c r="R153" i="4"/>
  <c r="Q153" i="4"/>
  <c r="R141" i="4"/>
  <c r="Q141" i="4"/>
  <c r="R129" i="4"/>
  <c r="Q129" i="4"/>
  <c r="R117" i="4"/>
  <c r="Q117" i="4"/>
  <c r="R105" i="4"/>
  <c r="Q105" i="4"/>
  <c r="R93" i="4"/>
  <c r="Q93" i="4"/>
  <c r="R81" i="4"/>
  <c r="Q81" i="4"/>
  <c r="R69" i="4"/>
  <c r="Q69" i="4"/>
  <c r="R57" i="4"/>
  <c r="Q57" i="4"/>
  <c r="R45" i="4"/>
  <c r="Q45" i="4"/>
  <c r="R33" i="4"/>
  <c r="Q33" i="4"/>
  <c r="R21" i="4"/>
  <c r="Q21" i="4"/>
  <c r="R9" i="4"/>
  <c r="Q9" i="4"/>
  <c r="R1131" i="4"/>
  <c r="Q1131" i="4"/>
  <c r="R1071" i="4"/>
  <c r="Q1071" i="4"/>
  <c r="R951" i="4"/>
  <c r="Q951" i="4"/>
  <c r="R867" i="4"/>
  <c r="Q867" i="4"/>
  <c r="R771" i="4"/>
  <c r="Q771" i="4"/>
  <c r="R1130" i="4"/>
  <c r="Q1130" i="4"/>
  <c r="R1082" i="4"/>
  <c r="Q1082" i="4"/>
  <c r="R962" i="4"/>
  <c r="Q962" i="4"/>
  <c r="R842" i="4"/>
  <c r="Q842" i="4"/>
  <c r="R698" i="4"/>
  <c r="Q698" i="4"/>
  <c r="R542" i="4"/>
  <c r="Q542" i="4"/>
  <c r="R410" i="4"/>
  <c r="Q410" i="4"/>
  <c r="R278" i="4"/>
  <c r="Q278" i="4"/>
  <c r="R158" i="4"/>
  <c r="Q158" i="4"/>
  <c r="R62" i="4"/>
  <c r="Q62" i="4"/>
  <c r="R1069" i="4"/>
  <c r="Q1069" i="4"/>
  <c r="R961" i="4"/>
  <c r="Q961" i="4"/>
  <c r="R853" i="4"/>
  <c r="Q853" i="4"/>
  <c r="R745" i="4"/>
  <c r="Q745" i="4"/>
  <c r="R661" i="4"/>
  <c r="Q661" i="4"/>
  <c r="R529" i="4"/>
  <c r="Q529" i="4"/>
  <c r="R397" i="4"/>
  <c r="Q397" i="4"/>
  <c r="R265" i="4"/>
  <c r="Q265" i="4"/>
  <c r="R133" i="4"/>
  <c r="Q133" i="4"/>
  <c r="R13" i="4"/>
  <c r="Q13" i="4"/>
  <c r="R1078" i="4"/>
  <c r="Q1078" i="4"/>
  <c r="R1125" i="4"/>
  <c r="Q1125" i="4"/>
  <c r="R1077" i="4"/>
  <c r="Q1077" i="4"/>
  <c r="R1029" i="4"/>
  <c r="Q1029" i="4"/>
  <c r="R981" i="4"/>
  <c r="Q981" i="4"/>
  <c r="R933" i="4"/>
  <c r="Q933" i="4"/>
  <c r="R885" i="4"/>
  <c r="Q885" i="4"/>
  <c r="R837" i="4"/>
  <c r="Q837" i="4"/>
  <c r="R813" i="4"/>
  <c r="Q813" i="4"/>
  <c r="R765" i="4"/>
  <c r="Q765" i="4"/>
  <c r="R717" i="4"/>
  <c r="Q717" i="4"/>
  <c r="R669" i="4"/>
  <c r="Q669" i="4"/>
  <c r="R621" i="4"/>
  <c r="Q621" i="4"/>
  <c r="R573" i="4"/>
  <c r="Q573" i="4"/>
  <c r="R525" i="4"/>
  <c r="Q525" i="4"/>
  <c r="R465" i="4"/>
  <c r="Q465" i="4"/>
  <c r="R381" i="4"/>
  <c r="Q381" i="4"/>
  <c r="R1136" i="4"/>
  <c r="Q1136" i="4"/>
  <c r="R1124" i="4"/>
  <c r="Q1124" i="4"/>
  <c r="R1112" i="4"/>
  <c r="Q1112" i="4"/>
  <c r="R1100" i="4"/>
  <c r="Q1100" i="4"/>
  <c r="R1088" i="4"/>
  <c r="Q1088" i="4"/>
  <c r="R1076" i="4"/>
  <c r="Q1076" i="4"/>
  <c r="R1064" i="4"/>
  <c r="Q1064" i="4"/>
  <c r="R1052" i="4"/>
  <c r="Q1052" i="4"/>
  <c r="R1040" i="4"/>
  <c r="Q1040" i="4"/>
  <c r="R1028" i="4"/>
  <c r="Q1028" i="4"/>
  <c r="R1016" i="4"/>
  <c r="Q1016" i="4"/>
  <c r="R1004" i="4"/>
  <c r="Q1004" i="4"/>
  <c r="R992" i="4"/>
  <c r="Q992" i="4"/>
  <c r="R980" i="4"/>
  <c r="Q980" i="4"/>
  <c r="R968" i="4"/>
  <c r="Q968" i="4"/>
  <c r="R956" i="4"/>
  <c r="Q956" i="4"/>
  <c r="R944" i="4"/>
  <c r="Q944" i="4"/>
  <c r="R932" i="4"/>
  <c r="Q932" i="4"/>
  <c r="R920" i="4"/>
  <c r="Q920" i="4"/>
  <c r="R908" i="4"/>
  <c r="Q908" i="4"/>
  <c r="R896" i="4"/>
  <c r="Q896" i="4"/>
  <c r="R884" i="4"/>
  <c r="Q884" i="4"/>
  <c r="R872" i="4"/>
  <c r="Q872" i="4"/>
  <c r="R860" i="4"/>
  <c r="Q860" i="4"/>
  <c r="R848" i="4"/>
  <c r="Q848" i="4"/>
  <c r="R836" i="4"/>
  <c r="Q836" i="4"/>
  <c r="R824" i="4"/>
  <c r="Q824" i="4"/>
  <c r="R812" i="4"/>
  <c r="Q812" i="4"/>
  <c r="R800" i="4"/>
  <c r="Q800" i="4"/>
  <c r="R788" i="4"/>
  <c r="Q788" i="4"/>
  <c r="R776" i="4"/>
  <c r="Q776" i="4"/>
  <c r="R764" i="4"/>
  <c r="Q764" i="4"/>
  <c r="R752" i="4"/>
  <c r="Q752" i="4"/>
  <c r="R740" i="4"/>
  <c r="Q740" i="4"/>
  <c r="R728" i="4"/>
  <c r="Q728" i="4"/>
  <c r="R716" i="4"/>
  <c r="Q716" i="4"/>
  <c r="R704" i="4"/>
  <c r="Q704" i="4"/>
  <c r="R1095" i="4"/>
  <c r="Q1095" i="4"/>
  <c r="R963" i="4"/>
  <c r="Q963" i="4"/>
  <c r="R831" i="4"/>
  <c r="Q831" i="4"/>
  <c r="R723" i="4"/>
  <c r="Q723" i="4"/>
  <c r="R1118" i="4"/>
  <c r="Q1118" i="4"/>
  <c r="R986" i="4"/>
  <c r="Q986" i="4"/>
  <c r="R854" i="4"/>
  <c r="Q854" i="4"/>
  <c r="R746" i="4"/>
  <c r="Q746" i="4"/>
  <c r="R626" i="4"/>
  <c r="Q626" i="4"/>
  <c r="R506" i="4"/>
  <c r="Q506" i="4"/>
  <c r="R386" i="4"/>
  <c r="Q386" i="4"/>
  <c r="R266" i="4"/>
  <c r="Q266" i="4"/>
  <c r="R122" i="4"/>
  <c r="Q122" i="4"/>
  <c r="R1057" i="4"/>
  <c r="Q1057" i="4"/>
  <c r="R937" i="4"/>
  <c r="Q937" i="4"/>
  <c r="R841" i="4"/>
  <c r="Q841" i="4"/>
  <c r="R733" i="4"/>
  <c r="Q733" i="4"/>
  <c r="R649" i="4"/>
  <c r="Q649" i="4"/>
  <c r="R541" i="4"/>
  <c r="Q541" i="4"/>
  <c r="R433" i="4"/>
  <c r="Q433" i="4"/>
  <c r="R325" i="4"/>
  <c r="Q325" i="4"/>
  <c r="R193" i="4"/>
  <c r="Q193" i="4"/>
  <c r="R25" i="4"/>
  <c r="Q25" i="4"/>
  <c r="R1030" i="4"/>
  <c r="Q1030" i="4"/>
  <c r="R1113" i="4"/>
  <c r="Q1113" i="4"/>
  <c r="R1065" i="4"/>
  <c r="Q1065" i="4"/>
  <c r="R1017" i="4"/>
  <c r="Q1017" i="4"/>
  <c r="R969" i="4"/>
  <c r="Q969" i="4"/>
  <c r="R921" i="4"/>
  <c r="Q921" i="4"/>
  <c r="R873" i="4"/>
  <c r="Q873" i="4"/>
  <c r="R825" i="4"/>
  <c r="Q825" i="4"/>
  <c r="R777" i="4"/>
  <c r="Q777" i="4"/>
  <c r="R729" i="4"/>
  <c r="Q729" i="4"/>
  <c r="R681" i="4"/>
  <c r="Q681" i="4"/>
  <c r="R633" i="4"/>
  <c r="Q633" i="4"/>
  <c r="R585" i="4"/>
  <c r="Q585" i="4"/>
  <c r="R537" i="4"/>
  <c r="Q537" i="4"/>
  <c r="R477" i="4"/>
  <c r="Q477" i="4"/>
  <c r="R369" i="4"/>
  <c r="Q369" i="4"/>
  <c r="R1135" i="4"/>
  <c r="Q1135" i="4"/>
  <c r="R1123" i="4"/>
  <c r="Q1123" i="4"/>
  <c r="R1111" i="4"/>
  <c r="Q1111" i="4"/>
  <c r="R1099" i="4"/>
  <c r="Q1099" i="4"/>
  <c r="R1087" i="4"/>
  <c r="Q1087" i="4"/>
  <c r="R1075" i="4"/>
  <c r="Q1075" i="4"/>
  <c r="R1063" i="4"/>
  <c r="Q1063" i="4"/>
  <c r="R1051" i="4"/>
  <c r="Q1051" i="4"/>
  <c r="R1039" i="4"/>
  <c r="Q1039" i="4"/>
  <c r="R1027" i="4"/>
  <c r="Q1027" i="4"/>
  <c r="R1015" i="4"/>
  <c r="Q1015" i="4"/>
  <c r="R1003" i="4"/>
  <c r="Q1003" i="4"/>
  <c r="R991" i="4"/>
  <c r="Q991" i="4"/>
  <c r="R979" i="4"/>
  <c r="Q979" i="4"/>
  <c r="R967" i="4"/>
  <c r="Q967" i="4"/>
  <c r="R955" i="4"/>
  <c r="Q955" i="4"/>
  <c r="R943" i="4"/>
  <c r="Q943" i="4"/>
  <c r="R931" i="4"/>
  <c r="Q931" i="4"/>
  <c r="R919" i="4"/>
  <c r="Q919" i="4"/>
  <c r="R907" i="4"/>
  <c r="Q907" i="4"/>
  <c r="R895" i="4"/>
  <c r="Q895" i="4"/>
  <c r="R883" i="4"/>
  <c r="Q883" i="4"/>
  <c r="R871" i="4"/>
  <c r="Q871" i="4"/>
  <c r="R859" i="4"/>
  <c r="Q859" i="4"/>
  <c r="R847" i="4"/>
  <c r="Q847" i="4"/>
  <c r="R835" i="4"/>
  <c r="Q835" i="4"/>
  <c r="R823" i="4"/>
  <c r="Q823" i="4"/>
  <c r="R811" i="4"/>
  <c r="Q811" i="4"/>
  <c r="R799" i="4"/>
  <c r="Q799" i="4"/>
  <c r="R787" i="4"/>
  <c r="Q787" i="4"/>
  <c r="R775" i="4"/>
  <c r="Q775" i="4"/>
  <c r="R763" i="4"/>
  <c r="Q763" i="4"/>
  <c r="R751" i="4"/>
  <c r="Q751" i="4"/>
  <c r="R739" i="4"/>
  <c r="Q739" i="4"/>
  <c r="R727" i="4"/>
  <c r="Q727" i="4"/>
  <c r="R715" i="4"/>
  <c r="Q715" i="4"/>
  <c r="R703" i="4"/>
  <c r="Q703" i="4"/>
  <c r="R691" i="4"/>
  <c r="Q691" i="4"/>
  <c r="R679" i="4"/>
  <c r="Q679" i="4"/>
  <c r="R1059" i="4"/>
  <c r="Q1059" i="4"/>
  <c r="R939" i="4"/>
  <c r="Q939" i="4"/>
  <c r="R807" i="4"/>
  <c r="Q807" i="4"/>
  <c r="R1070" i="4"/>
  <c r="Q1070" i="4"/>
  <c r="R926" i="4"/>
  <c r="Q926" i="4"/>
  <c r="R782" i="4"/>
  <c r="Q782" i="4"/>
  <c r="R662" i="4"/>
  <c r="Q662" i="4"/>
  <c r="R554" i="4"/>
  <c r="Q554" i="4"/>
  <c r="R422" i="4"/>
  <c r="Q422" i="4"/>
  <c r="R290" i="4"/>
  <c r="Q290" i="4"/>
  <c r="R194" i="4"/>
  <c r="Q194" i="4"/>
  <c r="R86" i="4"/>
  <c r="Q86" i="4"/>
  <c r="R1105" i="4"/>
  <c r="Q1105" i="4"/>
  <c r="R997" i="4"/>
  <c r="Q997" i="4"/>
  <c r="R889" i="4"/>
  <c r="Q889" i="4"/>
  <c r="R769" i="4"/>
  <c r="Q769" i="4"/>
  <c r="R613" i="4"/>
  <c r="Q613" i="4"/>
  <c r="R481" i="4"/>
  <c r="Q481" i="4"/>
  <c r="R349" i="4"/>
  <c r="Q349" i="4"/>
  <c r="R241" i="4"/>
  <c r="Q241" i="4"/>
  <c r="R145" i="4"/>
  <c r="Q145" i="4"/>
  <c r="R73" i="4"/>
  <c r="Q73" i="4"/>
  <c r="R1042" i="4"/>
  <c r="Q1042" i="4"/>
  <c r="R1101" i="4"/>
  <c r="Q1101" i="4"/>
  <c r="R1053" i="4"/>
  <c r="Q1053" i="4"/>
  <c r="R1005" i="4"/>
  <c r="Q1005" i="4"/>
  <c r="R945" i="4"/>
  <c r="Q945" i="4"/>
  <c r="R897" i="4"/>
  <c r="Q897" i="4"/>
  <c r="R849" i="4"/>
  <c r="Q849" i="4"/>
  <c r="R801" i="4"/>
  <c r="Q801" i="4"/>
  <c r="R753" i="4"/>
  <c r="Q753" i="4"/>
  <c r="R705" i="4"/>
  <c r="Q705" i="4"/>
  <c r="R657" i="4"/>
  <c r="Q657" i="4"/>
  <c r="R609" i="4"/>
  <c r="Q609" i="4"/>
  <c r="R561" i="4"/>
  <c r="Q561" i="4"/>
  <c r="R501" i="4"/>
  <c r="Q501" i="4"/>
  <c r="R345" i="4"/>
  <c r="Q345" i="4"/>
  <c r="R1134" i="4"/>
  <c r="Q1134" i="4"/>
  <c r="R1122" i="4"/>
  <c r="Q1122" i="4"/>
  <c r="R1110" i="4"/>
  <c r="Q1110" i="4"/>
  <c r="R1098" i="4"/>
  <c r="Q1098" i="4"/>
  <c r="R1086" i="4"/>
  <c r="Q1086" i="4"/>
  <c r="R1074" i="4"/>
  <c r="Q1074" i="4"/>
  <c r="R1062" i="4"/>
  <c r="Q1062" i="4"/>
  <c r="R1050" i="4"/>
  <c r="Q1050" i="4"/>
  <c r="R1038" i="4"/>
  <c r="Q1038" i="4"/>
  <c r="R1026" i="4"/>
  <c r="Q1026" i="4"/>
  <c r="R1014" i="4"/>
  <c r="Q1014" i="4"/>
  <c r="R1002" i="4"/>
  <c r="Q1002" i="4"/>
  <c r="R990" i="4"/>
  <c r="Q990" i="4"/>
  <c r="R978" i="4"/>
  <c r="Q978" i="4"/>
  <c r="R966" i="4"/>
  <c r="Q966" i="4"/>
  <c r="R954" i="4"/>
  <c r="Q954" i="4"/>
  <c r="R942" i="4"/>
  <c r="Q942" i="4"/>
  <c r="R930" i="4"/>
  <c r="Q930" i="4"/>
  <c r="R918" i="4"/>
  <c r="Q918" i="4"/>
  <c r="R906" i="4"/>
  <c r="Q906" i="4"/>
  <c r="R894" i="4"/>
  <c r="Q894" i="4"/>
  <c r="R882" i="4"/>
  <c r="Q882" i="4"/>
  <c r="R870" i="4"/>
  <c r="Q870" i="4"/>
  <c r="R858" i="4"/>
  <c r="Q858" i="4"/>
  <c r="R846" i="4"/>
  <c r="Q846" i="4"/>
  <c r="R834" i="4"/>
  <c r="Q834" i="4"/>
  <c r="R822" i="4"/>
  <c r="Q822" i="4"/>
  <c r="R810" i="4"/>
  <c r="Q810" i="4"/>
  <c r="R798" i="4"/>
  <c r="Q798" i="4"/>
  <c r="R786" i="4"/>
  <c r="Q786" i="4"/>
  <c r="R774" i="4"/>
  <c r="Q774" i="4"/>
  <c r="R762" i="4"/>
  <c r="Q762" i="4"/>
  <c r="R750" i="4"/>
  <c r="Q750" i="4"/>
  <c r="R738" i="4"/>
  <c r="Q738" i="4"/>
  <c r="R726" i="4"/>
  <c r="Q726" i="4"/>
  <c r="R714" i="4"/>
  <c r="Q714" i="4"/>
  <c r="R702" i="4"/>
  <c r="Q702" i="4"/>
  <c r="R690" i="4"/>
  <c r="Q690" i="4"/>
  <c r="R678" i="4"/>
  <c r="Q678" i="4"/>
  <c r="R666" i="4"/>
  <c r="Q666" i="4"/>
  <c r="R654" i="4"/>
  <c r="Q654" i="4"/>
  <c r="R642" i="4"/>
  <c r="Q642" i="4"/>
  <c r="R630" i="4"/>
  <c r="Q630" i="4"/>
  <c r="R1035" i="4"/>
  <c r="Q1035" i="4"/>
  <c r="R891" i="4"/>
  <c r="Q891" i="4"/>
  <c r="R783" i="4"/>
  <c r="Q783" i="4"/>
  <c r="R1022" i="4"/>
  <c r="Q1022" i="4"/>
  <c r="R914" i="4"/>
  <c r="Q914" i="4"/>
  <c r="R806" i="4"/>
  <c r="Q806" i="4"/>
  <c r="R686" i="4"/>
  <c r="Q686" i="4"/>
  <c r="R566" i="4"/>
  <c r="Q566" i="4"/>
  <c r="R446" i="4"/>
  <c r="Q446" i="4"/>
  <c r="R326" i="4"/>
  <c r="Q326" i="4"/>
  <c r="R182" i="4"/>
  <c r="Q182" i="4"/>
  <c r="R26" i="4"/>
  <c r="Q26" i="4"/>
  <c r="R1033" i="4"/>
  <c r="Q1033" i="4"/>
  <c r="R925" i="4"/>
  <c r="Q925" i="4"/>
  <c r="R817" i="4"/>
  <c r="Q817" i="4"/>
  <c r="R697" i="4"/>
  <c r="Q697" i="4"/>
  <c r="R589" i="4"/>
  <c r="Q589" i="4"/>
  <c r="R505" i="4"/>
  <c r="Q505" i="4"/>
  <c r="R421" i="4"/>
  <c r="Q421" i="4"/>
  <c r="R313" i="4"/>
  <c r="Q313" i="4"/>
  <c r="R181" i="4"/>
  <c r="Q181" i="4"/>
  <c r="R61" i="4"/>
  <c r="Q61" i="4"/>
  <c r="R1133" i="4"/>
  <c r="Q1133" i="4"/>
  <c r="R1121" i="4"/>
  <c r="Q1121" i="4"/>
  <c r="R1109" i="4"/>
  <c r="Q1109" i="4"/>
  <c r="R1097" i="4"/>
  <c r="Q1097" i="4"/>
  <c r="R1085" i="4"/>
  <c r="Q1085" i="4"/>
  <c r="R1073" i="4"/>
  <c r="Q1073" i="4"/>
  <c r="R1061" i="4"/>
  <c r="Q1061" i="4"/>
  <c r="R1049" i="4"/>
  <c r="Q1049" i="4"/>
  <c r="R1037" i="4"/>
  <c r="Q1037" i="4"/>
  <c r="R1025" i="4"/>
  <c r="Q1025" i="4"/>
  <c r="R1013" i="4"/>
  <c r="Q1013" i="4"/>
  <c r="R1001" i="4"/>
  <c r="Q1001" i="4"/>
  <c r="R989" i="4"/>
  <c r="Q989" i="4"/>
  <c r="R977" i="4"/>
  <c r="Q977" i="4"/>
  <c r="R965" i="4"/>
  <c r="Q965" i="4"/>
  <c r="R953" i="4"/>
  <c r="Q953" i="4"/>
  <c r="R941" i="4"/>
  <c r="Q941" i="4"/>
  <c r="R929" i="4"/>
  <c r="Q929" i="4"/>
  <c r="R917" i="4"/>
  <c r="Q917" i="4"/>
  <c r="R905" i="4"/>
  <c r="Q905" i="4"/>
  <c r="R893" i="4"/>
  <c r="Q893" i="4"/>
  <c r="R881" i="4"/>
  <c r="Q881" i="4"/>
  <c r="R869" i="4"/>
  <c r="Q869" i="4"/>
  <c r="R857" i="4"/>
  <c r="Q857" i="4"/>
  <c r="R845" i="4"/>
  <c r="Q845" i="4"/>
  <c r="R833" i="4"/>
  <c r="Q833" i="4"/>
  <c r="R821" i="4"/>
  <c r="Q821" i="4"/>
  <c r="R809" i="4"/>
  <c r="Q809" i="4"/>
  <c r="R797" i="4"/>
  <c r="Q797" i="4"/>
  <c r="R785" i="4"/>
  <c r="Q785" i="4"/>
  <c r="R773" i="4"/>
  <c r="Q773" i="4"/>
  <c r="R761" i="4"/>
  <c r="Q761" i="4"/>
  <c r="R749" i="4"/>
  <c r="Q749" i="4"/>
  <c r="R737" i="4"/>
  <c r="Q737" i="4"/>
  <c r="R725" i="4"/>
  <c r="Q725" i="4"/>
  <c r="R713" i="4"/>
  <c r="Q713" i="4"/>
  <c r="R701" i="4"/>
  <c r="Q701" i="4"/>
  <c r="R689" i="4"/>
  <c r="Q689" i="4"/>
  <c r="R677" i="4"/>
  <c r="Q677" i="4"/>
  <c r="R665" i="4"/>
  <c r="Q665" i="4"/>
  <c r="R653" i="4"/>
  <c r="Q653" i="4"/>
  <c r="R641" i="4"/>
  <c r="Q641" i="4"/>
  <c r="R629" i="4"/>
  <c r="Q629" i="4"/>
  <c r="R617" i="4"/>
  <c r="Q617" i="4"/>
  <c r="R605" i="4"/>
  <c r="Q605" i="4"/>
  <c r="R593" i="4"/>
  <c r="Q593" i="4"/>
  <c r="R581" i="4"/>
  <c r="Q581" i="4"/>
  <c r="R569" i="4"/>
  <c r="Q569" i="4"/>
  <c r="R557" i="4"/>
  <c r="Q557" i="4"/>
  <c r="R545" i="4"/>
  <c r="Q545" i="4"/>
  <c r="R533" i="4"/>
  <c r="Q533" i="4"/>
  <c r="R521" i="4"/>
  <c r="Q521" i="4"/>
  <c r="R509" i="4"/>
  <c r="Q509" i="4"/>
  <c r="R497" i="4"/>
  <c r="Q497" i="4"/>
  <c r="R485" i="4"/>
  <c r="Q485" i="4"/>
  <c r="R473" i="4"/>
  <c r="Q473" i="4"/>
  <c r="R461" i="4"/>
  <c r="Q461" i="4"/>
  <c r="R449" i="4"/>
  <c r="Q449" i="4"/>
  <c r="R437" i="4"/>
  <c r="Q437" i="4"/>
  <c r="R425" i="4"/>
  <c r="Q425" i="4"/>
  <c r="R413" i="4"/>
  <c r="Q413" i="4"/>
  <c r="R401" i="4"/>
  <c r="Q401" i="4"/>
  <c r="R389" i="4"/>
  <c r="Q389" i="4"/>
  <c r="R377" i="4"/>
  <c r="Q377" i="4"/>
  <c r="R365" i="4"/>
  <c r="Q365" i="4"/>
  <c r="R353" i="4"/>
  <c r="Q353" i="4"/>
  <c r="R341" i="4"/>
  <c r="Q341" i="4"/>
  <c r="R329" i="4"/>
  <c r="Q329" i="4"/>
  <c r="R317" i="4"/>
  <c r="Q317" i="4"/>
  <c r="R305" i="4"/>
  <c r="Q305" i="4"/>
  <c r="R293" i="4"/>
  <c r="Q293" i="4"/>
  <c r="R281" i="4"/>
  <c r="Q281" i="4"/>
  <c r="R269" i="4"/>
  <c r="Q269" i="4"/>
  <c r="R257" i="4"/>
  <c r="Q257" i="4"/>
  <c r="R245" i="4"/>
  <c r="Q245" i="4"/>
  <c r="R233" i="4"/>
  <c r="Q233" i="4"/>
  <c r="R221" i="4"/>
  <c r="Q221" i="4"/>
  <c r="R209" i="4"/>
  <c r="Q209" i="4"/>
  <c r="R95" i="4"/>
  <c r="Q95" i="4"/>
  <c r="R83" i="4"/>
  <c r="Q83" i="4"/>
  <c r="R71" i="4"/>
  <c r="Q71" i="4"/>
  <c r="R59" i="4"/>
  <c r="Q59" i="4"/>
  <c r="R47" i="4"/>
  <c r="Q47" i="4"/>
  <c r="R35" i="4"/>
  <c r="Q35" i="4"/>
  <c r="R23" i="4"/>
  <c r="Q23" i="4"/>
  <c r="Q7" i="4"/>
  <c r="Q6" i="4"/>
  <c r="R692" i="4"/>
  <c r="Q692" i="4"/>
  <c r="R680" i="4"/>
  <c r="Q680" i="4"/>
  <c r="R668" i="4"/>
  <c r="Q668" i="4"/>
  <c r="R656" i="4"/>
  <c r="Q656" i="4"/>
  <c r="R644" i="4"/>
  <c r="Q644" i="4"/>
  <c r="R632" i="4"/>
  <c r="Q632" i="4"/>
  <c r="R620" i="4"/>
  <c r="Q620" i="4"/>
  <c r="R608" i="4"/>
  <c r="Q608" i="4"/>
  <c r="R596" i="4"/>
  <c r="Q596" i="4"/>
  <c r="R584" i="4"/>
  <c r="Q584" i="4"/>
  <c r="R572" i="4"/>
  <c r="Q572" i="4"/>
  <c r="R560" i="4"/>
  <c r="Q560" i="4"/>
  <c r="R548" i="4"/>
  <c r="Q548" i="4"/>
  <c r="R536" i="4"/>
  <c r="Q536" i="4"/>
  <c r="R524" i="4"/>
  <c r="Q524" i="4"/>
  <c r="R512" i="4"/>
  <c r="Q512" i="4"/>
  <c r="R500" i="4"/>
  <c r="Q500" i="4"/>
  <c r="R488" i="4"/>
  <c r="Q488" i="4"/>
  <c r="R476" i="4"/>
  <c r="Q476" i="4"/>
  <c r="R464" i="4"/>
  <c r="Q464" i="4"/>
  <c r="R452" i="4"/>
  <c r="Q452" i="4"/>
  <c r="R440" i="4"/>
  <c r="Q440" i="4"/>
  <c r="R428" i="4"/>
  <c r="Q428" i="4"/>
  <c r="R416" i="4"/>
  <c r="Q416" i="4"/>
  <c r="R404" i="4"/>
  <c r="Q404" i="4"/>
  <c r="R392" i="4"/>
  <c r="Q392" i="4"/>
  <c r="R380" i="4"/>
  <c r="Q380" i="4"/>
  <c r="R368" i="4"/>
  <c r="Q368" i="4"/>
  <c r="R356" i="4"/>
  <c r="Q356" i="4"/>
  <c r="R344" i="4"/>
  <c r="Q344" i="4"/>
  <c r="R332" i="4"/>
  <c r="Q332" i="4"/>
  <c r="R320" i="4"/>
  <c r="Q320" i="4"/>
  <c r="R308" i="4"/>
  <c r="Q308" i="4"/>
  <c r="R296" i="4"/>
  <c r="Q296" i="4"/>
  <c r="R284" i="4"/>
  <c r="Q284" i="4"/>
  <c r="R272" i="4"/>
  <c r="Q272" i="4"/>
  <c r="R260" i="4"/>
  <c r="Q260" i="4"/>
  <c r="R248" i="4"/>
  <c r="Q248" i="4"/>
  <c r="R236" i="4"/>
  <c r="Q236" i="4"/>
  <c r="R224" i="4"/>
  <c r="Q224" i="4"/>
  <c r="R212" i="4"/>
  <c r="Q212" i="4"/>
  <c r="R200" i="4"/>
  <c r="Q200" i="4"/>
  <c r="R188" i="4"/>
  <c r="Q188" i="4"/>
  <c r="R176" i="4"/>
  <c r="Q176" i="4"/>
  <c r="R164" i="4"/>
  <c r="Q164" i="4"/>
  <c r="R152" i="4"/>
  <c r="Q152" i="4"/>
  <c r="R140" i="4"/>
  <c r="Q140" i="4"/>
  <c r="R128" i="4"/>
  <c r="Q128" i="4"/>
  <c r="R116" i="4"/>
  <c r="Q116" i="4"/>
  <c r="R104" i="4"/>
  <c r="Q104" i="4"/>
  <c r="R92" i="4"/>
  <c r="Q92" i="4"/>
  <c r="R80" i="4"/>
  <c r="Q80" i="4"/>
  <c r="R68" i="4"/>
  <c r="Q68" i="4"/>
  <c r="R56" i="4"/>
  <c r="Q56" i="4"/>
  <c r="R44" i="4"/>
  <c r="Q44" i="4"/>
  <c r="R32" i="4"/>
  <c r="Q32" i="4"/>
  <c r="R20" i="4"/>
  <c r="Q20" i="4"/>
  <c r="R8" i="4"/>
  <c r="Q8" i="4"/>
  <c r="R667" i="4"/>
  <c r="Q667" i="4"/>
  <c r="R655" i="4"/>
  <c r="Q655" i="4"/>
  <c r="R643" i="4"/>
  <c r="Q643" i="4"/>
  <c r="R631" i="4"/>
  <c r="Q631" i="4"/>
  <c r="R619" i="4"/>
  <c r="Q619" i="4"/>
  <c r="R607" i="4"/>
  <c r="Q607" i="4"/>
  <c r="R595" i="4"/>
  <c r="Q595" i="4"/>
  <c r="R583" i="4"/>
  <c r="Q583" i="4"/>
  <c r="R571" i="4"/>
  <c r="Q571" i="4"/>
  <c r="R559" i="4"/>
  <c r="Q559" i="4"/>
  <c r="R547" i="4"/>
  <c r="Q547" i="4"/>
  <c r="R535" i="4"/>
  <c r="Q535" i="4"/>
  <c r="R523" i="4"/>
  <c r="Q523" i="4"/>
  <c r="R511" i="4"/>
  <c r="Q511" i="4"/>
  <c r="R499" i="4"/>
  <c r="Q499" i="4"/>
  <c r="R487" i="4"/>
  <c r="Q487" i="4"/>
  <c r="R475" i="4"/>
  <c r="Q475" i="4"/>
  <c r="R463" i="4"/>
  <c r="Q463" i="4"/>
  <c r="R451" i="4"/>
  <c r="Q451" i="4"/>
  <c r="R439" i="4"/>
  <c r="Q439" i="4"/>
  <c r="R427" i="4"/>
  <c r="Q427" i="4"/>
  <c r="R415" i="4"/>
  <c r="Q415" i="4"/>
  <c r="R403" i="4"/>
  <c r="Q403" i="4"/>
  <c r="R391" i="4"/>
  <c r="Q391" i="4"/>
  <c r="R379" i="4"/>
  <c r="Q379" i="4"/>
  <c r="R367" i="4"/>
  <c r="Q367" i="4"/>
  <c r="R355" i="4"/>
  <c r="Q355" i="4"/>
  <c r="R343" i="4"/>
  <c r="Q343" i="4"/>
  <c r="R331" i="4"/>
  <c r="Q331" i="4"/>
  <c r="R319" i="4"/>
  <c r="Q319" i="4"/>
  <c r="R307" i="4"/>
  <c r="Q307" i="4"/>
  <c r="R295" i="4"/>
  <c r="Q295" i="4"/>
  <c r="R283" i="4"/>
  <c r="Q283" i="4"/>
  <c r="R271" i="4"/>
  <c r="Q271" i="4"/>
  <c r="R259" i="4"/>
  <c r="Q259" i="4"/>
  <c r="R247" i="4"/>
  <c r="Q247" i="4"/>
  <c r="R235" i="4"/>
  <c r="Q235" i="4"/>
  <c r="R223" i="4"/>
  <c r="Q223" i="4"/>
  <c r="R211" i="4"/>
  <c r="Q211" i="4"/>
  <c r="R199" i="4"/>
  <c r="Q199" i="4"/>
  <c r="R187" i="4"/>
  <c r="Q187" i="4"/>
  <c r="R175" i="4"/>
  <c r="Q175" i="4"/>
  <c r="R163" i="4"/>
  <c r="Q163" i="4"/>
  <c r="R151" i="4"/>
  <c r="Q151" i="4"/>
  <c r="R139" i="4"/>
  <c r="Q139" i="4"/>
  <c r="R127" i="4"/>
  <c r="Q127" i="4"/>
  <c r="R115" i="4"/>
  <c r="Q115" i="4"/>
  <c r="R103" i="4"/>
  <c r="Q103" i="4"/>
  <c r="R91" i="4"/>
  <c r="Q91" i="4"/>
  <c r="R79" i="4"/>
  <c r="Q79" i="4"/>
  <c r="R67" i="4"/>
  <c r="Q67" i="4"/>
  <c r="R55" i="4"/>
  <c r="Q55" i="4"/>
  <c r="R43" i="4"/>
  <c r="Q43" i="4"/>
  <c r="R31" i="4"/>
  <c r="Q31" i="4"/>
  <c r="R19" i="4"/>
  <c r="Q19" i="4"/>
  <c r="R618" i="4"/>
  <c r="Q618" i="4"/>
  <c r="R606" i="4"/>
  <c r="Q606" i="4"/>
  <c r="R594" i="4"/>
  <c r="Q594" i="4"/>
  <c r="R582" i="4"/>
  <c r="Q582" i="4"/>
  <c r="R570" i="4"/>
  <c r="Q570" i="4"/>
  <c r="R558" i="4"/>
  <c r="Q558" i="4"/>
  <c r="R546" i="4"/>
  <c r="Q546" i="4"/>
  <c r="R534" i="4"/>
  <c r="Q534" i="4"/>
  <c r="R522" i="4"/>
  <c r="Q522" i="4"/>
  <c r="R510" i="4"/>
  <c r="Q510" i="4"/>
  <c r="R498" i="4"/>
  <c r="Q498" i="4"/>
  <c r="R486" i="4"/>
  <c r="Q486" i="4"/>
  <c r="R474" i="4"/>
  <c r="Q474" i="4"/>
  <c r="R462" i="4"/>
  <c r="Q462" i="4"/>
  <c r="R450" i="4"/>
  <c r="Q450" i="4"/>
  <c r="R438" i="4"/>
  <c r="Q438" i="4"/>
  <c r="R426" i="4"/>
  <c r="Q426" i="4"/>
  <c r="R414" i="4"/>
  <c r="Q414" i="4"/>
  <c r="R402" i="4"/>
  <c r="Q402" i="4"/>
  <c r="R390" i="4"/>
  <c r="Q390" i="4"/>
  <c r="R378" i="4"/>
  <c r="Q378" i="4"/>
  <c r="R366" i="4"/>
  <c r="Q366" i="4"/>
  <c r="R354" i="4"/>
  <c r="Q354" i="4"/>
  <c r="R342" i="4"/>
  <c r="Q342" i="4"/>
  <c r="R330" i="4"/>
  <c r="Q330" i="4"/>
  <c r="R318" i="4"/>
  <c r="Q318" i="4"/>
  <c r="R306" i="4"/>
  <c r="Q306" i="4"/>
  <c r="R294" i="4"/>
  <c r="Q294" i="4"/>
  <c r="R282" i="4"/>
  <c r="Q282" i="4"/>
  <c r="R270" i="4"/>
  <c r="Q270" i="4"/>
  <c r="R258" i="4"/>
  <c r="Q258" i="4"/>
  <c r="R246" i="4"/>
  <c r="Q246" i="4"/>
  <c r="R234" i="4"/>
  <c r="Q234" i="4"/>
  <c r="R222" i="4"/>
  <c r="Q222" i="4"/>
  <c r="R210" i="4"/>
  <c r="Q210" i="4"/>
  <c r="R198" i="4"/>
  <c r="Q198" i="4"/>
  <c r="R186" i="4"/>
  <c r="Q186" i="4"/>
  <c r="R174" i="4"/>
  <c r="Q174" i="4"/>
  <c r="R162" i="4"/>
  <c r="Q162" i="4"/>
  <c r="R150" i="4"/>
  <c r="Q150" i="4"/>
  <c r="R138" i="4"/>
  <c r="Q138" i="4"/>
  <c r="R126" i="4"/>
  <c r="Q126" i="4"/>
  <c r="R114" i="4"/>
  <c r="Q114" i="4"/>
  <c r="R102" i="4"/>
  <c r="Q102" i="4"/>
  <c r="R90" i="4"/>
  <c r="Q90" i="4"/>
  <c r="R78" i="4"/>
  <c r="Q78" i="4"/>
  <c r="R66" i="4"/>
  <c r="Q66" i="4"/>
  <c r="R54" i="4"/>
  <c r="Q54" i="4"/>
  <c r="R42" i="4"/>
  <c r="Q42" i="4"/>
  <c r="R30" i="4"/>
  <c r="Q30" i="4"/>
  <c r="R18" i="4"/>
  <c r="Q18" i="4"/>
  <c r="R197" i="4"/>
  <c r="Q197" i="4"/>
  <c r="R185" i="4"/>
  <c r="Q185" i="4"/>
  <c r="R173" i="4"/>
  <c r="Q173" i="4"/>
  <c r="R161" i="4"/>
  <c r="Q161" i="4"/>
  <c r="R149" i="4"/>
  <c r="Q149" i="4"/>
  <c r="R137" i="4"/>
  <c r="Q137" i="4"/>
  <c r="R125" i="4"/>
  <c r="Q125" i="4"/>
  <c r="R113" i="4"/>
  <c r="Q113" i="4"/>
  <c r="R101" i="4"/>
  <c r="Q101" i="4"/>
  <c r="R89" i="4"/>
  <c r="Q89" i="4"/>
  <c r="R77" i="4"/>
  <c r="Q77" i="4"/>
  <c r="R65" i="4"/>
  <c r="Q65" i="4"/>
  <c r="R53" i="4"/>
  <c r="Q53" i="4"/>
  <c r="R41" i="4"/>
  <c r="Q41" i="4"/>
  <c r="R29" i="4"/>
  <c r="Q29" i="4"/>
  <c r="R17" i="4"/>
  <c r="Q17" i="4"/>
  <c r="R699" i="4"/>
  <c r="Q699" i="4"/>
  <c r="R687" i="4"/>
  <c r="Q687" i="4"/>
  <c r="R675" i="4"/>
  <c r="Q675" i="4"/>
  <c r="R663" i="4"/>
  <c r="Q663" i="4"/>
  <c r="R651" i="4"/>
  <c r="Q651" i="4"/>
  <c r="R639" i="4"/>
  <c r="Q639" i="4"/>
  <c r="R627" i="4"/>
  <c r="Q627" i="4"/>
  <c r="R615" i="4"/>
  <c r="Q615" i="4"/>
  <c r="R603" i="4"/>
  <c r="Q603" i="4"/>
  <c r="R591" i="4"/>
  <c r="Q591" i="4"/>
  <c r="R579" i="4"/>
  <c r="Q579" i="4"/>
  <c r="R567" i="4"/>
  <c r="Q567" i="4"/>
  <c r="R555" i="4"/>
  <c r="Q555" i="4"/>
  <c r="R543" i="4"/>
  <c r="Q543" i="4"/>
  <c r="R531" i="4"/>
  <c r="Q531" i="4"/>
  <c r="R519" i="4"/>
  <c r="Q519" i="4"/>
  <c r="R507" i="4"/>
  <c r="Q507" i="4"/>
  <c r="R495" i="4"/>
  <c r="Q495" i="4"/>
  <c r="R483" i="4"/>
  <c r="Q483" i="4"/>
  <c r="R471" i="4"/>
  <c r="Q471" i="4"/>
  <c r="R459" i="4"/>
  <c r="Q459" i="4"/>
  <c r="R447" i="4"/>
  <c r="Q447" i="4"/>
  <c r="R435" i="4"/>
  <c r="Q435" i="4"/>
  <c r="R423" i="4"/>
  <c r="Q423" i="4"/>
  <c r="R411" i="4"/>
  <c r="Q411" i="4"/>
  <c r="R399" i="4"/>
  <c r="Q399" i="4"/>
  <c r="R387" i="4"/>
  <c r="Q387" i="4"/>
  <c r="R375" i="4"/>
  <c r="Q375" i="4"/>
  <c r="R363" i="4"/>
  <c r="Q363" i="4"/>
  <c r="R351" i="4"/>
  <c r="Q351" i="4"/>
  <c r="R339" i="4"/>
  <c r="Q339" i="4"/>
  <c r="R327" i="4"/>
  <c r="Q327" i="4"/>
  <c r="R315" i="4"/>
  <c r="Q315" i="4"/>
  <c r="R303" i="4"/>
  <c r="Q303" i="4"/>
  <c r="R291" i="4"/>
  <c r="Q291" i="4"/>
  <c r="R279" i="4"/>
  <c r="Q279" i="4"/>
  <c r="R267" i="4"/>
  <c r="Q267" i="4"/>
  <c r="R255" i="4"/>
  <c r="Q255" i="4"/>
  <c r="R243" i="4"/>
  <c r="Q243" i="4"/>
  <c r="R231" i="4"/>
  <c r="Q231" i="4"/>
  <c r="R219" i="4"/>
  <c r="Q219" i="4"/>
  <c r="R207" i="4"/>
  <c r="Q207" i="4"/>
  <c r="R195" i="4"/>
  <c r="Q195" i="4"/>
  <c r="R183" i="4"/>
  <c r="Q183" i="4"/>
  <c r="R171" i="4"/>
  <c r="Q171" i="4"/>
  <c r="R159" i="4"/>
  <c r="Q159" i="4"/>
  <c r="R147" i="4"/>
  <c r="Q147" i="4"/>
  <c r="R135" i="4"/>
  <c r="Q135" i="4"/>
  <c r="R123" i="4"/>
  <c r="Q123" i="4"/>
  <c r="R111" i="4"/>
  <c r="Q111" i="4"/>
  <c r="R99" i="4"/>
  <c r="Q99" i="4"/>
  <c r="R87" i="4"/>
  <c r="Q87" i="4"/>
  <c r="R75" i="4"/>
  <c r="Q75" i="4"/>
  <c r="R63" i="4"/>
  <c r="Q63" i="4"/>
  <c r="R51" i="4"/>
  <c r="Q51" i="4"/>
  <c r="R39" i="4"/>
  <c r="Q39" i="4"/>
  <c r="R27" i="4"/>
  <c r="Q27" i="4"/>
  <c r="R15" i="4"/>
  <c r="Q15" i="4"/>
  <c r="R3" i="4" l="1"/>
  <c r="R2" i="4"/>
</calcChain>
</file>

<file path=xl/sharedStrings.xml><?xml version="1.0" encoding="utf-8"?>
<sst xmlns="http://schemas.openxmlformats.org/spreadsheetml/2006/main" count="13989" uniqueCount="1293">
  <si>
    <t>№</t>
  </si>
  <si>
    <t>Лист</t>
  </si>
  <si>
    <t>Содержимое / описание</t>
  </si>
  <si>
    <t>Описание кейса и задания</t>
  </si>
  <si>
    <t>Содержание</t>
  </si>
  <si>
    <t>Задание</t>
  </si>
  <si>
    <t>Личные данные</t>
  </si>
  <si>
    <t>Дополнительные данные</t>
  </si>
  <si>
    <t>Результаты опроса</t>
  </si>
  <si>
    <t>Результаты опроса целевой аудитории в новом регионе</t>
  </si>
  <si>
    <t>Описание кейса</t>
  </si>
  <si>
    <t xml:space="preserve">Алгоритм работы </t>
  </si>
  <si>
    <t>Шаг 1</t>
  </si>
  <si>
    <t>Шаг 2</t>
  </si>
  <si>
    <t>Шаг 3</t>
  </si>
  <si>
    <t>Шаг 4</t>
  </si>
  <si>
    <t>Шаг 5</t>
  </si>
  <si>
    <t>Шаг 6</t>
  </si>
  <si>
    <t>Май 2022 года. Сотовый оператор планирует расшириться на новый регион. Вы участвуете в проведении маркетингового исследовния и должны определить, какой тариф будет пользоваться популярностью у абонентов 18-25 лет.</t>
  </si>
  <si>
    <t xml:space="preserve">1. В соседних регионах с похожими соцально-экономическими условиями оператор предлагает для этой целевой аудитории тариф "Онлайн". </t>
  </si>
  <si>
    <t>Ваши задачи:</t>
  </si>
  <si>
    <t>2. Оператор хочет предложить акцию для новых абонентов: пакет из 2 дополнительных услуг будет бесплатным первые два месяца после подключения.</t>
  </si>
  <si>
    <t>Подготовьте личные данные пользователей</t>
  </si>
  <si>
    <t>Информация о тарифах, дополнительных услугах и вопросы анкеты</t>
  </si>
  <si>
    <t xml:space="preserve">Оператор планирует предложить потенциальным абонентам акцию: два месяца бесплатного использования пакета из двух дополнительных услуг. </t>
  </si>
  <si>
    <t>Подготовьте результаты опроса</t>
  </si>
  <si>
    <t>Оцените, какие параметры тарифа лучше подойдут целевой аудитории</t>
  </si>
  <si>
    <t>Постройте сводную таблицу, показыващую популярность возможных комбинаций минут и гигабайт среди тех, кто не доволен своим сотовым оператором.</t>
  </si>
  <si>
    <t>Сравните результаты с предпочтениями абонентов из другого региона</t>
  </si>
  <si>
    <t>Для перевода из месяцев в недели считайте, что в 1 месяце 30 дней.</t>
  </si>
  <si>
    <t xml:space="preserve">1. Сгруппируйте данные о потраченных минутах и гигабайтах: используйте разделение из опроса. </t>
  </si>
  <si>
    <t>Оценить готовность платить за тариф</t>
  </si>
  <si>
    <t>1. Постройте круговые диаграммы:</t>
  </si>
  <si>
    <t xml:space="preserve"> Выберите, какие доплнительные функции лучше включить в подарочный пакет услуг</t>
  </si>
  <si>
    <t>Дата создания отчета</t>
  </si>
  <si>
    <t xml:space="preserve">Начало года </t>
  </si>
  <si>
    <t>ID</t>
  </si>
  <si>
    <t>Дата рождения</t>
  </si>
  <si>
    <t>Пол</t>
  </si>
  <si>
    <t>Код регина</t>
  </si>
  <si>
    <t>Способ получения номера</t>
  </si>
  <si>
    <t>Тариф</t>
  </si>
  <si>
    <t>Дата перехода на тариф</t>
  </si>
  <si>
    <t>Секунд потрачено на звонки с 01/01/2022</t>
  </si>
  <si>
    <t>Килобайт трафика потрачено с 01/01/2022</t>
  </si>
  <si>
    <t>Подписка на онлайн-кинотеатр</t>
  </si>
  <si>
    <t>Подписка на электронную библиотеку</t>
  </si>
  <si>
    <t>Подписка на TV</t>
  </si>
  <si>
    <t>Подписка на онлайн-курсы</t>
  </si>
  <si>
    <t>Фитнес приложение</t>
  </si>
  <si>
    <t>женский</t>
  </si>
  <si>
    <t>R51</t>
  </si>
  <si>
    <t>присвоение нового номера</t>
  </si>
  <si>
    <t>Ультра</t>
  </si>
  <si>
    <t>перенос существующего номера</t>
  </si>
  <si>
    <t>BCTTM728</t>
  </si>
  <si>
    <t>Премиум</t>
  </si>
  <si>
    <t>Комфорт</t>
  </si>
  <si>
    <t>мужской</t>
  </si>
  <si>
    <t>CDTLL528</t>
  </si>
  <si>
    <t>DGPXY904</t>
  </si>
  <si>
    <t>DOXUJ817</t>
  </si>
  <si>
    <t>DPEJD759</t>
  </si>
  <si>
    <t>Онлайн</t>
  </si>
  <si>
    <t>HYLPU031</t>
  </si>
  <si>
    <t>KSFAF369</t>
  </si>
  <si>
    <t>LAMJT496</t>
  </si>
  <si>
    <t>OEHBB964</t>
  </si>
  <si>
    <t>QALWX639</t>
  </si>
  <si>
    <t>Базовый</t>
  </si>
  <si>
    <t>RMGYA617</t>
  </si>
  <si>
    <t>TIGDT529</t>
  </si>
  <si>
    <t>UAXVW706</t>
  </si>
  <si>
    <t>WKEWE932</t>
  </si>
  <si>
    <t>XKHYH141</t>
  </si>
  <si>
    <t>ZJMCS717</t>
  </si>
  <si>
    <t>BPASY757</t>
  </si>
  <si>
    <t>EKYZE441</t>
  </si>
  <si>
    <t>FBAJW491</t>
  </si>
  <si>
    <t>FHNLW346</t>
  </si>
  <si>
    <t>HEQDH853</t>
  </si>
  <si>
    <t>ICRZS007</t>
  </si>
  <si>
    <t>IKLPH176</t>
  </si>
  <si>
    <t>JCSDX534</t>
  </si>
  <si>
    <t>LRODA236</t>
  </si>
  <si>
    <t>MFTMX622</t>
  </si>
  <si>
    <t>NTULR678</t>
  </si>
  <si>
    <t>OROXS139</t>
  </si>
  <si>
    <t>RWAAC859</t>
  </si>
  <si>
    <t>RYDZJ989</t>
  </si>
  <si>
    <t>TWBEU422</t>
  </si>
  <si>
    <t>UUAYL326</t>
  </si>
  <si>
    <t>WTUJU128</t>
  </si>
  <si>
    <t>XIEWO391</t>
  </si>
  <si>
    <t>XLRHD658</t>
  </si>
  <si>
    <t>ZJBUE172</t>
  </si>
  <si>
    <t>AUJTW275</t>
  </si>
  <si>
    <t>BARUQ399</t>
  </si>
  <si>
    <t>BPNMQ316</t>
  </si>
  <si>
    <t>CHABB965</t>
  </si>
  <si>
    <t>EFXUF094</t>
  </si>
  <si>
    <t>EFYAF837</t>
  </si>
  <si>
    <t>FEHSR387</t>
  </si>
  <si>
    <t>HGKRU036</t>
  </si>
  <si>
    <t>HWGYD890</t>
  </si>
  <si>
    <t>HYHUB634</t>
  </si>
  <si>
    <t>KSULN264</t>
  </si>
  <si>
    <t>OOBLV398</t>
  </si>
  <si>
    <t>OWQXB880</t>
  </si>
  <si>
    <t>RWNLQ765</t>
  </si>
  <si>
    <t>TXMMZ673</t>
  </si>
  <si>
    <t>USAIZ221</t>
  </si>
  <si>
    <t>WWWKG999</t>
  </si>
  <si>
    <t>ADLER875</t>
  </si>
  <si>
    <t>DITYU692</t>
  </si>
  <si>
    <t>GEFVV131</t>
  </si>
  <si>
    <t>IAKVV015</t>
  </si>
  <si>
    <t>IXHHB027</t>
  </si>
  <si>
    <t>KYDXL935</t>
  </si>
  <si>
    <t>MKGXY478</t>
  </si>
  <si>
    <t>NOQOI447</t>
  </si>
  <si>
    <t>OIIMG565</t>
  </si>
  <si>
    <t>PXBHX507</t>
  </si>
  <si>
    <t>QPHQZ282</t>
  </si>
  <si>
    <t>QZTMS464</t>
  </si>
  <si>
    <t>RLIHK926</t>
  </si>
  <si>
    <t>RYDJM336</t>
  </si>
  <si>
    <t>SCNAB315</t>
  </si>
  <si>
    <t>SIULD302</t>
  </si>
  <si>
    <t>TVPIN002</t>
  </si>
  <si>
    <t>TZJQT490</t>
  </si>
  <si>
    <t>UKGJY948</t>
  </si>
  <si>
    <t>UUXAQ080</t>
  </si>
  <si>
    <t>VEDYI674</t>
  </si>
  <si>
    <t>WAIUD477</t>
  </si>
  <si>
    <t>XSCES231</t>
  </si>
  <si>
    <t>ZMVFL343</t>
  </si>
  <si>
    <t>ZZPQV582</t>
  </si>
  <si>
    <t>AEMXI826</t>
  </si>
  <si>
    <t>CALET703</t>
  </si>
  <si>
    <t>DGHXT934</t>
  </si>
  <si>
    <t>DGPVC252</t>
  </si>
  <si>
    <t>HBAJK899</t>
  </si>
  <si>
    <t>HLWVM236</t>
  </si>
  <si>
    <t>LKDZU416</t>
  </si>
  <si>
    <t>MXXEW978</t>
  </si>
  <si>
    <t>NBELC966</t>
  </si>
  <si>
    <t>NTBYG367</t>
  </si>
  <si>
    <t>PNYKM562</t>
  </si>
  <si>
    <t>PZSOJ921</t>
  </si>
  <si>
    <t>QCZME776</t>
  </si>
  <si>
    <t>RMYMY393</t>
  </si>
  <si>
    <t>TPNAK785</t>
  </si>
  <si>
    <t>TPOGC571</t>
  </si>
  <si>
    <t>WHBEQ911</t>
  </si>
  <si>
    <t>YNTYZ363</t>
  </si>
  <si>
    <t>YWQQQ065</t>
  </si>
  <si>
    <t>AAGIN644</t>
  </si>
  <si>
    <t>AAGYR866</t>
  </si>
  <si>
    <t>AAGZN621</t>
  </si>
  <si>
    <t>ABOJI528</t>
  </si>
  <si>
    <t>ACDMF101</t>
  </si>
  <si>
    <t>ACWBC774</t>
  </si>
  <si>
    <t>ADPBA513</t>
  </si>
  <si>
    <t>AFEUD360</t>
  </si>
  <si>
    <t>AFGLH776</t>
  </si>
  <si>
    <t>AFUTM422</t>
  </si>
  <si>
    <t>AGYLW841</t>
  </si>
  <si>
    <t>AHVLY731</t>
  </si>
  <si>
    <t>AIOCV053</t>
  </si>
  <si>
    <t>AJGOU308</t>
  </si>
  <si>
    <t>AJJXH748</t>
  </si>
  <si>
    <t>AJMGM712</t>
  </si>
  <si>
    <t>AJVWS553</t>
  </si>
  <si>
    <t>AKMKT444</t>
  </si>
  <si>
    <t>AKPTX689</t>
  </si>
  <si>
    <t>ALDCJ504</t>
  </si>
  <si>
    <t>ALFDX113</t>
  </si>
  <si>
    <t>ANJXW186</t>
  </si>
  <si>
    <t>ANZAE039</t>
  </si>
  <si>
    <t>AOOQZ019</t>
  </si>
  <si>
    <t>APJPK475</t>
  </si>
  <si>
    <t>APXRT042</t>
  </si>
  <si>
    <t>ARNFH791</t>
  </si>
  <si>
    <t>ASLML130</t>
  </si>
  <si>
    <t>ATIDW415</t>
  </si>
  <si>
    <t>ATLFX326</t>
  </si>
  <si>
    <t>ATLRB413</t>
  </si>
  <si>
    <t>ATMBI289</t>
  </si>
  <si>
    <t>ATPEL891</t>
  </si>
  <si>
    <t>AUFKS353</t>
  </si>
  <si>
    <t>AUVPS395</t>
  </si>
  <si>
    <t>AVTFX703</t>
  </si>
  <si>
    <t>AVUVM258</t>
  </si>
  <si>
    <t>AVZRC505</t>
  </si>
  <si>
    <t>AWXFG108</t>
  </si>
  <si>
    <t>AWZZB338</t>
  </si>
  <si>
    <t>AXOBV991</t>
  </si>
  <si>
    <t>AYSNR279</t>
  </si>
  <si>
    <t>AYZTL391</t>
  </si>
  <si>
    <t>AZVPL448</t>
  </si>
  <si>
    <t>BAZPL108</t>
  </si>
  <si>
    <t>BCCEC678</t>
  </si>
  <si>
    <t>BDFCL864</t>
  </si>
  <si>
    <t>BDOLJ613</t>
  </si>
  <si>
    <t>BGGNR973</t>
  </si>
  <si>
    <t>BHRFO853</t>
  </si>
  <si>
    <t>BIPHF520</t>
  </si>
  <si>
    <t>BITFH709</t>
  </si>
  <si>
    <t>BLBHU681</t>
  </si>
  <si>
    <t>BLFHU823</t>
  </si>
  <si>
    <t>BLNKX189</t>
  </si>
  <si>
    <t>BMALT668</t>
  </si>
  <si>
    <t>BMGLA260</t>
  </si>
  <si>
    <t>BMQLR884</t>
  </si>
  <si>
    <t>BNCGD922</t>
  </si>
  <si>
    <t>BNVFU801</t>
  </si>
  <si>
    <t>BOVIU389</t>
  </si>
  <si>
    <t>BPHZI693</t>
  </si>
  <si>
    <t>BRICK300</t>
  </si>
  <si>
    <t>BRNNP568</t>
  </si>
  <si>
    <t>BSZYJ139</t>
  </si>
  <si>
    <t>BTGEU819</t>
  </si>
  <si>
    <t>BUCEQ181</t>
  </si>
  <si>
    <t>BVBTQ732</t>
  </si>
  <si>
    <t>BVKVV642</t>
  </si>
  <si>
    <t>BVNKZ129</t>
  </si>
  <si>
    <t>BWLIM275</t>
  </si>
  <si>
    <t>BXVJI671</t>
  </si>
  <si>
    <t>BXYWO556</t>
  </si>
  <si>
    <t>CAAYW201</t>
  </si>
  <si>
    <t>CASWZ949</t>
  </si>
  <si>
    <t>CBSXP220</t>
  </si>
  <si>
    <t>CBYPA974</t>
  </si>
  <si>
    <t>CCFLW070</t>
  </si>
  <si>
    <t>CDLXK272</t>
  </si>
  <si>
    <t>CEYNZ979</t>
  </si>
  <si>
    <t>CFCMY210</t>
  </si>
  <si>
    <t>CFHEZ921</t>
  </si>
  <si>
    <t>CFUEQ576</t>
  </si>
  <si>
    <t>CHBVB524</t>
  </si>
  <si>
    <t>CHDPQ652</t>
  </si>
  <si>
    <t>CHWIR422</t>
  </si>
  <si>
    <t>CHWVJ778</t>
  </si>
  <si>
    <t>CIJVC974</t>
  </si>
  <si>
    <t>CILYA739</t>
  </si>
  <si>
    <t>CIVXB799</t>
  </si>
  <si>
    <t>CJKLC154</t>
  </si>
  <si>
    <t>CJMTG449</t>
  </si>
  <si>
    <t>CNNFJ341</t>
  </si>
  <si>
    <t>CORFW191</t>
  </si>
  <si>
    <t>CORRU840</t>
  </si>
  <si>
    <t>CPJZW436</t>
  </si>
  <si>
    <t>CPPQZ624</t>
  </si>
  <si>
    <t>CQJKQ566</t>
  </si>
  <si>
    <t>CQMBK783</t>
  </si>
  <si>
    <t>CQYHD986</t>
  </si>
  <si>
    <t>CRPZP936</t>
  </si>
  <si>
    <t>CRZXQ148</t>
  </si>
  <si>
    <t>CTQXN831</t>
  </si>
  <si>
    <t>CVRXB216</t>
  </si>
  <si>
    <t>CWNMF346</t>
  </si>
  <si>
    <t>CWSZG664</t>
  </si>
  <si>
    <t>CXCMI742</t>
  </si>
  <si>
    <t>CXURX432</t>
  </si>
  <si>
    <t>CYFXC925</t>
  </si>
  <si>
    <t>CYHPU609</t>
  </si>
  <si>
    <t>CYRQL108</t>
  </si>
  <si>
    <t>CYWRN222</t>
  </si>
  <si>
    <t>CYYEI328</t>
  </si>
  <si>
    <t>CZQCE560</t>
  </si>
  <si>
    <t>DADDV778</t>
  </si>
  <si>
    <t>DAEZY763</t>
  </si>
  <si>
    <t>DDEUU081</t>
  </si>
  <si>
    <t>DDOSG151</t>
  </si>
  <si>
    <t>DDOWK789</t>
  </si>
  <si>
    <t>DEBVL613</t>
  </si>
  <si>
    <t>DEMFS927</t>
  </si>
  <si>
    <t>DESLX403</t>
  </si>
  <si>
    <t>DFKOB146</t>
  </si>
  <si>
    <t>DFMVZ237</t>
  </si>
  <si>
    <t>DFYAX776</t>
  </si>
  <si>
    <t>DGRAT764</t>
  </si>
  <si>
    <t>DGSYQ148</t>
  </si>
  <si>
    <t>DHBTY221</t>
  </si>
  <si>
    <t>DHUWB465</t>
  </si>
  <si>
    <t>DISLO682</t>
  </si>
  <si>
    <t>DISTN462</t>
  </si>
  <si>
    <t>DIWQR122</t>
  </si>
  <si>
    <t>DJHOI129</t>
  </si>
  <si>
    <t>DKGLW215</t>
  </si>
  <si>
    <t>DKNDT780</t>
  </si>
  <si>
    <t>DKZOP557</t>
  </si>
  <si>
    <t>DMVAY785</t>
  </si>
  <si>
    <t>DODSK789</t>
  </si>
  <si>
    <t>DPCTC973</t>
  </si>
  <si>
    <t>DPKCF705</t>
  </si>
  <si>
    <t>DQIEU099</t>
  </si>
  <si>
    <t>DQOTK104</t>
  </si>
  <si>
    <t>DRGYS813</t>
  </si>
  <si>
    <t>DRTGW180</t>
  </si>
  <si>
    <t>DSHQH303</t>
  </si>
  <si>
    <t>DSKVP962</t>
  </si>
  <si>
    <t>DSNDT618</t>
  </si>
  <si>
    <t>DSOPO369</t>
  </si>
  <si>
    <t>DUUXT488</t>
  </si>
  <si>
    <t>DVUBO891</t>
  </si>
  <si>
    <t>DWADB953</t>
  </si>
  <si>
    <t>DWXVS867</t>
  </si>
  <si>
    <t>DWYUU328</t>
  </si>
  <si>
    <t>DYBVE492</t>
  </si>
  <si>
    <t>DYOBW915</t>
  </si>
  <si>
    <t>DYOVR712</t>
  </si>
  <si>
    <t>EAJVZ439</t>
  </si>
  <si>
    <t>EALJO658</t>
  </si>
  <si>
    <t>EARWC656</t>
  </si>
  <si>
    <t>EBNLL641</t>
  </si>
  <si>
    <t>ECDMY367</t>
  </si>
  <si>
    <t>EDSMG394</t>
  </si>
  <si>
    <t>EDZZZ173</t>
  </si>
  <si>
    <t>EGKGR184</t>
  </si>
  <si>
    <t>EGMIV831</t>
  </si>
  <si>
    <t>EGYFH038</t>
  </si>
  <si>
    <t>EHGZD317</t>
  </si>
  <si>
    <t>EHQLU731</t>
  </si>
  <si>
    <t>EIFHC961</t>
  </si>
  <si>
    <t>EIJTV101</t>
  </si>
  <si>
    <t>EILJB603</t>
  </si>
  <si>
    <t>EJMKZ012</t>
  </si>
  <si>
    <t>EJPMA441</t>
  </si>
  <si>
    <t>EKJGM926</t>
  </si>
  <si>
    <t>EKKIM876</t>
  </si>
  <si>
    <t>EKRPL661</t>
  </si>
  <si>
    <t>EKSRY956</t>
  </si>
  <si>
    <t>ELBCP735</t>
  </si>
  <si>
    <t>ELSJO056</t>
  </si>
  <si>
    <t>EMVOF074</t>
  </si>
  <si>
    <t>ENDDU763</t>
  </si>
  <si>
    <t>EONFL103</t>
  </si>
  <si>
    <t>EPKWC871</t>
  </si>
  <si>
    <t>EQWVZ426</t>
  </si>
  <si>
    <t>ERXDA073</t>
  </si>
  <si>
    <t>ESLZH011</t>
  </si>
  <si>
    <t>ESMTH011</t>
  </si>
  <si>
    <t>EURAE052</t>
  </si>
  <si>
    <t>EUVLH642</t>
  </si>
  <si>
    <t>EUZHG568</t>
  </si>
  <si>
    <t>EXQBQ840</t>
  </si>
  <si>
    <t>EYDFI800</t>
  </si>
  <si>
    <t>EYRZO846</t>
  </si>
  <si>
    <t>EYSMM151</t>
  </si>
  <si>
    <t>EYTEC329</t>
  </si>
  <si>
    <t>EYUWX967</t>
  </si>
  <si>
    <t>EYXOV590</t>
  </si>
  <si>
    <t>EZKUJ739</t>
  </si>
  <si>
    <t>EZMRH707</t>
  </si>
  <si>
    <t>FAWLQ310</t>
  </si>
  <si>
    <t>FBCVN966</t>
  </si>
  <si>
    <t>FBGQT890</t>
  </si>
  <si>
    <t>FBLQR968</t>
  </si>
  <si>
    <t>FCYKZ583</t>
  </si>
  <si>
    <t>FCZGV753</t>
  </si>
  <si>
    <t>FDGLT878</t>
  </si>
  <si>
    <t>FEDIQ240</t>
  </si>
  <si>
    <t>FETSD241</t>
  </si>
  <si>
    <t>FFFKB855</t>
  </si>
  <si>
    <t>FGBYC975</t>
  </si>
  <si>
    <t>FHLHE289</t>
  </si>
  <si>
    <t>FHOLZ380</t>
  </si>
  <si>
    <t>FIUAG396</t>
  </si>
  <si>
    <t>FJDIZ908</t>
  </si>
  <si>
    <t>FJZIA235</t>
  </si>
  <si>
    <t>FKJME560</t>
  </si>
  <si>
    <t>FLHHA902</t>
  </si>
  <si>
    <t>FLKDL727</t>
  </si>
  <si>
    <t>FLMHN038</t>
  </si>
  <si>
    <t>FNBCB399</t>
  </si>
  <si>
    <t>FNKIZ168</t>
  </si>
  <si>
    <t>FNUNT387</t>
  </si>
  <si>
    <t>FOKJN828</t>
  </si>
  <si>
    <t>FOPWQ678</t>
  </si>
  <si>
    <t>FPYIL833</t>
  </si>
  <si>
    <t>FQCLS078</t>
  </si>
  <si>
    <t>FRRVI702</t>
  </si>
  <si>
    <t>FRXPH620</t>
  </si>
  <si>
    <t>FURDL120</t>
  </si>
  <si>
    <t>FUYSN220</t>
  </si>
  <si>
    <t>FVERW989</t>
  </si>
  <si>
    <t>FVLGG345</t>
  </si>
  <si>
    <t>FVMKR641</t>
  </si>
  <si>
    <t>FVWTK713</t>
  </si>
  <si>
    <t>FVYKO550</t>
  </si>
  <si>
    <t>FVZAX328</t>
  </si>
  <si>
    <t>FWHUU203</t>
  </si>
  <si>
    <t>FWINY235</t>
  </si>
  <si>
    <t>FWNAP195</t>
  </si>
  <si>
    <t>FWWKU744</t>
  </si>
  <si>
    <t>FZDJJ453</t>
  </si>
  <si>
    <t>FZGNY465</t>
  </si>
  <si>
    <t>FZJPC224</t>
  </si>
  <si>
    <t>FZYHE293</t>
  </si>
  <si>
    <t>GAIZK084</t>
  </si>
  <si>
    <t>GCNLF751</t>
  </si>
  <si>
    <t>GCTPY128</t>
  </si>
  <si>
    <t>GDGTH925</t>
  </si>
  <si>
    <t>GDOFJ743</t>
  </si>
  <si>
    <t>GDVFK555</t>
  </si>
  <si>
    <t>GFIKV164</t>
  </si>
  <si>
    <t>GJVFO664</t>
  </si>
  <si>
    <t>GLRKB877</t>
  </si>
  <si>
    <t>GLZQH903</t>
  </si>
  <si>
    <t>GMJJX699</t>
  </si>
  <si>
    <t>GMVWO237</t>
  </si>
  <si>
    <t>GNKCQ969</t>
  </si>
  <si>
    <t>GNPXL798</t>
  </si>
  <si>
    <t>GNVGJ042</t>
  </si>
  <si>
    <t>GOAUK965</t>
  </si>
  <si>
    <t>GOUOF785</t>
  </si>
  <si>
    <t>GPRRY188</t>
  </si>
  <si>
    <t>GQCYX781</t>
  </si>
  <si>
    <t>GQEMO540</t>
  </si>
  <si>
    <t>GQOUL736</t>
  </si>
  <si>
    <t>GQOUP534</t>
  </si>
  <si>
    <t>GRNBH897</t>
  </si>
  <si>
    <t>GSFAO265</t>
  </si>
  <si>
    <t>GTJHZ328</t>
  </si>
  <si>
    <t>GTUUZ828</t>
  </si>
  <si>
    <t>GTXSY819</t>
  </si>
  <si>
    <t>GUISI205</t>
  </si>
  <si>
    <t>GUROC511</t>
  </si>
  <si>
    <t>GVKFT024</t>
  </si>
  <si>
    <t>GVRFK909</t>
  </si>
  <si>
    <t>GVTCR352</t>
  </si>
  <si>
    <t>GXTXR073</t>
  </si>
  <si>
    <t>GYVIW841</t>
  </si>
  <si>
    <t>GZDAK943</t>
  </si>
  <si>
    <t>GZGCB247</t>
  </si>
  <si>
    <t>GZHLO126</t>
  </si>
  <si>
    <t>HALPV291</t>
  </si>
  <si>
    <t>HBLGZ660</t>
  </si>
  <si>
    <t>HBZAV593</t>
  </si>
  <si>
    <t>HCPNM086</t>
  </si>
  <si>
    <t>HDBHD377</t>
  </si>
  <si>
    <t>HDBLI646</t>
  </si>
  <si>
    <t>HDIPI156</t>
  </si>
  <si>
    <t>HDNSO250</t>
  </si>
  <si>
    <t>HDTTX285</t>
  </si>
  <si>
    <t>HEILY541</t>
  </si>
  <si>
    <t>HENXA387</t>
  </si>
  <si>
    <t>HESKN724</t>
  </si>
  <si>
    <t>HFALM848</t>
  </si>
  <si>
    <t>HFPFC275</t>
  </si>
  <si>
    <t>HHVAM674</t>
  </si>
  <si>
    <t>HHZWO597</t>
  </si>
  <si>
    <t>HIRDP415</t>
  </si>
  <si>
    <t>HJRHZ133</t>
  </si>
  <si>
    <t>HJVPU225</t>
  </si>
  <si>
    <t>HKGON806</t>
  </si>
  <si>
    <t>HKREU588</t>
  </si>
  <si>
    <t>HKWJM849</t>
  </si>
  <si>
    <t>HLGJH584</t>
  </si>
  <si>
    <t>HMITY946</t>
  </si>
  <si>
    <t>HMUTP717</t>
  </si>
  <si>
    <t>HOKTO272</t>
  </si>
  <si>
    <t>HQCQU020</t>
  </si>
  <si>
    <t>HQNKR106</t>
  </si>
  <si>
    <t>HQUBC029</t>
  </si>
  <si>
    <t>HQWZQ565</t>
  </si>
  <si>
    <t>HRGLG135</t>
  </si>
  <si>
    <t>HWMQN616</t>
  </si>
  <si>
    <t>HXLJE621</t>
  </si>
  <si>
    <t>HXTBJ204</t>
  </si>
  <si>
    <t>HYKMF754</t>
  </si>
  <si>
    <t>IAIOW301</t>
  </si>
  <si>
    <t>IAKYA575</t>
  </si>
  <si>
    <t>IAYUZ841</t>
  </si>
  <si>
    <t>IBFPT804</t>
  </si>
  <si>
    <t>ICHHW652</t>
  </si>
  <si>
    <t>IDUDX804</t>
  </si>
  <si>
    <t>IEBXH936</t>
  </si>
  <si>
    <t>IECWZ600</t>
  </si>
  <si>
    <t>IEGGD858</t>
  </si>
  <si>
    <t>IFTGX633</t>
  </si>
  <si>
    <t>IGOYU966</t>
  </si>
  <si>
    <t>IGPIS441</t>
  </si>
  <si>
    <t>IGUKE379</t>
  </si>
  <si>
    <t>IGYHP956</t>
  </si>
  <si>
    <t>IHGJB494</t>
  </si>
  <si>
    <t>IHJJI639</t>
  </si>
  <si>
    <t>IHKUI696</t>
  </si>
  <si>
    <t>IIVUR490</t>
  </si>
  <si>
    <t>IJKYA488</t>
  </si>
  <si>
    <t>IJTXM080</t>
  </si>
  <si>
    <t>IJYZH199</t>
  </si>
  <si>
    <t>ILEUQ564</t>
  </si>
  <si>
    <t>ILRMB075</t>
  </si>
  <si>
    <t>INBWM285</t>
  </si>
  <si>
    <t>INIMJ646</t>
  </si>
  <si>
    <t>IOJPB464</t>
  </si>
  <si>
    <t>IOSSO326</t>
  </si>
  <si>
    <t>IPLZQ058</t>
  </si>
  <si>
    <t>IPMUO011</t>
  </si>
  <si>
    <t>IQCSE645</t>
  </si>
  <si>
    <t>IQIKW240</t>
  </si>
  <si>
    <t>IQZXR021</t>
  </si>
  <si>
    <t>IROTI885</t>
  </si>
  <si>
    <t>IRQWP763</t>
  </si>
  <si>
    <t>IRZTT512</t>
  </si>
  <si>
    <t>ITIWE433</t>
  </si>
  <si>
    <t>ITNMT334</t>
  </si>
  <si>
    <t>IUITK321</t>
  </si>
  <si>
    <t>IUJMA511</t>
  </si>
  <si>
    <t>IURER909</t>
  </si>
  <si>
    <t>IURSU195</t>
  </si>
  <si>
    <t>IVMBB524</t>
  </si>
  <si>
    <t>IVWZW953</t>
  </si>
  <si>
    <t>IWOVV809</t>
  </si>
  <si>
    <t>IWQHO987</t>
  </si>
  <si>
    <t>IWSXU617</t>
  </si>
  <si>
    <t>IZGDJ190</t>
  </si>
  <si>
    <t>IZOHO374</t>
  </si>
  <si>
    <t>JACIM924</t>
  </si>
  <si>
    <t>JBQGX835</t>
  </si>
  <si>
    <t>JCXEO477</t>
  </si>
  <si>
    <t>JDKBY559</t>
  </si>
  <si>
    <t>JDTDW522</t>
  </si>
  <si>
    <t>JETUP671</t>
  </si>
  <si>
    <t>JFNAQ297</t>
  </si>
  <si>
    <t>JGWUF955</t>
  </si>
  <si>
    <t>JGZCT904</t>
  </si>
  <si>
    <t>JHGZK471</t>
  </si>
  <si>
    <t>JHNLG723</t>
  </si>
  <si>
    <t>JHYJH196</t>
  </si>
  <si>
    <t>JIQBX523</t>
  </si>
  <si>
    <t>JJKCE344</t>
  </si>
  <si>
    <t>JJQHK326</t>
  </si>
  <si>
    <t>JLHUE469</t>
  </si>
  <si>
    <t>JLKAN757</t>
  </si>
  <si>
    <t>JMEFC890</t>
  </si>
  <si>
    <t>JMJVE294</t>
  </si>
  <si>
    <t>JMQVS429</t>
  </si>
  <si>
    <t>JNHDK024</t>
  </si>
  <si>
    <t>JNHEP291</t>
  </si>
  <si>
    <t>JNUMB465</t>
  </si>
  <si>
    <t>JOGYP644</t>
  </si>
  <si>
    <t>JOUJU466</t>
  </si>
  <si>
    <t>JPEWK164</t>
  </si>
  <si>
    <t>JPLMY797</t>
  </si>
  <si>
    <t>JQHKP483</t>
  </si>
  <si>
    <t>JQLLZ435</t>
  </si>
  <si>
    <t>JQRBD591</t>
  </si>
  <si>
    <t>JSCFY345</t>
  </si>
  <si>
    <t>JSRJV069</t>
  </si>
  <si>
    <t>JSVAN850</t>
  </si>
  <si>
    <t>JSVKN127</t>
  </si>
  <si>
    <t>JUEME099</t>
  </si>
  <si>
    <t>JUIRA674</t>
  </si>
  <si>
    <t>JUYSG925</t>
  </si>
  <si>
    <t>JVJCJ686</t>
  </si>
  <si>
    <t>JVPTY742</t>
  </si>
  <si>
    <t>JVVVG595</t>
  </si>
  <si>
    <t>JYCXD277</t>
  </si>
  <si>
    <t>JZGZM198</t>
  </si>
  <si>
    <t>JZNUM670</t>
  </si>
  <si>
    <t>KBOFC595</t>
  </si>
  <si>
    <t>KCHOU287</t>
  </si>
  <si>
    <t>KCMTQ006</t>
  </si>
  <si>
    <t>KDGCJ256</t>
  </si>
  <si>
    <t>KEFPK052</t>
  </si>
  <si>
    <t>KEKZN954</t>
  </si>
  <si>
    <t>KFJLN993</t>
  </si>
  <si>
    <t>KGNCA896</t>
  </si>
  <si>
    <t>KHTEW310</t>
  </si>
  <si>
    <t>KJEZD671</t>
  </si>
  <si>
    <t>KJMWS217</t>
  </si>
  <si>
    <t>KJZMM021</t>
  </si>
  <si>
    <t>KKPST594</t>
  </si>
  <si>
    <t>KKVQU036</t>
  </si>
  <si>
    <t>KLCQU151</t>
  </si>
  <si>
    <t>KLNQM425</t>
  </si>
  <si>
    <t>KNLEK806</t>
  </si>
  <si>
    <t>KOEVO656</t>
  </si>
  <si>
    <t>KOHXH943</t>
  </si>
  <si>
    <t>KPLNQ245</t>
  </si>
  <si>
    <t>KQEYC776</t>
  </si>
  <si>
    <t>KSHJW855</t>
  </si>
  <si>
    <t>KUREN620</t>
  </si>
  <si>
    <t>KWCIN839</t>
  </si>
  <si>
    <t>KXOYC999</t>
  </si>
  <si>
    <t>KZPTS826</t>
  </si>
  <si>
    <t>LADXO762</t>
  </si>
  <si>
    <t>LAXMN110</t>
  </si>
  <si>
    <t>LBNXT214</t>
  </si>
  <si>
    <t>LCVSL323</t>
  </si>
  <si>
    <t>LDCGO516</t>
  </si>
  <si>
    <t>LFLIA985</t>
  </si>
  <si>
    <t>LGCLN509</t>
  </si>
  <si>
    <t>LGKPV470</t>
  </si>
  <si>
    <t>LGTCW816</t>
  </si>
  <si>
    <t>LHOTX492</t>
  </si>
  <si>
    <t>LHOZW943</t>
  </si>
  <si>
    <t>LIMIP750</t>
  </si>
  <si>
    <t>LINNV430</t>
  </si>
  <si>
    <t>LJWXO987</t>
  </si>
  <si>
    <t>LKWOW121</t>
  </si>
  <si>
    <t>LLNDT500</t>
  </si>
  <si>
    <t>LMODL804</t>
  </si>
  <si>
    <t>LNBTG154</t>
  </si>
  <si>
    <t>LPEHU230</t>
  </si>
  <si>
    <t>LQFRC033</t>
  </si>
  <si>
    <t>LQFUX426</t>
  </si>
  <si>
    <t>LQHTZ771</t>
  </si>
  <si>
    <t>LQYHW474</t>
  </si>
  <si>
    <t>LSCKC526</t>
  </si>
  <si>
    <t>LSQBZ026</t>
  </si>
  <si>
    <t>LUUAB532</t>
  </si>
  <si>
    <t>LUVNU742</t>
  </si>
  <si>
    <t>LVUNT083</t>
  </si>
  <si>
    <t>LVYKA913</t>
  </si>
  <si>
    <t>LWERY396</t>
  </si>
  <si>
    <t>LWHMH322</t>
  </si>
  <si>
    <t>LWTSV451</t>
  </si>
  <si>
    <t>LXPNS293</t>
  </si>
  <si>
    <t>LXZYA607</t>
  </si>
  <si>
    <t>LYMFS351</t>
  </si>
  <si>
    <t>LYUHI269</t>
  </si>
  <si>
    <t>LYWKO314</t>
  </si>
  <si>
    <t>LZHAF913</t>
  </si>
  <si>
    <t>MABNL298</t>
  </si>
  <si>
    <t>MBGQI926</t>
  </si>
  <si>
    <t>MCBMA425</t>
  </si>
  <si>
    <t>MCUVJ000</t>
  </si>
  <si>
    <t>MDDLW982</t>
  </si>
  <si>
    <t>MEBHS332</t>
  </si>
  <si>
    <t>MEOHD276</t>
  </si>
  <si>
    <t>MESAC365</t>
  </si>
  <si>
    <t>MFTZD280</t>
  </si>
  <si>
    <t>MFVSA799</t>
  </si>
  <si>
    <t>MGGIZ639</t>
  </si>
  <si>
    <t>MGLHZ725</t>
  </si>
  <si>
    <t>MGOTE228</t>
  </si>
  <si>
    <t>MHCDC139</t>
  </si>
  <si>
    <t>MHFDS221</t>
  </si>
  <si>
    <t>MHFXK165</t>
  </si>
  <si>
    <t>MMHHC347</t>
  </si>
  <si>
    <t>MMWGP800</t>
  </si>
  <si>
    <t>MNLVE874</t>
  </si>
  <si>
    <t>MNNXN625</t>
  </si>
  <si>
    <t>MONYQ657</t>
  </si>
  <si>
    <t>MPDXO314</t>
  </si>
  <si>
    <t>MQUPA634</t>
  </si>
  <si>
    <t>MRHCP062</t>
  </si>
  <si>
    <t>MRHCV388</t>
  </si>
  <si>
    <t>MRUSL435</t>
  </si>
  <si>
    <t>MSJZL467</t>
  </si>
  <si>
    <t>MUANJ436</t>
  </si>
  <si>
    <t>MVFEP234</t>
  </si>
  <si>
    <t>MVTIS736</t>
  </si>
  <si>
    <t>MWFNN721</t>
  </si>
  <si>
    <t>MWMRL844</t>
  </si>
  <si>
    <t>MXDIU505</t>
  </si>
  <si>
    <t>MXJFX750</t>
  </si>
  <si>
    <t>MXUOB840</t>
  </si>
  <si>
    <t>MXYOM801</t>
  </si>
  <si>
    <t>MYMVQ237</t>
  </si>
  <si>
    <t>MYUFG599</t>
  </si>
  <si>
    <t>MZWTZ982</t>
  </si>
  <si>
    <t>NAUEC412</t>
  </si>
  <si>
    <t>NAWJB102</t>
  </si>
  <si>
    <t>NECUE148</t>
  </si>
  <si>
    <t>NEYAE565</t>
  </si>
  <si>
    <t>NFCGY425</t>
  </si>
  <si>
    <t>NFLJR990</t>
  </si>
  <si>
    <t>NFTLC915</t>
  </si>
  <si>
    <t>NFTZY842</t>
  </si>
  <si>
    <t>NFUTD512</t>
  </si>
  <si>
    <t>NGFRR350</t>
  </si>
  <si>
    <t>NHBHC736</t>
  </si>
  <si>
    <t>NHDIU145</t>
  </si>
  <si>
    <t>NHNGR651</t>
  </si>
  <si>
    <t>NHNHX040</t>
  </si>
  <si>
    <t>NHOMU487</t>
  </si>
  <si>
    <t>NHWLT352</t>
  </si>
  <si>
    <t>NIDMA535</t>
  </si>
  <si>
    <t>NIRBL281</t>
  </si>
  <si>
    <t>NJBXD126</t>
  </si>
  <si>
    <t>NLDLP691</t>
  </si>
  <si>
    <t>NLFFT868</t>
  </si>
  <si>
    <t>NLPXO352</t>
  </si>
  <si>
    <t>NNGNZ263</t>
  </si>
  <si>
    <t>NNMJZ088</t>
  </si>
  <si>
    <t>NNNGE787</t>
  </si>
  <si>
    <t>NOCRY115</t>
  </si>
  <si>
    <t>NOLVO164</t>
  </si>
  <si>
    <t>NQGYG289</t>
  </si>
  <si>
    <t>NRNZG719</t>
  </si>
  <si>
    <t>NRQRT304</t>
  </si>
  <si>
    <t>NSUVN290</t>
  </si>
  <si>
    <t>NTMAS076</t>
  </si>
  <si>
    <t>NVMSP505</t>
  </si>
  <si>
    <t>NXHCU156</t>
  </si>
  <si>
    <t>NXUUT497</t>
  </si>
  <si>
    <t>NYLSA567</t>
  </si>
  <si>
    <t>NYSDV793</t>
  </si>
  <si>
    <t>NYYSC495</t>
  </si>
  <si>
    <t>NZNQZ845</t>
  </si>
  <si>
    <t>NZTUE463</t>
  </si>
  <si>
    <t>OAAFN516</t>
  </si>
  <si>
    <t>OBZYP189</t>
  </si>
  <si>
    <t>OCYUL934</t>
  </si>
  <si>
    <t>ODGIF253</t>
  </si>
  <si>
    <t>ODWSU376</t>
  </si>
  <si>
    <t>OENMM482</t>
  </si>
  <si>
    <t>OEQGI393</t>
  </si>
  <si>
    <t>OFFCA788</t>
  </si>
  <si>
    <t>OFHNG821</t>
  </si>
  <si>
    <t>OGDYF377</t>
  </si>
  <si>
    <t>OGTPF392</t>
  </si>
  <si>
    <t>OHLSH131</t>
  </si>
  <si>
    <t>OHMGQ994</t>
  </si>
  <si>
    <t>OIXSR291</t>
  </si>
  <si>
    <t>OIYMR777</t>
  </si>
  <si>
    <t>OJBEZ718</t>
  </si>
  <si>
    <t>OJKDC905</t>
  </si>
  <si>
    <t>OJRBO291</t>
  </si>
  <si>
    <t>OLCPI268</t>
  </si>
  <si>
    <t>OLUDV650</t>
  </si>
  <si>
    <t>OMPME045</t>
  </si>
  <si>
    <t>OMWFB516</t>
  </si>
  <si>
    <t>ONQTL892</t>
  </si>
  <si>
    <t>ONRZQ066</t>
  </si>
  <si>
    <t>OPAXT050</t>
  </si>
  <si>
    <t>OQKCE938</t>
  </si>
  <si>
    <t>OQKDN513</t>
  </si>
  <si>
    <t>OQOUY965</t>
  </si>
  <si>
    <t>OQUEX618</t>
  </si>
  <si>
    <t>OQWUH675</t>
  </si>
  <si>
    <t>OROHG900</t>
  </si>
  <si>
    <t>ORRCS821</t>
  </si>
  <si>
    <t>ORSYC922</t>
  </si>
  <si>
    <t>ORTJS413</t>
  </si>
  <si>
    <t>ORTQF688</t>
  </si>
  <si>
    <t>OSLTH510</t>
  </si>
  <si>
    <t>OTIML470</t>
  </si>
  <si>
    <t>OUUFW128</t>
  </si>
  <si>
    <t>OUXJC375</t>
  </si>
  <si>
    <t>OVGGC199</t>
  </si>
  <si>
    <t>OWEIS832</t>
  </si>
  <si>
    <t>OWKRP825</t>
  </si>
  <si>
    <t>OWZQN102</t>
  </si>
  <si>
    <t>OXDCT117</t>
  </si>
  <si>
    <t>OXHHP087</t>
  </si>
  <si>
    <t>OXQNV345</t>
  </si>
  <si>
    <t>OXVNT219</t>
  </si>
  <si>
    <t>OYBDX721</t>
  </si>
  <si>
    <t>OZCPZ929</t>
  </si>
  <si>
    <t>OZZWZ912</t>
  </si>
  <si>
    <t>PADSF860</t>
  </si>
  <si>
    <t>PAIFP591</t>
  </si>
  <si>
    <t>PAPYC480</t>
  </si>
  <si>
    <t>PAYRP633</t>
  </si>
  <si>
    <t>PBQJI125</t>
  </si>
  <si>
    <t>PBRKE012</t>
  </si>
  <si>
    <t>PBUSP405</t>
  </si>
  <si>
    <t>PCNCQ596</t>
  </si>
  <si>
    <t>PEKIK721</t>
  </si>
  <si>
    <t>PEVLH859</t>
  </si>
  <si>
    <t>PFOMN980</t>
  </si>
  <si>
    <t>PFVKE464</t>
  </si>
  <si>
    <t>PFVPA459</t>
  </si>
  <si>
    <t>PGATX805</t>
  </si>
  <si>
    <t>PGOBU846</t>
  </si>
  <si>
    <t>PHGYR942</t>
  </si>
  <si>
    <t>PIGXC972</t>
  </si>
  <si>
    <t>PIMVN715</t>
  </si>
  <si>
    <t>PIMZQ488</t>
  </si>
  <si>
    <t>PIUXK896</t>
  </si>
  <si>
    <t>PKTXX788</t>
  </si>
  <si>
    <t>PKUVN359</t>
  </si>
  <si>
    <t>PKXTF811</t>
  </si>
  <si>
    <t>PLAEZ810</t>
  </si>
  <si>
    <t>PMLNA609</t>
  </si>
  <si>
    <t>PMOYT654</t>
  </si>
  <si>
    <t>POKFI611</t>
  </si>
  <si>
    <t>POXZP734</t>
  </si>
  <si>
    <t>PPXAY009</t>
  </si>
  <si>
    <t>PQIHQ825</t>
  </si>
  <si>
    <t>PQKCK030</t>
  </si>
  <si>
    <t>PRKBD095</t>
  </si>
  <si>
    <t>PSJQM360</t>
  </si>
  <si>
    <t>PTFRI551</t>
  </si>
  <si>
    <t>PTNKC925</t>
  </si>
  <si>
    <t>PTZQU800</t>
  </si>
  <si>
    <t>PUAAG520</t>
  </si>
  <si>
    <t>PUSPQ812</t>
  </si>
  <si>
    <t>PVNVR555</t>
  </si>
  <si>
    <t>PWHLR636</t>
  </si>
  <si>
    <t>PWKXT626</t>
  </si>
  <si>
    <t>PWNWP932</t>
  </si>
  <si>
    <t>PWXTC497</t>
  </si>
  <si>
    <t>PXKKL584</t>
  </si>
  <si>
    <t>PXYXZ036</t>
  </si>
  <si>
    <t>PYYAS746</t>
  </si>
  <si>
    <t>PZWWM566</t>
  </si>
  <si>
    <t>QAKSU146</t>
  </si>
  <si>
    <t>QALXY843</t>
  </si>
  <si>
    <t>QBDJE643</t>
  </si>
  <si>
    <t>QBGLD433</t>
  </si>
  <si>
    <t>QBLCG814</t>
  </si>
  <si>
    <t>QBMFY333</t>
  </si>
  <si>
    <t>QBSQA163</t>
  </si>
  <si>
    <t>QCKMF214</t>
  </si>
  <si>
    <t>QCPMV336</t>
  </si>
  <si>
    <t>QDCQP088</t>
  </si>
  <si>
    <t>QDIMX551</t>
  </si>
  <si>
    <t>QEWKW893</t>
  </si>
  <si>
    <t>QFMFV830</t>
  </si>
  <si>
    <t>QFQNC760</t>
  </si>
  <si>
    <t>QFQNM599</t>
  </si>
  <si>
    <t>QGVYI659</t>
  </si>
  <si>
    <t>QGZOT453</t>
  </si>
  <si>
    <t>QICOZ415</t>
  </si>
  <si>
    <t>QICPF524</t>
  </si>
  <si>
    <t>QJGMZ119</t>
  </si>
  <si>
    <t>QJJCR975</t>
  </si>
  <si>
    <t>QKDGB784</t>
  </si>
  <si>
    <t>QLOQI191</t>
  </si>
  <si>
    <t>QMHJL247</t>
  </si>
  <si>
    <t>QNRPW833</t>
  </si>
  <si>
    <t>QPAUT941</t>
  </si>
  <si>
    <t>QPJUD134</t>
  </si>
  <si>
    <t>QPVIB669</t>
  </si>
  <si>
    <t>QQAKT194</t>
  </si>
  <si>
    <t>QQVKY383</t>
  </si>
  <si>
    <t>QQXJM516</t>
  </si>
  <si>
    <t>QRQWM198</t>
  </si>
  <si>
    <t>QRYZE299</t>
  </si>
  <si>
    <t>QSDJL761</t>
  </si>
  <si>
    <t>QTVJS012</t>
  </si>
  <si>
    <t>QTWRY658</t>
  </si>
  <si>
    <t>QUKGV139</t>
  </si>
  <si>
    <t>QVMQD615</t>
  </si>
  <si>
    <t>QVNXW035</t>
  </si>
  <si>
    <t>QXLIZ465</t>
  </si>
  <si>
    <t>QXRKB943</t>
  </si>
  <si>
    <t>QXRQM793</t>
  </si>
  <si>
    <t>QXXHQ023</t>
  </si>
  <si>
    <t>QYUVU090</t>
  </si>
  <si>
    <t>QYWVH445</t>
  </si>
  <si>
    <t>QZBQM890</t>
  </si>
  <si>
    <t>QZWWV627</t>
  </si>
  <si>
    <t>RBFLJ076</t>
  </si>
  <si>
    <t>RBMKX235</t>
  </si>
  <si>
    <t>RBXIR480</t>
  </si>
  <si>
    <t>RCPAS323</t>
  </si>
  <si>
    <t>RCUYF467</t>
  </si>
  <si>
    <t>REAMI346</t>
  </si>
  <si>
    <t>RGZXG313</t>
  </si>
  <si>
    <t>RJFTK460</t>
  </si>
  <si>
    <t>RJNUX688</t>
  </si>
  <si>
    <t>RJTFE152</t>
  </si>
  <si>
    <t>RJTLU681</t>
  </si>
  <si>
    <t>RJTZK817</t>
  </si>
  <si>
    <t>RLFQQ803</t>
  </si>
  <si>
    <t>RLSYF704</t>
  </si>
  <si>
    <t>RLZBR544</t>
  </si>
  <si>
    <t>RMGFC991</t>
  </si>
  <si>
    <t>RNFHL196</t>
  </si>
  <si>
    <t>RNYIV849</t>
  </si>
  <si>
    <t>ROAZJ677</t>
  </si>
  <si>
    <t>ROIZZ460</t>
  </si>
  <si>
    <t>ROKLY020</t>
  </si>
  <si>
    <t>ROMYB789</t>
  </si>
  <si>
    <t>ROXTK731</t>
  </si>
  <si>
    <t>RPMGM666</t>
  </si>
  <si>
    <t>RQECK962</t>
  </si>
  <si>
    <t>RRYYM097</t>
  </si>
  <si>
    <t>RSBDM241</t>
  </si>
  <si>
    <t>RSVEF729</t>
  </si>
  <si>
    <t>RTCIE848</t>
  </si>
  <si>
    <t>RTQUU258</t>
  </si>
  <si>
    <t>RUDVX633</t>
  </si>
  <si>
    <t>RUKVO355</t>
  </si>
  <si>
    <t>RUTMA147</t>
  </si>
  <si>
    <t>RUVTG367</t>
  </si>
  <si>
    <t>RVJWO678</t>
  </si>
  <si>
    <t>RVKKJ559</t>
  </si>
  <si>
    <t>RVPJA891</t>
  </si>
  <si>
    <t>RWJHH645</t>
  </si>
  <si>
    <t>RXFKP750</t>
  </si>
  <si>
    <t>RXGYQ511</t>
  </si>
  <si>
    <t>RXLSC035</t>
  </si>
  <si>
    <t>SAYWC512</t>
  </si>
  <si>
    <t>SBIHL559</t>
  </si>
  <si>
    <t>SCSET309</t>
  </si>
  <si>
    <t>SCZUL709</t>
  </si>
  <si>
    <t>SDFQB279</t>
  </si>
  <si>
    <t>SDGQE907</t>
  </si>
  <si>
    <t>SDHBZ773</t>
  </si>
  <si>
    <t>SDZAP329</t>
  </si>
  <si>
    <t>SFCNH265</t>
  </si>
  <si>
    <t>SFNVR683</t>
  </si>
  <si>
    <t>SFYXJ970</t>
  </si>
  <si>
    <t>SGCDK638</t>
  </si>
  <si>
    <t>SGCWQ644</t>
  </si>
  <si>
    <t>SGXAG053</t>
  </si>
  <si>
    <t>SHJYU629</t>
  </si>
  <si>
    <t>SHLJG121</t>
  </si>
  <si>
    <t>SHOVA695</t>
  </si>
  <si>
    <t>SIEPE881</t>
  </si>
  <si>
    <t>SIFQR280</t>
  </si>
  <si>
    <t>SIWXE396</t>
  </si>
  <si>
    <t>SJZLW931</t>
  </si>
  <si>
    <t>SKKLG660</t>
  </si>
  <si>
    <t>SKWLK283</t>
  </si>
  <si>
    <t>SMIIY826</t>
  </si>
  <si>
    <t>SMPPV971</t>
  </si>
  <si>
    <t>SMRRR352</t>
  </si>
  <si>
    <t>SNGGI477</t>
  </si>
  <si>
    <t>SNKHM613</t>
  </si>
  <si>
    <t>SNXGR641</t>
  </si>
  <si>
    <t>SPKXM631</t>
  </si>
  <si>
    <t>SQNSZ952</t>
  </si>
  <si>
    <t>SRMUG693</t>
  </si>
  <si>
    <t>SUQWM907</t>
  </si>
  <si>
    <t>SVKWJ988</t>
  </si>
  <si>
    <t>SVNXK824</t>
  </si>
  <si>
    <t>SVSNS271</t>
  </si>
  <si>
    <t>SVUDA600</t>
  </si>
  <si>
    <t>SWCIR604</t>
  </si>
  <si>
    <t>SWUNJ016</t>
  </si>
  <si>
    <t>SXEMG375</t>
  </si>
  <si>
    <t>SXWZU923</t>
  </si>
  <si>
    <t>SYQWR833</t>
  </si>
  <si>
    <t>SZGIA139</t>
  </si>
  <si>
    <t>SZLTP487</t>
  </si>
  <si>
    <t>SZMCX684</t>
  </si>
  <si>
    <t>SZXSZ937</t>
  </si>
  <si>
    <t>TAASA894</t>
  </si>
  <si>
    <t>TBULR028</t>
  </si>
  <si>
    <t>TDBNE695</t>
  </si>
  <si>
    <t>TELUJ520</t>
  </si>
  <si>
    <t>TEVSD451</t>
  </si>
  <si>
    <t>TFIZP919</t>
  </si>
  <si>
    <t>TGNME740</t>
  </si>
  <si>
    <t>TGNSK482</t>
  </si>
  <si>
    <t>TGTVI776</t>
  </si>
  <si>
    <t>THILU070</t>
  </si>
  <si>
    <t>TICRG753</t>
  </si>
  <si>
    <t>TIQTW725</t>
  </si>
  <si>
    <t>TITWY457</t>
  </si>
  <si>
    <t>TIZJQ306</t>
  </si>
  <si>
    <t>TJOQI204</t>
  </si>
  <si>
    <t>TJXGG896</t>
  </si>
  <si>
    <t>TKAZF107</t>
  </si>
  <si>
    <t>TKJWY232</t>
  </si>
  <si>
    <t>TLWXU600</t>
  </si>
  <si>
    <t>TMVFA513</t>
  </si>
  <si>
    <t>TNBBL994</t>
  </si>
  <si>
    <t>TNBVA901</t>
  </si>
  <si>
    <t>TOBKL270</t>
  </si>
  <si>
    <t>TOLBE820</t>
  </si>
  <si>
    <t>TOQEP520</t>
  </si>
  <si>
    <t>TOTDA061</t>
  </si>
  <si>
    <t>TPSNV959</t>
  </si>
  <si>
    <t>TPTOR701</t>
  </si>
  <si>
    <t>TQCDD249</t>
  </si>
  <si>
    <t>TQYRW639</t>
  </si>
  <si>
    <t>TSEIF261</t>
  </si>
  <si>
    <t>TSGHS017</t>
  </si>
  <si>
    <t>TSUAC691</t>
  </si>
  <si>
    <t>TTHOA129</t>
  </si>
  <si>
    <t>TTKKY674</t>
  </si>
  <si>
    <t>TUACG813</t>
  </si>
  <si>
    <t>TVDUM907</t>
  </si>
  <si>
    <t>TVKKW864</t>
  </si>
  <si>
    <t>TVVXJ702</t>
  </si>
  <si>
    <t>TVWOY679</t>
  </si>
  <si>
    <t>TXFKU879</t>
  </si>
  <si>
    <t>TXIFX516</t>
  </si>
  <si>
    <t>TYCAC438</t>
  </si>
  <si>
    <t>TZKVV014</t>
  </si>
  <si>
    <t>TZUYN962</t>
  </si>
  <si>
    <t>UADKS911</t>
  </si>
  <si>
    <t>UBFUL455</t>
  </si>
  <si>
    <t>UBKCW126</t>
  </si>
  <si>
    <t>UBLND282</t>
  </si>
  <si>
    <t>UCEMT890</t>
  </si>
  <si>
    <t>UCESD158</t>
  </si>
  <si>
    <t>UCGEB363</t>
  </si>
  <si>
    <t>UCUSL986</t>
  </si>
  <si>
    <t>UDFMS370</t>
  </si>
  <si>
    <t>UGKAK583</t>
  </si>
  <si>
    <t>UHGGF290</t>
  </si>
  <si>
    <t>UICIR908</t>
  </si>
  <si>
    <t>UISKE667</t>
  </si>
  <si>
    <t>UJBHG100</t>
  </si>
  <si>
    <t>ULFFK642</t>
  </si>
  <si>
    <t>ULWCM384</t>
  </si>
  <si>
    <t>ULWVN765</t>
  </si>
  <si>
    <t>UMCNB407</t>
  </si>
  <si>
    <t>UMKTB834</t>
  </si>
  <si>
    <t>UMMWD363</t>
  </si>
  <si>
    <t>UNVJZ234</t>
  </si>
  <si>
    <t>UOIPB247</t>
  </si>
  <si>
    <t>UPRZS896</t>
  </si>
  <si>
    <t>UPVLT722</t>
  </si>
  <si>
    <t>UQEUN515</t>
  </si>
  <si>
    <t>URACX508</t>
  </si>
  <si>
    <t>URFJO620</t>
  </si>
  <si>
    <t>URMMH384</t>
  </si>
  <si>
    <t>URRCR802</t>
  </si>
  <si>
    <t>USETY757</t>
  </si>
  <si>
    <t>USFQQ615</t>
  </si>
  <si>
    <t>UTHTE055</t>
  </si>
  <si>
    <t>UUXOA188</t>
  </si>
  <si>
    <t>UVJYL902</t>
  </si>
  <si>
    <t>UWTFZ545</t>
  </si>
  <si>
    <t>UXWYV589</t>
  </si>
  <si>
    <t>UYKWD395</t>
  </si>
  <si>
    <t>UZJBN251</t>
  </si>
  <si>
    <t>UZQQC116</t>
  </si>
  <si>
    <t>UZXAW127</t>
  </si>
  <si>
    <t>VAMGL196</t>
  </si>
  <si>
    <t>VARBR822</t>
  </si>
  <si>
    <t>VBDGR917</t>
  </si>
  <si>
    <t>VBLGV698</t>
  </si>
  <si>
    <t>VDMRH647</t>
  </si>
  <si>
    <t>VFBBA628</t>
  </si>
  <si>
    <t>VFBFH300</t>
  </si>
  <si>
    <t>VFBJO635</t>
  </si>
  <si>
    <t>VFFFI920</t>
  </si>
  <si>
    <t>VGEJT519</t>
  </si>
  <si>
    <t>VGIBN794</t>
  </si>
  <si>
    <t>VINMB855</t>
  </si>
  <si>
    <t>VIQRX547</t>
  </si>
  <si>
    <t>VKSKS700</t>
  </si>
  <si>
    <t>VLKKY906</t>
  </si>
  <si>
    <t>VLOZL951</t>
  </si>
  <si>
    <t>VMYGN758</t>
  </si>
  <si>
    <t>VNGAJ106</t>
  </si>
  <si>
    <t>VNPFX353</t>
  </si>
  <si>
    <t>VNSDX088</t>
  </si>
  <si>
    <t>VNXEV874</t>
  </si>
  <si>
    <t>VOUGG003</t>
  </si>
  <si>
    <t>VOZOR859</t>
  </si>
  <si>
    <t>VPJWC678</t>
  </si>
  <si>
    <t>VQVIS240</t>
  </si>
  <si>
    <t>VUIPO914</t>
  </si>
  <si>
    <t>VUMJS954</t>
  </si>
  <si>
    <t>VYREC190</t>
  </si>
  <si>
    <t>VYUKQ976</t>
  </si>
  <si>
    <t>VYZAW487</t>
  </si>
  <si>
    <t>VZEPX988</t>
  </si>
  <si>
    <t>VZUHZ883</t>
  </si>
  <si>
    <t>WAGFF004</t>
  </si>
  <si>
    <t>WANHU318</t>
  </si>
  <si>
    <t>WASDT221</t>
  </si>
  <si>
    <t>WAUHY594</t>
  </si>
  <si>
    <t>WCOQM992</t>
  </si>
  <si>
    <t>WDNEM601</t>
  </si>
  <si>
    <t>WFEED418</t>
  </si>
  <si>
    <t>WGFZY391</t>
  </si>
  <si>
    <t>WHCXL388</t>
  </si>
  <si>
    <t>WHEXW864</t>
  </si>
  <si>
    <t>WHVAW931</t>
  </si>
  <si>
    <t>WHXFD836</t>
  </si>
  <si>
    <t>WIUYW419</t>
  </si>
  <si>
    <t>WIZEX088</t>
  </si>
  <si>
    <t>WJHOF596</t>
  </si>
  <si>
    <t>WJKLX816</t>
  </si>
  <si>
    <t>WMWUW459</t>
  </si>
  <si>
    <t>WNGPC995</t>
  </si>
  <si>
    <t>WNOUN848</t>
  </si>
  <si>
    <t>WQOEK465</t>
  </si>
  <si>
    <t>WRNVS238</t>
  </si>
  <si>
    <t>WSKJX024</t>
  </si>
  <si>
    <t>WUFRK495</t>
  </si>
  <si>
    <t>WVDWL737</t>
  </si>
  <si>
    <t>WVNYO346</t>
  </si>
  <si>
    <t>WVWHM755</t>
  </si>
  <si>
    <t>WWGDQ377</t>
  </si>
  <si>
    <t>WWOEP382</t>
  </si>
  <si>
    <t>WWRGC016</t>
  </si>
  <si>
    <t>WWVNG117</t>
  </si>
  <si>
    <t>WXDVJ468</t>
  </si>
  <si>
    <t>WXLZO926</t>
  </si>
  <si>
    <t>XABVQ616</t>
  </si>
  <si>
    <t>XARUS608</t>
  </si>
  <si>
    <t>XAXRG771</t>
  </si>
  <si>
    <t>XBVBH959</t>
  </si>
  <si>
    <t>XBZVR326</t>
  </si>
  <si>
    <t>XCCCN086</t>
  </si>
  <si>
    <t>XDMHZ297</t>
  </si>
  <si>
    <t>XEJHU965</t>
  </si>
  <si>
    <t>XELPU468</t>
  </si>
  <si>
    <t>XENXC321</t>
  </si>
  <si>
    <t>XEPGL257</t>
  </si>
  <si>
    <t>XFXMU819</t>
  </si>
  <si>
    <t>XGHDE064</t>
  </si>
  <si>
    <t>XGKWY412</t>
  </si>
  <si>
    <t>XJAAF209</t>
  </si>
  <si>
    <t>XJULK368</t>
  </si>
  <si>
    <t>XKOHF218</t>
  </si>
  <si>
    <t>XKYRN569</t>
  </si>
  <si>
    <t>XMCLO271</t>
  </si>
  <si>
    <t>XMFLT123</t>
  </si>
  <si>
    <t>XNMCX072</t>
  </si>
  <si>
    <t>XNQDT138</t>
  </si>
  <si>
    <t>XNRIX567</t>
  </si>
  <si>
    <t>XOJVY555</t>
  </si>
  <si>
    <t>XOYVE467</t>
  </si>
  <si>
    <t>XPLGR764</t>
  </si>
  <si>
    <t>XPWCN892</t>
  </si>
  <si>
    <t>XRLCI973</t>
  </si>
  <si>
    <t>XSFAR056</t>
  </si>
  <si>
    <t>XUCNJ316</t>
  </si>
  <si>
    <t>XUNTA270</t>
  </si>
  <si>
    <t>XWLRY971</t>
  </si>
  <si>
    <t>XWNHQ351</t>
  </si>
  <si>
    <t>XXJBN298</t>
  </si>
  <si>
    <t>XYZAN841</t>
  </si>
  <si>
    <t>XZIXK132</t>
  </si>
  <si>
    <t>XZLJM290</t>
  </si>
  <si>
    <t>XZXDA252</t>
  </si>
  <si>
    <t>XZXQC530</t>
  </si>
  <si>
    <t>XZYQY132</t>
  </si>
  <si>
    <t>YAFHS464</t>
  </si>
  <si>
    <t>YAING179</t>
  </si>
  <si>
    <t>YBDQC216</t>
  </si>
  <si>
    <t>YBNBL298</t>
  </si>
  <si>
    <t>YCJLR709</t>
  </si>
  <si>
    <t>YGOSP005</t>
  </si>
  <si>
    <t>YIWQU824</t>
  </si>
  <si>
    <t>YIZKW418</t>
  </si>
  <si>
    <t>YJFGW187</t>
  </si>
  <si>
    <t>YJIEP710</t>
  </si>
  <si>
    <t>YJLOV803</t>
  </si>
  <si>
    <t>YKFSZ454</t>
  </si>
  <si>
    <t>YKKBN126</t>
  </si>
  <si>
    <t>YKPVW341</t>
  </si>
  <si>
    <t>YLLTD572</t>
  </si>
  <si>
    <t>YMARB668</t>
  </si>
  <si>
    <t>YMGZZ052</t>
  </si>
  <si>
    <t>YMOGY992</t>
  </si>
  <si>
    <t>YOMHZ909</t>
  </si>
  <si>
    <t>YOWRC851</t>
  </si>
  <si>
    <t>YOYKY514</t>
  </si>
  <si>
    <t>YPMXJ580</t>
  </si>
  <si>
    <t>YQZIP097</t>
  </si>
  <si>
    <t>YRQNX002</t>
  </si>
  <si>
    <t>YRZHR597</t>
  </si>
  <si>
    <t>YSAPZ145</t>
  </si>
  <si>
    <t>YTPJR660</t>
  </si>
  <si>
    <t>YTTAQ900</t>
  </si>
  <si>
    <t>YTXCR157</t>
  </si>
  <si>
    <t>YUVBT903</t>
  </si>
  <si>
    <t>YXXFV716</t>
  </si>
  <si>
    <t>YYHUW265</t>
  </si>
  <si>
    <t>YYRIV364</t>
  </si>
  <si>
    <t>YZJAT122</t>
  </si>
  <si>
    <t>YZQCO301</t>
  </si>
  <si>
    <t>ZAGHP041</t>
  </si>
  <si>
    <t>ZAPUF689</t>
  </si>
  <si>
    <t>ZAZYX342</t>
  </si>
  <si>
    <t>ZBGIE949</t>
  </si>
  <si>
    <t>ZBOIT251</t>
  </si>
  <si>
    <t>ZDGGR542</t>
  </si>
  <si>
    <t>ZENDD146</t>
  </si>
  <si>
    <t>ZEXVQ652</t>
  </si>
  <si>
    <t>ZFTOP521</t>
  </si>
  <si>
    <t>ZGACD935</t>
  </si>
  <si>
    <t>ZGCIC855</t>
  </si>
  <si>
    <t>ZGLWV800</t>
  </si>
  <si>
    <t>ZGROB783</t>
  </si>
  <si>
    <t>ZHPXF549</t>
  </si>
  <si>
    <t>ZHWMA613</t>
  </si>
  <si>
    <t>ZIKUW936</t>
  </si>
  <si>
    <t>ZLDMD722</t>
  </si>
  <si>
    <t>ZMDIS131</t>
  </si>
  <si>
    <t>ZMEHA722</t>
  </si>
  <si>
    <t>ZMIEI393</t>
  </si>
  <si>
    <t>ZNURP586</t>
  </si>
  <si>
    <t>ZNVGM826</t>
  </si>
  <si>
    <t>ZOJDY710</t>
  </si>
  <si>
    <t>ZOSLW286</t>
  </si>
  <si>
    <t>ZPXYR466</t>
  </si>
  <si>
    <t>ZQRGK689</t>
  </si>
  <si>
    <t>ZQZJR354</t>
  </si>
  <si>
    <t>ZQZTD201</t>
  </si>
  <si>
    <t>ZRSXY237</t>
  </si>
  <si>
    <t>ZTLYW029</t>
  </si>
  <si>
    <t>ZUBSK353</t>
  </si>
  <si>
    <t>ZUQOP294</t>
  </si>
  <si>
    <t>ZUXCO869</t>
  </si>
  <si>
    <t>ZVRQI834</t>
  </si>
  <si>
    <t>ZWLQX145</t>
  </si>
  <si>
    <t>ZXTEB808</t>
  </si>
  <si>
    <t>ZZGOT618</t>
  </si>
  <si>
    <t>Номер респондента</t>
  </si>
  <si>
    <t>Возраст</t>
  </si>
  <si>
    <t>Оцените, насколько вы довольны своим мобильным оператором?</t>
  </si>
  <si>
    <t>Сколько минут в неделю вы тратите на звонки?</t>
  </si>
  <si>
    <t>Сколько интернет трафика вы тратите в месяц с вашего мобильного устройства?</t>
  </si>
  <si>
    <t>Сколько вы готовы заплатить за оптимальный тариф?</t>
  </si>
  <si>
    <t>Полностью удовлетворен</t>
  </si>
  <si>
    <t>&lt;35</t>
  </si>
  <si>
    <t>&lt;10 Гб</t>
  </si>
  <si>
    <t>451-550</t>
  </si>
  <si>
    <t>Затрудняюсь ответить</t>
  </si>
  <si>
    <t>21-30 Гб</t>
  </si>
  <si>
    <t>550+ рублей</t>
  </si>
  <si>
    <t>40+ Гб</t>
  </si>
  <si>
    <t>до 250 рублей</t>
  </si>
  <si>
    <t>Скорее не удовлетворен</t>
  </si>
  <si>
    <t>31-40 Гб</t>
  </si>
  <si>
    <t>250-350</t>
  </si>
  <si>
    <t>10-20 Гб</t>
  </si>
  <si>
    <t>91-120</t>
  </si>
  <si>
    <t>61-90</t>
  </si>
  <si>
    <t>35-60</t>
  </si>
  <si>
    <t>351-450</t>
  </si>
  <si>
    <t>120+</t>
  </si>
  <si>
    <t>Абсолютно не удовлетворен</t>
  </si>
  <si>
    <t>Абонентская плата</t>
  </si>
  <si>
    <t>Звонки</t>
  </si>
  <si>
    <t>Гб</t>
  </si>
  <si>
    <t>Тарифные планы</t>
  </si>
  <si>
    <t>Дополнительные услуги</t>
  </si>
  <si>
    <t>Вопросы анкеты</t>
  </si>
  <si>
    <t>2. Сколько минут в неделю вы тратите на звонки?</t>
  </si>
  <si>
    <t>до 35 минут</t>
  </si>
  <si>
    <t>35-60 минут</t>
  </si>
  <si>
    <t>61-90 минут</t>
  </si>
  <si>
    <t>91-120 минут</t>
  </si>
  <si>
    <t>более 120 минут</t>
  </si>
  <si>
    <t>&gt;40 Гб</t>
  </si>
  <si>
    <t>4. Сколько вы готовы заплатить за оптимальный тариф?</t>
  </si>
  <si>
    <t>250-350 рублей</t>
  </si>
  <si>
    <t>351-450 рублей</t>
  </si>
  <si>
    <t>451-550 рублей</t>
  </si>
  <si>
    <t>более 550 рублей</t>
  </si>
  <si>
    <t>1. Оцените, насколько вы удолетворены своим сотовым оператором.</t>
  </si>
  <si>
    <t>Считайте, что абонент не доволен оператором, ести он не ответил "полностью удовлетворен" или "скорее удовлетворен".</t>
  </si>
  <si>
    <t>Для упрощения введите предпосылку, что каждый месяц абоненты тратят примерно одинаковое число минут и гигабайт.</t>
  </si>
  <si>
    <t>Подсказка: для подсчета средних значений для новых абонентов, которые подключились в 2022 году, используйте формулу DATEDIF.</t>
  </si>
  <si>
    <t>Очистите данные опроса: удалите дубли, пустые и не до конца заполненные строки и респондентов не из ЦА (не в возрасте 18-25 лет).</t>
  </si>
  <si>
    <t>а) распределение абонентской платы действующих абонентов;</t>
  </si>
  <si>
    <t>б) распределение субъективной готовости платить среди респондентов, недовольных своим оператором.</t>
  </si>
  <si>
    <t>2. Определите, какой процент потенциальных клиентов в новом регионе готовы платить 330 рублей за тариф Онлайн:</t>
  </si>
  <si>
    <t>Чтобы сформировать наиболее привлекательный для ЦА пакет, постройте матрицу и определите, какая пара дополнительных услуг наиболее популярна среди абонентов.</t>
  </si>
  <si>
    <t>ToolKit Excel. Базовый уровень. Проект</t>
  </si>
  <si>
    <t>Проанализируйте, можно ли продвигать его на тех же уловиях в новом регионе.</t>
  </si>
  <si>
    <t>Определите, какие 2 услуги будут наиболее привлекательны для целевой аудитории.</t>
  </si>
  <si>
    <t>2. (По желанию) Удалите лишние данные: ненужные для анализа колонки и абонентов не из целевой аудитории (не в возрасте 18-25 лет на 01.05.2022).</t>
  </si>
  <si>
    <t>3. Перенесите информацию об абонентской плате с листа "Дополнительная информация".</t>
  </si>
  <si>
    <t>3. Сколько интернет-трафика вы тратите в месяц с вашего мобильного устройства?</t>
  </si>
  <si>
    <t>1. Вычислите, сколько в среднем в месяц абоненты звонят и используют интернет. Для удобства указывайте время в минутах, а интернет-трафик - в гигабайтах.</t>
  </si>
  <si>
    <t>2. Постройте сводную таблицу и график, как в Шаге 3. Учитывайте только абонентов в возрасте 18-25 лет на 01.05.2022.</t>
  </si>
  <si>
    <t>Информация о действующих абонентах оператора</t>
  </si>
  <si>
    <t>б) посчитайте, сколько из них готовы платить 250-350 рублей за подходящий тариф</t>
  </si>
  <si>
    <t>То есть, какие две услуги чаще всего подключены одновременно.</t>
  </si>
  <si>
    <t xml:space="preserve"> </t>
  </si>
  <si>
    <t>а) посчитайте число респондентов, которым подошёл бы тариф Онлайн.</t>
  </si>
  <si>
    <t>Это те респонденты, недовольные своим нынешним оператором, которые говорят по телефону меньше 35 минут в неделю и тратят меньше 40 Гб интернета в месяц;</t>
  </si>
  <si>
    <t>Скорее удовлетворен</t>
  </si>
  <si>
    <t>Постройте соответствующий график.</t>
  </si>
  <si>
    <t>Месяцев использования тарифа с 01/01/2022 (сколько раз была списана абонентская плата)</t>
  </si>
  <si>
    <t>avg_min</t>
  </si>
  <si>
    <t>avg_gb</t>
  </si>
  <si>
    <t>Сколько дней пользуются тарифом</t>
  </si>
  <si>
    <t>Потребление минут в месяц</t>
  </si>
  <si>
    <t>Потребление ГБ в месяц</t>
  </si>
  <si>
    <t>Сколько лет пользователям?</t>
  </si>
  <si>
    <t>Row Labels</t>
  </si>
  <si>
    <t>Grand Total</t>
  </si>
  <si>
    <t>Сколько минут тратите в месяц?</t>
  </si>
  <si>
    <t>Count of Сколько вы готовы заплатить за оптимальный тариф?</t>
  </si>
  <si>
    <t>(Multiple Items)</t>
  </si>
  <si>
    <t>&lt;35 минут</t>
  </si>
  <si>
    <t>Лучший набор</t>
  </si>
  <si>
    <t>&lt;35 минут + 31-40 ГБ</t>
  </si>
  <si>
    <t>Лучший набор минут</t>
  </si>
  <si>
    <t>Лучший набор интернета</t>
  </si>
  <si>
    <t>21-30 ГБ</t>
  </si>
  <si>
    <t>120+ минут</t>
  </si>
  <si>
    <t>Count of ID</t>
  </si>
  <si>
    <t>Column Labels</t>
  </si>
  <si>
    <t>Категория минут</t>
  </si>
  <si>
    <t>Категория ГБ</t>
  </si>
  <si>
    <t>Абонент</t>
  </si>
  <si>
    <t>Не абонент</t>
  </si>
  <si>
    <t>Трата минут в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</si>
</sst>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3" x14ac:knownFonts="1">
    <font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sz val="11"/>
      <color rgb="FFFFFFFF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C00000"/>
      <name val="Arial"/>
      <family val="2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BD0C1E"/>
        <bgColor rgb="FFBD0C1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D3020"/>
        <bgColor rgb="FFBD0C1E"/>
      </patternFill>
    </fill>
    <fill>
      <patternFill patternType="solid">
        <fgColor rgb="FFBD302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C00000"/>
        <bgColor rgb="FFBD0C1E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134F5C"/>
      </patternFill>
    </fill>
    <fill>
      <patternFill patternType="solid">
        <fgColor rgb="FFC00000"/>
        <bgColor rgb="FFFFFFFF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100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0" fillId="4" borderId="0" xfId="0" applyFill="1"/>
    <xf numFmtId="0" fontId="2" fillId="5" borderId="0" xfId="0" applyFont="1" applyFill="1" applyAlignment="1">
      <alignment vertical="center"/>
    </xf>
    <xf numFmtId="0" fontId="0" fillId="6" borderId="0" xfId="0" applyFill="1"/>
    <xf numFmtId="0" fontId="3" fillId="7" borderId="0" xfId="0" applyFont="1" applyFill="1"/>
    <xf numFmtId="0" fontId="3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/>
    <xf numFmtId="0" fontId="8" fillId="7" borderId="0" xfId="0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10" fillId="3" borderId="0" xfId="0" applyFont="1" applyFill="1" applyAlignment="1">
      <alignment horizontal="left"/>
    </xf>
    <xf numFmtId="0" fontId="3" fillId="9" borderId="0" xfId="0" applyFont="1" applyFill="1"/>
    <xf numFmtId="0" fontId="0" fillId="10" borderId="0" xfId="0" applyFill="1"/>
    <xf numFmtId="0" fontId="8" fillId="9" borderId="0" xfId="0" applyFont="1" applyFill="1" applyAlignment="1">
      <alignment vertical="center"/>
    </xf>
    <xf numFmtId="0" fontId="8" fillId="12" borderId="0" xfId="0" applyFont="1" applyFill="1" applyAlignment="1">
      <alignment vertical="center"/>
    </xf>
    <xf numFmtId="0" fontId="8" fillId="9" borderId="0" xfId="0" applyFont="1" applyFill="1" applyAlignment="1">
      <alignment horizontal="center" vertical="center"/>
    </xf>
    <xf numFmtId="0" fontId="3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3" fillId="0" borderId="0" xfId="0" applyFont="1"/>
    <xf numFmtId="0" fontId="13" fillId="4" borderId="0" xfId="0" applyFont="1" applyFill="1"/>
    <xf numFmtId="0" fontId="14" fillId="10" borderId="0" xfId="0" applyFont="1" applyFill="1"/>
    <xf numFmtId="14" fontId="0" fillId="10" borderId="0" xfId="0" applyNumberFormat="1" applyFill="1"/>
    <xf numFmtId="14" fontId="0" fillId="0" borderId="0" xfId="0" applyNumberFormat="1"/>
    <xf numFmtId="0" fontId="14" fillId="11" borderId="0" xfId="0" applyFont="1" applyFill="1"/>
    <xf numFmtId="14" fontId="14" fillId="11" borderId="0" xfId="0" applyNumberFormat="1" applyFont="1" applyFill="1"/>
    <xf numFmtId="0" fontId="14" fillId="0" borderId="0" xfId="0" applyFont="1"/>
    <xf numFmtId="0" fontId="15" fillId="10" borderId="2" xfId="0" applyFont="1" applyFill="1" applyBorder="1"/>
    <xf numFmtId="0" fontId="16" fillId="0" borderId="2" xfId="0" applyFont="1" applyBorder="1"/>
    <xf numFmtId="0" fontId="12" fillId="4" borderId="0" xfId="0" applyFont="1" applyFill="1"/>
    <xf numFmtId="0" fontId="13" fillId="4" borderId="5" xfId="0" applyFont="1" applyFill="1" applyBorder="1"/>
    <xf numFmtId="0" fontId="13" fillId="4" borderId="6" xfId="0" applyFont="1" applyFill="1" applyBorder="1"/>
    <xf numFmtId="0" fontId="13" fillId="4" borderId="7" xfId="0" applyFont="1" applyFill="1" applyBorder="1"/>
    <xf numFmtId="0" fontId="11" fillId="4" borderId="0" xfId="0" applyFont="1" applyFill="1"/>
    <xf numFmtId="17" fontId="12" fillId="4" borderId="0" xfId="0" applyNumberFormat="1" applyFont="1" applyFill="1"/>
    <xf numFmtId="0" fontId="17" fillId="4" borderId="0" xfId="0" applyFont="1" applyFill="1" applyAlignment="1">
      <alignment horizontal="center"/>
    </xf>
    <xf numFmtId="0" fontId="1" fillId="4" borderId="0" xfId="0" applyFont="1" applyFill="1"/>
    <xf numFmtId="0" fontId="3" fillId="3" borderId="4" xfId="0" applyFont="1" applyFill="1" applyBorder="1"/>
    <xf numFmtId="0" fontId="0" fillId="4" borderId="4" xfId="0" applyFill="1" applyBorder="1"/>
    <xf numFmtId="0" fontId="18" fillId="2" borderId="0" xfId="0" applyFont="1" applyFill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/>
    </xf>
    <xf numFmtId="0" fontId="0" fillId="14" borderId="0" xfId="0" applyFill="1"/>
    <xf numFmtId="0" fontId="6" fillId="15" borderId="0" xfId="0" applyFont="1" applyFill="1" applyAlignment="1">
      <alignment horizontal="left" vertical="center"/>
    </xf>
    <xf numFmtId="0" fontId="6" fillId="15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4" fillId="15" borderId="0" xfId="0" applyFont="1" applyFill="1" applyAlignment="1">
      <alignment horizontal="left" vertical="center"/>
    </xf>
    <xf numFmtId="0" fontId="4" fillId="15" borderId="0" xfId="0" applyFont="1" applyFill="1" applyAlignment="1">
      <alignment vertical="center"/>
    </xf>
    <xf numFmtId="0" fontId="3" fillId="16" borderId="0" xfId="0" applyFont="1" applyFill="1"/>
    <xf numFmtId="0" fontId="19" fillId="3" borderId="0" xfId="0" applyFont="1" applyFill="1" applyAlignment="1">
      <alignment horizontal="left"/>
    </xf>
    <xf numFmtId="0" fontId="20" fillId="4" borderId="0" xfId="0" applyFont="1" applyFill="1"/>
    <xf numFmtId="0" fontId="3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vertical="center"/>
    </xf>
    <xf numFmtId="0" fontId="14" fillId="18" borderId="0" xfId="0" applyFont="1" applyFill="1"/>
    <xf numFmtId="0" fontId="0" fillId="19" borderId="0" xfId="0" applyFill="1"/>
    <xf numFmtId="1" fontId="0" fillId="19" borderId="0" xfId="0" applyNumberFormat="1" applyFill="1"/>
    <xf numFmtId="164" fontId="0" fillId="0" borderId="0" xfId="0" applyNumberFormat="1"/>
    <xf numFmtId="0" fontId="0" fillId="0" borderId="0" xfId="0" pivotButton="1"/>
    <xf numFmtId="0" fontId="22" fillId="20" borderId="9" xfId="0" applyFont="1" applyFill="1" applyBorder="1"/>
    <xf numFmtId="0" fontId="0" fillId="0" borderId="0" xfId="0" applyAlignment="1">
      <alignment horizontal="left"/>
    </xf>
    <xf numFmtId="0" fontId="22" fillId="20" borderId="10" xfId="0" applyFont="1" applyFill="1" applyBorder="1" applyAlignment="1">
      <alignment horizontal="left"/>
    </xf>
    <xf numFmtId="0" fontId="22" fillId="20" borderId="10" xfId="0" applyFont="1" applyFill="1" applyBorder="1"/>
    <xf numFmtId="9" fontId="22" fillId="20" borderId="10" xfId="1" applyFont="1" applyFill="1" applyBorder="1"/>
    <xf numFmtId="9" fontId="22" fillId="21" borderId="10" xfId="1" applyFont="1" applyFill="1" applyBorder="1"/>
    <xf numFmtId="165" fontId="0" fillId="0" borderId="0" xfId="1" applyNumberFormat="1" applyFont="1"/>
    <xf numFmtId="165" fontId="0" fillId="0" borderId="0" xfId="0" applyNumberFormat="1"/>
    <xf numFmtId="0" fontId="22" fillId="20" borderId="0" xfId="0" applyFont="1" applyFill="1"/>
    <xf numFmtId="0" fontId="7" fillId="3" borderId="0" xfId="0" applyFont="1" applyFill="1" applyAlignment="1">
      <alignment horizontal="left" vertical="center" wrapText="1"/>
    </xf>
    <xf numFmtId="0" fontId="17" fillId="17" borderId="0" xfId="0" applyFont="1" applyFill="1" applyAlignment="1">
      <alignment horizontal="center"/>
    </xf>
    <xf numFmtId="0" fontId="13" fillId="4" borderId="5" xfId="0" applyFont="1" applyFill="1" applyBorder="1"/>
    <xf numFmtId="0" fontId="13" fillId="4" borderId="6" xfId="0" applyFont="1" applyFill="1" applyBorder="1"/>
    <xf numFmtId="0" fontId="13" fillId="4" borderId="7" xfId="0" applyFont="1" applyFill="1" applyBorder="1"/>
    <xf numFmtId="0" fontId="0" fillId="0" borderId="0" xfId="0" applyBorder="1"/>
    <xf numFmtId="0" fontId="22" fillId="0" borderId="0" xfId="0" applyFont="1" applyFill="1" applyBorder="1"/>
    <xf numFmtId="9" fontId="22" fillId="0" borderId="0" xfId="1" applyFont="1" applyFill="1" applyBorder="1"/>
    <xf numFmtId="0" fontId="0" fillId="0" borderId="11" xfId="0" applyBorder="1"/>
    <xf numFmtId="0" fontId="0" fillId="0" borderId="0" xfId="0" applyFont="1" applyBorder="1"/>
  </cellXfs>
  <cellStyles count="2">
    <cellStyle name="Normal" xfId="0" builtinId="0"/>
    <cellStyle name="Percent" xfId="1" builtinId="5"/>
  </cellStyles>
  <dxfs count="11"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ill>
        <patternFill>
          <bgColor theme="9" tint="0.39994506668294322"/>
        </patternFill>
      </fill>
    </dxf>
    <dxf>
      <numFmt numFmtId="13" formatCode="0%"/>
    </dxf>
    <dxf>
      <numFmt numFmtId="13" formatCode="0%"/>
    </dxf>
    <dxf>
      <numFmt numFmtId="165" formatCode="0.0%"/>
    </dxf>
    <dxf>
      <numFmt numFmtId="165" formatCode="0.0%"/>
    </dxf>
  </dxfs>
  <tableStyles count="0" defaultTableStyle="TableStyleMedium2" defaultPivotStyle="PivotStyleLight16"/>
  <colors>
    <mruColors>
      <color rgb="FF164F5B"/>
      <color rgb="FFBD3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Комбинация минут + ГБ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 (Рез. опр.)'!$J$13</c:f>
              <c:strCache>
                <c:ptCount val="1"/>
                <c:pt idx="0">
                  <c:v>&lt;35 минут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 (Рез. опр.)'!$K$12:$O$12</c:f>
              <c:strCache>
                <c:ptCount val="5"/>
                <c:pt idx="0">
                  <c:v>&lt;10 Гб</c:v>
                </c:pt>
                <c:pt idx="1">
                  <c:v>10-20 Гб</c:v>
                </c:pt>
                <c:pt idx="2">
                  <c:v>21-30 Гб</c:v>
                </c:pt>
                <c:pt idx="3">
                  <c:v>31-40 Гб</c:v>
                </c:pt>
                <c:pt idx="4">
                  <c:v>40+ Гб</c:v>
                </c:pt>
              </c:strCache>
            </c:strRef>
          </c:cat>
          <c:val>
            <c:numRef>
              <c:f>'Свод (Рез. опр.)'!$K$13:$O$13</c:f>
              <c:numCache>
                <c:formatCode>0.0%</c:formatCode>
                <c:ptCount val="5"/>
                <c:pt idx="0">
                  <c:v>2.7586206896551724E-2</c:v>
                </c:pt>
                <c:pt idx="1">
                  <c:v>8.2758620689655171E-2</c:v>
                </c:pt>
                <c:pt idx="2">
                  <c:v>0.16551724137931034</c:v>
                </c:pt>
                <c:pt idx="3">
                  <c:v>0.22068965517241379</c:v>
                </c:pt>
                <c:pt idx="4">
                  <c:v>5.5172413793103448E-2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0-4277-9D36-8FFE54114049}"/>
            </c:ext>
          </c:extLst>
        </c:ser>
        <c:ser>
          <c:idx val="1"/>
          <c:order val="1"/>
          <c:tx>
            <c:strRef>
              <c:f>'Свод (Рез. опр.)'!$J$14</c:f>
              <c:strCache>
                <c:ptCount val="1"/>
                <c:pt idx="0">
                  <c:v>35-60 минут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'Свод (Рез. опр.)'!$K$12:$O$12</c:f>
              <c:strCache>
                <c:ptCount val="5"/>
                <c:pt idx="0">
                  <c:v>&lt;10 Гб</c:v>
                </c:pt>
                <c:pt idx="1">
                  <c:v>10-20 Гб</c:v>
                </c:pt>
                <c:pt idx="2">
                  <c:v>21-30 Гб</c:v>
                </c:pt>
                <c:pt idx="3">
                  <c:v>31-40 Гб</c:v>
                </c:pt>
                <c:pt idx="4">
                  <c:v>40+ Гб</c:v>
                </c:pt>
              </c:strCache>
            </c:strRef>
          </c:cat>
          <c:val>
            <c:numRef>
              <c:f>'Свод (Рез. опр.)'!$K$14:$O$14</c:f>
              <c:numCache>
                <c:formatCode>0.0%</c:formatCode>
                <c:ptCount val="5"/>
                <c:pt idx="0">
                  <c:v>6.8965517241379309E-3</c:v>
                </c:pt>
                <c:pt idx="1">
                  <c:v>2.0689655172413793E-2</c:v>
                </c:pt>
                <c:pt idx="2">
                  <c:v>2.7586206896551724E-2</c:v>
                </c:pt>
                <c:pt idx="3">
                  <c:v>1.3793103448275862E-2</c:v>
                </c:pt>
                <c:pt idx="4">
                  <c:v>4.1379310344827586E-2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0-4277-9D36-8FFE54114049}"/>
            </c:ext>
          </c:extLst>
        </c:ser>
        <c:ser>
          <c:idx val="2"/>
          <c:order val="2"/>
          <c:tx>
            <c:strRef>
              <c:f>'Свод (Рез. опр.)'!$J$15</c:f>
              <c:strCache>
                <c:ptCount val="1"/>
                <c:pt idx="0">
                  <c:v>61-90 минут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'Свод (Рез. опр.)'!$K$12:$O$12</c:f>
              <c:strCache>
                <c:ptCount val="5"/>
                <c:pt idx="0">
                  <c:v>&lt;10 Гб</c:v>
                </c:pt>
                <c:pt idx="1">
                  <c:v>10-20 Гб</c:v>
                </c:pt>
                <c:pt idx="2">
                  <c:v>21-30 Гб</c:v>
                </c:pt>
                <c:pt idx="3">
                  <c:v>31-40 Гб</c:v>
                </c:pt>
                <c:pt idx="4">
                  <c:v>40+ Гб</c:v>
                </c:pt>
              </c:strCache>
            </c:strRef>
          </c:cat>
          <c:val>
            <c:numRef>
              <c:f>'Свод (Рез. опр.)'!$K$15:$O$15</c:f>
              <c:numCache>
                <c:formatCode>0.0%</c:formatCode>
                <c:ptCount val="5"/>
                <c:pt idx="0">
                  <c:v>1.3793103448275862E-2</c:v>
                </c:pt>
                <c:pt idx="1">
                  <c:v>6.8965517241379309E-3</c:v>
                </c:pt>
                <c:pt idx="2">
                  <c:v>6.2068965517241378E-2</c:v>
                </c:pt>
                <c:pt idx="3">
                  <c:v>3.4482758620689655E-2</c:v>
                </c:pt>
                <c:pt idx="4">
                  <c:v>2.0689655172413793E-2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40-4277-9D36-8FFE54114049}"/>
            </c:ext>
          </c:extLst>
        </c:ser>
        <c:ser>
          <c:idx val="3"/>
          <c:order val="3"/>
          <c:tx>
            <c:strRef>
              <c:f>'Свод (Рез. опр.)'!$J$16</c:f>
              <c:strCache>
                <c:ptCount val="1"/>
                <c:pt idx="0">
                  <c:v>91-120 минут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'Свод (Рез. опр.)'!$K$12:$O$12</c:f>
              <c:strCache>
                <c:ptCount val="5"/>
                <c:pt idx="0">
                  <c:v>&lt;10 Гб</c:v>
                </c:pt>
                <c:pt idx="1">
                  <c:v>10-20 Гб</c:v>
                </c:pt>
                <c:pt idx="2">
                  <c:v>21-30 Гб</c:v>
                </c:pt>
                <c:pt idx="3">
                  <c:v>31-40 Гб</c:v>
                </c:pt>
                <c:pt idx="4">
                  <c:v>40+ Гб</c:v>
                </c:pt>
              </c:strCache>
            </c:strRef>
          </c:cat>
          <c:val>
            <c:numRef>
              <c:f>'Свод (Рез. опр.)'!$K$16:$O$16</c:f>
              <c:numCache>
                <c:formatCode>0.0%</c:formatCode>
                <c:ptCount val="5"/>
                <c:pt idx="0">
                  <c:v>2.7586206896551724E-2</c:v>
                </c:pt>
                <c:pt idx="1">
                  <c:v>2.0689655172413793E-2</c:v>
                </c:pt>
                <c:pt idx="2">
                  <c:v>4.1379310344827586E-2</c:v>
                </c:pt>
                <c:pt idx="3">
                  <c:v>1.3793103448275862E-2</c:v>
                </c:pt>
                <c:pt idx="4">
                  <c:v>2.0689655172413793E-2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40-4277-9D36-8FFE54114049}"/>
            </c:ext>
          </c:extLst>
        </c:ser>
        <c:ser>
          <c:idx val="4"/>
          <c:order val="4"/>
          <c:tx>
            <c:strRef>
              <c:f>'Свод (Рез. опр.)'!$J$17</c:f>
              <c:strCache>
                <c:ptCount val="1"/>
                <c:pt idx="0">
                  <c:v>120+ минут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'Свод (Рез. опр.)'!$K$12:$O$12</c:f>
              <c:strCache>
                <c:ptCount val="5"/>
                <c:pt idx="0">
                  <c:v>&lt;10 Гб</c:v>
                </c:pt>
                <c:pt idx="1">
                  <c:v>10-20 Гб</c:v>
                </c:pt>
                <c:pt idx="2">
                  <c:v>21-30 Гб</c:v>
                </c:pt>
                <c:pt idx="3">
                  <c:v>31-40 Гб</c:v>
                </c:pt>
                <c:pt idx="4">
                  <c:v>40+ Гб</c:v>
                </c:pt>
              </c:strCache>
            </c:strRef>
          </c:cat>
          <c:val>
            <c:numRef>
              <c:f>'Свод (Рез. опр.)'!$K$17:$O$17</c:f>
              <c:numCache>
                <c:formatCode>0.0%</c:formatCode>
                <c:ptCount val="5"/>
                <c:pt idx="0">
                  <c:v>1.3793103448275862E-2</c:v>
                </c:pt>
                <c:pt idx="1">
                  <c:v>0</c:v>
                </c:pt>
                <c:pt idx="2">
                  <c:v>3.4482758620689655E-2</c:v>
                </c:pt>
                <c:pt idx="3">
                  <c:v>1.3793103448275862E-2</c:v>
                </c:pt>
                <c:pt idx="4">
                  <c:v>1.3793103448275862E-2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40-4277-9D36-8FFE54114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469632"/>
        <c:axId val="559466752"/>
      </c:barChart>
      <c:catAx>
        <c:axId val="55946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66752"/>
        <c:crosses val="autoZero"/>
        <c:auto val="1"/>
        <c:lblAlgn val="ctr"/>
        <c:lblOffset val="100"/>
        <c:noMultiLvlLbl val="0"/>
      </c:catAx>
      <c:valAx>
        <c:axId val="55946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6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604836</xdr:colOff>
      <xdr:row>18</xdr:row>
      <xdr:rowOff>166687</xdr:rowOff>
    </xdr:from>
    <xdr:to>
      <xdr:col>15</xdr:col>
      <xdr:colOff>761999</xdr:colOff>
      <xdr:row>35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77381A-8EBA-7E16-4A55-176B8AAD3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Янов Георгий Тимофеевич" refreshedDate="45996.607473148149" createdVersion="8" refreshedVersion="8" minRefreshableVersion="3" recordCount="297" xr:uid="{2A7CC2E0-1AA8-4033-94B0-13B4DC42DF6B}">
  <cacheSource type="worksheet">
    <worksheetSource ref="A2:F299" sheet="Результаты опроса"/>
  </cacheSource>
  <cacheFields count="6">
    <cacheField name="Номер респондента" numFmtId="0">
      <sharedItems containsSemiMixedTypes="0" containsString="0" containsNumber="1" containsInteger="1" minValue="1" maxValue="304" count="29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80"/>
        <n v="81"/>
        <n v="82"/>
        <n v="83"/>
        <n v="84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4"/>
        <n v="105"/>
        <n v="106"/>
        <n v="107"/>
        <n v="108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4"/>
        <n v="165"/>
        <n v="166"/>
        <n v="167"/>
        <n v="168"/>
        <n v="169"/>
        <n v="103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5"/>
        <n v="220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</sharedItems>
    </cacheField>
    <cacheField name="Возраст" numFmtId="0">
      <sharedItems containsSemiMixedTypes="0" containsString="0" containsNumber="1" containsInteger="1" minValue="18" maxValue="25"/>
    </cacheField>
    <cacheField name="Оцените, насколько вы довольны своим мобильным оператором?" numFmtId="0">
      <sharedItems count="5">
        <s v="Полностью удовлетворен"/>
        <s v="Затрудняюсь ответить"/>
        <s v="Скорее удовлетворен"/>
        <s v="Скорее не удовлетворен"/>
        <s v="Абсолютно не удовлетворен"/>
      </sharedItems>
    </cacheField>
    <cacheField name="Сколько минут в неделю вы тратите на звонки?" numFmtId="0">
      <sharedItems count="5">
        <s v="&lt;35"/>
        <s v="91-120"/>
        <s v="61-90"/>
        <s v="35-60"/>
        <s v="120+"/>
      </sharedItems>
    </cacheField>
    <cacheField name="Сколько интернет трафика вы тратите в месяц с вашего мобильного устройства?" numFmtId="0">
      <sharedItems count="5">
        <s v="&lt;10 Гб"/>
        <s v="21-30 Гб"/>
        <s v="40+ Гб"/>
        <s v="31-40 Гб"/>
        <s v="10-20 Гб"/>
      </sharedItems>
    </cacheField>
    <cacheField name="Сколько вы готовы заплатить за оптимальный тариф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Янов Георгий Тимофеевич" refreshedDate="45996.674776273147" createdVersion="8" refreshedVersion="8" minRefreshableVersion="3" recordCount="1436" xr:uid="{7C55A168-DFD5-4CCA-A7D0-742B15C405BC}">
  <cacheSource type="worksheet">
    <worksheetSource ref="A2:F1438" sheet="Сгруппированные данные"/>
  </cacheSource>
  <cacheFields count="6">
    <cacheField name="ID" numFmtId="0">
      <sharedItems containsMixedTypes="1" containsNumber="1" containsInteger="1" minValue="1" maxValue="304"/>
    </cacheField>
    <cacheField name="Возраст" numFmtId="0">
      <sharedItems containsSemiMixedTypes="0" containsString="0" containsNumber="1" containsInteger="1" minValue="18" maxValue="25"/>
    </cacheField>
    <cacheField name="Оцените, насколько вы довольны своим мобильным оператором?" numFmtId="0">
      <sharedItems count="2">
        <s v="Не абонент"/>
        <s v="Абонент"/>
      </sharedItems>
    </cacheField>
    <cacheField name="Сколько минут в неделю вы тратите на звонки?" numFmtId="0">
      <sharedItems count="5">
        <s v="&lt;35"/>
        <s v="91-120"/>
        <s v="61-90"/>
        <s v="35-60"/>
        <s v="120+"/>
      </sharedItems>
    </cacheField>
    <cacheField name="Сколько интернет трафика вы тратите в месяц с вашего мобильного устройства?" numFmtId="0">
      <sharedItems count="7">
        <s v="&lt;10 Гб"/>
        <s v="21-30 Гб"/>
        <s v="40+ Гб"/>
        <s v="31-40 Гб"/>
        <s v="10-20 Гб"/>
        <s v="11-20 Гб" u="1"/>
        <s v="40 Гб+" u="1"/>
      </sharedItems>
    </cacheField>
    <cacheField name="Сколько вы готовы заплатить за оптимальный тариф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">
  <r>
    <x v="0"/>
    <n v="24"/>
    <x v="0"/>
    <x v="0"/>
    <x v="0"/>
    <s v="451-550"/>
  </r>
  <r>
    <x v="1"/>
    <n v="21"/>
    <x v="1"/>
    <x v="0"/>
    <x v="0"/>
    <s v="451-550"/>
  </r>
  <r>
    <x v="2"/>
    <n v="25"/>
    <x v="2"/>
    <x v="0"/>
    <x v="1"/>
    <s v="550+ рублей"/>
  </r>
  <r>
    <x v="3"/>
    <n v="23"/>
    <x v="2"/>
    <x v="0"/>
    <x v="2"/>
    <s v="550+ рублей"/>
  </r>
  <r>
    <x v="4"/>
    <n v="18"/>
    <x v="0"/>
    <x v="0"/>
    <x v="0"/>
    <s v="451-550"/>
  </r>
  <r>
    <x v="5"/>
    <n v="19"/>
    <x v="2"/>
    <x v="0"/>
    <x v="2"/>
    <s v="до 250 рублей"/>
  </r>
  <r>
    <x v="6"/>
    <n v="21"/>
    <x v="3"/>
    <x v="0"/>
    <x v="1"/>
    <s v="451-550"/>
  </r>
  <r>
    <x v="7"/>
    <n v="24"/>
    <x v="2"/>
    <x v="0"/>
    <x v="3"/>
    <s v="250-350"/>
  </r>
  <r>
    <x v="8"/>
    <n v="21"/>
    <x v="3"/>
    <x v="0"/>
    <x v="4"/>
    <s v="250-350"/>
  </r>
  <r>
    <x v="9"/>
    <n v="22"/>
    <x v="1"/>
    <x v="0"/>
    <x v="4"/>
    <s v="250-350"/>
  </r>
  <r>
    <x v="10"/>
    <n v="18"/>
    <x v="1"/>
    <x v="1"/>
    <x v="1"/>
    <s v="550+ рублей"/>
  </r>
  <r>
    <x v="11"/>
    <n v="18"/>
    <x v="1"/>
    <x v="2"/>
    <x v="1"/>
    <s v="до 250 рублей"/>
  </r>
  <r>
    <x v="12"/>
    <n v="25"/>
    <x v="1"/>
    <x v="0"/>
    <x v="0"/>
    <s v="550+ рублей"/>
  </r>
  <r>
    <x v="13"/>
    <n v="21"/>
    <x v="2"/>
    <x v="0"/>
    <x v="2"/>
    <s v="250-350"/>
  </r>
  <r>
    <x v="14"/>
    <n v="20"/>
    <x v="1"/>
    <x v="0"/>
    <x v="3"/>
    <s v="до 250 рублей"/>
  </r>
  <r>
    <x v="15"/>
    <n v="21"/>
    <x v="2"/>
    <x v="0"/>
    <x v="1"/>
    <s v="250-350"/>
  </r>
  <r>
    <x v="16"/>
    <n v="24"/>
    <x v="3"/>
    <x v="0"/>
    <x v="1"/>
    <s v="451-550"/>
  </r>
  <r>
    <x v="17"/>
    <n v="22"/>
    <x v="1"/>
    <x v="0"/>
    <x v="3"/>
    <s v="451-550"/>
  </r>
  <r>
    <x v="18"/>
    <n v="25"/>
    <x v="1"/>
    <x v="1"/>
    <x v="2"/>
    <s v="250-350"/>
  </r>
  <r>
    <x v="19"/>
    <n v="23"/>
    <x v="1"/>
    <x v="0"/>
    <x v="1"/>
    <s v="451-550"/>
  </r>
  <r>
    <x v="20"/>
    <n v="20"/>
    <x v="2"/>
    <x v="0"/>
    <x v="2"/>
    <s v="550+ рублей"/>
  </r>
  <r>
    <x v="21"/>
    <n v="19"/>
    <x v="2"/>
    <x v="0"/>
    <x v="1"/>
    <s v="250-350"/>
  </r>
  <r>
    <x v="22"/>
    <n v="18"/>
    <x v="2"/>
    <x v="3"/>
    <x v="2"/>
    <s v="351-450"/>
  </r>
  <r>
    <x v="23"/>
    <n v="23"/>
    <x v="2"/>
    <x v="4"/>
    <x v="1"/>
    <s v="250-350"/>
  </r>
  <r>
    <x v="24"/>
    <n v="18"/>
    <x v="2"/>
    <x v="2"/>
    <x v="0"/>
    <s v="451-550"/>
  </r>
  <r>
    <x v="25"/>
    <n v="20"/>
    <x v="1"/>
    <x v="0"/>
    <x v="3"/>
    <s v="250-350"/>
  </r>
  <r>
    <x v="26"/>
    <n v="18"/>
    <x v="0"/>
    <x v="0"/>
    <x v="3"/>
    <s v="351-450"/>
  </r>
  <r>
    <x v="27"/>
    <n v="18"/>
    <x v="3"/>
    <x v="0"/>
    <x v="4"/>
    <s v="451-550"/>
  </r>
  <r>
    <x v="28"/>
    <n v="24"/>
    <x v="2"/>
    <x v="4"/>
    <x v="1"/>
    <s v="250-350"/>
  </r>
  <r>
    <x v="29"/>
    <n v="19"/>
    <x v="1"/>
    <x v="4"/>
    <x v="1"/>
    <s v="до 250 рублей"/>
  </r>
  <r>
    <x v="30"/>
    <n v="25"/>
    <x v="3"/>
    <x v="1"/>
    <x v="1"/>
    <s v="351-450"/>
  </r>
  <r>
    <x v="31"/>
    <n v="18"/>
    <x v="2"/>
    <x v="0"/>
    <x v="3"/>
    <s v="250-350"/>
  </r>
  <r>
    <x v="32"/>
    <n v="21"/>
    <x v="2"/>
    <x v="1"/>
    <x v="1"/>
    <s v="250-350"/>
  </r>
  <r>
    <x v="33"/>
    <n v="18"/>
    <x v="1"/>
    <x v="0"/>
    <x v="3"/>
    <s v="250-350"/>
  </r>
  <r>
    <x v="34"/>
    <n v="21"/>
    <x v="2"/>
    <x v="0"/>
    <x v="3"/>
    <s v="250-350"/>
  </r>
  <r>
    <x v="35"/>
    <n v="21"/>
    <x v="2"/>
    <x v="3"/>
    <x v="1"/>
    <s v="до 250 рублей"/>
  </r>
  <r>
    <x v="36"/>
    <n v="18"/>
    <x v="1"/>
    <x v="2"/>
    <x v="1"/>
    <s v="до 250 рублей"/>
  </r>
  <r>
    <x v="37"/>
    <n v="21"/>
    <x v="4"/>
    <x v="0"/>
    <x v="2"/>
    <s v="до 250 рублей"/>
  </r>
  <r>
    <x v="38"/>
    <n v="19"/>
    <x v="3"/>
    <x v="0"/>
    <x v="1"/>
    <s v="до 250 рублей"/>
  </r>
  <r>
    <x v="39"/>
    <n v="19"/>
    <x v="0"/>
    <x v="4"/>
    <x v="2"/>
    <s v="250-350"/>
  </r>
  <r>
    <x v="40"/>
    <n v="19"/>
    <x v="2"/>
    <x v="0"/>
    <x v="3"/>
    <s v="351-450"/>
  </r>
  <r>
    <x v="41"/>
    <n v="25"/>
    <x v="1"/>
    <x v="0"/>
    <x v="3"/>
    <s v="250-350"/>
  </r>
  <r>
    <x v="42"/>
    <n v="19"/>
    <x v="1"/>
    <x v="1"/>
    <x v="4"/>
    <s v="до 250 рублей"/>
  </r>
  <r>
    <x v="43"/>
    <n v="19"/>
    <x v="3"/>
    <x v="0"/>
    <x v="1"/>
    <s v="351-450"/>
  </r>
  <r>
    <x v="44"/>
    <n v="23"/>
    <x v="2"/>
    <x v="4"/>
    <x v="3"/>
    <s v="351-450"/>
  </r>
  <r>
    <x v="45"/>
    <n v="24"/>
    <x v="1"/>
    <x v="2"/>
    <x v="1"/>
    <s v="351-450"/>
  </r>
  <r>
    <x v="46"/>
    <n v="22"/>
    <x v="3"/>
    <x v="0"/>
    <x v="3"/>
    <s v="до 250 рублей"/>
  </r>
  <r>
    <x v="47"/>
    <n v="25"/>
    <x v="3"/>
    <x v="0"/>
    <x v="3"/>
    <s v="451-550"/>
  </r>
  <r>
    <x v="48"/>
    <n v="22"/>
    <x v="1"/>
    <x v="2"/>
    <x v="1"/>
    <s v="до 250 рублей"/>
  </r>
  <r>
    <x v="49"/>
    <n v="25"/>
    <x v="0"/>
    <x v="0"/>
    <x v="4"/>
    <s v="до 250 рублей"/>
  </r>
  <r>
    <x v="50"/>
    <n v="20"/>
    <x v="4"/>
    <x v="0"/>
    <x v="1"/>
    <s v="351-450"/>
  </r>
  <r>
    <x v="51"/>
    <n v="25"/>
    <x v="4"/>
    <x v="0"/>
    <x v="4"/>
    <s v="451-550"/>
  </r>
  <r>
    <x v="52"/>
    <n v="24"/>
    <x v="3"/>
    <x v="3"/>
    <x v="3"/>
    <s v="до 250 рублей"/>
  </r>
  <r>
    <x v="53"/>
    <n v="22"/>
    <x v="2"/>
    <x v="3"/>
    <x v="2"/>
    <s v="250-350"/>
  </r>
  <r>
    <x v="54"/>
    <n v="21"/>
    <x v="1"/>
    <x v="0"/>
    <x v="3"/>
    <s v="250-350"/>
  </r>
  <r>
    <x v="55"/>
    <n v="21"/>
    <x v="1"/>
    <x v="1"/>
    <x v="2"/>
    <s v="351-450"/>
  </r>
  <r>
    <x v="56"/>
    <n v="18"/>
    <x v="2"/>
    <x v="0"/>
    <x v="0"/>
    <s v="до 250 рублей"/>
  </r>
  <r>
    <x v="57"/>
    <n v="21"/>
    <x v="2"/>
    <x v="0"/>
    <x v="3"/>
    <s v="250-350"/>
  </r>
  <r>
    <x v="58"/>
    <n v="25"/>
    <x v="2"/>
    <x v="0"/>
    <x v="3"/>
    <s v="451-550"/>
  </r>
  <r>
    <x v="59"/>
    <n v="23"/>
    <x v="0"/>
    <x v="0"/>
    <x v="2"/>
    <s v="550+ рублей"/>
  </r>
  <r>
    <x v="60"/>
    <n v="24"/>
    <x v="2"/>
    <x v="0"/>
    <x v="3"/>
    <s v="451-550"/>
  </r>
  <r>
    <x v="61"/>
    <n v="21"/>
    <x v="2"/>
    <x v="0"/>
    <x v="0"/>
    <s v="до 250 рублей"/>
  </r>
  <r>
    <x v="62"/>
    <n v="23"/>
    <x v="2"/>
    <x v="0"/>
    <x v="3"/>
    <s v="250-350"/>
  </r>
  <r>
    <x v="63"/>
    <n v="25"/>
    <x v="1"/>
    <x v="0"/>
    <x v="1"/>
    <s v="до 250 рублей"/>
  </r>
  <r>
    <x v="64"/>
    <n v="19"/>
    <x v="2"/>
    <x v="4"/>
    <x v="0"/>
    <s v="451-550"/>
  </r>
  <r>
    <x v="65"/>
    <n v="21"/>
    <x v="2"/>
    <x v="0"/>
    <x v="3"/>
    <s v="550+ рублей"/>
  </r>
  <r>
    <x v="66"/>
    <n v="18"/>
    <x v="2"/>
    <x v="4"/>
    <x v="4"/>
    <s v="до 250 рублей"/>
  </r>
  <r>
    <x v="67"/>
    <n v="21"/>
    <x v="0"/>
    <x v="0"/>
    <x v="3"/>
    <s v="250-350"/>
  </r>
  <r>
    <x v="68"/>
    <n v="18"/>
    <x v="0"/>
    <x v="3"/>
    <x v="0"/>
    <s v="до 250 рублей"/>
  </r>
  <r>
    <x v="69"/>
    <n v="20"/>
    <x v="1"/>
    <x v="0"/>
    <x v="1"/>
    <s v="до 250 рублей"/>
  </r>
  <r>
    <x v="70"/>
    <n v="19"/>
    <x v="4"/>
    <x v="3"/>
    <x v="2"/>
    <s v="до 250 рублей"/>
  </r>
  <r>
    <x v="71"/>
    <n v="22"/>
    <x v="1"/>
    <x v="0"/>
    <x v="3"/>
    <s v="250-350"/>
  </r>
  <r>
    <x v="72"/>
    <n v="22"/>
    <x v="2"/>
    <x v="0"/>
    <x v="3"/>
    <s v="250-350"/>
  </r>
  <r>
    <x v="73"/>
    <n v="21"/>
    <x v="2"/>
    <x v="4"/>
    <x v="1"/>
    <s v="550+ рублей"/>
  </r>
  <r>
    <x v="74"/>
    <n v="23"/>
    <x v="1"/>
    <x v="0"/>
    <x v="1"/>
    <s v="до 250 рублей"/>
  </r>
  <r>
    <x v="75"/>
    <n v="18"/>
    <x v="1"/>
    <x v="0"/>
    <x v="2"/>
    <s v="250-350"/>
  </r>
  <r>
    <x v="76"/>
    <n v="19"/>
    <x v="2"/>
    <x v="0"/>
    <x v="3"/>
    <s v="250-350"/>
  </r>
  <r>
    <x v="77"/>
    <n v="19"/>
    <x v="1"/>
    <x v="2"/>
    <x v="1"/>
    <s v="351-450"/>
  </r>
  <r>
    <x v="78"/>
    <n v="25"/>
    <x v="2"/>
    <x v="1"/>
    <x v="2"/>
    <s v="550+ рублей"/>
  </r>
  <r>
    <x v="79"/>
    <n v="21"/>
    <x v="1"/>
    <x v="4"/>
    <x v="1"/>
    <s v="250-350"/>
  </r>
  <r>
    <x v="80"/>
    <n v="21"/>
    <x v="1"/>
    <x v="3"/>
    <x v="1"/>
    <s v="до 250 рублей"/>
  </r>
  <r>
    <x v="81"/>
    <n v="21"/>
    <x v="2"/>
    <x v="0"/>
    <x v="2"/>
    <s v="550+ рублей"/>
  </r>
  <r>
    <x v="82"/>
    <n v="24"/>
    <x v="0"/>
    <x v="0"/>
    <x v="1"/>
    <s v="550+ рублей"/>
  </r>
  <r>
    <x v="83"/>
    <n v="22"/>
    <x v="3"/>
    <x v="0"/>
    <x v="1"/>
    <s v="351-450"/>
  </r>
  <r>
    <x v="84"/>
    <n v="19"/>
    <x v="1"/>
    <x v="0"/>
    <x v="2"/>
    <s v="550+ рублей"/>
  </r>
  <r>
    <x v="85"/>
    <n v="21"/>
    <x v="2"/>
    <x v="4"/>
    <x v="1"/>
    <s v="250-350"/>
  </r>
  <r>
    <x v="86"/>
    <n v="24"/>
    <x v="2"/>
    <x v="2"/>
    <x v="3"/>
    <s v="550+ рублей"/>
  </r>
  <r>
    <x v="87"/>
    <n v="21"/>
    <x v="3"/>
    <x v="0"/>
    <x v="2"/>
    <s v="550+ рублей"/>
  </r>
  <r>
    <x v="88"/>
    <n v="18"/>
    <x v="2"/>
    <x v="0"/>
    <x v="1"/>
    <s v="250-350"/>
  </r>
  <r>
    <x v="89"/>
    <n v="23"/>
    <x v="4"/>
    <x v="3"/>
    <x v="4"/>
    <s v="250-350"/>
  </r>
  <r>
    <x v="90"/>
    <n v="22"/>
    <x v="2"/>
    <x v="0"/>
    <x v="4"/>
    <s v="250-350"/>
  </r>
  <r>
    <x v="91"/>
    <n v="21"/>
    <x v="2"/>
    <x v="0"/>
    <x v="4"/>
    <s v="451-550"/>
  </r>
  <r>
    <x v="92"/>
    <n v="19"/>
    <x v="2"/>
    <x v="0"/>
    <x v="0"/>
    <s v="250-350"/>
  </r>
  <r>
    <x v="93"/>
    <n v="19"/>
    <x v="1"/>
    <x v="0"/>
    <x v="1"/>
    <s v="351-450"/>
  </r>
  <r>
    <x v="94"/>
    <n v="19"/>
    <x v="2"/>
    <x v="0"/>
    <x v="3"/>
    <s v="451-550"/>
  </r>
  <r>
    <x v="95"/>
    <n v="25"/>
    <x v="1"/>
    <x v="0"/>
    <x v="1"/>
    <s v="351-450"/>
  </r>
  <r>
    <x v="96"/>
    <n v="23"/>
    <x v="0"/>
    <x v="0"/>
    <x v="3"/>
    <s v="550+ рублей"/>
  </r>
  <r>
    <x v="97"/>
    <n v="22"/>
    <x v="2"/>
    <x v="4"/>
    <x v="1"/>
    <s v="250-350"/>
  </r>
  <r>
    <x v="98"/>
    <n v="18"/>
    <x v="3"/>
    <x v="1"/>
    <x v="4"/>
    <s v="250-350"/>
  </r>
  <r>
    <x v="99"/>
    <n v="23"/>
    <x v="2"/>
    <x v="0"/>
    <x v="2"/>
    <s v="до 250 рублей"/>
  </r>
  <r>
    <x v="100"/>
    <n v="21"/>
    <x v="4"/>
    <x v="0"/>
    <x v="1"/>
    <s v="250-350"/>
  </r>
  <r>
    <x v="101"/>
    <n v="22"/>
    <x v="3"/>
    <x v="0"/>
    <x v="1"/>
    <s v="250-350"/>
  </r>
  <r>
    <x v="102"/>
    <n v="19"/>
    <x v="2"/>
    <x v="0"/>
    <x v="3"/>
    <s v="351-450"/>
  </r>
  <r>
    <x v="103"/>
    <n v="19"/>
    <x v="2"/>
    <x v="4"/>
    <x v="3"/>
    <s v="до 250 рублей"/>
  </r>
  <r>
    <x v="104"/>
    <n v="24"/>
    <x v="1"/>
    <x v="2"/>
    <x v="2"/>
    <s v="250-350"/>
  </r>
  <r>
    <x v="105"/>
    <n v="23"/>
    <x v="2"/>
    <x v="3"/>
    <x v="1"/>
    <s v="до 250 рублей"/>
  </r>
  <r>
    <x v="106"/>
    <n v="24"/>
    <x v="1"/>
    <x v="0"/>
    <x v="1"/>
    <s v="до 250 рублей"/>
  </r>
  <r>
    <x v="107"/>
    <n v="22"/>
    <x v="0"/>
    <x v="0"/>
    <x v="1"/>
    <s v="до 250 рублей"/>
  </r>
  <r>
    <x v="108"/>
    <n v="25"/>
    <x v="2"/>
    <x v="1"/>
    <x v="4"/>
    <s v="до 250 рублей"/>
  </r>
  <r>
    <x v="109"/>
    <n v="25"/>
    <x v="2"/>
    <x v="3"/>
    <x v="2"/>
    <s v="250-350"/>
  </r>
  <r>
    <x v="110"/>
    <n v="21"/>
    <x v="2"/>
    <x v="0"/>
    <x v="1"/>
    <s v="550+ рублей"/>
  </r>
  <r>
    <x v="111"/>
    <n v="21"/>
    <x v="1"/>
    <x v="0"/>
    <x v="1"/>
    <s v="550+ рублей"/>
  </r>
  <r>
    <x v="112"/>
    <n v="20"/>
    <x v="2"/>
    <x v="3"/>
    <x v="1"/>
    <s v="250-350"/>
  </r>
  <r>
    <x v="113"/>
    <n v="24"/>
    <x v="3"/>
    <x v="2"/>
    <x v="3"/>
    <s v="351-450"/>
  </r>
  <r>
    <x v="114"/>
    <n v="22"/>
    <x v="2"/>
    <x v="0"/>
    <x v="4"/>
    <s v="до 250 рублей"/>
  </r>
  <r>
    <x v="115"/>
    <n v="18"/>
    <x v="4"/>
    <x v="0"/>
    <x v="1"/>
    <s v="до 250 рублей"/>
  </r>
  <r>
    <x v="116"/>
    <n v="21"/>
    <x v="3"/>
    <x v="2"/>
    <x v="3"/>
    <s v="451-550"/>
  </r>
  <r>
    <x v="117"/>
    <n v="20"/>
    <x v="1"/>
    <x v="2"/>
    <x v="2"/>
    <s v="451-550"/>
  </r>
  <r>
    <x v="118"/>
    <n v="19"/>
    <x v="2"/>
    <x v="4"/>
    <x v="1"/>
    <s v="451-550"/>
  </r>
  <r>
    <x v="119"/>
    <n v="19"/>
    <x v="0"/>
    <x v="3"/>
    <x v="2"/>
    <s v="250-350"/>
  </r>
  <r>
    <x v="120"/>
    <n v="18"/>
    <x v="3"/>
    <x v="4"/>
    <x v="1"/>
    <s v="351-450"/>
  </r>
  <r>
    <x v="121"/>
    <n v="18"/>
    <x v="2"/>
    <x v="4"/>
    <x v="3"/>
    <s v="351-450"/>
  </r>
  <r>
    <x v="122"/>
    <n v="20"/>
    <x v="1"/>
    <x v="0"/>
    <x v="1"/>
    <s v="250-350"/>
  </r>
  <r>
    <x v="123"/>
    <n v="22"/>
    <x v="1"/>
    <x v="0"/>
    <x v="3"/>
    <s v="до 250 рублей"/>
  </r>
  <r>
    <x v="124"/>
    <n v="21"/>
    <x v="2"/>
    <x v="0"/>
    <x v="2"/>
    <s v="351-450"/>
  </r>
  <r>
    <x v="125"/>
    <n v="21"/>
    <x v="2"/>
    <x v="2"/>
    <x v="3"/>
    <s v="до 250 рублей"/>
  </r>
  <r>
    <x v="126"/>
    <n v="24"/>
    <x v="3"/>
    <x v="3"/>
    <x v="1"/>
    <s v="до 250 рублей"/>
  </r>
  <r>
    <x v="127"/>
    <n v="21"/>
    <x v="1"/>
    <x v="2"/>
    <x v="0"/>
    <s v="до 250 рублей"/>
  </r>
  <r>
    <x v="128"/>
    <n v="23"/>
    <x v="1"/>
    <x v="4"/>
    <x v="0"/>
    <s v="351-450"/>
  </r>
  <r>
    <x v="129"/>
    <n v="19"/>
    <x v="3"/>
    <x v="2"/>
    <x v="3"/>
    <s v="250-350"/>
  </r>
  <r>
    <x v="130"/>
    <n v="25"/>
    <x v="1"/>
    <x v="3"/>
    <x v="3"/>
    <s v="до 250 рублей"/>
  </r>
  <r>
    <x v="131"/>
    <n v="19"/>
    <x v="2"/>
    <x v="0"/>
    <x v="2"/>
    <s v="до 250 рублей"/>
  </r>
  <r>
    <x v="132"/>
    <n v="22"/>
    <x v="2"/>
    <x v="4"/>
    <x v="4"/>
    <s v="до 250 рублей"/>
  </r>
  <r>
    <x v="133"/>
    <n v="25"/>
    <x v="3"/>
    <x v="4"/>
    <x v="1"/>
    <s v="550+ рублей"/>
  </r>
  <r>
    <x v="134"/>
    <n v="22"/>
    <x v="0"/>
    <x v="0"/>
    <x v="3"/>
    <s v="до 250 рублей"/>
  </r>
  <r>
    <x v="135"/>
    <n v="25"/>
    <x v="2"/>
    <x v="0"/>
    <x v="4"/>
    <s v="250-350"/>
  </r>
  <r>
    <x v="136"/>
    <n v="19"/>
    <x v="3"/>
    <x v="1"/>
    <x v="0"/>
    <s v="250-350"/>
  </r>
  <r>
    <x v="137"/>
    <n v="21"/>
    <x v="0"/>
    <x v="2"/>
    <x v="3"/>
    <s v="250-350"/>
  </r>
  <r>
    <x v="138"/>
    <n v="19"/>
    <x v="2"/>
    <x v="0"/>
    <x v="1"/>
    <s v="до 250 рублей"/>
  </r>
  <r>
    <x v="139"/>
    <n v="23"/>
    <x v="1"/>
    <x v="0"/>
    <x v="3"/>
    <s v="351-450"/>
  </r>
  <r>
    <x v="140"/>
    <n v="22"/>
    <x v="2"/>
    <x v="0"/>
    <x v="3"/>
    <s v="250-350"/>
  </r>
  <r>
    <x v="141"/>
    <n v="22"/>
    <x v="2"/>
    <x v="0"/>
    <x v="2"/>
    <s v="351-450"/>
  </r>
  <r>
    <x v="142"/>
    <n v="21"/>
    <x v="2"/>
    <x v="0"/>
    <x v="3"/>
    <s v="до 250 рублей"/>
  </r>
  <r>
    <x v="143"/>
    <n v="24"/>
    <x v="1"/>
    <x v="0"/>
    <x v="4"/>
    <s v="до 250 рублей"/>
  </r>
  <r>
    <x v="144"/>
    <n v="19"/>
    <x v="1"/>
    <x v="4"/>
    <x v="0"/>
    <s v="351-450"/>
  </r>
  <r>
    <x v="145"/>
    <n v="23"/>
    <x v="2"/>
    <x v="0"/>
    <x v="3"/>
    <s v="250-350"/>
  </r>
  <r>
    <x v="146"/>
    <n v="21"/>
    <x v="2"/>
    <x v="0"/>
    <x v="2"/>
    <s v="до 250 рублей"/>
  </r>
  <r>
    <x v="147"/>
    <n v="20"/>
    <x v="3"/>
    <x v="1"/>
    <x v="1"/>
    <s v="до 250 рублей"/>
  </r>
  <r>
    <x v="148"/>
    <n v="18"/>
    <x v="2"/>
    <x v="2"/>
    <x v="1"/>
    <s v="до 250 рублей"/>
  </r>
  <r>
    <x v="149"/>
    <n v="21"/>
    <x v="2"/>
    <x v="0"/>
    <x v="1"/>
    <s v="250-350"/>
  </r>
  <r>
    <x v="150"/>
    <n v="25"/>
    <x v="1"/>
    <x v="4"/>
    <x v="2"/>
    <s v="351-450"/>
  </r>
  <r>
    <x v="151"/>
    <n v="21"/>
    <x v="1"/>
    <x v="0"/>
    <x v="0"/>
    <s v="250-350"/>
  </r>
  <r>
    <x v="152"/>
    <n v="19"/>
    <x v="3"/>
    <x v="2"/>
    <x v="3"/>
    <s v="351-450"/>
  </r>
  <r>
    <x v="153"/>
    <n v="20"/>
    <x v="3"/>
    <x v="0"/>
    <x v="1"/>
    <s v="451-550"/>
  </r>
  <r>
    <x v="154"/>
    <n v="21"/>
    <x v="2"/>
    <x v="0"/>
    <x v="3"/>
    <s v="250-350"/>
  </r>
  <r>
    <x v="155"/>
    <n v="19"/>
    <x v="3"/>
    <x v="0"/>
    <x v="4"/>
    <s v="250-350"/>
  </r>
  <r>
    <x v="156"/>
    <n v="25"/>
    <x v="3"/>
    <x v="0"/>
    <x v="3"/>
    <s v="до 250 рублей"/>
  </r>
  <r>
    <x v="157"/>
    <n v="21"/>
    <x v="2"/>
    <x v="2"/>
    <x v="2"/>
    <s v="до 250 рублей"/>
  </r>
  <r>
    <x v="158"/>
    <n v="25"/>
    <x v="2"/>
    <x v="1"/>
    <x v="3"/>
    <s v="351-450"/>
  </r>
  <r>
    <x v="159"/>
    <n v="21"/>
    <x v="2"/>
    <x v="0"/>
    <x v="1"/>
    <s v="250-350"/>
  </r>
  <r>
    <x v="160"/>
    <n v="25"/>
    <x v="0"/>
    <x v="0"/>
    <x v="3"/>
    <s v="351-450"/>
  </r>
  <r>
    <x v="161"/>
    <n v="25"/>
    <x v="2"/>
    <x v="2"/>
    <x v="1"/>
    <s v="250-350"/>
  </r>
  <r>
    <x v="162"/>
    <n v="22"/>
    <x v="2"/>
    <x v="3"/>
    <x v="1"/>
    <s v="250-350"/>
  </r>
  <r>
    <x v="163"/>
    <n v="21"/>
    <x v="3"/>
    <x v="1"/>
    <x v="4"/>
    <s v="250-350"/>
  </r>
  <r>
    <x v="164"/>
    <n v="19"/>
    <x v="1"/>
    <x v="0"/>
    <x v="1"/>
    <s v="351-450"/>
  </r>
  <r>
    <x v="165"/>
    <n v="19"/>
    <x v="1"/>
    <x v="0"/>
    <x v="3"/>
    <s v="351-450"/>
  </r>
  <r>
    <x v="166"/>
    <n v="25"/>
    <x v="2"/>
    <x v="2"/>
    <x v="1"/>
    <s v="до 250 рублей"/>
  </r>
  <r>
    <x v="167"/>
    <n v="18"/>
    <x v="4"/>
    <x v="0"/>
    <x v="3"/>
    <s v="351-450"/>
  </r>
  <r>
    <x v="168"/>
    <n v="25"/>
    <x v="2"/>
    <x v="0"/>
    <x v="1"/>
    <s v="550+ рублей"/>
  </r>
  <r>
    <x v="169"/>
    <n v="25"/>
    <x v="3"/>
    <x v="2"/>
    <x v="1"/>
    <s v="250-350"/>
  </r>
  <r>
    <x v="170"/>
    <n v="22"/>
    <x v="0"/>
    <x v="3"/>
    <x v="1"/>
    <s v="до 250 рублей"/>
  </r>
  <r>
    <x v="171"/>
    <n v="21"/>
    <x v="1"/>
    <x v="4"/>
    <x v="3"/>
    <s v="до 250 рублей"/>
  </r>
  <r>
    <x v="172"/>
    <n v="21"/>
    <x v="1"/>
    <x v="0"/>
    <x v="3"/>
    <s v="250-350"/>
  </r>
  <r>
    <x v="173"/>
    <n v="22"/>
    <x v="2"/>
    <x v="0"/>
    <x v="4"/>
    <s v="250-350"/>
  </r>
  <r>
    <x v="174"/>
    <n v="21"/>
    <x v="1"/>
    <x v="0"/>
    <x v="3"/>
    <s v="250-350"/>
  </r>
  <r>
    <x v="175"/>
    <n v="25"/>
    <x v="1"/>
    <x v="0"/>
    <x v="0"/>
    <s v="250-350"/>
  </r>
  <r>
    <x v="176"/>
    <n v="21"/>
    <x v="3"/>
    <x v="3"/>
    <x v="0"/>
    <s v="550+ рублей"/>
  </r>
  <r>
    <x v="177"/>
    <n v="25"/>
    <x v="1"/>
    <x v="3"/>
    <x v="2"/>
    <s v="351-450"/>
  </r>
  <r>
    <x v="178"/>
    <n v="21"/>
    <x v="1"/>
    <x v="3"/>
    <x v="2"/>
    <s v="250-350"/>
  </r>
  <r>
    <x v="179"/>
    <n v="23"/>
    <x v="1"/>
    <x v="0"/>
    <x v="1"/>
    <s v="451-550"/>
  </r>
  <r>
    <x v="180"/>
    <n v="24"/>
    <x v="2"/>
    <x v="0"/>
    <x v="3"/>
    <s v="351-450"/>
  </r>
  <r>
    <x v="181"/>
    <n v="22"/>
    <x v="0"/>
    <x v="0"/>
    <x v="3"/>
    <s v="250-350"/>
  </r>
  <r>
    <x v="182"/>
    <n v="20"/>
    <x v="2"/>
    <x v="0"/>
    <x v="1"/>
    <s v="250-350"/>
  </r>
  <r>
    <x v="183"/>
    <n v="18"/>
    <x v="2"/>
    <x v="0"/>
    <x v="1"/>
    <s v="до 250 рублей"/>
  </r>
  <r>
    <x v="184"/>
    <n v="20"/>
    <x v="2"/>
    <x v="0"/>
    <x v="1"/>
    <s v="до 250 рублей"/>
  </r>
  <r>
    <x v="185"/>
    <n v="22"/>
    <x v="3"/>
    <x v="0"/>
    <x v="4"/>
    <s v="до 250 рублей"/>
  </r>
  <r>
    <x v="186"/>
    <n v="20"/>
    <x v="0"/>
    <x v="2"/>
    <x v="3"/>
    <s v="451-550"/>
  </r>
  <r>
    <x v="187"/>
    <n v="18"/>
    <x v="3"/>
    <x v="0"/>
    <x v="3"/>
    <s v="250-350"/>
  </r>
  <r>
    <x v="188"/>
    <n v="18"/>
    <x v="1"/>
    <x v="1"/>
    <x v="3"/>
    <s v="до 250 рублей"/>
  </r>
  <r>
    <x v="189"/>
    <n v="19"/>
    <x v="0"/>
    <x v="4"/>
    <x v="4"/>
    <s v="351-450"/>
  </r>
  <r>
    <x v="190"/>
    <n v="20"/>
    <x v="3"/>
    <x v="2"/>
    <x v="1"/>
    <s v="351-450"/>
  </r>
  <r>
    <x v="191"/>
    <n v="24"/>
    <x v="2"/>
    <x v="0"/>
    <x v="1"/>
    <s v="250-350"/>
  </r>
  <r>
    <x v="192"/>
    <n v="21"/>
    <x v="0"/>
    <x v="2"/>
    <x v="3"/>
    <s v="351-450"/>
  </r>
  <r>
    <x v="193"/>
    <n v="24"/>
    <x v="1"/>
    <x v="0"/>
    <x v="3"/>
    <s v="250-350"/>
  </r>
  <r>
    <x v="194"/>
    <n v="21"/>
    <x v="1"/>
    <x v="3"/>
    <x v="4"/>
    <s v="550+ рублей"/>
  </r>
  <r>
    <x v="195"/>
    <n v="25"/>
    <x v="0"/>
    <x v="4"/>
    <x v="2"/>
    <s v="250-350"/>
  </r>
  <r>
    <x v="196"/>
    <n v="25"/>
    <x v="0"/>
    <x v="2"/>
    <x v="1"/>
    <s v="351-450"/>
  </r>
  <r>
    <x v="197"/>
    <n v="21"/>
    <x v="3"/>
    <x v="0"/>
    <x v="2"/>
    <s v="351-450"/>
  </r>
  <r>
    <x v="198"/>
    <n v="24"/>
    <x v="2"/>
    <x v="0"/>
    <x v="0"/>
    <s v="250-350"/>
  </r>
  <r>
    <x v="199"/>
    <n v="18"/>
    <x v="1"/>
    <x v="0"/>
    <x v="3"/>
    <s v="451-550"/>
  </r>
  <r>
    <x v="200"/>
    <n v="20"/>
    <x v="2"/>
    <x v="0"/>
    <x v="3"/>
    <s v="250-350"/>
  </r>
  <r>
    <x v="201"/>
    <n v="25"/>
    <x v="1"/>
    <x v="1"/>
    <x v="0"/>
    <s v="451-550"/>
  </r>
  <r>
    <x v="202"/>
    <n v="20"/>
    <x v="3"/>
    <x v="1"/>
    <x v="0"/>
    <s v="451-550"/>
  </r>
  <r>
    <x v="203"/>
    <n v="21"/>
    <x v="2"/>
    <x v="2"/>
    <x v="1"/>
    <s v="550+ рублей"/>
  </r>
  <r>
    <x v="204"/>
    <n v="23"/>
    <x v="2"/>
    <x v="4"/>
    <x v="1"/>
    <s v="до 250 рублей"/>
  </r>
  <r>
    <x v="205"/>
    <n v="24"/>
    <x v="2"/>
    <x v="0"/>
    <x v="3"/>
    <s v="до 250 рублей"/>
  </r>
  <r>
    <x v="206"/>
    <n v="24"/>
    <x v="1"/>
    <x v="0"/>
    <x v="4"/>
    <s v="250-350"/>
  </r>
  <r>
    <x v="207"/>
    <n v="20"/>
    <x v="1"/>
    <x v="0"/>
    <x v="1"/>
    <s v="351-450"/>
  </r>
  <r>
    <x v="208"/>
    <n v="21"/>
    <x v="2"/>
    <x v="0"/>
    <x v="3"/>
    <s v="до 250 рублей"/>
  </r>
  <r>
    <x v="209"/>
    <n v="19"/>
    <x v="4"/>
    <x v="0"/>
    <x v="3"/>
    <s v="250-350"/>
  </r>
  <r>
    <x v="210"/>
    <n v="20"/>
    <x v="2"/>
    <x v="0"/>
    <x v="1"/>
    <s v="250-350"/>
  </r>
  <r>
    <x v="211"/>
    <n v="21"/>
    <x v="3"/>
    <x v="0"/>
    <x v="3"/>
    <s v="550+ рублей"/>
  </r>
  <r>
    <x v="212"/>
    <n v="19"/>
    <x v="2"/>
    <x v="2"/>
    <x v="4"/>
    <s v="до 250 рублей"/>
  </r>
  <r>
    <x v="213"/>
    <n v="21"/>
    <x v="3"/>
    <x v="1"/>
    <x v="2"/>
    <s v="250-350"/>
  </r>
  <r>
    <x v="214"/>
    <n v="24"/>
    <x v="2"/>
    <x v="0"/>
    <x v="3"/>
    <s v="250-350"/>
  </r>
  <r>
    <x v="215"/>
    <n v="21"/>
    <x v="1"/>
    <x v="3"/>
    <x v="2"/>
    <s v="550+ рублей"/>
  </r>
  <r>
    <x v="216"/>
    <n v="21"/>
    <x v="3"/>
    <x v="4"/>
    <x v="2"/>
    <s v="до 250 рублей"/>
  </r>
  <r>
    <x v="217"/>
    <n v="21"/>
    <x v="2"/>
    <x v="1"/>
    <x v="1"/>
    <s v="351-450"/>
  </r>
  <r>
    <x v="218"/>
    <n v="23"/>
    <x v="1"/>
    <x v="0"/>
    <x v="3"/>
    <s v="до 250 рублей"/>
  </r>
  <r>
    <x v="219"/>
    <n v="25"/>
    <x v="2"/>
    <x v="2"/>
    <x v="4"/>
    <s v="351-450"/>
  </r>
  <r>
    <x v="220"/>
    <n v="21"/>
    <x v="2"/>
    <x v="0"/>
    <x v="0"/>
    <s v="351-450"/>
  </r>
  <r>
    <x v="221"/>
    <n v="21"/>
    <x v="2"/>
    <x v="0"/>
    <x v="0"/>
    <s v="351-450"/>
  </r>
  <r>
    <x v="222"/>
    <n v="19"/>
    <x v="3"/>
    <x v="0"/>
    <x v="4"/>
    <s v="550+ рублей"/>
  </r>
  <r>
    <x v="223"/>
    <n v="18"/>
    <x v="1"/>
    <x v="3"/>
    <x v="2"/>
    <s v="550+ рублей"/>
  </r>
  <r>
    <x v="224"/>
    <n v="19"/>
    <x v="2"/>
    <x v="1"/>
    <x v="1"/>
    <s v="250-350"/>
  </r>
  <r>
    <x v="225"/>
    <n v="19"/>
    <x v="4"/>
    <x v="0"/>
    <x v="2"/>
    <s v="250-350"/>
  </r>
  <r>
    <x v="226"/>
    <n v="18"/>
    <x v="3"/>
    <x v="2"/>
    <x v="2"/>
    <s v="250-350"/>
  </r>
  <r>
    <x v="227"/>
    <n v="25"/>
    <x v="3"/>
    <x v="1"/>
    <x v="3"/>
    <s v="до 250 рублей"/>
  </r>
  <r>
    <x v="228"/>
    <n v="18"/>
    <x v="1"/>
    <x v="3"/>
    <x v="2"/>
    <s v="550+ рублей"/>
  </r>
  <r>
    <x v="229"/>
    <n v="18"/>
    <x v="2"/>
    <x v="3"/>
    <x v="1"/>
    <s v="до 250 рублей"/>
  </r>
  <r>
    <x v="230"/>
    <n v="21"/>
    <x v="3"/>
    <x v="0"/>
    <x v="4"/>
    <s v="451-550"/>
  </r>
  <r>
    <x v="231"/>
    <n v="21"/>
    <x v="3"/>
    <x v="3"/>
    <x v="1"/>
    <s v="250-350"/>
  </r>
  <r>
    <x v="232"/>
    <n v="20"/>
    <x v="1"/>
    <x v="0"/>
    <x v="3"/>
    <s v="550+ рублей"/>
  </r>
  <r>
    <x v="233"/>
    <n v="22"/>
    <x v="2"/>
    <x v="0"/>
    <x v="1"/>
    <s v="до 250 рублей"/>
  </r>
  <r>
    <x v="234"/>
    <n v="19"/>
    <x v="2"/>
    <x v="0"/>
    <x v="1"/>
    <s v="до 250 рублей"/>
  </r>
  <r>
    <x v="235"/>
    <n v="19"/>
    <x v="1"/>
    <x v="0"/>
    <x v="3"/>
    <s v="250-350"/>
  </r>
  <r>
    <x v="236"/>
    <n v="19"/>
    <x v="1"/>
    <x v="3"/>
    <x v="4"/>
    <s v="250-350"/>
  </r>
  <r>
    <x v="237"/>
    <n v="24"/>
    <x v="2"/>
    <x v="0"/>
    <x v="2"/>
    <s v="250-350"/>
  </r>
  <r>
    <x v="238"/>
    <n v="22"/>
    <x v="2"/>
    <x v="0"/>
    <x v="1"/>
    <s v="550+ рублей"/>
  </r>
  <r>
    <x v="239"/>
    <n v="22"/>
    <x v="0"/>
    <x v="0"/>
    <x v="0"/>
    <s v="351-450"/>
  </r>
  <r>
    <x v="240"/>
    <n v="20"/>
    <x v="3"/>
    <x v="1"/>
    <x v="0"/>
    <s v="до 250 рублей"/>
  </r>
  <r>
    <x v="241"/>
    <n v="23"/>
    <x v="2"/>
    <x v="0"/>
    <x v="3"/>
    <s v="250-350"/>
  </r>
  <r>
    <x v="242"/>
    <n v="19"/>
    <x v="1"/>
    <x v="0"/>
    <x v="3"/>
    <s v="250-350"/>
  </r>
  <r>
    <x v="243"/>
    <n v="21"/>
    <x v="2"/>
    <x v="3"/>
    <x v="1"/>
    <s v="250-350"/>
  </r>
  <r>
    <x v="244"/>
    <n v="21"/>
    <x v="2"/>
    <x v="2"/>
    <x v="4"/>
    <s v="до 250 рублей"/>
  </r>
  <r>
    <x v="245"/>
    <n v="19"/>
    <x v="1"/>
    <x v="2"/>
    <x v="4"/>
    <s v="250-350"/>
  </r>
  <r>
    <x v="246"/>
    <n v="18"/>
    <x v="2"/>
    <x v="2"/>
    <x v="1"/>
    <s v="250-350"/>
  </r>
  <r>
    <x v="247"/>
    <n v="20"/>
    <x v="1"/>
    <x v="1"/>
    <x v="1"/>
    <s v="до 250 рублей"/>
  </r>
  <r>
    <x v="248"/>
    <n v="24"/>
    <x v="3"/>
    <x v="0"/>
    <x v="3"/>
    <s v="351-450"/>
  </r>
  <r>
    <x v="249"/>
    <n v="21"/>
    <x v="2"/>
    <x v="2"/>
    <x v="3"/>
    <s v="250-350"/>
  </r>
  <r>
    <x v="250"/>
    <n v="21"/>
    <x v="2"/>
    <x v="0"/>
    <x v="0"/>
    <s v="250-350"/>
  </r>
  <r>
    <x v="251"/>
    <n v="19"/>
    <x v="2"/>
    <x v="1"/>
    <x v="4"/>
    <s v="250-350"/>
  </r>
  <r>
    <x v="252"/>
    <n v="21"/>
    <x v="1"/>
    <x v="0"/>
    <x v="1"/>
    <s v="до 250 рублей"/>
  </r>
  <r>
    <x v="253"/>
    <n v="19"/>
    <x v="3"/>
    <x v="0"/>
    <x v="4"/>
    <s v="до 250 рублей"/>
  </r>
  <r>
    <x v="254"/>
    <n v="18"/>
    <x v="2"/>
    <x v="3"/>
    <x v="4"/>
    <s v="250-350"/>
  </r>
  <r>
    <x v="255"/>
    <n v="21"/>
    <x v="2"/>
    <x v="0"/>
    <x v="3"/>
    <s v="250-350"/>
  </r>
  <r>
    <x v="256"/>
    <n v="22"/>
    <x v="1"/>
    <x v="2"/>
    <x v="0"/>
    <s v="250-350"/>
  </r>
  <r>
    <x v="257"/>
    <n v="23"/>
    <x v="4"/>
    <x v="2"/>
    <x v="1"/>
    <s v="550+ рублей"/>
  </r>
  <r>
    <x v="258"/>
    <n v="24"/>
    <x v="2"/>
    <x v="0"/>
    <x v="1"/>
    <s v="250-350"/>
  </r>
  <r>
    <x v="259"/>
    <n v="24"/>
    <x v="2"/>
    <x v="0"/>
    <x v="3"/>
    <s v="250-350"/>
  </r>
  <r>
    <x v="260"/>
    <n v="22"/>
    <x v="1"/>
    <x v="0"/>
    <x v="3"/>
    <s v="451-550"/>
  </r>
  <r>
    <x v="261"/>
    <n v="20"/>
    <x v="2"/>
    <x v="0"/>
    <x v="1"/>
    <s v="550+ рублей"/>
  </r>
  <r>
    <x v="262"/>
    <n v="21"/>
    <x v="2"/>
    <x v="0"/>
    <x v="1"/>
    <s v="до 250 рублей"/>
  </r>
  <r>
    <x v="263"/>
    <n v="19"/>
    <x v="1"/>
    <x v="2"/>
    <x v="3"/>
    <s v="250-350"/>
  </r>
  <r>
    <x v="264"/>
    <n v="21"/>
    <x v="3"/>
    <x v="1"/>
    <x v="1"/>
    <s v="451-550"/>
  </r>
  <r>
    <x v="265"/>
    <n v="25"/>
    <x v="4"/>
    <x v="1"/>
    <x v="1"/>
    <s v="451-550"/>
  </r>
  <r>
    <x v="266"/>
    <n v="21"/>
    <x v="2"/>
    <x v="0"/>
    <x v="3"/>
    <s v="550+ рублей"/>
  </r>
  <r>
    <x v="267"/>
    <n v="21"/>
    <x v="2"/>
    <x v="0"/>
    <x v="2"/>
    <s v="451-550"/>
  </r>
  <r>
    <x v="268"/>
    <n v="21"/>
    <x v="3"/>
    <x v="0"/>
    <x v="3"/>
    <s v="250-350"/>
  </r>
  <r>
    <x v="269"/>
    <n v="21"/>
    <x v="2"/>
    <x v="0"/>
    <x v="3"/>
    <s v="451-550"/>
  </r>
  <r>
    <x v="270"/>
    <n v="21"/>
    <x v="1"/>
    <x v="0"/>
    <x v="3"/>
    <s v="до 250 рублей"/>
  </r>
  <r>
    <x v="271"/>
    <n v="25"/>
    <x v="3"/>
    <x v="0"/>
    <x v="3"/>
    <s v="550+ рублей"/>
  </r>
  <r>
    <x v="272"/>
    <n v="18"/>
    <x v="1"/>
    <x v="0"/>
    <x v="4"/>
    <s v="до 250 рублей"/>
  </r>
  <r>
    <x v="273"/>
    <n v="19"/>
    <x v="2"/>
    <x v="1"/>
    <x v="1"/>
    <s v="250-350"/>
  </r>
  <r>
    <x v="274"/>
    <n v="19"/>
    <x v="2"/>
    <x v="0"/>
    <x v="1"/>
    <s v="351-450"/>
  </r>
  <r>
    <x v="275"/>
    <n v="20"/>
    <x v="1"/>
    <x v="0"/>
    <x v="3"/>
    <s v="до 250 рублей"/>
  </r>
  <r>
    <x v="276"/>
    <n v="23"/>
    <x v="1"/>
    <x v="0"/>
    <x v="2"/>
    <s v="до 250 рублей"/>
  </r>
  <r>
    <x v="277"/>
    <n v="18"/>
    <x v="2"/>
    <x v="1"/>
    <x v="0"/>
    <s v="250-350"/>
  </r>
  <r>
    <x v="278"/>
    <n v="19"/>
    <x v="2"/>
    <x v="0"/>
    <x v="3"/>
    <s v="550+ рублей"/>
  </r>
  <r>
    <x v="279"/>
    <n v="18"/>
    <x v="0"/>
    <x v="0"/>
    <x v="2"/>
    <s v="550+ рублей"/>
  </r>
  <r>
    <x v="280"/>
    <n v="21"/>
    <x v="2"/>
    <x v="0"/>
    <x v="1"/>
    <s v="до 250 рублей"/>
  </r>
  <r>
    <x v="281"/>
    <n v="24"/>
    <x v="2"/>
    <x v="1"/>
    <x v="1"/>
    <s v="550+ рублей"/>
  </r>
  <r>
    <x v="282"/>
    <n v="25"/>
    <x v="2"/>
    <x v="0"/>
    <x v="0"/>
    <s v="250-350"/>
  </r>
  <r>
    <x v="283"/>
    <n v="19"/>
    <x v="0"/>
    <x v="0"/>
    <x v="2"/>
    <s v="250-350"/>
  </r>
  <r>
    <x v="284"/>
    <n v="19"/>
    <x v="2"/>
    <x v="0"/>
    <x v="3"/>
    <s v="250-350"/>
  </r>
  <r>
    <x v="285"/>
    <n v="21"/>
    <x v="1"/>
    <x v="4"/>
    <x v="3"/>
    <s v="до 250 рублей"/>
  </r>
  <r>
    <x v="286"/>
    <n v="22"/>
    <x v="2"/>
    <x v="4"/>
    <x v="3"/>
    <s v="до 250 рублей"/>
  </r>
  <r>
    <x v="287"/>
    <n v="24"/>
    <x v="2"/>
    <x v="0"/>
    <x v="2"/>
    <s v="250-350"/>
  </r>
  <r>
    <x v="288"/>
    <n v="19"/>
    <x v="2"/>
    <x v="0"/>
    <x v="1"/>
    <s v="до 250 рублей"/>
  </r>
  <r>
    <x v="289"/>
    <n v="24"/>
    <x v="1"/>
    <x v="0"/>
    <x v="2"/>
    <s v="до 250 рублей"/>
  </r>
  <r>
    <x v="290"/>
    <n v="19"/>
    <x v="3"/>
    <x v="0"/>
    <x v="3"/>
    <s v="351-450"/>
  </r>
  <r>
    <x v="291"/>
    <n v="23"/>
    <x v="1"/>
    <x v="0"/>
    <x v="1"/>
    <s v="до 250 рублей"/>
  </r>
  <r>
    <x v="292"/>
    <n v="20"/>
    <x v="2"/>
    <x v="0"/>
    <x v="3"/>
    <s v="250-350"/>
  </r>
  <r>
    <x v="293"/>
    <n v="18"/>
    <x v="1"/>
    <x v="2"/>
    <x v="1"/>
    <s v="до 250 рублей"/>
  </r>
  <r>
    <x v="294"/>
    <n v="25"/>
    <x v="0"/>
    <x v="4"/>
    <x v="1"/>
    <s v="250-350"/>
  </r>
  <r>
    <x v="295"/>
    <n v="18"/>
    <x v="1"/>
    <x v="4"/>
    <x v="1"/>
    <s v="до 250 рублей"/>
  </r>
  <r>
    <x v="296"/>
    <n v="20"/>
    <x v="1"/>
    <x v="3"/>
    <x v="1"/>
    <s v="250-3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6">
  <r>
    <n v="1"/>
    <n v="24"/>
    <x v="0"/>
    <x v="0"/>
    <x v="0"/>
    <s v="451-550"/>
  </r>
  <r>
    <n v="2"/>
    <n v="21"/>
    <x v="0"/>
    <x v="0"/>
    <x v="0"/>
    <s v="451-550"/>
  </r>
  <r>
    <n v="3"/>
    <n v="25"/>
    <x v="0"/>
    <x v="0"/>
    <x v="1"/>
    <s v="550+ рублей"/>
  </r>
  <r>
    <n v="4"/>
    <n v="23"/>
    <x v="0"/>
    <x v="0"/>
    <x v="2"/>
    <s v="550+ рублей"/>
  </r>
  <r>
    <n v="5"/>
    <n v="18"/>
    <x v="0"/>
    <x v="0"/>
    <x v="0"/>
    <s v="451-550"/>
  </r>
  <r>
    <n v="6"/>
    <n v="19"/>
    <x v="0"/>
    <x v="0"/>
    <x v="2"/>
    <s v="до 250 рублей"/>
  </r>
  <r>
    <n v="7"/>
    <n v="21"/>
    <x v="0"/>
    <x v="0"/>
    <x v="1"/>
    <s v="451-550"/>
  </r>
  <r>
    <n v="8"/>
    <n v="24"/>
    <x v="0"/>
    <x v="0"/>
    <x v="3"/>
    <s v="250-350"/>
  </r>
  <r>
    <n v="9"/>
    <n v="21"/>
    <x v="0"/>
    <x v="0"/>
    <x v="4"/>
    <s v="250-350"/>
  </r>
  <r>
    <n v="10"/>
    <n v="22"/>
    <x v="0"/>
    <x v="0"/>
    <x v="4"/>
    <s v="250-350"/>
  </r>
  <r>
    <n v="11"/>
    <n v="18"/>
    <x v="0"/>
    <x v="1"/>
    <x v="1"/>
    <s v="550+ рублей"/>
  </r>
  <r>
    <n v="12"/>
    <n v="18"/>
    <x v="0"/>
    <x v="2"/>
    <x v="1"/>
    <s v="до 250 рублей"/>
  </r>
  <r>
    <n v="13"/>
    <n v="25"/>
    <x v="0"/>
    <x v="0"/>
    <x v="0"/>
    <s v="550+ рублей"/>
  </r>
  <r>
    <n v="14"/>
    <n v="21"/>
    <x v="0"/>
    <x v="0"/>
    <x v="2"/>
    <s v="250-350"/>
  </r>
  <r>
    <n v="15"/>
    <n v="20"/>
    <x v="0"/>
    <x v="0"/>
    <x v="3"/>
    <s v="до 250 рублей"/>
  </r>
  <r>
    <n v="16"/>
    <n v="21"/>
    <x v="0"/>
    <x v="0"/>
    <x v="1"/>
    <s v="250-350"/>
  </r>
  <r>
    <n v="17"/>
    <n v="24"/>
    <x v="0"/>
    <x v="0"/>
    <x v="1"/>
    <s v="451-550"/>
  </r>
  <r>
    <n v="18"/>
    <n v="22"/>
    <x v="0"/>
    <x v="0"/>
    <x v="3"/>
    <s v="451-550"/>
  </r>
  <r>
    <n v="19"/>
    <n v="25"/>
    <x v="0"/>
    <x v="1"/>
    <x v="2"/>
    <s v="250-350"/>
  </r>
  <r>
    <n v="20"/>
    <n v="23"/>
    <x v="0"/>
    <x v="0"/>
    <x v="1"/>
    <s v="451-550"/>
  </r>
  <r>
    <n v="21"/>
    <n v="20"/>
    <x v="0"/>
    <x v="0"/>
    <x v="2"/>
    <s v="550+ рублей"/>
  </r>
  <r>
    <n v="22"/>
    <n v="19"/>
    <x v="0"/>
    <x v="0"/>
    <x v="1"/>
    <s v="250-350"/>
  </r>
  <r>
    <n v="23"/>
    <n v="18"/>
    <x v="0"/>
    <x v="3"/>
    <x v="2"/>
    <s v="351-450"/>
  </r>
  <r>
    <n v="24"/>
    <n v="23"/>
    <x v="0"/>
    <x v="4"/>
    <x v="1"/>
    <s v="250-350"/>
  </r>
  <r>
    <n v="25"/>
    <n v="18"/>
    <x v="0"/>
    <x v="2"/>
    <x v="0"/>
    <s v="451-550"/>
  </r>
  <r>
    <n v="26"/>
    <n v="20"/>
    <x v="0"/>
    <x v="0"/>
    <x v="3"/>
    <s v="250-350"/>
  </r>
  <r>
    <n v="27"/>
    <n v="18"/>
    <x v="0"/>
    <x v="0"/>
    <x v="3"/>
    <s v="351-450"/>
  </r>
  <r>
    <n v="28"/>
    <n v="18"/>
    <x v="0"/>
    <x v="0"/>
    <x v="4"/>
    <s v="451-550"/>
  </r>
  <r>
    <n v="29"/>
    <n v="24"/>
    <x v="0"/>
    <x v="4"/>
    <x v="1"/>
    <s v="250-350"/>
  </r>
  <r>
    <n v="30"/>
    <n v="19"/>
    <x v="0"/>
    <x v="4"/>
    <x v="1"/>
    <s v="до 250 рублей"/>
  </r>
  <r>
    <n v="31"/>
    <n v="25"/>
    <x v="0"/>
    <x v="1"/>
    <x v="1"/>
    <s v="351-450"/>
  </r>
  <r>
    <n v="32"/>
    <n v="18"/>
    <x v="0"/>
    <x v="0"/>
    <x v="3"/>
    <s v="250-350"/>
  </r>
  <r>
    <n v="33"/>
    <n v="21"/>
    <x v="0"/>
    <x v="1"/>
    <x v="1"/>
    <s v="250-350"/>
  </r>
  <r>
    <n v="34"/>
    <n v="18"/>
    <x v="0"/>
    <x v="0"/>
    <x v="3"/>
    <s v="250-350"/>
  </r>
  <r>
    <n v="35"/>
    <n v="21"/>
    <x v="0"/>
    <x v="0"/>
    <x v="3"/>
    <s v="250-350"/>
  </r>
  <r>
    <n v="36"/>
    <n v="21"/>
    <x v="0"/>
    <x v="3"/>
    <x v="1"/>
    <s v="до 250 рублей"/>
  </r>
  <r>
    <n v="37"/>
    <n v="18"/>
    <x v="0"/>
    <x v="2"/>
    <x v="1"/>
    <s v="до 250 рублей"/>
  </r>
  <r>
    <n v="38"/>
    <n v="21"/>
    <x v="0"/>
    <x v="0"/>
    <x v="2"/>
    <s v="до 250 рублей"/>
  </r>
  <r>
    <n v="39"/>
    <n v="19"/>
    <x v="0"/>
    <x v="0"/>
    <x v="1"/>
    <s v="до 250 рублей"/>
  </r>
  <r>
    <n v="40"/>
    <n v="19"/>
    <x v="0"/>
    <x v="4"/>
    <x v="2"/>
    <s v="250-350"/>
  </r>
  <r>
    <n v="41"/>
    <n v="19"/>
    <x v="0"/>
    <x v="0"/>
    <x v="3"/>
    <s v="351-450"/>
  </r>
  <r>
    <n v="42"/>
    <n v="25"/>
    <x v="0"/>
    <x v="0"/>
    <x v="3"/>
    <s v="250-350"/>
  </r>
  <r>
    <n v="43"/>
    <n v="19"/>
    <x v="0"/>
    <x v="1"/>
    <x v="4"/>
    <s v="до 250 рублей"/>
  </r>
  <r>
    <n v="44"/>
    <n v="19"/>
    <x v="0"/>
    <x v="0"/>
    <x v="1"/>
    <s v="351-450"/>
  </r>
  <r>
    <n v="45"/>
    <n v="23"/>
    <x v="0"/>
    <x v="4"/>
    <x v="3"/>
    <s v="351-450"/>
  </r>
  <r>
    <n v="46"/>
    <n v="24"/>
    <x v="0"/>
    <x v="2"/>
    <x v="1"/>
    <s v="351-450"/>
  </r>
  <r>
    <n v="47"/>
    <n v="22"/>
    <x v="0"/>
    <x v="0"/>
    <x v="3"/>
    <s v="до 250 рублей"/>
  </r>
  <r>
    <n v="48"/>
    <n v="25"/>
    <x v="0"/>
    <x v="0"/>
    <x v="3"/>
    <s v="451-550"/>
  </r>
  <r>
    <n v="49"/>
    <n v="22"/>
    <x v="0"/>
    <x v="2"/>
    <x v="1"/>
    <s v="до 250 рублей"/>
  </r>
  <r>
    <n v="50"/>
    <n v="25"/>
    <x v="0"/>
    <x v="0"/>
    <x v="4"/>
    <s v="до 250 рублей"/>
  </r>
  <r>
    <n v="51"/>
    <n v="20"/>
    <x v="0"/>
    <x v="0"/>
    <x v="1"/>
    <s v="351-450"/>
  </r>
  <r>
    <n v="52"/>
    <n v="25"/>
    <x v="0"/>
    <x v="0"/>
    <x v="4"/>
    <s v="451-550"/>
  </r>
  <r>
    <n v="53"/>
    <n v="24"/>
    <x v="0"/>
    <x v="3"/>
    <x v="3"/>
    <s v="до 250 рублей"/>
  </r>
  <r>
    <n v="54"/>
    <n v="22"/>
    <x v="0"/>
    <x v="3"/>
    <x v="2"/>
    <s v="250-350"/>
  </r>
  <r>
    <n v="55"/>
    <n v="21"/>
    <x v="0"/>
    <x v="0"/>
    <x v="3"/>
    <s v="250-350"/>
  </r>
  <r>
    <n v="56"/>
    <n v="21"/>
    <x v="0"/>
    <x v="1"/>
    <x v="2"/>
    <s v="351-450"/>
  </r>
  <r>
    <n v="57"/>
    <n v="18"/>
    <x v="0"/>
    <x v="0"/>
    <x v="0"/>
    <s v="до 250 рублей"/>
  </r>
  <r>
    <n v="58"/>
    <n v="21"/>
    <x v="0"/>
    <x v="0"/>
    <x v="3"/>
    <s v="250-350"/>
  </r>
  <r>
    <n v="59"/>
    <n v="25"/>
    <x v="0"/>
    <x v="0"/>
    <x v="3"/>
    <s v="451-550"/>
  </r>
  <r>
    <n v="60"/>
    <n v="23"/>
    <x v="0"/>
    <x v="0"/>
    <x v="2"/>
    <s v="550+ рублей"/>
  </r>
  <r>
    <n v="61"/>
    <n v="24"/>
    <x v="0"/>
    <x v="0"/>
    <x v="3"/>
    <s v="451-550"/>
  </r>
  <r>
    <n v="62"/>
    <n v="21"/>
    <x v="0"/>
    <x v="0"/>
    <x v="0"/>
    <s v="до 250 рублей"/>
  </r>
  <r>
    <n v="63"/>
    <n v="23"/>
    <x v="0"/>
    <x v="0"/>
    <x v="3"/>
    <s v="250-350"/>
  </r>
  <r>
    <n v="64"/>
    <n v="25"/>
    <x v="0"/>
    <x v="0"/>
    <x v="1"/>
    <s v="до 250 рублей"/>
  </r>
  <r>
    <n v="65"/>
    <n v="19"/>
    <x v="0"/>
    <x v="4"/>
    <x v="0"/>
    <s v="451-550"/>
  </r>
  <r>
    <n v="66"/>
    <n v="21"/>
    <x v="0"/>
    <x v="0"/>
    <x v="3"/>
    <s v="550+ рублей"/>
  </r>
  <r>
    <n v="67"/>
    <n v="18"/>
    <x v="0"/>
    <x v="4"/>
    <x v="4"/>
    <s v="до 250 рублей"/>
  </r>
  <r>
    <n v="68"/>
    <n v="21"/>
    <x v="0"/>
    <x v="0"/>
    <x v="3"/>
    <s v="250-350"/>
  </r>
  <r>
    <n v="69"/>
    <n v="18"/>
    <x v="0"/>
    <x v="3"/>
    <x v="0"/>
    <s v="до 250 рублей"/>
  </r>
  <r>
    <n v="70"/>
    <n v="20"/>
    <x v="0"/>
    <x v="0"/>
    <x v="1"/>
    <s v="до 250 рублей"/>
  </r>
  <r>
    <n v="71"/>
    <n v="19"/>
    <x v="0"/>
    <x v="3"/>
    <x v="2"/>
    <s v="до 250 рублей"/>
  </r>
  <r>
    <n v="72"/>
    <n v="22"/>
    <x v="0"/>
    <x v="0"/>
    <x v="3"/>
    <s v="250-350"/>
  </r>
  <r>
    <n v="73"/>
    <n v="22"/>
    <x v="0"/>
    <x v="0"/>
    <x v="3"/>
    <s v="250-350"/>
  </r>
  <r>
    <n v="74"/>
    <n v="21"/>
    <x v="0"/>
    <x v="4"/>
    <x v="1"/>
    <s v="550+ рублей"/>
  </r>
  <r>
    <n v="75"/>
    <n v="23"/>
    <x v="0"/>
    <x v="0"/>
    <x v="1"/>
    <s v="до 250 рублей"/>
  </r>
  <r>
    <n v="76"/>
    <n v="18"/>
    <x v="0"/>
    <x v="0"/>
    <x v="2"/>
    <s v="250-350"/>
  </r>
  <r>
    <n v="77"/>
    <n v="19"/>
    <x v="0"/>
    <x v="0"/>
    <x v="3"/>
    <s v="250-350"/>
  </r>
  <r>
    <n v="78"/>
    <n v="19"/>
    <x v="0"/>
    <x v="2"/>
    <x v="1"/>
    <s v="351-450"/>
  </r>
  <r>
    <n v="80"/>
    <n v="25"/>
    <x v="0"/>
    <x v="1"/>
    <x v="2"/>
    <s v="550+ рублей"/>
  </r>
  <r>
    <n v="81"/>
    <n v="21"/>
    <x v="0"/>
    <x v="4"/>
    <x v="1"/>
    <s v="250-350"/>
  </r>
  <r>
    <n v="82"/>
    <n v="21"/>
    <x v="0"/>
    <x v="3"/>
    <x v="1"/>
    <s v="до 250 рублей"/>
  </r>
  <r>
    <n v="83"/>
    <n v="21"/>
    <x v="0"/>
    <x v="0"/>
    <x v="2"/>
    <s v="550+ рублей"/>
  </r>
  <r>
    <n v="84"/>
    <n v="24"/>
    <x v="0"/>
    <x v="0"/>
    <x v="1"/>
    <s v="550+ рублей"/>
  </r>
  <r>
    <n v="86"/>
    <n v="22"/>
    <x v="0"/>
    <x v="0"/>
    <x v="1"/>
    <s v="351-450"/>
  </r>
  <r>
    <n v="87"/>
    <n v="19"/>
    <x v="0"/>
    <x v="0"/>
    <x v="2"/>
    <s v="550+ рублей"/>
  </r>
  <r>
    <n v="88"/>
    <n v="21"/>
    <x v="0"/>
    <x v="4"/>
    <x v="1"/>
    <s v="250-350"/>
  </r>
  <r>
    <n v="89"/>
    <n v="24"/>
    <x v="0"/>
    <x v="2"/>
    <x v="3"/>
    <s v="550+ рублей"/>
  </r>
  <r>
    <n v="90"/>
    <n v="21"/>
    <x v="0"/>
    <x v="0"/>
    <x v="2"/>
    <s v="550+ рублей"/>
  </r>
  <r>
    <n v="91"/>
    <n v="18"/>
    <x v="0"/>
    <x v="0"/>
    <x v="1"/>
    <s v="250-350"/>
  </r>
  <r>
    <n v="92"/>
    <n v="23"/>
    <x v="0"/>
    <x v="3"/>
    <x v="4"/>
    <s v="250-350"/>
  </r>
  <r>
    <n v="93"/>
    <n v="22"/>
    <x v="0"/>
    <x v="0"/>
    <x v="4"/>
    <s v="250-350"/>
  </r>
  <r>
    <n v="94"/>
    <n v="21"/>
    <x v="0"/>
    <x v="0"/>
    <x v="4"/>
    <s v="451-550"/>
  </r>
  <r>
    <n v="95"/>
    <n v="19"/>
    <x v="0"/>
    <x v="0"/>
    <x v="0"/>
    <s v="250-350"/>
  </r>
  <r>
    <n v="96"/>
    <n v="19"/>
    <x v="0"/>
    <x v="0"/>
    <x v="1"/>
    <s v="351-450"/>
  </r>
  <r>
    <n v="97"/>
    <n v="19"/>
    <x v="0"/>
    <x v="0"/>
    <x v="3"/>
    <s v="451-550"/>
  </r>
  <r>
    <n v="98"/>
    <n v="25"/>
    <x v="0"/>
    <x v="0"/>
    <x v="1"/>
    <s v="351-450"/>
  </r>
  <r>
    <n v="99"/>
    <n v="23"/>
    <x v="0"/>
    <x v="0"/>
    <x v="3"/>
    <s v="550+ рублей"/>
  </r>
  <r>
    <n v="100"/>
    <n v="22"/>
    <x v="0"/>
    <x v="4"/>
    <x v="1"/>
    <s v="250-350"/>
  </r>
  <r>
    <n v="101"/>
    <n v="18"/>
    <x v="0"/>
    <x v="1"/>
    <x v="4"/>
    <s v="250-350"/>
  </r>
  <r>
    <n v="102"/>
    <n v="23"/>
    <x v="0"/>
    <x v="0"/>
    <x v="2"/>
    <s v="до 250 рублей"/>
  </r>
  <r>
    <n v="104"/>
    <n v="21"/>
    <x v="0"/>
    <x v="0"/>
    <x v="1"/>
    <s v="250-350"/>
  </r>
  <r>
    <n v="105"/>
    <n v="22"/>
    <x v="0"/>
    <x v="0"/>
    <x v="1"/>
    <s v="250-350"/>
  </r>
  <r>
    <n v="106"/>
    <n v="19"/>
    <x v="0"/>
    <x v="0"/>
    <x v="3"/>
    <s v="351-450"/>
  </r>
  <r>
    <n v="107"/>
    <n v="19"/>
    <x v="0"/>
    <x v="4"/>
    <x v="3"/>
    <s v="до 250 рублей"/>
  </r>
  <r>
    <n v="108"/>
    <n v="24"/>
    <x v="0"/>
    <x v="2"/>
    <x v="2"/>
    <s v="250-350"/>
  </r>
  <r>
    <n v="110"/>
    <n v="23"/>
    <x v="0"/>
    <x v="3"/>
    <x v="1"/>
    <s v="до 250 рублей"/>
  </r>
  <r>
    <n v="111"/>
    <n v="24"/>
    <x v="0"/>
    <x v="0"/>
    <x v="1"/>
    <s v="до 250 рублей"/>
  </r>
  <r>
    <n v="112"/>
    <n v="22"/>
    <x v="0"/>
    <x v="0"/>
    <x v="1"/>
    <s v="до 250 рублей"/>
  </r>
  <r>
    <n v="113"/>
    <n v="25"/>
    <x v="0"/>
    <x v="1"/>
    <x v="4"/>
    <s v="до 250 рублей"/>
  </r>
  <r>
    <n v="114"/>
    <n v="25"/>
    <x v="0"/>
    <x v="3"/>
    <x v="2"/>
    <s v="250-350"/>
  </r>
  <r>
    <n v="115"/>
    <n v="21"/>
    <x v="0"/>
    <x v="0"/>
    <x v="1"/>
    <s v="550+ рублей"/>
  </r>
  <r>
    <n v="116"/>
    <n v="21"/>
    <x v="0"/>
    <x v="0"/>
    <x v="1"/>
    <s v="550+ рублей"/>
  </r>
  <r>
    <n v="117"/>
    <n v="20"/>
    <x v="0"/>
    <x v="3"/>
    <x v="1"/>
    <s v="250-350"/>
  </r>
  <r>
    <n v="118"/>
    <n v="24"/>
    <x v="0"/>
    <x v="2"/>
    <x v="3"/>
    <s v="351-450"/>
  </r>
  <r>
    <n v="119"/>
    <n v="22"/>
    <x v="0"/>
    <x v="0"/>
    <x v="4"/>
    <s v="до 250 рублей"/>
  </r>
  <r>
    <n v="120"/>
    <n v="18"/>
    <x v="0"/>
    <x v="0"/>
    <x v="1"/>
    <s v="до 250 рублей"/>
  </r>
  <r>
    <n v="121"/>
    <n v="21"/>
    <x v="0"/>
    <x v="2"/>
    <x v="3"/>
    <s v="451-550"/>
  </r>
  <r>
    <n v="122"/>
    <n v="20"/>
    <x v="0"/>
    <x v="2"/>
    <x v="2"/>
    <s v="451-550"/>
  </r>
  <r>
    <n v="123"/>
    <n v="19"/>
    <x v="0"/>
    <x v="4"/>
    <x v="1"/>
    <s v="451-550"/>
  </r>
  <r>
    <n v="124"/>
    <n v="19"/>
    <x v="0"/>
    <x v="3"/>
    <x v="2"/>
    <s v="250-350"/>
  </r>
  <r>
    <n v="125"/>
    <n v="18"/>
    <x v="0"/>
    <x v="4"/>
    <x v="1"/>
    <s v="351-450"/>
  </r>
  <r>
    <n v="126"/>
    <n v="18"/>
    <x v="0"/>
    <x v="4"/>
    <x v="3"/>
    <s v="351-450"/>
  </r>
  <r>
    <n v="127"/>
    <n v="20"/>
    <x v="0"/>
    <x v="0"/>
    <x v="1"/>
    <s v="250-350"/>
  </r>
  <r>
    <n v="128"/>
    <n v="22"/>
    <x v="0"/>
    <x v="0"/>
    <x v="3"/>
    <s v="до 250 рублей"/>
  </r>
  <r>
    <n v="129"/>
    <n v="21"/>
    <x v="0"/>
    <x v="0"/>
    <x v="2"/>
    <s v="351-450"/>
  </r>
  <r>
    <n v="130"/>
    <n v="21"/>
    <x v="0"/>
    <x v="2"/>
    <x v="3"/>
    <s v="до 250 рублей"/>
  </r>
  <r>
    <n v="131"/>
    <n v="24"/>
    <x v="0"/>
    <x v="3"/>
    <x v="1"/>
    <s v="до 250 рублей"/>
  </r>
  <r>
    <n v="132"/>
    <n v="21"/>
    <x v="0"/>
    <x v="2"/>
    <x v="0"/>
    <s v="до 250 рублей"/>
  </r>
  <r>
    <n v="133"/>
    <n v="23"/>
    <x v="0"/>
    <x v="4"/>
    <x v="0"/>
    <s v="351-450"/>
  </r>
  <r>
    <n v="134"/>
    <n v="19"/>
    <x v="0"/>
    <x v="2"/>
    <x v="3"/>
    <s v="250-350"/>
  </r>
  <r>
    <n v="135"/>
    <n v="25"/>
    <x v="0"/>
    <x v="3"/>
    <x v="3"/>
    <s v="до 250 рублей"/>
  </r>
  <r>
    <n v="136"/>
    <n v="19"/>
    <x v="0"/>
    <x v="0"/>
    <x v="2"/>
    <s v="до 250 рублей"/>
  </r>
  <r>
    <n v="137"/>
    <n v="22"/>
    <x v="0"/>
    <x v="4"/>
    <x v="4"/>
    <s v="до 250 рублей"/>
  </r>
  <r>
    <n v="138"/>
    <n v="25"/>
    <x v="0"/>
    <x v="4"/>
    <x v="1"/>
    <s v="550+ рублей"/>
  </r>
  <r>
    <n v="139"/>
    <n v="22"/>
    <x v="0"/>
    <x v="0"/>
    <x v="3"/>
    <s v="до 250 рублей"/>
  </r>
  <r>
    <n v="140"/>
    <n v="25"/>
    <x v="0"/>
    <x v="0"/>
    <x v="4"/>
    <s v="250-350"/>
  </r>
  <r>
    <n v="141"/>
    <n v="19"/>
    <x v="0"/>
    <x v="1"/>
    <x v="0"/>
    <s v="250-350"/>
  </r>
  <r>
    <n v="142"/>
    <n v="21"/>
    <x v="0"/>
    <x v="2"/>
    <x v="3"/>
    <s v="250-350"/>
  </r>
  <r>
    <n v="143"/>
    <n v="19"/>
    <x v="0"/>
    <x v="0"/>
    <x v="1"/>
    <s v="до 250 рублей"/>
  </r>
  <r>
    <n v="144"/>
    <n v="23"/>
    <x v="0"/>
    <x v="0"/>
    <x v="3"/>
    <s v="351-450"/>
  </r>
  <r>
    <n v="145"/>
    <n v="22"/>
    <x v="0"/>
    <x v="0"/>
    <x v="3"/>
    <s v="250-350"/>
  </r>
  <r>
    <n v="146"/>
    <n v="22"/>
    <x v="0"/>
    <x v="0"/>
    <x v="2"/>
    <s v="351-450"/>
  </r>
  <r>
    <n v="147"/>
    <n v="21"/>
    <x v="0"/>
    <x v="0"/>
    <x v="3"/>
    <s v="до 250 рублей"/>
  </r>
  <r>
    <n v="148"/>
    <n v="24"/>
    <x v="0"/>
    <x v="0"/>
    <x v="4"/>
    <s v="до 250 рублей"/>
  </r>
  <r>
    <n v="149"/>
    <n v="19"/>
    <x v="0"/>
    <x v="4"/>
    <x v="0"/>
    <s v="351-450"/>
  </r>
  <r>
    <n v="150"/>
    <n v="23"/>
    <x v="0"/>
    <x v="0"/>
    <x v="3"/>
    <s v="250-350"/>
  </r>
  <r>
    <n v="151"/>
    <n v="21"/>
    <x v="0"/>
    <x v="0"/>
    <x v="2"/>
    <s v="до 250 рублей"/>
  </r>
  <r>
    <n v="152"/>
    <n v="20"/>
    <x v="0"/>
    <x v="1"/>
    <x v="1"/>
    <s v="до 250 рублей"/>
  </r>
  <r>
    <n v="153"/>
    <n v="18"/>
    <x v="0"/>
    <x v="2"/>
    <x v="1"/>
    <s v="до 250 рублей"/>
  </r>
  <r>
    <n v="154"/>
    <n v="21"/>
    <x v="0"/>
    <x v="0"/>
    <x v="1"/>
    <s v="250-350"/>
  </r>
  <r>
    <n v="155"/>
    <n v="25"/>
    <x v="0"/>
    <x v="4"/>
    <x v="2"/>
    <s v="351-450"/>
  </r>
  <r>
    <n v="156"/>
    <n v="21"/>
    <x v="0"/>
    <x v="0"/>
    <x v="0"/>
    <s v="250-350"/>
  </r>
  <r>
    <n v="157"/>
    <n v="19"/>
    <x v="0"/>
    <x v="2"/>
    <x v="3"/>
    <s v="351-450"/>
  </r>
  <r>
    <n v="158"/>
    <n v="20"/>
    <x v="0"/>
    <x v="0"/>
    <x v="1"/>
    <s v="451-550"/>
  </r>
  <r>
    <n v="159"/>
    <n v="21"/>
    <x v="0"/>
    <x v="0"/>
    <x v="3"/>
    <s v="250-350"/>
  </r>
  <r>
    <n v="160"/>
    <n v="19"/>
    <x v="0"/>
    <x v="0"/>
    <x v="4"/>
    <s v="250-350"/>
  </r>
  <r>
    <n v="161"/>
    <n v="25"/>
    <x v="0"/>
    <x v="0"/>
    <x v="3"/>
    <s v="до 250 рублей"/>
  </r>
  <r>
    <n v="162"/>
    <n v="21"/>
    <x v="0"/>
    <x v="2"/>
    <x v="2"/>
    <s v="до 250 рублей"/>
  </r>
  <r>
    <n v="164"/>
    <n v="25"/>
    <x v="0"/>
    <x v="1"/>
    <x v="3"/>
    <s v="351-450"/>
  </r>
  <r>
    <n v="165"/>
    <n v="21"/>
    <x v="0"/>
    <x v="0"/>
    <x v="1"/>
    <s v="250-350"/>
  </r>
  <r>
    <n v="166"/>
    <n v="25"/>
    <x v="0"/>
    <x v="0"/>
    <x v="3"/>
    <s v="351-450"/>
  </r>
  <r>
    <n v="167"/>
    <n v="25"/>
    <x v="0"/>
    <x v="2"/>
    <x v="1"/>
    <s v="250-350"/>
  </r>
  <r>
    <n v="168"/>
    <n v="22"/>
    <x v="0"/>
    <x v="3"/>
    <x v="1"/>
    <s v="250-350"/>
  </r>
  <r>
    <n v="169"/>
    <n v="21"/>
    <x v="0"/>
    <x v="1"/>
    <x v="4"/>
    <s v="250-350"/>
  </r>
  <r>
    <n v="103"/>
    <n v="19"/>
    <x v="0"/>
    <x v="0"/>
    <x v="1"/>
    <s v="351-450"/>
  </r>
  <r>
    <n v="170"/>
    <n v="19"/>
    <x v="0"/>
    <x v="0"/>
    <x v="3"/>
    <s v="351-450"/>
  </r>
  <r>
    <n v="171"/>
    <n v="25"/>
    <x v="0"/>
    <x v="2"/>
    <x v="1"/>
    <s v="до 250 рублей"/>
  </r>
  <r>
    <n v="172"/>
    <n v="18"/>
    <x v="0"/>
    <x v="0"/>
    <x v="3"/>
    <s v="351-450"/>
  </r>
  <r>
    <n v="173"/>
    <n v="25"/>
    <x v="0"/>
    <x v="0"/>
    <x v="1"/>
    <s v="550+ рублей"/>
  </r>
  <r>
    <n v="174"/>
    <n v="25"/>
    <x v="0"/>
    <x v="2"/>
    <x v="1"/>
    <s v="250-350"/>
  </r>
  <r>
    <n v="175"/>
    <n v="22"/>
    <x v="0"/>
    <x v="3"/>
    <x v="1"/>
    <s v="до 250 рублей"/>
  </r>
  <r>
    <n v="176"/>
    <n v="21"/>
    <x v="0"/>
    <x v="4"/>
    <x v="3"/>
    <s v="до 250 рублей"/>
  </r>
  <r>
    <n v="177"/>
    <n v="21"/>
    <x v="0"/>
    <x v="0"/>
    <x v="3"/>
    <s v="250-350"/>
  </r>
  <r>
    <n v="178"/>
    <n v="22"/>
    <x v="0"/>
    <x v="0"/>
    <x v="4"/>
    <s v="250-350"/>
  </r>
  <r>
    <n v="179"/>
    <n v="21"/>
    <x v="0"/>
    <x v="0"/>
    <x v="3"/>
    <s v="250-350"/>
  </r>
  <r>
    <n v="180"/>
    <n v="25"/>
    <x v="0"/>
    <x v="0"/>
    <x v="0"/>
    <s v="250-350"/>
  </r>
  <r>
    <n v="181"/>
    <n v="21"/>
    <x v="0"/>
    <x v="3"/>
    <x v="0"/>
    <s v="550+ рублей"/>
  </r>
  <r>
    <n v="182"/>
    <n v="25"/>
    <x v="0"/>
    <x v="3"/>
    <x v="2"/>
    <s v="351-450"/>
  </r>
  <r>
    <n v="183"/>
    <n v="21"/>
    <x v="0"/>
    <x v="3"/>
    <x v="2"/>
    <s v="250-350"/>
  </r>
  <r>
    <n v="184"/>
    <n v="23"/>
    <x v="0"/>
    <x v="0"/>
    <x v="1"/>
    <s v="451-550"/>
  </r>
  <r>
    <n v="185"/>
    <n v="24"/>
    <x v="0"/>
    <x v="0"/>
    <x v="3"/>
    <s v="351-450"/>
  </r>
  <r>
    <n v="186"/>
    <n v="22"/>
    <x v="0"/>
    <x v="0"/>
    <x v="3"/>
    <s v="250-350"/>
  </r>
  <r>
    <n v="187"/>
    <n v="20"/>
    <x v="0"/>
    <x v="0"/>
    <x v="1"/>
    <s v="250-350"/>
  </r>
  <r>
    <n v="188"/>
    <n v="18"/>
    <x v="0"/>
    <x v="0"/>
    <x v="1"/>
    <s v="до 250 рублей"/>
  </r>
  <r>
    <n v="189"/>
    <n v="20"/>
    <x v="0"/>
    <x v="0"/>
    <x v="1"/>
    <s v="до 250 рублей"/>
  </r>
  <r>
    <n v="190"/>
    <n v="22"/>
    <x v="0"/>
    <x v="0"/>
    <x v="4"/>
    <s v="до 250 рублей"/>
  </r>
  <r>
    <n v="191"/>
    <n v="20"/>
    <x v="0"/>
    <x v="2"/>
    <x v="3"/>
    <s v="451-550"/>
  </r>
  <r>
    <n v="192"/>
    <n v="18"/>
    <x v="0"/>
    <x v="0"/>
    <x v="3"/>
    <s v="250-350"/>
  </r>
  <r>
    <n v="193"/>
    <n v="18"/>
    <x v="0"/>
    <x v="1"/>
    <x v="3"/>
    <s v="до 250 рублей"/>
  </r>
  <r>
    <n v="194"/>
    <n v="19"/>
    <x v="0"/>
    <x v="4"/>
    <x v="4"/>
    <s v="351-450"/>
  </r>
  <r>
    <n v="195"/>
    <n v="20"/>
    <x v="0"/>
    <x v="2"/>
    <x v="1"/>
    <s v="351-450"/>
  </r>
  <r>
    <n v="196"/>
    <n v="24"/>
    <x v="0"/>
    <x v="0"/>
    <x v="1"/>
    <s v="250-350"/>
  </r>
  <r>
    <n v="197"/>
    <n v="21"/>
    <x v="0"/>
    <x v="2"/>
    <x v="3"/>
    <s v="351-450"/>
  </r>
  <r>
    <n v="198"/>
    <n v="24"/>
    <x v="0"/>
    <x v="0"/>
    <x v="3"/>
    <s v="250-350"/>
  </r>
  <r>
    <n v="199"/>
    <n v="21"/>
    <x v="0"/>
    <x v="3"/>
    <x v="4"/>
    <s v="550+ рублей"/>
  </r>
  <r>
    <n v="200"/>
    <n v="25"/>
    <x v="0"/>
    <x v="4"/>
    <x v="2"/>
    <s v="250-350"/>
  </r>
  <r>
    <n v="201"/>
    <n v="25"/>
    <x v="0"/>
    <x v="2"/>
    <x v="1"/>
    <s v="351-450"/>
  </r>
  <r>
    <n v="202"/>
    <n v="21"/>
    <x v="0"/>
    <x v="0"/>
    <x v="2"/>
    <s v="351-450"/>
  </r>
  <r>
    <n v="203"/>
    <n v="24"/>
    <x v="0"/>
    <x v="0"/>
    <x v="0"/>
    <s v="250-350"/>
  </r>
  <r>
    <n v="204"/>
    <n v="18"/>
    <x v="0"/>
    <x v="0"/>
    <x v="3"/>
    <s v="451-550"/>
  </r>
  <r>
    <n v="205"/>
    <n v="20"/>
    <x v="0"/>
    <x v="0"/>
    <x v="3"/>
    <s v="250-350"/>
  </r>
  <r>
    <n v="206"/>
    <n v="25"/>
    <x v="0"/>
    <x v="1"/>
    <x v="0"/>
    <s v="451-550"/>
  </r>
  <r>
    <n v="207"/>
    <n v="20"/>
    <x v="0"/>
    <x v="1"/>
    <x v="0"/>
    <s v="451-550"/>
  </r>
  <r>
    <n v="208"/>
    <n v="21"/>
    <x v="0"/>
    <x v="2"/>
    <x v="1"/>
    <s v="550+ рублей"/>
  </r>
  <r>
    <n v="209"/>
    <n v="23"/>
    <x v="0"/>
    <x v="4"/>
    <x v="1"/>
    <s v="до 250 рублей"/>
  </r>
  <r>
    <n v="210"/>
    <n v="24"/>
    <x v="0"/>
    <x v="0"/>
    <x v="3"/>
    <s v="до 250 рублей"/>
  </r>
  <r>
    <n v="211"/>
    <n v="24"/>
    <x v="0"/>
    <x v="0"/>
    <x v="4"/>
    <s v="250-350"/>
  </r>
  <r>
    <n v="212"/>
    <n v="20"/>
    <x v="0"/>
    <x v="0"/>
    <x v="1"/>
    <s v="351-450"/>
  </r>
  <r>
    <n v="213"/>
    <n v="21"/>
    <x v="0"/>
    <x v="0"/>
    <x v="3"/>
    <s v="до 250 рублей"/>
  </r>
  <r>
    <n v="214"/>
    <n v="19"/>
    <x v="0"/>
    <x v="0"/>
    <x v="3"/>
    <s v="250-350"/>
  </r>
  <r>
    <n v="215"/>
    <n v="20"/>
    <x v="0"/>
    <x v="0"/>
    <x v="1"/>
    <s v="250-350"/>
  </r>
  <r>
    <n v="216"/>
    <n v="21"/>
    <x v="0"/>
    <x v="0"/>
    <x v="3"/>
    <s v="550+ рублей"/>
  </r>
  <r>
    <n v="217"/>
    <n v="19"/>
    <x v="0"/>
    <x v="2"/>
    <x v="4"/>
    <s v="до 250 рублей"/>
  </r>
  <r>
    <n v="218"/>
    <n v="21"/>
    <x v="0"/>
    <x v="1"/>
    <x v="2"/>
    <s v="250-350"/>
  </r>
  <r>
    <n v="219"/>
    <n v="24"/>
    <x v="0"/>
    <x v="0"/>
    <x v="3"/>
    <s v="250-350"/>
  </r>
  <r>
    <n v="221"/>
    <n v="21"/>
    <x v="0"/>
    <x v="3"/>
    <x v="2"/>
    <s v="550+ рублей"/>
  </r>
  <r>
    <n v="222"/>
    <n v="21"/>
    <x v="0"/>
    <x v="4"/>
    <x v="2"/>
    <s v="до 250 рублей"/>
  </r>
  <r>
    <n v="223"/>
    <n v="21"/>
    <x v="0"/>
    <x v="1"/>
    <x v="1"/>
    <s v="351-450"/>
  </r>
  <r>
    <n v="224"/>
    <n v="23"/>
    <x v="0"/>
    <x v="0"/>
    <x v="3"/>
    <s v="до 250 рублей"/>
  </r>
  <r>
    <n v="225"/>
    <n v="25"/>
    <x v="0"/>
    <x v="2"/>
    <x v="4"/>
    <s v="351-450"/>
  </r>
  <r>
    <n v="226"/>
    <n v="21"/>
    <x v="0"/>
    <x v="0"/>
    <x v="0"/>
    <s v="351-450"/>
  </r>
  <r>
    <n v="227"/>
    <n v="21"/>
    <x v="0"/>
    <x v="0"/>
    <x v="0"/>
    <s v="351-450"/>
  </r>
  <r>
    <n v="228"/>
    <n v="19"/>
    <x v="0"/>
    <x v="0"/>
    <x v="4"/>
    <s v="550+ рублей"/>
  </r>
  <r>
    <n v="229"/>
    <n v="18"/>
    <x v="0"/>
    <x v="3"/>
    <x v="2"/>
    <s v="550+ рублей"/>
  </r>
  <r>
    <n v="230"/>
    <n v="19"/>
    <x v="0"/>
    <x v="1"/>
    <x v="1"/>
    <s v="250-350"/>
  </r>
  <r>
    <n v="231"/>
    <n v="19"/>
    <x v="0"/>
    <x v="0"/>
    <x v="2"/>
    <s v="250-350"/>
  </r>
  <r>
    <n v="232"/>
    <n v="18"/>
    <x v="0"/>
    <x v="2"/>
    <x v="2"/>
    <s v="250-350"/>
  </r>
  <r>
    <n v="233"/>
    <n v="25"/>
    <x v="0"/>
    <x v="1"/>
    <x v="3"/>
    <s v="до 250 рублей"/>
  </r>
  <r>
    <n v="234"/>
    <n v="18"/>
    <x v="0"/>
    <x v="3"/>
    <x v="2"/>
    <s v="550+ рублей"/>
  </r>
  <r>
    <n v="235"/>
    <n v="18"/>
    <x v="0"/>
    <x v="3"/>
    <x v="1"/>
    <s v="до 250 рублей"/>
  </r>
  <r>
    <n v="236"/>
    <n v="21"/>
    <x v="0"/>
    <x v="0"/>
    <x v="4"/>
    <s v="451-550"/>
  </r>
  <r>
    <n v="237"/>
    <n v="21"/>
    <x v="0"/>
    <x v="3"/>
    <x v="1"/>
    <s v="250-350"/>
  </r>
  <r>
    <n v="238"/>
    <n v="20"/>
    <x v="0"/>
    <x v="0"/>
    <x v="3"/>
    <s v="550+ рублей"/>
  </r>
  <r>
    <n v="239"/>
    <n v="22"/>
    <x v="0"/>
    <x v="0"/>
    <x v="1"/>
    <s v="до 250 рублей"/>
  </r>
  <r>
    <n v="240"/>
    <n v="19"/>
    <x v="0"/>
    <x v="0"/>
    <x v="1"/>
    <s v="до 250 рублей"/>
  </r>
  <r>
    <n v="241"/>
    <n v="19"/>
    <x v="0"/>
    <x v="0"/>
    <x v="3"/>
    <s v="250-350"/>
  </r>
  <r>
    <n v="242"/>
    <n v="19"/>
    <x v="0"/>
    <x v="3"/>
    <x v="4"/>
    <s v="250-350"/>
  </r>
  <r>
    <n v="243"/>
    <n v="24"/>
    <x v="0"/>
    <x v="0"/>
    <x v="2"/>
    <s v="250-350"/>
  </r>
  <r>
    <n v="245"/>
    <n v="22"/>
    <x v="0"/>
    <x v="0"/>
    <x v="1"/>
    <s v="550+ рублей"/>
  </r>
  <r>
    <n v="246"/>
    <n v="22"/>
    <x v="0"/>
    <x v="0"/>
    <x v="0"/>
    <s v="351-450"/>
  </r>
  <r>
    <n v="247"/>
    <n v="20"/>
    <x v="0"/>
    <x v="1"/>
    <x v="0"/>
    <s v="до 250 рублей"/>
  </r>
  <r>
    <n v="248"/>
    <n v="23"/>
    <x v="0"/>
    <x v="0"/>
    <x v="3"/>
    <s v="250-350"/>
  </r>
  <r>
    <n v="249"/>
    <n v="19"/>
    <x v="0"/>
    <x v="0"/>
    <x v="3"/>
    <s v="250-350"/>
  </r>
  <r>
    <n v="250"/>
    <n v="21"/>
    <x v="0"/>
    <x v="3"/>
    <x v="1"/>
    <s v="250-350"/>
  </r>
  <r>
    <n v="251"/>
    <n v="21"/>
    <x v="0"/>
    <x v="2"/>
    <x v="4"/>
    <s v="до 250 рублей"/>
  </r>
  <r>
    <n v="252"/>
    <n v="19"/>
    <x v="0"/>
    <x v="2"/>
    <x v="4"/>
    <s v="250-350"/>
  </r>
  <r>
    <n v="253"/>
    <n v="18"/>
    <x v="0"/>
    <x v="2"/>
    <x v="1"/>
    <s v="250-350"/>
  </r>
  <r>
    <n v="254"/>
    <n v="20"/>
    <x v="0"/>
    <x v="1"/>
    <x v="1"/>
    <s v="до 250 рублей"/>
  </r>
  <r>
    <n v="255"/>
    <n v="24"/>
    <x v="0"/>
    <x v="0"/>
    <x v="3"/>
    <s v="351-450"/>
  </r>
  <r>
    <n v="256"/>
    <n v="21"/>
    <x v="0"/>
    <x v="2"/>
    <x v="3"/>
    <s v="250-350"/>
  </r>
  <r>
    <n v="257"/>
    <n v="21"/>
    <x v="0"/>
    <x v="0"/>
    <x v="0"/>
    <s v="250-350"/>
  </r>
  <r>
    <n v="258"/>
    <n v="19"/>
    <x v="0"/>
    <x v="1"/>
    <x v="4"/>
    <s v="250-350"/>
  </r>
  <r>
    <n v="259"/>
    <n v="21"/>
    <x v="0"/>
    <x v="0"/>
    <x v="1"/>
    <s v="до 250 рублей"/>
  </r>
  <r>
    <n v="260"/>
    <n v="19"/>
    <x v="0"/>
    <x v="0"/>
    <x v="4"/>
    <s v="до 250 рублей"/>
  </r>
  <r>
    <n v="261"/>
    <n v="18"/>
    <x v="0"/>
    <x v="3"/>
    <x v="4"/>
    <s v="250-350"/>
  </r>
  <r>
    <n v="262"/>
    <n v="21"/>
    <x v="0"/>
    <x v="0"/>
    <x v="3"/>
    <s v="250-350"/>
  </r>
  <r>
    <n v="263"/>
    <n v="22"/>
    <x v="0"/>
    <x v="2"/>
    <x v="0"/>
    <s v="250-350"/>
  </r>
  <r>
    <n v="265"/>
    <n v="23"/>
    <x v="0"/>
    <x v="2"/>
    <x v="1"/>
    <s v="550+ рублей"/>
  </r>
  <r>
    <n v="220"/>
    <n v="24"/>
    <x v="0"/>
    <x v="0"/>
    <x v="1"/>
    <s v="250-350"/>
  </r>
  <r>
    <n v="266"/>
    <n v="24"/>
    <x v="0"/>
    <x v="0"/>
    <x v="3"/>
    <s v="250-350"/>
  </r>
  <r>
    <n v="267"/>
    <n v="22"/>
    <x v="0"/>
    <x v="0"/>
    <x v="3"/>
    <s v="451-550"/>
  </r>
  <r>
    <n v="268"/>
    <n v="20"/>
    <x v="0"/>
    <x v="0"/>
    <x v="1"/>
    <s v="550+ рублей"/>
  </r>
  <r>
    <n v="269"/>
    <n v="21"/>
    <x v="0"/>
    <x v="0"/>
    <x v="1"/>
    <s v="до 250 рублей"/>
  </r>
  <r>
    <n v="270"/>
    <n v="19"/>
    <x v="0"/>
    <x v="2"/>
    <x v="3"/>
    <s v="250-350"/>
  </r>
  <r>
    <n v="271"/>
    <n v="21"/>
    <x v="0"/>
    <x v="1"/>
    <x v="1"/>
    <s v="451-550"/>
  </r>
  <r>
    <n v="272"/>
    <n v="25"/>
    <x v="0"/>
    <x v="1"/>
    <x v="1"/>
    <s v="451-550"/>
  </r>
  <r>
    <n v="273"/>
    <n v="21"/>
    <x v="0"/>
    <x v="0"/>
    <x v="3"/>
    <s v="550+ рублей"/>
  </r>
  <r>
    <n v="274"/>
    <n v="21"/>
    <x v="0"/>
    <x v="0"/>
    <x v="2"/>
    <s v="451-550"/>
  </r>
  <r>
    <n v="275"/>
    <n v="21"/>
    <x v="0"/>
    <x v="0"/>
    <x v="3"/>
    <s v="250-350"/>
  </r>
  <r>
    <n v="276"/>
    <n v="21"/>
    <x v="0"/>
    <x v="0"/>
    <x v="3"/>
    <s v="451-550"/>
  </r>
  <r>
    <n v="277"/>
    <n v="21"/>
    <x v="0"/>
    <x v="0"/>
    <x v="3"/>
    <s v="до 250 рублей"/>
  </r>
  <r>
    <n v="278"/>
    <n v="25"/>
    <x v="0"/>
    <x v="0"/>
    <x v="3"/>
    <s v="550+ рублей"/>
  </r>
  <r>
    <n v="279"/>
    <n v="18"/>
    <x v="0"/>
    <x v="0"/>
    <x v="4"/>
    <s v="до 250 рублей"/>
  </r>
  <r>
    <n v="280"/>
    <n v="19"/>
    <x v="0"/>
    <x v="1"/>
    <x v="1"/>
    <s v="250-350"/>
  </r>
  <r>
    <n v="281"/>
    <n v="19"/>
    <x v="0"/>
    <x v="0"/>
    <x v="1"/>
    <s v="351-450"/>
  </r>
  <r>
    <n v="282"/>
    <n v="20"/>
    <x v="0"/>
    <x v="0"/>
    <x v="3"/>
    <s v="до 250 рублей"/>
  </r>
  <r>
    <n v="283"/>
    <n v="23"/>
    <x v="0"/>
    <x v="0"/>
    <x v="2"/>
    <s v="до 250 рублей"/>
  </r>
  <r>
    <n v="284"/>
    <n v="18"/>
    <x v="0"/>
    <x v="1"/>
    <x v="0"/>
    <s v="250-350"/>
  </r>
  <r>
    <n v="286"/>
    <n v="19"/>
    <x v="0"/>
    <x v="0"/>
    <x v="3"/>
    <s v="550+ рублей"/>
  </r>
  <r>
    <n v="287"/>
    <n v="18"/>
    <x v="0"/>
    <x v="0"/>
    <x v="2"/>
    <s v="550+ рублей"/>
  </r>
  <r>
    <n v="288"/>
    <n v="21"/>
    <x v="0"/>
    <x v="0"/>
    <x v="1"/>
    <s v="до 250 рублей"/>
  </r>
  <r>
    <n v="289"/>
    <n v="24"/>
    <x v="0"/>
    <x v="1"/>
    <x v="1"/>
    <s v="550+ рублей"/>
  </r>
  <r>
    <n v="290"/>
    <n v="25"/>
    <x v="0"/>
    <x v="0"/>
    <x v="0"/>
    <s v="250-350"/>
  </r>
  <r>
    <n v="291"/>
    <n v="19"/>
    <x v="0"/>
    <x v="0"/>
    <x v="2"/>
    <s v="250-350"/>
  </r>
  <r>
    <n v="292"/>
    <n v="19"/>
    <x v="0"/>
    <x v="0"/>
    <x v="3"/>
    <s v="250-350"/>
  </r>
  <r>
    <n v="293"/>
    <n v="21"/>
    <x v="0"/>
    <x v="4"/>
    <x v="3"/>
    <s v="до 250 рублей"/>
  </r>
  <r>
    <n v="294"/>
    <n v="22"/>
    <x v="0"/>
    <x v="4"/>
    <x v="3"/>
    <s v="до 250 рублей"/>
  </r>
  <r>
    <n v="295"/>
    <n v="24"/>
    <x v="0"/>
    <x v="0"/>
    <x v="2"/>
    <s v="250-350"/>
  </r>
  <r>
    <n v="296"/>
    <n v="19"/>
    <x v="0"/>
    <x v="0"/>
    <x v="1"/>
    <s v="до 250 рублей"/>
  </r>
  <r>
    <n v="297"/>
    <n v="24"/>
    <x v="0"/>
    <x v="0"/>
    <x v="2"/>
    <s v="до 250 рублей"/>
  </r>
  <r>
    <n v="298"/>
    <n v="19"/>
    <x v="0"/>
    <x v="0"/>
    <x v="3"/>
    <s v="351-450"/>
  </r>
  <r>
    <n v="299"/>
    <n v="23"/>
    <x v="0"/>
    <x v="0"/>
    <x v="1"/>
    <s v="до 250 рублей"/>
  </r>
  <r>
    <n v="300"/>
    <n v="20"/>
    <x v="0"/>
    <x v="0"/>
    <x v="3"/>
    <s v="250-350"/>
  </r>
  <r>
    <n v="301"/>
    <n v="18"/>
    <x v="0"/>
    <x v="2"/>
    <x v="1"/>
    <s v="до 250 рублей"/>
  </r>
  <r>
    <n v="302"/>
    <n v="25"/>
    <x v="0"/>
    <x v="4"/>
    <x v="1"/>
    <s v="250-350"/>
  </r>
  <r>
    <n v="303"/>
    <n v="18"/>
    <x v="0"/>
    <x v="4"/>
    <x v="1"/>
    <s v="до 250 рублей"/>
  </r>
  <r>
    <n v="304"/>
    <n v="20"/>
    <x v="0"/>
    <x v="3"/>
    <x v="1"/>
    <s v="250-350"/>
  </r>
  <r>
    <s v="AXOBV991"/>
    <n v="18"/>
    <x v="1"/>
    <x v="2"/>
    <x v="3"/>
    <s v="до 250 рублей"/>
  </r>
  <r>
    <s v="YIWQU824"/>
    <n v="18"/>
    <x v="1"/>
    <x v="0"/>
    <x v="1"/>
    <s v="до 250 рублей"/>
  </r>
  <r>
    <s v="TVVXJ702"/>
    <n v="18"/>
    <x v="1"/>
    <x v="0"/>
    <x v="1"/>
    <s v="до 250 рублей"/>
  </r>
  <r>
    <s v="YIZKW418"/>
    <n v="18"/>
    <x v="1"/>
    <x v="0"/>
    <x v="0"/>
    <s v="до 250 рублей"/>
  </r>
  <r>
    <s v="MXYOM801"/>
    <n v="18"/>
    <x v="1"/>
    <x v="0"/>
    <x v="1"/>
    <s v="до 250 рублей"/>
  </r>
  <r>
    <s v="GVTCR352"/>
    <n v="18"/>
    <x v="1"/>
    <x v="3"/>
    <x v="4"/>
    <s v="до 250 рублей"/>
  </r>
  <r>
    <s v="LAXMN110"/>
    <n v="18"/>
    <x v="1"/>
    <x v="0"/>
    <x v="1"/>
    <s v="до 250 рублей"/>
  </r>
  <r>
    <s v="PUAAG520"/>
    <n v="18"/>
    <x v="1"/>
    <x v="0"/>
    <x v="4"/>
    <s v="до 250 рублей"/>
  </r>
  <r>
    <s v="FBCVN966"/>
    <n v="18"/>
    <x v="1"/>
    <x v="2"/>
    <x v="1"/>
    <s v="до 250 рублей"/>
  </r>
  <r>
    <s v="EMVOF074"/>
    <n v="18"/>
    <x v="1"/>
    <x v="2"/>
    <x v="4"/>
    <s v="до 250 рублей"/>
  </r>
  <r>
    <s v="FRRVI702"/>
    <n v="18"/>
    <x v="1"/>
    <x v="0"/>
    <x v="1"/>
    <s v="до 250 рублей"/>
  </r>
  <r>
    <s v="NRQRT304"/>
    <n v="18"/>
    <x v="1"/>
    <x v="0"/>
    <x v="1"/>
    <s v="до 250 рублей"/>
  </r>
  <r>
    <s v="TPTOR701"/>
    <n v="18"/>
    <x v="1"/>
    <x v="0"/>
    <x v="1"/>
    <s v="до 250 рублей"/>
  </r>
  <r>
    <s v="RRYYM097"/>
    <n v="18"/>
    <x v="1"/>
    <x v="0"/>
    <x v="1"/>
    <s v="до 250 рублей"/>
  </r>
  <r>
    <s v="IGOYU966"/>
    <n v="18"/>
    <x v="1"/>
    <x v="2"/>
    <x v="0"/>
    <s v="до 250 рублей"/>
  </r>
  <r>
    <s v="ZQZTD201"/>
    <n v="18"/>
    <x v="1"/>
    <x v="0"/>
    <x v="0"/>
    <s v="до 250 рублей"/>
  </r>
  <r>
    <s v="SHJYU629"/>
    <n v="18"/>
    <x v="1"/>
    <x v="0"/>
    <x v="4"/>
    <s v="до 250 рублей"/>
  </r>
  <r>
    <s v="FVWTK713"/>
    <n v="18"/>
    <x v="1"/>
    <x v="2"/>
    <x v="4"/>
    <s v="до 250 рублей"/>
  </r>
  <r>
    <s v="VUMJS954"/>
    <n v="18"/>
    <x v="1"/>
    <x v="0"/>
    <x v="1"/>
    <s v="до 250 рублей"/>
  </r>
  <r>
    <s v="TGNME740"/>
    <n v="18"/>
    <x v="1"/>
    <x v="0"/>
    <x v="1"/>
    <s v="до 250 рублей"/>
  </r>
  <r>
    <s v="JSVAN850"/>
    <n v="18"/>
    <x v="1"/>
    <x v="0"/>
    <x v="1"/>
    <s v="до 250 рублей"/>
  </r>
  <r>
    <s v="SJZLW931"/>
    <n v="18"/>
    <x v="1"/>
    <x v="0"/>
    <x v="1"/>
    <s v="до 250 рублей"/>
  </r>
  <r>
    <s v="IPMUO011"/>
    <n v="18"/>
    <x v="1"/>
    <x v="0"/>
    <x v="1"/>
    <s v="до 250 рублей"/>
  </r>
  <r>
    <s v="PTZQU800"/>
    <n v="18"/>
    <x v="1"/>
    <x v="2"/>
    <x v="4"/>
    <s v="до 250 рублей"/>
  </r>
  <r>
    <s v="PMOYT654"/>
    <n v="18"/>
    <x v="1"/>
    <x v="0"/>
    <x v="3"/>
    <s v="до 250 рублей"/>
  </r>
  <r>
    <s v="HDBHD377"/>
    <n v="18"/>
    <x v="1"/>
    <x v="0"/>
    <x v="0"/>
    <s v="до 250 рублей"/>
  </r>
  <r>
    <s v="FZDJJ453"/>
    <n v="18"/>
    <x v="1"/>
    <x v="2"/>
    <x v="1"/>
    <s v="до 250 рублей"/>
  </r>
  <r>
    <s v="ZMVFL343"/>
    <n v="18"/>
    <x v="1"/>
    <x v="3"/>
    <x v="0"/>
    <s v="до 250 рублей"/>
  </r>
  <r>
    <s v="RBMKX235"/>
    <n v="18"/>
    <x v="1"/>
    <x v="0"/>
    <x v="1"/>
    <s v="до 250 рублей"/>
  </r>
  <r>
    <s v="NECUE148"/>
    <n v="18"/>
    <x v="1"/>
    <x v="0"/>
    <x v="1"/>
    <s v="до 250 рублей"/>
  </r>
  <r>
    <s v="YTPJR660"/>
    <n v="18"/>
    <x v="1"/>
    <x v="0"/>
    <x v="0"/>
    <s v="до 250 рублей"/>
  </r>
  <r>
    <s v="URMMH384"/>
    <n v="18"/>
    <x v="1"/>
    <x v="0"/>
    <x v="1"/>
    <s v="до 250 рублей"/>
  </r>
  <r>
    <s v="QMHJL247"/>
    <n v="18"/>
    <x v="1"/>
    <x v="0"/>
    <x v="3"/>
    <s v="до 250 рублей"/>
  </r>
  <r>
    <s v="FZJPC224"/>
    <n v="18"/>
    <x v="1"/>
    <x v="3"/>
    <x v="1"/>
    <s v="до 250 рублей"/>
  </r>
  <r>
    <s v="PZSOJ921"/>
    <n v="18"/>
    <x v="1"/>
    <x v="0"/>
    <x v="1"/>
    <s v="до 250 рублей"/>
  </r>
  <r>
    <s v="BOVIU389"/>
    <n v="18"/>
    <x v="1"/>
    <x v="2"/>
    <x v="1"/>
    <s v="до 250 рублей"/>
  </r>
  <r>
    <s v="EGYFH038"/>
    <n v="18"/>
    <x v="1"/>
    <x v="2"/>
    <x v="1"/>
    <s v="до 250 рублей"/>
  </r>
  <r>
    <s v="IOSSO326"/>
    <n v="18"/>
    <x v="1"/>
    <x v="2"/>
    <x v="4"/>
    <s v="до 250 рублей"/>
  </r>
  <r>
    <s v="JACIM924"/>
    <n v="18"/>
    <x v="1"/>
    <x v="2"/>
    <x v="0"/>
    <s v="до 250 рублей"/>
  </r>
  <r>
    <s v="VEDYI674"/>
    <n v="18"/>
    <x v="1"/>
    <x v="0"/>
    <x v="1"/>
    <s v="до 250 рублей"/>
  </r>
  <r>
    <s v="IEBXH936"/>
    <n v="18"/>
    <x v="1"/>
    <x v="3"/>
    <x v="0"/>
    <s v="до 250 рублей"/>
  </r>
  <r>
    <s v="PTNKC925"/>
    <n v="18"/>
    <x v="1"/>
    <x v="0"/>
    <x v="4"/>
    <s v="до 250 рублей"/>
  </r>
  <r>
    <s v="KYDXL935"/>
    <n v="18"/>
    <x v="1"/>
    <x v="2"/>
    <x v="1"/>
    <s v="до 250 рублей"/>
  </r>
  <r>
    <s v="PIMVN715"/>
    <n v="18"/>
    <x v="1"/>
    <x v="0"/>
    <x v="0"/>
    <s v="до 250 рублей"/>
  </r>
  <r>
    <s v="GOUOF785"/>
    <n v="18"/>
    <x v="1"/>
    <x v="3"/>
    <x v="1"/>
    <s v="до 250 рублей"/>
  </r>
  <r>
    <s v="GQOUP534"/>
    <n v="18"/>
    <x v="1"/>
    <x v="3"/>
    <x v="0"/>
    <s v="до 250 рублей"/>
  </r>
  <r>
    <s v="MMHHC347"/>
    <n v="18"/>
    <x v="1"/>
    <x v="2"/>
    <x v="4"/>
    <s v="до 250 рублей"/>
  </r>
  <r>
    <s v="VQVIS240"/>
    <n v="18"/>
    <x v="1"/>
    <x v="0"/>
    <x v="1"/>
    <s v="до 250 рублей"/>
  </r>
  <r>
    <s v="HDBLI646"/>
    <n v="18"/>
    <x v="1"/>
    <x v="0"/>
    <x v="0"/>
    <s v="до 250 рублей"/>
  </r>
  <r>
    <s v="TZJQT490"/>
    <n v="18"/>
    <x v="1"/>
    <x v="0"/>
    <x v="3"/>
    <s v="до 250 рублей"/>
  </r>
  <r>
    <s v="IEGGD858"/>
    <n v="18"/>
    <x v="1"/>
    <x v="2"/>
    <x v="0"/>
    <s v="до 250 рублей"/>
  </r>
  <r>
    <s v="RBXIR480"/>
    <n v="18"/>
    <x v="1"/>
    <x v="0"/>
    <x v="1"/>
    <s v="до 250 рублей"/>
  </r>
  <r>
    <s v="NFLJR990"/>
    <n v="18"/>
    <x v="1"/>
    <x v="0"/>
    <x v="4"/>
    <s v="до 250 рублей"/>
  </r>
  <r>
    <s v="FVLGG345"/>
    <n v="18"/>
    <x v="1"/>
    <x v="2"/>
    <x v="4"/>
    <s v="до 250 рублей"/>
  </r>
  <r>
    <s v="KLCQU151"/>
    <n v="18"/>
    <x v="1"/>
    <x v="3"/>
    <x v="0"/>
    <s v="до 250 рублей"/>
  </r>
  <r>
    <s v="EJMKZ012"/>
    <n v="18"/>
    <x v="1"/>
    <x v="0"/>
    <x v="1"/>
    <s v="до 250 рублей"/>
  </r>
  <r>
    <s v="TTKKY674"/>
    <n v="18"/>
    <x v="1"/>
    <x v="0"/>
    <x v="1"/>
    <s v="до 250 рублей"/>
  </r>
  <r>
    <s v="NEYAE565"/>
    <n v="18"/>
    <x v="1"/>
    <x v="0"/>
    <x v="1"/>
    <s v="до 250 рублей"/>
  </r>
  <r>
    <s v="UJBHG100"/>
    <n v="18"/>
    <x v="1"/>
    <x v="0"/>
    <x v="1"/>
    <s v="до 250 рублей"/>
  </r>
  <r>
    <s v="DHBTY221"/>
    <n v="18"/>
    <x v="1"/>
    <x v="2"/>
    <x v="1"/>
    <s v="до 250 рублей"/>
  </r>
  <r>
    <s v="RMGFC991"/>
    <n v="18"/>
    <x v="1"/>
    <x v="0"/>
    <x v="0"/>
    <s v="до 250 рублей"/>
  </r>
  <r>
    <s v="YOWRC851"/>
    <n v="18"/>
    <x v="1"/>
    <x v="3"/>
    <x v="0"/>
    <s v="до 250 рублей"/>
  </r>
  <r>
    <s v="YKKBN126"/>
    <n v="18"/>
    <x v="1"/>
    <x v="0"/>
    <x v="0"/>
    <s v="до 250 рублей"/>
  </r>
  <r>
    <s v="YMARB668"/>
    <n v="18"/>
    <x v="1"/>
    <x v="0"/>
    <x v="0"/>
    <s v="до 250 рублей"/>
  </r>
  <r>
    <s v="ZLDMD722"/>
    <n v="18"/>
    <x v="1"/>
    <x v="0"/>
    <x v="0"/>
    <s v="до 250 рублей"/>
  </r>
  <r>
    <s v="UBFUL455"/>
    <n v="18"/>
    <x v="1"/>
    <x v="0"/>
    <x v="1"/>
    <s v="до 250 рублей"/>
  </r>
  <r>
    <s v="PWNWP932"/>
    <n v="18"/>
    <x v="1"/>
    <x v="0"/>
    <x v="1"/>
    <s v="до 250 рублей"/>
  </r>
  <r>
    <s v="PKTXX788"/>
    <n v="18"/>
    <x v="1"/>
    <x v="0"/>
    <x v="1"/>
    <s v="до 250 рублей"/>
  </r>
  <r>
    <s v="QBSQA163"/>
    <n v="18"/>
    <x v="1"/>
    <x v="0"/>
    <x v="1"/>
    <s v="до 250 рублей"/>
  </r>
  <r>
    <s v="UYKWD395"/>
    <n v="18"/>
    <x v="1"/>
    <x v="0"/>
    <x v="4"/>
    <s v="до 250 рублей"/>
  </r>
  <r>
    <s v="VFFFI920"/>
    <n v="18"/>
    <x v="1"/>
    <x v="0"/>
    <x v="1"/>
    <s v="до 250 рублей"/>
  </r>
  <r>
    <s v="USETY757"/>
    <n v="18"/>
    <x v="1"/>
    <x v="0"/>
    <x v="1"/>
    <s v="до 250 рублей"/>
  </r>
  <r>
    <s v="SMPPV971"/>
    <n v="18"/>
    <x v="1"/>
    <x v="0"/>
    <x v="0"/>
    <s v="до 250 рублей"/>
  </r>
  <r>
    <s v="JJKCE344"/>
    <n v="18"/>
    <x v="1"/>
    <x v="2"/>
    <x v="4"/>
    <s v="до 250 рублей"/>
  </r>
  <r>
    <s v="JQHKP483"/>
    <n v="18"/>
    <x v="1"/>
    <x v="3"/>
    <x v="4"/>
    <s v="до 250 рублей"/>
  </r>
  <r>
    <s v="QQXJM516"/>
    <n v="18"/>
    <x v="1"/>
    <x v="0"/>
    <x v="1"/>
    <s v="до 250 рублей"/>
  </r>
  <r>
    <s v="YGOSP005"/>
    <n v="18"/>
    <x v="1"/>
    <x v="3"/>
    <x v="0"/>
    <s v="до 250 рублей"/>
  </r>
  <r>
    <s v="TVPIN002"/>
    <n v="18"/>
    <x v="1"/>
    <x v="0"/>
    <x v="3"/>
    <s v="до 250 рублей"/>
  </r>
  <r>
    <s v="KGNCA896"/>
    <n v="18"/>
    <x v="1"/>
    <x v="2"/>
    <x v="4"/>
    <s v="до 250 рублей"/>
  </r>
  <r>
    <s v="LQHTZ771"/>
    <n v="18"/>
    <x v="1"/>
    <x v="0"/>
    <x v="1"/>
    <s v="до 250 рублей"/>
  </r>
  <r>
    <s v="SFYXJ970"/>
    <n v="18"/>
    <x v="1"/>
    <x v="0"/>
    <x v="1"/>
    <s v="до 250 рублей"/>
  </r>
  <r>
    <s v="AYZTL391"/>
    <n v="18"/>
    <x v="1"/>
    <x v="1"/>
    <x v="3"/>
    <s v="до 250 рублей"/>
  </r>
  <r>
    <s v="ALDCJ504"/>
    <n v="18"/>
    <x v="1"/>
    <x v="2"/>
    <x v="3"/>
    <s v="до 250 рублей"/>
  </r>
  <r>
    <s v="XGHDE064"/>
    <n v="18"/>
    <x v="1"/>
    <x v="0"/>
    <x v="1"/>
    <s v="до 250 рублей"/>
  </r>
  <r>
    <s v="FOPWQ678"/>
    <n v="18"/>
    <x v="1"/>
    <x v="0"/>
    <x v="1"/>
    <s v="до 250 рублей"/>
  </r>
  <r>
    <s v="GDVFK555"/>
    <n v="18"/>
    <x v="1"/>
    <x v="2"/>
    <x v="1"/>
    <s v="до 250 рублей"/>
  </r>
  <r>
    <s v="HBLGZ660"/>
    <n v="18"/>
    <x v="1"/>
    <x v="0"/>
    <x v="4"/>
    <s v="до 250 рублей"/>
  </r>
  <r>
    <s v="INBWM285"/>
    <n v="18"/>
    <x v="1"/>
    <x v="0"/>
    <x v="4"/>
    <s v="до 250 рублей"/>
  </r>
  <r>
    <s v="EYSMM151"/>
    <n v="18"/>
    <x v="1"/>
    <x v="3"/>
    <x v="1"/>
    <s v="до 250 рублей"/>
  </r>
  <r>
    <s v="UXWYV589"/>
    <n v="18"/>
    <x v="1"/>
    <x v="0"/>
    <x v="1"/>
    <s v="до 250 рублей"/>
  </r>
  <r>
    <s v="SFNVR683"/>
    <n v="18"/>
    <x v="1"/>
    <x v="0"/>
    <x v="4"/>
    <s v="до 250 рублей"/>
  </r>
  <r>
    <s v="OAAFN516"/>
    <n v="18"/>
    <x v="1"/>
    <x v="0"/>
    <x v="4"/>
    <s v="до 250 рублей"/>
  </r>
  <r>
    <s v="JSCFY345"/>
    <n v="18"/>
    <x v="1"/>
    <x v="3"/>
    <x v="0"/>
    <s v="до 250 рублей"/>
  </r>
  <r>
    <s v="QKDGB784"/>
    <n v="18"/>
    <x v="1"/>
    <x v="0"/>
    <x v="1"/>
    <s v="до 250 рублей"/>
  </r>
  <r>
    <s v="KCHOU287"/>
    <n v="18"/>
    <x v="1"/>
    <x v="0"/>
    <x v="1"/>
    <s v="до 250 рублей"/>
  </r>
  <r>
    <s v="VNGAJ106"/>
    <n v="18"/>
    <x v="1"/>
    <x v="0"/>
    <x v="1"/>
    <s v="до 250 рублей"/>
  </r>
  <r>
    <s v="DSNDT618"/>
    <n v="19"/>
    <x v="1"/>
    <x v="2"/>
    <x v="1"/>
    <s v="до 250 рублей"/>
  </r>
  <r>
    <s v="FCZGV753"/>
    <n v="19"/>
    <x v="1"/>
    <x v="0"/>
    <x v="1"/>
    <s v="до 250 рублей"/>
  </r>
  <r>
    <s v="PXBHX507"/>
    <n v="19"/>
    <x v="1"/>
    <x v="0"/>
    <x v="3"/>
    <s v="до 250 рублей"/>
  </r>
  <r>
    <s v="JNHEP291"/>
    <n v="19"/>
    <x v="1"/>
    <x v="0"/>
    <x v="4"/>
    <s v="до 250 рублей"/>
  </r>
  <r>
    <s v="ATIDW415"/>
    <n v="19"/>
    <x v="1"/>
    <x v="4"/>
    <x v="4"/>
    <s v="до 250 рублей"/>
  </r>
  <r>
    <s v="WRNVS238"/>
    <n v="19"/>
    <x v="1"/>
    <x v="0"/>
    <x v="0"/>
    <s v="до 250 рублей"/>
  </r>
  <r>
    <s v="PFOMN980"/>
    <n v="19"/>
    <x v="1"/>
    <x v="2"/>
    <x v="4"/>
    <s v="до 250 рублей"/>
  </r>
  <r>
    <s v="PZWWM566"/>
    <n v="19"/>
    <x v="1"/>
    <x v="0"/>
    <x v="1"/>
    <s v="до 250 рублей"/>
  </r>
  <r>
    <s v="QRYZE299"/>
    <n v="19"/>
    <x v="1"/>
    <x v="0"/>
    <x v="1"/>
    <s v="до 250 рублей"/>
  </r>
  <r>
    <s v="GSFAO265"/>
    <n v="19"/>
    <x v="1"/>
    <x v="2"/>
    <x v="4"/>
    <s v="до 250 рублей"/>
  </r>
  <r>
    <s v="XMCLO271"/>
    <n v="19"/>
    <x v="1"/>
    <x v="0"/>
    <x v="0"/>
    <s v="до 250 рублей"/>
  </r>
  <r>
    <s v="TICRG753"/>
    <n v="19"/>
    <x v="1"/>
    <x v="0"/>
    <x v="1"/>
    <s v="до 250 рублей"/>
  </r>
  <r>
    <s v="HDIPI156"/>
    <n v="19"/>
    <x v="1"/>
    <x v="3"/>
    <x v="0"/>
    <s v="до 250 рублей"/>
  </r>
  <r>
    <s v="TELUJ520"/>
    <n v="19"/>
    <x v="1"/>
    <x v="0"/>
    <x v="1"/>
    <s v="до 250 рублей"/>
  </r>
  <r>
    <s v="JSRJV069"/>
    <n v="19"/>
    <x v="1"/>
    <x v="3"/>
    <x v="1"/>
    <s v="до 250 рублей"/>
  </r>
  <r>
    <s v="SZMCX684"/>
    <n v="19"/>
    <x v="1"/>
    <x v="0"/>
    <x v="1"/>
    <s v="до 250 рублей"/>
  </r>
  <r>
    <s v="MGLHZ725"/>
    <n v="19"/>
    <x v="1"/>
    <x v="3"/>
    <x v="4"/>
    <s v="до 250 рублей"/>
  </r>
  <r>
    <s v="HIRDP415"/>
    <n v="19"/>
    <x v="1"/>
    <x v="0"/>
    <x v="0"/>
    <s v="до 250 рублей"/>
  </r>
  <r>
    <s v="KKPST594"/>
    <n v="19"/>
    <x v="1"/>
    <x v="0"/>
    <x v="0"/>
    <s v="до 250 рублей"/>
  </r>
  <r>
    <s v="MUANJ436"/>
    <n v="19"/>
    <x v="1"/>
    <x v="2"/>
    <x v="4"/>
    <s v="до 250 рублей"/>
  </r>
  <r>
    <s v="THILU070"/>
    <n v="19"/>
    <x v="1"/>
    <x v="0"/>
    <x v="1"/>
    <s v="до 250 рублей"/>
  </r>
  <r>
    <s v="ZWLQX145"/>
    <n v="19"/>
    <x v="1"/>
    <x v="0"/>
    <x v="0"/>
    <s v="до 250 рублей"/>
  </r>
  <r>
    <s v="FUYSN220"/>
    <n v="19"/>
    <x v="1"/>
    <x v="2"/>
    <x v="0"/>
    <s v="до 250 рублей"/>
  </r>
  <r>
    <s v="XRLCI973"/>
    <n v="19"/>
    <x v="1"/>
    <x v="0"/>
    <x v="0"/>
    <s v="до 250 рублей"/>
  </r>
  <r>
    <s v="SNGGI477"/>
    <n v="19"/>
    <x v="1"/>
    <x v="0"/>
    <x v="4"/>
    <s v="до 250 рублей"/>
  </r>
  <r>
    <s v="TOQEP520"/>
    <n v="19"/>
    <x v="1"/>
    <x v="0"/>
    <x v="1"/>
    <s v="до 250 рублей"/>
  </r>
  <r>
    <s v="KNLEK806"/>
    <n v="19"/>
    <x v="1"/>
    <x v="0"/>
    <x v="4"/>
    <s v="до 250 рублей"/>
  </r>
  <r>
    <s v="MSJZL467"/>
    <n v="19"/>
    <x v="1"/>
    <x v="3"/>
    <x v="4"/>
    <s v="до 250 рублей"/>
  </r>
  <r>
    <s v="RWAAC859"/>
    <n v="19"/>
    <x v="1"/>
    <x v="0"/>
    <x v="3"/>
    <s v="до 250 рублей"/>
  </r>
  <r>
    <s v="PBUSP405"/>
    <n v="19"/>
    <x v="1"/>
    <x v="2"/>
    <x v="0"/>
    <s v="до 250 рублей"/>
  </r>
  <r>
    <s v="RVKKJ559"/>
    <n v="19"/>
    <x v="1"/>
    <x v="0"/>
    <x v="0"/>
    <s v="до 250 рублей"/>
  </r>
  <r>
    <s v="ICHHW652"/>
    <n v="19"/>
    <x v="1"/>
    <x v="3"/>
    <x v="4"/>
    <s v="до 250 рублей"/>
  </r>
  <r>
    <s v="OQUEX618"/>
    <n v="19"/>
    <x v="1"/>
    <x v="2"/>
    <x v="4"/>
    <s v="до 250 рублей"/>
  </r>
  <r>
    <s v="MHFXK165"/>
    <n v="19"/>
    <x v="1"/>
    <x v="0"/>
    <x v="4"/>
    <s v="до 250 рублей"/>
  </r>
  <r>
    <s v="JGZCT904"/>
    <n v="19"/>
    <x v="1"/>
    <x v="0"/>
    <x v="4"/>
    <s v="до 250 рублей"/>
  </r>
  <r>
    <s v="DADDV778"/>
    <n v="19"/>
    <x v="1"/>
    <x v="3"/>
    <x v="1"/>
    <s v="до 250 рублей"/>
  </r>
  <r>
    <s v="KSFAF369"/>
    <n v="19"/>
    <x v="1"/>
    <x v="2"/>
    <x v="1"/>
    <s v="до 250 рублей"/>
  </r>
  <r>
    <s v="LINNV430"/>
    <n v="19"/>
    <x v="1"/>
    <x v="2"/>
    <x v="4"/>
    <s v="до 250 рублей"/>
  </r>
  <r>
    <s v="EGMIV831"/>
    <n v="19"/>
    <x v="1"/>
    <x v="1"/>
    <x v="4"/>
    <s v="до 250 рублей"/>
  </r>
  <r>
    <s v="ITIWE433"/>
    <n v="19"/>
    <x v="1"/>
    <x v="3"/>
    <x v="1"/>
    <s v="до 250 рублей"/>
  </r>
  <r>
    <s v="HHVAM674"/>
    <n v="19"/>
    <x v="1"/>
    <x v="0"/>
    <x v="4"/>
    <s v="до 250 рублей"/>
  </r>
  <r>
    <s v="DISTN462"/>
    <n v="19"/>
    <x v="1"/>
    <x v="3"/>
    <x v="1"/>
    <s v="до 250 рублей"/>
  </r>
  <r>
    <s v="GUISI205"/>
    <n v="19"/>
    <x v="1"/>
    <x v="3"/>
    <x v="0"/>
    <s v="до 250 рублей"/>
  </r>
  <r>
    <s v="AKMKT444"/>
    <n v="19"/>
    <x v="1"/>
    <x v="4"/>
    <x v="0"/>
    <s v="до 250 рублей"/>
  </r>
  <r>
    <s v="QICOZ415"/>
    <n v="19"/>
    <x v="1"/>
    <x v="0"/>
    <x v="1"/>
    <s v="до 250 рублей"/>
  </r>
  <r>
    <s v="CPPQZ624"/>
    <n v="19"/>
    <x v="1"/>
    <x v="2"/>
    <x v="1"/>
    <s v="до 250 рублей"/>
  </r>
  <r>
    <s v="OQKDN513"/>
    <n v="19"/>
    <x v="1"/>
    <x v="0"/>
    <x v="0"/>
    <s v="до 250 рублей"/>
  </r>
  <r>
    <s v="CZQCE560"/>
    <n v="19"/>
    <x v="1"/>
    <x v="3"/>
    <x v="1"/>
    <s v="до 250 рублей"/>
  </r>
  <r>
    <s v="BUCEQ181"/>
    <n v="19"/>
    <x v="1"/>
    <x v="2"/>
    <x v="0"/>
    <s v="до 250 рублей"/>
  </r>
  <r>
    <s v="LQFRC033"/>
    <n v="19"/>
    <x v="1"/>
    <x v="0"/>
    <x v="1"/>
    <s v="до 250 рублей"/>
  </r>
  <r>
    <s v="ZZPQV582"/>
    <n v="19"/>
    <x v="1"/>
    <x v="0"/>
    <x v="3"/>
    <s v="до 250 рублей"/>
  </r>
  <r>
    <s v="PXKKL584"/>
    <n v="19"/>
    <x v="1"/>
    <x v="3"/>
    <x v="1"/>
    <s v="до 250 рублей"/>
  </r>
  <r>
    <s v="EKKIM876"/>
    <n v="19"/>
    <x v="1"/>
    <x v="2"/>
    <x v="1"/>
    <s v="до 250 рублей"/>
  </r>
  <r>
    <s v="DGSYQ148"/>
    <n v="19"/>
    <x v="1"/>
    <x v="3"/>
    <x v="1"/>
    <s v="до 250 рублей"/>
  </r>
  <r>
    <s v="UMKTB834"/>
    <n v="19"/>
    <x v="1"/>
    <x v="0"/>
    <x v="1"/>
    <s v="до 250 рублей"/>
  </r>
  <r>
    <s v="NNGNZ263"/>
    <n v="19"/>
    <x v="1"/>
    <x v="0"/>
    <x v="0"/>
    <s v="до 250 рублей"/>
  </r>
  <r>
    <s v="ULWCM384"/>
    <n v="19"/>
    <x v="1"/>
    <x v="0"/>
    <x v="4"/>
    <s v="до 250 рублей"/>
  </r>
  <r>
    <s v="YSAPZ145"/>
    <n v="19"/>
    <x v="1"/>
    <x v="0"/>
    <x v="1"/>
    <s v="до 250 рублей"/>
  </r>
  <r>
    <s v="MVFEP234"/>
    <n v="19"/>
    <x v="1"/>
    <x v="3"/>
    <x v="4"/>
    <s v="до 250 рублей"/>
  </r>
  <r>
    <s v="NTMAS076"/>
    <n v="19"/>
    <x v="1"/>
    <x v="0"/>
    <x v="4"/>
    <s v="до 250 рублей"/>
  </r>
  <r>
    <s v="IPLZQ058"/>
    <n v="19"/>
    <x v="1"/>
    <x v="3"/>
    <x v="1"/>
    <s v="до 250 рублей"/>
  </r>
  <r>
    <s v="YRQNX002"/>
    <n v="19"/>
    <x v="1"/>
    <x v="0"/>
    <x v="0"/>
    <s v="до 250 рублей"/>
  </r>
  <r>
    <s v="RCUYF467"/>
    <n v="19"/>
    <x v="1"/>
    <x v="0"/>
    <x v="1"/>
    <s v="до 250 рублей"/>
  </r>
  <r>
    <s v="YMOGY992"/>
    <n v="19"/>
    <x v="1"/>
    <x v="3"/>
    <x v="0"/>
    <s v="до 250 рублей"/>
  </r>
  <r>
    <s v="GPRRY188"/>
    <n v="19"/>
    <x v="1"/>
    <x v="3"/>
    <x v="1"/>
    <s v="до 250 рублей"/>
  </r>
  <r>
    <s v="WAGFF004"/>
    <n v="19"/>
    <x v="1"/>
    <x v="0"/>
    <x v="0"/>
    <s v="до 250 рублей"/>
  </r>
  <r>
    <s v="OLCPI268"/>
    <n v="19"/>
    <x v="1"/>
    <x v="0"/>
    <x v="0"/>
    <s v="до 250 рублей"/>
  </r>
  <r>
    <s v="WAIUD477"/>
    <n v="19"/>
    <x v="1"/>
    <x v="0"/>
    <x v="4"/>
    <s v="до 250 рублей"/>
  </r>
  <r>
    <s v="IAIOW301"/>
    <n v="19"/>
    <x v="1"/>
    <x v="0"/>
    <x v="4"/>
    <s v="до 250 рублей"/>
  </r>
  <r>
    <s v="OWKRP825"/>
    <n v="19"/>
    <x v="1"/>
    <x v="2"/>
    <x v="0"/>
    <s v="до 250 рублей"/>
  </r>
  <r>
    <s v="WXLZO926"/>
    <n v="19"/>
    <x v="1"/>
    <x v="0"/>
    <x v="1"/>
    <s v="до 250 рублей"/>
  </r>
  <r>
    <s v="SFCNH265"/>
    <n v="19"/>
    <x v="1"/>
    <x v="0"/>
    <x v="4"/>
    <s v="до 250 рублей"/>
  </r>
  <r>
    <s v="YOMHZ909"/>
    <n v="19"/>
    <x v="1"/>
    <x v="0"/>
    <x v="0"/>
    <s v="до 250 рублей"/>
  </r>
  <r>
    <s v="ERXDA073"/>
    <n v="19"/>
    <x v="1"/>
    <x v="0"/>
    <x v="1"/>
    <s v="до 250 рублей"/>
  </r>
  <r>
    <s v="MRHCP062"/>
    <n v="19"/>
    <x v="1"/>
    <x v="3"/>
    <x v="1"/>
    <s v="до 250 рублей"/>
  </r>
  <r>
    <s v="EKSRY956"/>
    <n v="19"/>
    <x v="1"/>
    <x v="2"/>
    <x v="1"/>
    <s v="до 250 рублей"/>
  </r>
  <r>
    <s v="SZLTP487"/>
    <n v="19"/>
    <x v="1"/>
    <x v="0"/>
    <x v="1"/>
    <s v="до 250 рублей"/>
  </r>
  <r>
    <s v="GVKFT024"/>
    <n v="19"/>
    <x v="1"/>
    <x v="0"/>
    <x v="4"/>
    <s v="до 250 рублей"/>
  </r>
  <r>
    <s v="TXIFX516"/>
    <n v="19"/>
    <x v="1"/>
    <x v="0"/>
    <x v="1"/>
    <s v="до 250 рублей"/>
  </r>
  <r>
    <s v="XWNHQ351"/>
    <n v="19"/>
    <x v="1"/>
    <x v="3"/>
    <x v="0"/>
    <s v="до 250 рублей"/>
  </r>
  <r>
    <s v="IQIKW240"/>
    <n v="19"/>
    <x v="1"/>
    <x v="0"/>
    <x v="4"/>
    <s v="до 250 рублей"/>
  </r>
  <r>
    <s v="VYUKQ976"/>
    <n v="19"/>
    <x v="1"/>
    <x v="0"/>
    <x v="1"/>
    <s v="до 250 рублей"/>
  </r>
  <r>
    <s v="YAFHS464"/>
    <n v="19"/>
    <x v="1"/>
    <x v="0"/>
    <x v="0"/>
    <s v="до 250 рублей"/>
  </r>
  <r>
    <s v="GVRFK909"/>
    <n v="19"/>
    <x v="1"/>
    <x v="3"/>
    <x v="0"/>
    <s v="до 250 рублей"/>
  </r>
  <r>
    <s v="WXDVJ468"/>
    <n v="19"/>
    <x v="1"/>
    <x v="0"/>
    <x v="1"/>
    <s v="до 250 рублей"/>
  </r>
  <r>
    <s v="YUVBT903"/>
    <n v="19"/>
    <x v="1"/>
    <x v="0"/>
    <x v="1"/>
    <s v="до 250 рублей"/>
  </r>
  <r>
    <s v="IHGJB494"/>
    <n v="19"/>
    <x v="1"/>
    <x v="2"/>
    <x v="4"/>
    <s v="до 250 рублей"/>
  </r>
  <r>
    <s v="ACDMF101"/>
    <n v="19"/>
    <x v="1"/>
    <x v="1"/>
    <x v="1"/>
    <s v="до 250 рублей"/>
  </r>
  <r>
    <s v="IZOHO374"/>
    <n v="19"/>
    <x v="1"/>
    <x v="2"/>
    <x v="4"/>
    <s v="до 250 рублей"/>
  </r>
  <r>
    <s v="GQCYX781"/>
    <n v="19"/>
    <x v="1"/>
    <x v="3"/>
    <x v="1"/>
    <s v="до 250 рублей"/>
  </r>
  <r>
    <s v="CFHEZ921"/>
    <n v="19"/>
    <x v="1"/>
    <x v="3"/>
    <x v="1"/>
    <s v="до 250 рублей"/>
  </r>
  <r>
    <s v="FWINY235"/>
    <n v="19"/>
    <x v="1"/>
    <x v="0"/>
    <x v="0"/>
    <s v="до 250 рублей"/>
  </r>
  <r>
    <s v="UBKCW126"/>
    <n v="19"/>
    <x v="1"/>
    <x v="0"/>
    <x v="3"/>
    <s v="до 250 рублей"/>
  </r>
  <r>
    <s v="TIZJQ306"/>
    <n v="19"/>
    <x v="1"/>
    <x v="0"/>
    <x v="1"/>
    <s v="до 250 рублей"/>
  </r>
  <r>
    <s v="VBLGV698"/>
    <n v="19"/>
    <x v="1"/>
    <x v="0"/>
    <x v="1"/>
    <s v="до 250 рублей"/>
  </r>
  <r>
    <s v="ADLER875"/>
    <n v="19"/>
    <x v="1"/>
    <x v="4"/>
    <x v="2"/>
    <s v="до 250 рублей"/>
  </r>
  <r>
    <s v="VNSDX088"/>
    <n v="19"/>
    <x v="1"/>
    <x v="0"/>
    <x v="1"/>
    <s v="до 250 рублей"/>
  </r>
  <r>
    <s v="CCFLW070"/>
    <n v="19"/>
    <x v="1"/>
    <x v="0"/>
    <x v="1"/>
    <s v="до 250 рублей"/>
  </r>
  <r>
    <s v="DRGYS813"/>
    <n v="19"/>
    <x v="1"/>
    <x v="3"/>
    <x v="0"/>
    <s v="до 250 рублей"/>
  </r>
  <r>
    <s v="FCYKZ583"/>
    <n v="19"/>
    <x v="1"/>
    <x v="2"/>
    <x v="1"/>
    <s v="до 250 рублей"/>
  </r>
  <r>
    <s v="JHNLG723"/>
    <n v="19"/>
    <x v="1"/>
    <x v="0"/>
    <x v="4"/>
    <s v="до 250 рублей"/>
  </r>
  <r>
    <s v="ZBGIE949"/>
    <n v="19"/>
    <x v="1"/>
    <x v="0"/>
    <x v="1"/>
    <s v="до 250 рублей"/>
  </r>
  <r>
    <s v="UKGJY948"/>
    <n v="19"/>
    <x v="1"/>
    <x v="0"/>
    <x v="3"/>
    <s v="до 250 рублей"/>
  </r>
  <r>
    <s v="XKHYH141"/>
    <n v="19"/>
    <x v="1"/>
    <x v="0"/>
    <x v="3"/>
    <s v="до 250 рублей"/>
  </r>
  <r>
    <s v="FIUAG396"/>
    <n v="19"/>
    <x v="1"/>
    <x v="1"/>
    <x v="1"/>
    <s v="до 250 рублей"/>
  </r>
  <r>
    <s v="UMCNB407"/>
    <n v="19"/>
    <x v="1"/>
    <x v="0"/>
    <x v="0"/>
    <s v="до 250 рублей"/>
  </r>
  <r>
    <s v="QSDJL761"/>
    <n v="19"/>
    <x v="1"/>
    <x v="0"/>
    <x v="1"/>
    <s v="до 250 рублей"/>
  </r>
  <r>
    <s v="WVDWL737"/>
    <n v="20"/>
    <x v="1"/>
    <x v="0"/>
    <x v="1"/>
    <s v="до 250 рублей"/>
  </r>
  <r>
    <s v="YTTAQ900"/>
    <n v="20"/>
    <x v="1"/>
    <x v="0"/>
    <x v="1"/>
    <s v="до 250 рублей"/>
  </r>
  <r>
    <s v="AVUVM258"/>
    <n v="20"/>
    <x v="1"/>
    <x v="2"/>
    <x v="4"/>
    <s v="до 250 рублей"/>
  </r>
  <r>
    <s v="WGFZY391"/>
    <n v="20"/>
    <x v="1"/>
    <x v="0"/>
    <x v="0"/>
    <s v="до 250 рублей"/>
  </r>
  <r>
    <s v="SHOVA695"/>
    <n v="20"/>
    <x v="1"/>
    <x v="0"/>
    <x v="0"/>
    <s v="до 250 рублей"/>
  </r>
  <r>
    <s v="OUXJC375"/>
    <n v="20"/>
    <x v="1"/>
    <x v="2"/>
    <x v="4"/>
    <s v="до 250 рублей"/>
  </r>
  <r>
    <s v="SNXGR641"/>
    <n v="20"/>
    <x v="1"/>
    <x v="0"/>
    <x v="0"/>
    <s v="до 250 рублей"/>
  </r>
  <r>
    <s v="XIEWO391"/>
    <n v="20"/>
    <x v="1"/>
    <x v="0"/>
    <x v="1"/>
    <s v="до 250 рублей"/>
  </r>
  <r>
    <s v="CXCMI742"/>
    <n v="20"/>
    <x v="1"/>
    <x v="2"/>
    <x v="1"/>
    <s v="до 250 рублей"/>
  </r>
  <r>
    <s v="SBIHL559"/>
    <n v="20"/>
    <x v="1"/>
    <x v="0"/>
    <x v="0"/>
    <s v="до 250 рублей"/>
  </r>
  <r>
    <s v="UBLND282"/>
    <n v="20"/>
    <x v="1"/>
    <x v="0"/>
    <x v="1"/>
    <s v="до 250 рублей"/>
  </r>
  <r>
    <s v="ROXTK731"/>
    <n v="20"/>
    <x v="1"/>
    <x v="0"/>
    <x v="1"/>
    <s v="до 250 рублей"/>
  </r>
  <r>
    <s v="KSULN264"/>
    <n v="20"/>
    <x v="1"/>
    <x v="1"/>
    <x v="1"/>
    <s v="до 250 рублей"/>
  </r>
  <r>
    <s v="QLOQI191"/>
    <n v="20"/>
    <x v="1"/>
    <x v="0"/>
    <x v="1"/>
    <s v="до 250 рублей"/>
  </r>
  <r>
    <s v="JVVVG595"/>
    <n v="20"/>
    <x v="1"/>
    <x v="0"/>
    <x v="4"/>
    <s v="до 250 рублей"/>
  </r>
  <r>
    <s v="CYFXC925"/>
    <n v="20"/>
    <x v="1"/>
    <x v="2"/>
    <x v="1"/>
    <s v="до 250 рублей"/>
  </r>
  <r>
    <s v="ZDGGR542"/>
    <n v="20"/>
    <x v="1"/>
    <x v="0"/>
    <x v="1"/>
    <s v="до 250 рублей"/>
  </r>
  <r>
    <s v="CJKLC154"/>
    <n v="20"/>
    <x v="1"/>
    <x v="2"/>
    <x v="1"/>
    <s v="до 250 рублей"/>
  </r>
  <r>
    <s v="REAMI346"/>
    <n v="20"/>
    <x v="1"/>
    <x v="0"/>
    <x v="0"/>
    <s v="до 250 рублей"/>
  </r>
  <r>
    <s v="FZYHE293"/>
    <n v="20"/>
    <x v="1"/>
    <x v="2"/>
    <x v="0"/>
    <s v="до 250 рублей"/>
  </r>
  <r>
    <s v="RLZBR544"/>
    <n v="20"/>
    <x v="1"/>
    <x v="0"/>
    <x v="1"/>
    <s v="до 250 рублей"/>
  </r>
  <r>
    <s v="OXHHP087"/>
    <n v="20"/>
    <x v="1"/>
    <x v="3"/>
    <x v="4"/>
    <s v="до 250 рублей"/>
  </r>
  <r>
    <s v="ZBOIT251"/>
    <n v="20"/>
    <x v="1"/>
    <x v="0"/>
    <x v="1"/>
    <s v="до 250 рублей"/>
  </r>
  <r>
    <s v="DFYAX776"/>
    <n v="20"/>
    <x v="1"/>
    <x v="3"/>
    <x v="0"/>
    <s v="до 250 рублей"/>
  </r>
  <r>
    <s v="MRHCV388"/>
    <n v="20"/>
    <x v="1"/>
    <x v="3"/>
    <x v="4"/>
    <s v="до 250 рублей"/>
  </r>
  <r>
    <s v="EPKWC871"/>
    <n v="20"/>
    <x v="1"/>
    <x v="2"/>
    <x v="1"/>
    <s v="до 250 рублей"/>
  </r>
  <r>
    <s v="JQLLZ435"/>
    <n v="20"/>
    <x v="1"/>
    <x v="0"/>
    <x v="0"/>
    <s v="до 250 рублей"/>
  </r>
  <r>
    <s v="MABNL298"/>
    <n v="20"/>
    <x v="1"/>
    <x v="3"/>
    <x v="4"/>
    <s v="до 250 рублей"/>
  </r>
  <r>
    <s v="SXWZU923"/>
    <n v="20"/>
    <x v="1"/>
    <x v="0"/>
    <x v="1"/>
    <s v="до 250 рублей"/>
  </r>
  <r>
    <s v="MXDIU505"/>
    <n v="20"/>
    <x v="1"/>
    <x v="0"/>
    <x v="4"/>
    <s v="до 250 рублей"/>
  </r>
  <r>
    <s v="IAYUZ841"/>
    <n v="20"/>
    <x v="1"/>
    <x v="2"/>
    <x v="1"/>
    <s v="до 250 рублей"/>
  </r>
  <r>
    <s v="MVTIS736"/>
    <n v="20"/>
    <x v="1"/>
    <x v="3"/>
    <x v="4"/>
    <s v="до 250 рублей"/>
  </r>
  <r>
    <s v="RJFTK460"/>
    <n v="20"/>
    <x v="1"/>
    <x v="0"/>
    <x v="0"/>
    <s v="до 250 рублей"/>
  </r>
  <r>
    <s v="BHRFO853"/>
    <n v="20"/>
    <x v="1"/>
    <x v="3"/>
    <x v="1"/>
    <s v="до 250 рублей"/>
  </r>
  <r>
    <s v="OXVNT219"/>
    <n v="20"/>
    <x v="1"/>
    <x v="0"/>
    <x v="4"/>
    <s v="до 250 рублей"/>
  </r>
  <r>
    <s v="RLFQQ803"/>
    <n v="20"/>
    <x v="1"/>
    <x v="0"/>
    <x v="1"/>
    <s v="до 250 рублей"/>
  </r>
  <r>
    <s v="TITWY457"/>
    <n v="20"/>
    <x v="1"/>
    <x v="0"/>
    <x v="1"/>
    <s v="до 250 рублей"/>
  </r>
  <r>
    <s v="CXURX432"/>
    <n v="20"/>
    <x v="1"/>
    <x v="1"/>
    <x v="1"/>
    <s v="до 250 рублей"/>
  </r>
  <r>
    <s v="SRMUG693"/>
    <n v="20"/>
    <x v="1"/>
    <x v="0"/>
    <x v="1"/>
    <s v="до 250 рублей"/>
  </r>
  <r>
    <s v="BGGNR973"/>
    <n v="20"/>
    <x v="1"/>
    <x v="1"/>
    <x v="3"/>
    <s v="до 250 рублей"/>
  </r>
  <r>
    <s v="DQIEU099"/>
    <n v="20"/>
    <x v="1"/>
    <x v="2"/>
    <x v="1"/>
    <s v="до 250 рублей"/>
  </r>
  <r>
    <s v="TVKKW864"/>
    <n v="20"/>
    <x v="1"/>
    <x v="0"/>
    <x v="1"/>
    <s v="до 250 рублей"/>
  </r>
  <r>
    <s v="CASWZ949"/>
    <n v="20"/>
    <x v="1"/>
    <x v="2"/>
    <x v="1"/>
    <s v="до 250 рублей"/>
  </r>
  <r>
    <s v="GZHLO126"/>
    <n v="20"/>
    <x v="1"/>
    <x v="0"/>
    <x v="4"/>
    <s v="до 250 рублей"/>
  </r>
  <r>
    <s v="TOBKL270"/>
    <n v="20"/>
    <x v="1"/>
    <x v="0"/>
    <x v="1"/>
    <s v="до 250 рублей"/>
  </r>
  <r>
    <s v="NXHCU156"/>
    <n v="20"/>
    <x v="1"/>
    <x v="2"/>
    <x v="0"/>
    <s v="до 250 рублей"/>
  </r>
  <r>
    <s v="MFVSA799"/>
    <n v="20"/>
    <x v="1"/>
    <x v="3"/>
    <x v="0"/>
    <s v="до 250 рублей"/>
  </r>
  <r>
    <s v="QPAUT941"/>
    <n v="20"/>
    <x v="1"/>
    <x v="0"/>
    <x v="4"/>
    <s v="до 250 рублей"/>
  </r>
  <r>
    <s v="WQOEK465"/>
    <n v="20"/>
    <x v="1"/>
    <x v="0"/>
    <x v="1"/>
    <s v="до 250 рублей"/>
  </r>
  <r>
    <s v="IZGDJ190"/>
    <n v="20"/>
    <x v="1"/>
    <x v="3"/>
    <x v="1"/>
    <s v="до 250 рублей"/>
  </r>
  <r>
    <s v="XZIXK132"/>
    <n v="20"/>
    <x v="1"/>
    <x v="0"/>
    <x v="0"/>
    <s v="до 250 рублей"/>
  </r>
  <r>
    <s v="KXOYC999"/>
    <n v="20"/>
    <x v="1"/>
    <x v="0"/>
    <x v="1"/>
    <s v="до 250 рублей"/>
  </r>
  <r>
    <s v="SGCWQ644"/>
    <n v="20"/>
    <x v="1"/>
    <x v="0"/>
    <x v="4"/>
    <s v="до 250 рублей"/>
  </r>
  <r>
    <s v="JNUMB465"/>
    <n v="20"/>
    <x v="1"/>
    <x v="3"/>
    <x v="4"/>
    <s v="до 250 рублей"/>
  </r>
  <r>
    <s v="QXXHQ023"/>
    <n v="20"/>
    <x v="1"/>
    <x v="0"/>
    <x v="1"/>
    <s v="до 250 рублей"/>
  </r>
  <r>
    <s v="WNOUN848"/>
    <n v="20"/>
    <x v="1"/>
    <x v="0"/>
    <x v="0"/>
    <s v="до 250 рублей"/>
  </r>
  <r>
    <s v="RJNUX688"/>
    <n v="20"/>
    <x v="1"/>
    <x v="0"/>
    <x v="4"/>
    <s v="до 250 рублей"/>
  </r>
  <r>
    <s v="QNRPW833"/>
    <n v="20"/>
    <x v="1"/>
    <x v="0"/>
    <x v="3"/>
    <s v="до 250 рублей"/>
  </r>
  <r>
    <s v="GMJJX699"/>
    <n v="20"/>
    <x v="1"/>
    <x v="2"/>
    <x v="1"/>
    <s v="до 250 рублей"/>
  </r>
  <r>
    <s v="UOIPB247"/>
    <n v="20"/>
    <x v="1"/>
    <x v="0"/>
    <x v="1"/>
    <s v="до 250 рублей"/>
  </r>
  <r>
    <s v="AAGIN644"/>
    <n v="20"/>
    <x v="1"/>
    <x v="1"/>
    <x v="3"/>
    <s v="до 250 рублей"/>
  </r>
  <r>
    <s v="LVUNT083"/>
    <n v="20"/>
    <x v="1"/>
    <x v="2"/>
    <x v="4"/>
    <s v="до 250 рублей"/>
  </r>
  <r>
    <s v="UWTFZ545"/>
    <n v="20"/>
    <x v="1"/>
    <x v="0"/>
    <x v="1"/>
    <s v="до 250 рублей"/>
  </r>
  <r>
    <s v="CORFW191"/>
    <n v="20"/>
    <x v="1"/>
    <x v="2"/>
    <x v="1"/>
    <s v="до 250 рублей"/>
  </r>
  <r>
    <s v="DFKOB146"/>
    <n v="20"/>
    <x v="1"/>
    <x v="3"/>
    <x v="4"/>
    <s v="до 250 рублей"/>
  </r>
  <r>
    <s v="NBELC966"/>
    <n v="20"/>
    <x v="1"/>
    <x v="1"/>
    <x v="1"/>
    <s v="до 250 рублей"/>
  </r>
  <r>
    <s v="NYLSA567"/>
    <n v="20"/>
    <x v="1"/>
    <x v="2"/>
    <x v="0"/>
    <s v="до 250 рублей"/>
  </r>
  <r>
    <s v="RJTZK817"/>
    <n v="20"/>
    <x v="1"/>
    <x v="0"/>
    <x v="1"/>
    <s v="до 250 рублей"/>
  </r>
  <r>
    <s v="XZXDA252"/>
    <n v="20"/>
    <x v="1"/>
    <x v="0"/>
    <x v="0"/>
    <s v="до 250 рублей"/>
  </r>
  <r>
    <s v="YYHUW265"/>
    <n v="20"/>
    <x v="1"/>
    <x v="0"/>
    <x v="0"/>
    <s v="до 250 рублей"/>
  </r>
  <r>
    <s v="EFYAF837"/>
    <n v="20"/>
    <x v="1"/>
    <x v="1"/>
    <x v="1"/>
    <s v="до 250 рублей"/>
  </r>
  <r>
    <s v="WJKLX816"/>
    <n v="20"/>
    <x v="1"/>
    <x v="0"/>
    <x v="1"/>
    <s v="до 250 рублей"/>
  </r>
  <r>
    <s v="QQAKT194"/>
    <n v="20"/>
    <x v="1"/>
    <x v="0"/>
    <x v="1"/>
    <s v="до 250 рублей"/>
  </r>
  <r>
    <s v="TTHOA129"/>
    <n v="20"/>
    <x v="1"/>
    <x v="0"/>
    <x v="1"/>
    <s v="до 250 рублей"/>
  </r>
  <r>
    <s v="WIUYW419"/>
    <n v="20"/>
    <x v="1"/>
    <x v="0"/>
    <x v="3"/>
    <s v="до 250 рублей"/>
  </r>
  <r>
    <s v="ATMBI289"/>
    <n v="20"/>
    <x v="1"/>
    <x v="4"/>
    <x v="4"/>
    <s v="до 250 рублей"/>
  </r>
  <r>
    <s v="AHVLY731"/>
    <n v="20"/>
    <x v="1"/>
    <x v="0"/>
    <x v="3"/>
    <s v="до 250 рублей"/>
  </r>
  <r>
    <s v="ESMTH011"/>
    <n v="20"/>
    <x v="1"/>
    <x v="3"/>
    <x v="1"/>
    <s v="до 250 рублей"/>
  </r>
  <r>
    <s v="JYCXD277"/>
    <n v="20"/>
    <x v="1"/>
    <x v="3"/>
    <x v="4"/>
    <s v="до 250 рублей"/>
  </r>
  <r>
    <s v="OUUFW128"/>
    <n v="20"/>
    <x v="1"/>
    <x v="0"/>
    <x v="0"/>
    <s v="до 250 рублей"/>
  </r>
  <r>
    <s v="ZHWMA613"/>
    <n v="20"/>
    <x v="1"/>
    <x v="0"/>
    <x v="1"/>
    <s v="до 250 рублей"/>
  </r>
  <r>
    <s v="SAYWC512"/>
    <n v="20"/>
    <x v="1"/>
    <x v="0"/>
    <x v="1"/>
    <s v="до 250 рублей"/>
  </r>
  <r>
    <s v="MYMVQ237"/>
    <n v="20"/>
    <x v="1"/>
    <x v="0"/>
    <x v="1"/>
    <s v="до 250 рублей"/>
  </r>
  <r>
    <s v="NLDLP691"/>
    <n v="20"/>
    <x v="1"/>
    <x v="3"/>
    <x v="0"/>
    <s v="до 250 рублей"/>
  </r>
  <r>
    <s v="AIOCV053"/>
    <n v="20"/>
    <x v="1"/>
    <x v="2"/>
    <x v="1"/>
    <s v="до 250 рублей"/>
  </r>
  <r>
    <s v="DQOTK104"/>
    <n v="20"/>
    <x v="1"/>
    <x v="1"/>
    <x v="1"/>
    <s v="до 250 рублей"/>
  </r>
  <r>
    <s v="CJMTG449"/>
    <n v="20"/>
    <x v="1"/>
    <x v="0"/>
    <x v="4"/>
    <s v="до 250 рублей"/>
  </r>
  <r>
    <s v="ELBCP735"/>
    <n v="20"/>
    <x v="1"/>
    <x v="3"/>
    <x v="1"/>
    <s v="до 250 рублей"/>
  </r>
  <r>
    <s v="BRICK300"/>
    <n v="20"/>
    <x v="1"/>
    <x v="0"/>
    <x v="1"/>
    <s v="до 250 рублей"/>
  </r>
  <r>
    <s v="MESAC365"/>
    <n v="20"/>
    <x v="1"/>
    <x v="3"/>
    <x v="4"/>
    <s v="до 250 рублей"/>
  </r>
  <r>
    <s v="DODSK789"/>
    <n v="20"/>
    <x v="1"/>
    <x v="2"/>
    <x v="1"/>
    <s v="до 250 рублей"/>
  </r>
  <r>
    <s v="HALPV291"/>
    <n v="20"/>
    <x v="1"/>
    <x v="0"/>
    <x v="1"/>
    <s v="до 250 рублей"/>
  </r>
  <r>
    <s v="TPNAK785"/>
    <n v="20"/>
    <x v="1"/>
    <x v="0"/>
    <x v="3"/>
    <s v="до 250 рублей"/>
  </r>
  <r>
    <s v="BLFHU823"/>
    <n v="20"/>
    <x v="1"/>
    <x v="2"/>
    <x v="1"/>
    <s v="до 250 рублей"/>
  </r>
  <r>
    <s v="DEMFS927"/>
    <n v="20"/>
    <x v="1"/>
    <x v="3"/>
    <x v="1"/>
    <s v="до 250 рублей"/>
  </r>
  <r>
    <s v="OGTPF392"/>
    <n v="20"/>
    <x v="1"/>
    <x v="0"/>
    <x v="0"/>
    <s v="до 250 рублей"/>
  </r>
  <r>
    <s v="TKJWY232"/>
    <n v="20"/>
    <x v="1"/>
    <x v="0"/>
    <x v="1"/>
    <s v="до 250 рублей"/>
  </r>
  <r>
    <s v="NOQOI447"/>
    <n v="20"/>
    <x v="1"/>
    <x v="0"/>
    <x v="0"/>
    <s v="до 250 рублей"/>
  </r>
  <r>
    <s v="NAUEC412"/>
    <n v="20"/>
    <x v="1"/>
    <x v="0"/>
    <x v="0"/>
    <s v="до 250 рублей"/>
  </r>
  <r>
    <s v="OQOUY965"/>
    <n v="20"/>
    <x v="1"/>
    <x v="3"/>
    <x v="4"/>
    <s v="до 250 рублей"/>
  </r>
  <r>
    <s v="UCUSL986"/>
    <n v="20"/>
    <x v="1"/>
    <x v="0"/>
    <x v="1"/>
    <s v="до 250 рублей"/>
  </r>
  <r>
    <s v="YWQQQ065"/>
    <n v="20"/>
    <x v="1"/>
    <x v="0"/>
    <x v="0"/>
    <s v="до 250 рублей"/>
  </r>
  <r>
    <s v="DKNDT780"/>
    <n v="20"/>
    <x v="1"/>
    <x v="3"/>
    <x v="4"/>
    <s v="до 250 рублей"/>
  </r>
  <r>
    <s v="ROIZZ460"/>
    <n v="20"/>
    <x v="1"/>
    <x v="0"/>
    <x v="1"/>
    <s v="до 250 рублей"/>
  </r>
  <r>
    <s v="CBSXP220"/>
    <n v="20"/>
    <x v="1"/>
    <x v="2"/>
    <x v="1"/>
    <s v="до 250 рублей"/>
  </r>
  <r>
    <s v="CRPZP936"/>
    <n v="20"/>
    <x v="1"/>
    <x v="0"/>
    <x v="1"/>
    <s v="до 250 рублей"/>
  </r>
  <r>
    <s v="NFUTD512"/>
    <n v="20"/>
    <x v="1"/>
    <x v="0"/>
    <x v="0"/>
    <s v="до 250 рублей"/>
  </r>
  <r>
    <s v="SZGIA139"/>
    <n v="20"/>
    <x v="1"/>
    <x v="0"/>
    <x v="1"/>
    <s v="до 250 рублей"/>
  </r>
  <r>
    <s v="JOUJU466"/>
    <n v="20"/>
    <x v="1"/>
    <x v="2"/>
    <x v="0"/>
    <s v="до 250 рублей"/>
  </r>
  <r>
    <s v="GCNLF751"/>
    <n v="20"/>
    <x v="1"/>
    <x v="2"/>
    <x v="1"/>
    <s v="до 250 рублей"/>
  </r>
  <r>
    <s v="JIQBX523"/>
    <n v="20"/>
    <x v="1"/>
    <x v="0"/>
    <x v="1"/>
    <s v="до 250 рублей"/>
  </r>
  <r>
    <s v="CRZXQ148"/>
    <n v="20"/>
    <x v="1"/>
    <x v="0"/>
    <x v="0"/>
    <s v="до 250 рублей"/>
  </r>
  <r>
    <s v="DWYUU328"/>
    <n v="20"/>
    <x v="1"/>
    <x v="3"/>
    <x v="4"/>
    <s v="до 250 рублей"/>
  </r>
  <r>
    <s v="LMODL804"/>
    <n v="20"/>
    <x v="1"/>
    <x v="0"/>
    <x v="0"/>
    <s v="до 250 рублей"/>
  </r>
  <r>
    <s v="TQYRW639"/>
    <n v="20"/>
    <x v="1"/>
    <x v="0"/>
    <x v="3"/>
    <s v="до 250 рублей"/>
  </r>
  <r>
    <s v="FJZIA235"/>
    <n v="20"/>
    <x v="1"/>
    <x v="3"/>
    <x v="1"/>
    <s v="до 250 рублей"/>
  </r>
  <r>
    <s v="RBFLJ076"/>
    <n v="20"/>
    <x v="1"/>
    <x v="0"/>
    <x v="1"/>
    <s v="до 250 рублей"/>
  </r>
  <r>
    <s v="FVYKO550"/>
    <n v="20"/>
    <x v="1"/>
    <x v="2"/>
    <x v="1"/>
    <s v="до 250 рублей"/>
  </r>
  <r>
    <s v="BAZPL108"/>
    <n v="20"/>
    <x v="1"/>
    <x v="4"/>
    <x v="0"/>
    <s v="до 250 рублей"/>
  </r>
  <r>
    <s v="JUEME099"/>
    <n v="20"/>
    <x v="1"/>
    <x v="3"/>
    <x v="0"/>
    <s v="до 250 рублей"/>
  </r>
  <r>
    <s v="PGATX805"/>
    <n v="20"/>
    <x v="1"/>
    <x v="2"/>
    <x v="1"/>
    <s v="до 250 рублей"/>
  </r>
  <r>
    <s v="XFXMU819"/>
    <n v="20"/>
    <x v="1"/>
    <x v="0"/>
    <x v="1"/>
    <s v="до 250 рублей"/>
  </r>
  <r>
    <s v="IURER909"/>
    <n v="20"/>
    <x v="1"/>
    <x v="0"/>
    <x v="4"/>
    <s v="до 250 рублей"/>
  </r>
  <r>
    <s v="TSGHS017"/>
    <n v="20"/>
    <x v="1"/>
    <x v="0"/>
    <x v="1"/>
    <s v="до 250 рублей"/>
  </r>
  <r>
    <s v="QJGMZ119"/>
    <n v="20"/>
    <x v="1"/>
    <x v="0"/>
    <x v="1"/>
    <s v="до 250 рублей"/>
  </r>
  <r>
    <s v="NTULR678"/>
    <n v="20"/>
    <x v="1"/>
    <x v="3"/>
    <x v="1"/>
    <s v="до 250 рублей"/>
  </r>
  <r>
    <s v="PFVPA459"/>
    <n v="20"/>
    <x v="1"/>
    <x v="0"/>
    <x v="1"/>
    <s v="до 250 рублей"/>
  </r>
  <r>
    <s v="UHGGF290"/>
    <n v="20"/>
    <x v="1"/>
    <x v="0"/>
    <x v="1"/>
    <s v="до 250 рублей"/>
  </r>
  <r>
    <s v="CDTLL528"/>
    <n v="20"/>
    <x v="1"/>
    <x v="0"/>
    <x v="3"/>
    <s v="до 250 рублей"/>
  </r>
  <r>
    <s v="USAIZ221"/>
    <n v="20"/>
    <x v="1"/>
    <x v="0"/>
    <x v="1"/>
    <s v="до 250 рублей"/>
  </r>
  <r>
    <s v="VKSKS700"/>
    <n v="20"/>
    <x v="1"/>
    <x v="0"/>
    <x v="1"/>
    <s v="до 250 рублей"/>
  </r>
  <r>
    <s v="IQZXR021"/>
    <n v="20"/>
    <x v="1"/>
    <x v="0"/>
    <x v="1"/>
    <s v="до 250 рублей"/>
  </r>
  <r>
    <s v="TGTVI776"/>
    <n v="20"/>
    <x v="1"/>
    <x v="0"/>
    <x v="1"/>
    <s v="до 250 рублей"/>
  </r>
  <r>
    <s v="KJMWS217"/>
    <n v="20"/>
    <x v="1"/>
    <x v="0"/>
    <x v="1"/>
    <s v="до 250 рублей"/>
  </r>
  <r>
    <s v="UZJBN251"/>
    <n v="20"/>
    <x v="1"/>
    <x v="0"/>
    <x v="1"/>
    <s v="до 250 рублей"/>
  </r>
  <r>
    <s v="JJQHK326"/>
    <n v="20"/>
    <x v="1"/>
    <x v="0"/>
    <x v="1"/>
    <s v="до 250 рублей"/>
  </r>
  <r>
    <s v="YKFSZ454"/>
    <n v="20"/>
    <x v="1"/>
    <x v="0"/>
    <x v="0"/>
    <s v="до 250 рублей"/>
  </r>
  <r>
    <s v="QXRQM793"/>
    <n v="20"/>
    <x v="1"/>
    <x v="0"/>
    <x v="1"/>
    <s v="до 250 рублей"/>
  </r>
  <r>
    <s v="MGGIZ639"/>
    <n v="20"/>
    <x v="1"/>
    <x v="0"/>
    <x v="4"/>
    <s v="до 250 рублей"/>
  </r>
  <r>
    <s v="UPRZS896"/>
    <n v="20"/>
    <x v="1"/>
    <x v="0"/>
    <x v="1"/>
    <s v="до 250 рублей"/>
  </r>
  <r>
    <s v="JMJVE294"/>
    <n v="20"/>
    <x v="1"/>
    <x v="0"/>
    <x v="4"/>
    <s v="до 250 рублей"/>
  </r>
  <r>
    <s v="IECWZ600"/>
    <n v="20"/>
    <x v="1"/>
    <x v="0"/>
    <x v="1"/>
    <s v="до 250 рублей"/>
  </r>
  <r>
    <s v="TJOQI204"/>
    <n v="20"/>
    <x v="1"/>
    <x v="0"/>
    <x v="1"/>
    <s v="до 250 рублей"/>
  </r>
  <r>
    <s v="EUVLH642"/>
    <n v="20"/>
    <x v="1"/>
    <x v="0"/>
    <x v="1"/>
    <s v="до 250 рублей"/>
  </r>
  <r>
    <s v="JETUP671"/>
    <n v="20"/>
    <x v="1"/>
    <x v="0"/>
    <x v="0"/>
    <s v="до 250 рублей"/>
  </r>
  <r>
    <s v="GNPXL798"/>
    <n v="20"/>
    <x v="1"/>
    <x v="3"/>
    <x v="1"/>
    <s v="до 250 рублей"/>
  </r>
  <r>
    <s v="RVPJA891"/>
    <n v="20"/>
    <x v="1"/>
    <x v="0"/>
    <x v="1"/>
    <s v="до 250 рублей"/>
  </r>
  <r>
    <s v="MRUSL435"/>
    <n v="20"/>
    <x v="1"/>
    <x v="3"/>
    <x v="4"/>
    <s v="до 250 рублей"/>
  </r>
  <r>
    <s v="EYTEC329"/>
    <n v="20"/>
    <x v="1"/>
    <x v="0"/>
    <x v="1"/>
    <s v="до 250 рублей"/>
  </r>
  <r>
    <s v="YOYKY514"/>
    <n v="20"/>
    <x v="1"/>
    <x v="0"/>
    <x v="0"/>
    <s v="до 250 рублей"/>
  </r>
  <r>
    <s v="BMGLA260"/>
    <n v="20"/>
    <x v="1"/>
    <x v="3"/>
    <x v="0"/>
    <s v="до 250 рублей"/>
  </r>
  <r>
    <s v="XAXRG771"/>
    <n v="20"/>
    <x v="1"/>
    <x v="0"/>
    <x v="1"/>
    <s v="до 250 рублей"/>
  </r>
  <r>
    <s v="JUYSG925"/>
    <n v="20"/>
    <x v="1"/>
    <x v="0"/>
    <x v="4"/>
    <s v="до 250 рублей"/>
  </r>
  <r>
    <s v="ZPXYR466"/>
    <n v="20"/>
    <x v="1"/>
    <x v="0"/>
    <x v="1"/>
    <s v="до 250 рублей"/>
  </r>
  <r>
    <s v="RLSYF704"/>
    <n v="20"/>
    <x v="1"/>
    <x v="0"/>
    <x v="0"/>
    <s v="до 250 рублей"/>
  </r>
  <r>
    <s v="XEPGL257"/>
    <n v="20"/>
    <x v="1"/>
    <x v="0"/>
    <x v="1"/>
    <s v="до 250 рублей"/>
  </r>
  <r>
    <s v="NNMJZ088"/>
    <n v="20"/>
    <x v="1"/>
    <x v="2"/>
    <x v="0"/>
    <s v="до 250 рублей"/>
  </r>
  <r>
    <s v="DISLO682"/>
    <n v="21"/>
    <x v="1"/>
    <x v="2"/>
    <x v="1"/>
    <s v="до 250 рублей"/>
  </r>
  <r>
    <s v="GTJHZ328"/>
    <n v="21"/>
    <x v="1"/>
    <x v="0"/>
    <x v="1"/>
    <s v="до 250 рублей"/>
  </r>
  <r>
    <s v="HYLPU031"/>
    <n v="21"/>
    <x v="1"/>
    <x v="0"/>
    <x v="3"/>
    <s v="до 250 рублей"/>
  </r>
  <r>
    <s v="EFXUF094"/>
    <n v="21"/>
    <x v="1"/>
    <x v="0"/>
    <x v="1"/>
    <s v="до 250 рублей"/>
  </r>
  <r>
    <s v="SYQWR833"/>
    <n v="21"/>
    <x v="1"/>
    <x v="0"/>
    <x v="1"/>
    <s v="до 250 рублей"/>
  </r>
  <r>
    <s v="XNRIX567"/>
    <n v="21"/>
    <x v="1"/>
    <x v="0"/>
    <x v="0"/>
    <s v="до 250 рублей"/>
  </r>
  <r>
    <s v="HYHUB634"/>
    <n v="21"/>
    <x v="1"/>
    <x v="0"/>
    <x v="3"/>
    <s v="до 250 рублей"/>
  </r>
  <r>
    <s v="LHOZW943"/>
    <n v="21"/>
    <x v="1"/>
    <x v="2"/>
    <x v="4"/>
    <s v="до 250 рублей"/>
  </r>
  <r>
    <s v="QGVYI659"/>
    <n v="21"/>
    <x v="1"/>
    <x v="2"/>
    <x v="4"/>
    <s v="до 250 рублей"/>
  </r>
  <r>
    <s v="OOBLV398"/>
    <n v="21"/>
    <x v="1"/>
    <x v="1"/>
    <x v="0"/>
    <s v="до 250 рублей"/>
  </r>
  <r>
    <s v="QZWWV627"/>
    <n v="21"/>
    <x v="1"/>
    <x v="0"/>
    <x v="0"/>
    <s v="до 250 рублей"/>
  </r>
  <r>
    <s v="ZXTEB808"/>
    <n v="21"/>
    <x v="1"/>
    <x v="0"/>
    <x v="1"/>
    <s v="до 250 рублей"/>
  </r>
  <r>
    <s v="QYUVU090"/>
    <n v="21"/>
    <x v="1"/>
    <x v="0"/>
    <x v="1"/>
    <s v="до 250 рублей"/>
  </r>
  <r>
    <s v="EONFL103"/>
    <n v="21"/>
    <x v="1"/>
    <x v="2"/>
    <x v="1"/>
    <s v="до 250 рублей"/>
  </r>
  <r>
    <s v="MHFDS221"/>
    <n v="21"/>
    <x v="1"/>
    <x v="3"/>
    <x v="4"/>
    <s v="до 250 рублей"/>
  </r>
  <r>
    <s v="ZQRGK689"/>
    <n v="21"/>
    <x v="1"/>
    <x v="0"/>
    <x v="3"/>
    <s v="до 250 рублей"/>
  </r>
  <r>
    <s v="AVTFX703"/>
    <n v="21"/>
    <x v="1"/>
    <x v="1"/>
    <x v="0"/>
    <s v="до 250 рублей"/>
  </r>
  <r>
    <s v="HLWVM236"/>
    <n v="21"/>
    <x v="1"/>
    <x v="0"/>
    <x v="3"/>
    <s v="до 250 рублей"/>
  </r>
  <r>
    <s v="FLKDL727"/>
    <n v="21"/>
    <x v="1"/>
    <x v="0"/>
    <x v="1"/>
    <s v="до 250 рублей"/>
  </r>
  <r>
    <s v="QGZOT453"/>
    <n v="21"/>
    <x v="1"/>
    <x v="0"/>
    <x v="1"/>
    <s v="до 250 рублей"/>
  </r>
  <r>
    <s v="LDCGO516"/>
    <n v="21"/>
    <x v="1"/>
    <x v="0"/>
    <x v="4"/>
    <s v="до 250 рублей"/>
  </r>
  <r>
    <s v="JHYJH196"/>
    <n v="21"/>
    <x v="1"/>
    <x v="0"/>
    <x v="4"/>
    <s v="до 250 рублей"/>
  </r>
  <r>
    <s v="BSZYJ139"/>
    <n v="21"/>
    <x v="1"/>
    <x v="2"/>
    <x v="0"/>
    <s v="до 250 рублей"/>
  </r>
  <r>
    <s v="EILJB603"/>
    <n v="21"/>
    <x v="1"/>
    <x v="3"/>
    <x v="4"/>
    <s v="до 250 рублей"/>
  </r>
  <r>
    <s v="SPKXM631"/>
    <n v="21"/>
    <x v="1"/>
    <x v="0"/>
    <x v="1"/>
    <s v="до 250 рублей"/>
  </r>
  <r>
    <s v="JHGZK471"/>
    <n v="21"/>
    <x v="1"/>
    <x v="0"/>
    <x v="1"/>
    <s v="до 250 рублей"/>
  </r>
  <r>
    <s v="XOJVY555"/>
    <n v="21"/>
    <x v="1"/>
    <x v="0"/>
    <x v="0"/>
    <s v="до 250 рублей"/>
  </r>
  <r>
    <s v="NFCGY425"/>
    <n v="21"/>
    <x v="1"/>
    <x v="0"/>
    <x v="4"/>
    <s v="до 250 рублей"/>
  </r>
  <r>
    <s v="SIEPE881"/>
    <n v="21"/>
    <x v="1"/>
    <x v="0"/>
    <x v="4"/>
    <s v="до 250 рублей"/>
  </r>
  <r>
    <s v="FNKIZ168"/>
    <n v="21"/>
    <x v="1"/>
    <x v="2"/>
    <x v="1"/>
    <s v="до 250 рублей"/>
  </r>
  <r>
    <s v="BCTTM728"/>
    <n v="21"/>
    <x v="1"/>
    <x v="4"/>
    <x v="2"/>
    <s v="до 250 рублей"/>
  </r>
  <r>
    <s v="RQECK962"/>
    <n v="21"/>
    <x v="1"/>
    <x v="0"/>
    <x v="1"/>
    <s v="до 250 рублей"/>
  </r>
  <r>
    <s v="TNBVA901"/>
    <n v="21"/>
    <x v="1"/>
    <x v="0"/>
    <x v="1"/>
    <s v="до 250 рублей"/>
  </r>
  <r>
    <s v="DPCTC973"/>
    <n v="21"/>
    <x v="1"/>
    <x v="2"/>
    <x v="1"/>
    <s v="до 250 рублей"/>
  </r>
  <r>
    <s v="LPEHU230"/>
    <n v="21"/>
    <x v="1"/>
    <x v="0"/>
    <x v="0"/>
    <s v="до 250 рублей"/>
  </r>
  <r>
    <s v="ORRCS821"/>
    <n v="21"/>
    <x v="1"/>
    <x v="3"/>
    <x v="4"/>
    <s v="до 250 рублей"/>
  </r>
  <r>
    <s v="LSCKC526"/>
    <n v="21"/>
    <x v="1"/>
    <x v="0"/>
    <x v="4"/>
    <s v="до 250 рублей"/>
  </r>
  <r>
    <s v="UUAYL326"/>
    <n v="21"/>
    <x v="1"/>
    <x v="0"/>
    <x v="3"/>
    <s v="до 250 рублей"/>
  </r>
  <r>
    <s v="NHWLT352"/>
    <n v="21"/>
    <x v="1"/>
    <x v="0"/>
    <x v="0"/>
    <s v="до 250 рублей"/>
  </r>
  <r>
    <s v="PKUVN359"/>
    <n v="21"/>
    <x v="1"/>
    <x v="3"/>
    <x v="4"/>
    <s v="до 250 рублей"/>
  </r>
  <r>
    <s v="IIVUR490"/>
    <n v="21"/>
    <x v="1"/>
    <x v="0"/>
    <x v="1"/>
    <s v="до 250 рублей"/>
  </r>
  <r>
    <s v="ZRSXY237"/>
    <n v="21"/>
    <x v="1"/>
    <x v="0"/>
    <x v="1"/>
    <s v="до 250 рублей"/>
  </r>
  <r>
    <s v="DSOPO369"/>
    <n v="21"/>
    <x v="1"/>
    <x v="0"/>
    <x v="4"/>
    <s v="до 250 рублей"/>
  </r>
  <r>
    <s v="TQCDD249"/>
    <n v="21"/>
    <x v="1"/>
    <x v="0"/>
    <x v="3"/>
    <s v="до 250 рублей"/>
  </r>
  <r>
    <s v="CIVXB799"/>
    <n v="21"/>
    <x v="1"/>
    <x v="1"/>
    <x v="1"/>
    <s v="до 250 рублей"/>
  </r>
  <r>
    <s v="PLAEZ810"/>
    <n v="21"/>
    <x v="1"/>
    <x v="2"/>
    <x v="4"/>
    <s v="до 250 рублей"/>
  </r>
  <r>
    <s v="QEWKW893"/>
    <n v="21"/>
    <x v="1"/>
    <x v="3"/>
    <x v="4"/>
    <s v="до 250 рублей"/>
  </r>
  <r>
    <s v="ZUXCO869"/>
    <n v="21"/>
    <x v="1"/>
    <x v="0"/>
    <x v="4"/>
    <s v="до 250 рублей"/>
  </r>
  <r>
    <s v="GQOUL736"/>
    <n v="21"/>
    <x v="1"/>
    <x v="3"/>
    <x v="4"/>
    <s v="до 250 рублей"/>
  </r>
  <r>
    <s v="LKDZU416"/>
    <n v="21"/>
    <x v="1"/>
    <x v="3"/>
    <x v="4"/>
    <s v="до 250 рублей"/>
  </r>
  <r>
    <s v="FURDL120"/>
    <n v="21"/>
    <x v="1"/>
    <x v="3"/>
    <x v="4"/>
    <s v="до 250 рублей"/>
  </r>
  <r>
    <s v="EKYZE441"/>
    <n v="21"/>
    <x v="1"/>
    <x v="1"/>
    <x v="1"/>
    <s v="до 250 рублей"/>
  </r>
  <r>
    <s v="EALJO658"/>
    <n v="21"/>
    <x v="1"/>
    <x v="2"/>
    <x v="0"/>
    <s v="до 250 рублей"/>
  </r>
  <r>
    <s v="OJRBO291"/>
    <n v="21"/>
    <x v="1"/>
    <x v="0"/>
    <x v="1"/>
    <s v="до 250 рублей"/>
  </r>
  <r>
    <s v="WKEWE932"/>
    <n v="21"/>
    <x v="1"/>
    <x v="0"/>
    <x v="4"/>
    <s v="до 250 рублей"/>
  </r>
  <r>
    <s v="XBVBH959"/>
    <n v="21"/>
    <x v="1"/>
    <x v="0"/>
    <x v="1"/>
    <s v="до 250 рублей"/>
  </r>
  <r>
    <s v="PADSF860"/>
    <n v="21"/>
    <x v="1"/>
    <x v="0"/>
    <x v="1"/>
    <s v="до 250 рублей"/>
  </r>
  <r>
    <s v="YNTYZ363"/>
    <n v="21"/>
    <x v="1"/>
    <x v="0"/>
    <x v="0"/>
    <s v="до 250 рублей"/>
  </r>
  <r>
    <s v="JGWUF955"/>
    <n v="21"/>
    <x v="1"/>
    <x v="0"/>
    <x v="0"/>
    <s v="до 250 рублей"/>
  </r>
  <r>
    <s v="AJVWS553"/>
    <n v="21"/>
    <x v="1"/>
    <x v="2"/>
    <x v="4"/>
    <s v="до 250 рублей"/>
  </r>
  <r>
    <s v="TSUAC691"/>
    <n v="21"/>
    <x v="1"/>
    <x v="0"/>
    <x v="1"/>
    <s v="до 250 рублей"/>
  </r>
  <r>
    <s v="MONYQ657"/>
    <n v="21"/>
    <x v="1"/>
    <x v="3"/>
    <x v="4"/>
    <s v="до 250 рублей"/>
  </r>
  <r>
    <s v="TFIZP919"/>
    <n v="21"/>
    <x v="1"/>
    <x v="0"/>
    <x v="3"/>
    <s v="до 250 рублей"/>
  </r>
  <r>
    <s v="IUITK321"/>
    <n v="21"/>
    <x v="1"/>
    <x v="3"/>
    <x v="4"/>
    <s v="до 250 рублей"/>
  </r>
  <r>
    <s v="WWGDQ377"/>
    <n v="21"/>
    <x v="1"/>
    <x v="0"/>
    <x v="0"/>
    <s v="до 250 рублей"/>
  </r>
  <r>
    <s v="WVNYO346"/>
    <n v="21"/>
    <x v="1"/>
    <x v="0"/>
    <x v="1"/>
    <s v="до 250 рублей"/>
  </r>
  <r>
    <s v="RJTFE152"/>
    <n v="21"/>
    <x v="1"/>
    <x v="0"/>
    <x v="1"/>
    <s v="до 250 рублей"/>
  </r>
  <r>
    <s v="QZTMS464"/>
    <n v="21"/>
    <x v="1"/>
    <x v="0"/>
    <x v="1"/>
    <s v="до 250 рублей"/>
  </r>
  <r>
    <s v="SIFQR280"/>
    <n v="21"/>
    <x v="1"/>
    <x v="0"/>
    <x v="1"/>
    <s v="до 250 рублей"/>
  </r>
  <r>
    <s v="DSHQH303"/>
    <n v="21"/>
    <x v="1"/>
    <x v="2"/>
    <x v="1"/>
    <s v="до 250 рублей"/>
  </r>
  <r>
    <s v="ULFFK642"/>
    <n v="21"/>
    <x v="1"/>
    <x v="0"/>
    <x v="4"/>
    <s v="до 250 рублей"/>
  </r>
  <r>
    <s v="SVSNS271"/>
    <n v="21"/>
    <x v="1"/>
    <x v="0"/>
    <x v="4"/>
    <s v="до 250 рублей"/>
  </r>
  <r>
    <s v="HRGLG135"/>
    <n v="21"/>
    <x v="1"/>
    <x v="2"/>
    <x v="0"/>
    <s v="до 250 рублей"/>
  </r>
  <r>
    <s v="JUIRA674"/>
    <n v="21"/>
    <x v="1"/>
    <x v="0"/>
    <x v="4"/>
    <s v="до 250 рублей"/>
  </r>
  <r>
    <s v="LYMFS351"/>
    <n v="21"/>
    <x v="1"/>
    <x v="0"/>
    <x v="4"/>
    <s v="до 250 рублей"/>
  </r>
  <r>
    <s v="DYBVE492"/>
    <n v="21"/>
    <x v="1"/>
    <x v="3"/>
    <x v="1"/>
    <s v="до 250 рублей"/>
  </r>
  <r>
    <s v="SVNXK824"/>
    <n v="21"/>
    <x v="1"/>
    <x v="0"/>
    <x v="1"/>
    <s v="до 250 рублей"/>
  </r>
  <r>
    <s v="CQJKQ566"/>
    <n v="21"/>
    <x v="1"/>
    <x v="2"/>
    <x v="1"/>
    <s v="до 250 рублей"/>
  </r>
  <r>
    <s v="TZKVV014"/>
    <n v="21"/>
    <x v="1"/>
    <x v="0"/>
    <x v="1"/>
    <s v="до 250 рублей"/>
  </r>
  <r>
    <s v="OROHG900"/>
    <n v="21"/>
    <x v="1"/>
    <x v="0"/>
    <x v="1"/>
    <s v="до 250 рублей"/>
  </r>
  <r>
    <s v="SWUNJ016"/>
    <n v="21"/>
    <x v="1"/>
    <x v="0"/>
    <x v="4"/>
    <s v="до 250 рублей"/>
  </r>
  <r>
    <s v="VGIBN794"/>
    <n v="21"/>
    <x v="1"/>
    <x v="0"/>
    <x v="1"/>
    <s v="до 250 рублей"/>
  </r>
  <r>
    <s v="FVZAX328"/>
    <n v="21"/>
    <x v="1"/>
    <x v="3"/>
    <x v="1"/>
    <s v="до 250 рублей"/>
  </r>
  <r>
    <s v="FEDIQ240"/>
    <n v="21"/>
    <x v="1"/>
    <x v="0"/>
    <x v="1"/>
    <s v="до 250 рублей"/>
  </r>
  <r>
    <s v="SMRRR352"/>
    <n v="21"/>
    <x v="1"/>
    <x v="0"/>
    <x v="0"/>
    <s v="до 250 рублей"/>
  </r>
  <r>
    <s v="JVPTY742"/>
    <n v="21"/>
    <x v="1"/>
    <x v="0"/>
    <x v="0"/>
    <s v="до 250 рублей"/>
  </r>
  <r>
    <s v="JCSDX534"/>
    <n v="21"/>
    <x v="1"/>
    <x v="3"/>
    <x v="4"/>
    <s v="до 250 рублей"/>
  </r>
  <r>
    <s v="FQCLS078"/>
    <n v="21"/>
    <x v="1"/>
    <x v="3"/>
    <x v="1"/>
    <s v="до 250 рублей"/>
  </r>
  <r>
    <s v="KOEVO656"/>
    <n v="21"/>
    <x v="1"/>
    <x v="3"/>
    <x v="1"/>
    <s v="до 250 рублей"/>
  </r>
  <r>
    <s v="URRCR802"/>
    <n v="21"/>
    <x v="1"/>
    <x v="0"/>
    <x v="1"/>
    <s v="до 250 рублей"/>
  </r>
  <r>
    <s v="WSKJX024"/>
    <n v="21"/>
    <x v="1"/>
    <x v="0"/>
    <x v="4"/>
    <s v="до 250 рублей"/>
  </r>
  <r>
    <s v="JCXEO477"/>
    <n v="21"/>
    <x v="1"/>
    <x v="0"/>
    <x v="4"/>
    <s v="до 250 рублей"/>
  </r>
  <r>
    <s v="WNGPC995"/>
    <n v="21"/>
    <x v="1"/>
    <x v="0"/>
    <x v="1"/>
    <s v="до 250 рублей"/>
  </r>
  <r>
    <s v="RGZXG313"/>
    <n v="21"/>
    <x v="1"/>
    <x v="0"/>
    <x v="1"/>
    <s v="до 250 рублей"/>
  </r>
  <r>
    <s v="EKRPL661"/>
    <n v="21"/>
    <x v="1"/>
    <x v="0"/>
    <x v="1"/>
    <s v="до 250 рублей"/>
  </r>
  <r>
    <s v="OFFCA788"/>
    <n v="21"/>
    <x v="1"/>
    <x v="0"/>
    <x v="1"/>
    <s v="до 250 рублей"/>
  </r>
  <r>
    <s v="TGNSK482"/>
    <n v="21"/>
    <x v="1"/>
    <x v="0"/>
    <x v="1"/>
    <s v="до 250 рублей"/>
  </r>
  <r>
    <s v="RWNLQ765"/>
    <n v="21"/>
    <x v="1"/>
    <x v="0"/>
    <x v="3"/>
    <s v="до 250 рублей"/>
  </r>
  <r>
    <s v="MCBMA425"/>
    <n v="21"/>
    <x v="1"/>
    <x v="0"/>
    <x v="0"/>
    <s v="до 250 рублей"/>
  </r>
  <r>
    <s v="CPJZW436"/>
    <n v="21"/>
    <x v="1"/>
    <x v="2"/>
    <x v="1"/>
    <s v="до 250 рублей"/>
  </r>
  <r>
    <s v="ZFTOP521"/>
    <n v="21"/>
    <x v="1"/>
    <x v="0"/>
    <x v="0"/>
    <s v="до 250 рублей"/>
  </r>
  <r>
    <s v="ODGIF253"/>
    <n v="21"/>
    <x v="1"/>
    <x v="0"/>
    <x v="1"/>
    <s v="до 250 рублей"/>
  </r>
  <r>
    <s v="ZMIEI393"/>
    <n v="21"/>
    <x v="1"/>
    <x v="0"/>
    <x v="0"/>
    <s v="до 250 рублей"/>
  </r>
  <r>
    <s v="WJHOF596"/>
    <n v="21"/>
    <x v="1"/>
    <x v="0"/>
    <x v="1"/>
    <s v="до 250 рублей"/>
  </r>
  <r>
    <s v="PWXTC497"/>
    <n v="21"/>
    <x v="1"/>
    <x v="2"/>
    <x v="1"/>
    <s v="до 250 рублей"/>
  </r>
  <r>
    <s v="OEHBB964"/>
    <n v="21"/>
    <x v="1"/>
    <x v="0"/>
    <x v="3"/>
    <s v="до 250 рублей"/>
  </r>
  <r>
    <s v="OENMM482"/>
    <n v="21"/>
    <x v="1"/>
    <x v="0"/>
    <x v="3"/>
    <s v="до 250 рублей"/>
  </r>
  <r>
    <s v="PWHLR636"/>
    <n v="21"/>
    <x v="1"/>
    <x v="0"/>
    <x v="4"/>
    <s v="до 250 рублей"/>
  </r>
  <r>
    <s v="QFQNM599"/>
    <n v="21"/>
    <x v="1"/>
    <x v="0"/>
    <x v="0"/>
    <s v="до 250 рублей"/>
  </r>
  <r>
    <s v="FBGQT890"/>
    <n v="21"/>
    <x v="1"/>
    <x v="3"/>
    <x v="1"/>
    <s v="до 250 рублей"/>
  </r>
  <r>
    <s v="TZUYN962"/>
    <n v="21"/>
    <x v="1"/>
    <x v="0"/>
    <x v="1"/>
    <s v="до 250 рублей"/>
  </r>
  <r>
    <s v="UAXVW706"/>
    <n v="21"/>
    <x v="1"/>
    <x v="0"/>
    <x v="3"/>
    <s v="до 250 рублей"/>
  </r>
  <r>
    <s v="QTWRY658"/>
    <n v="21"/>
    <x v="1"/>
    <x v="0"/>
    <x v="1"/>
    <s v="до 250 рублей"/>
  </r>
  <r>
    <s v="TUACG813"/>
    <n v="21"/>
    <x v="1"/>
    <x v="0"/>
    <x v="1"/>
    <s v="до 250 рублей"/>
  </r>
  <r>
    <s v="UCEMT890"/>
    <n v="21"/>
    <x v="1"/>
    <x v="0"/>
    <x v="1"/>
    <s v="до 250 рублей"/>
  </r>
  <r>
    <s v="ZIKUW936"/>
    <n v="21"/>
    <x v="1"/>
    <x v="0"/>
    <x v="0"/>
    <s v="до 250 рублей"/>
  </r>
  <r>
    <s v="FHOLZ380"/>
    <n v="21"/>
    <x v="1"/>
    <x v="3"/>
    <x v="1"/>
    <s v="до 250 рублей"/>
  </r>
  <r>
    <s v="XUCNJ316"/>
    <n v="21"/>
    <x v="1"/>
    <x v="0"/>
    <x v="0"/>
    <s v="до 250 рублей"/>
  </r>
  <r>
    <s v="QAKSU146"/>
    <n v="21"/>
    <x v="1"/>
    <x v="3"/>
    <x v="4"/>
    <s v="до 250 рублей"/>
  </r>
  <r>
    <s v="WHEXW864"/>
    <n v="21"/>
    <x v="1"/>
    <x v="0"/>
    <x v="1"/>
    <s v="до 250 рублей"/>
  </r>
  <r>
    <s v="SUQWM907"/>
    <n v="21"/>
    <x v="1"/>
    <x v="0"/>
    <x v="0"/>
    <s v="до 250 рублей"/>
  </r>
  <r>
    <s v="ICRZS007"/>
    <n v="21"/>
    <x v="1"/>
    <x v="3"/>
    <x v="4"/>
    <s v="до 250 рублей"/>
  </r>
  <r>
    <s v="BMALT668"/>
    <n v="21"/>
    <x v="1"/>
    <x v="2"/>
    <x v="4"/>
    <s v="до 250 рублей"/>
  </r>
  <r>
    <s v="EZKUJ739"/>
    <n v="21"/>
    <x v="1"/>
    <x v="2"/>
    <x v="1"/>
    <s v="до 250 рублей"/>
  </r>
  <r>
    <s v="LGKPV470"/>
    <n v="21"/>
    <x v="1"/>
    <x v="0"/>
    <x v="4"/>
    <s v="до 250 рублей"/>
  </r>
  <r>
    <s v="HMUTP717"/>
    <n v="21"/>
    <x v="1"/>
    <x v="0"/>
    <x v="4"/>
    <s v="до 250 рублей"/>
  </r>
  <r>
    <s v="FLHHA902"/>
    <n v="21"/>
    <x v="1"/>
    <x v="3"/>
    <x v="1"/>
    <s v="до 250 рублей"/>
  </r>
  <r>
    <s v="PRKBD095"/>
    <n v="21"/>
    <x v="1"/>
    <x v="3"/>
    <x v="4"/>
    <s v="до 250 рублей"/>
  </r>
  <r>
    <s v="GLZQH903"/>
    <n v="21"/>
    <x v="1"/>
    <x v="3"/>
    <x v="1"/>
    <s v="до 250 рублей"/>
  </r>
  <r>
    <s v="MFTZD280"/>
    <n v="21"/>
    <x v="1"/>
    <x v="3"/>
    <x v="4"/>
    <s v="до 250 рублей"/>
  </r>
  <r>
    <s v="UICIR908"/>
    <n v="21"/>
    <x v="1"/>
    <x v="0"/>
    <x v="1"/>
    <s v="до 250 рублей"/>
  </r>
  <r>
    <s v="OPAXT050"/>
    <n v="21"/>
    <x v="1"/>
    <x v="0"/>
    <x v="1"/>
    <s v="до 250 рублей"/>
  </r>
  <r>
    <s v="LUUAB532"/>
    <n v="21"/>
    <x v="1"/>
    <x v="0"/>
    <x v="0"/>
    <s v="до 250 рублей"/>
  </r>
  <r>
    <s v="OMWFB516"/>
    <n v="21"/>
    <x v="1"/>
    <x v="0"/>
    <x v="1"/>
    <s v="до 250 рублей"/>
  </r>
  <r>
    <s v="BTGEU819"/>
    <n v="21"/>
    <x v="1"/>
    <x v="0"/>
    <x v="1"/>
    <s v="до 250 рублей"/>
  </r>
  <r>
    <s v="ENDDU763"/>
    <n v="21"/>
    <x v="1"/>
    <x v="1"/>
    <x v="1"/>
    <s v="до 250 рублей"/>
  </r>
  <r>
    <s v="QCPMV336"/>
    <n v="21"/>
    <x v="1"/>
    <x v="0"/>
    <x v="0"/>
    <s v="до 250 рублей"/>
  </r>
  <r>
    <s v="UZXAW127"/>
    <n v="21"/>
    <x v="1"/>
    <x v="0"/>
    <x v="4"/>
    <s v="до 250 рублей"/>
  </r>
  <r>
    <s v="CFCMY210"/>
    <n v="21"/>
    <x v="1"/>
    <x v="0"/>
    <x v="1"/>
    <s v="до 250 рублей"/>
  </r>
  <r>
    <s v="POXZP734"/>
    <n v="21"/>
    <x v="1"/>
    <x v="2"/>
    <x v="4"/>
    <s v="до 250 рублей"/>
  </r>
  <r>
    <s v="LAMJT496"/>
    <n v="21"/>
    <x v="1"/>
    <x v="0"/>
    <x v="0"/>
    <s v="до 250 рублей"/>
  </r>
  <r>
    <s v="EYXOV590"/>
    <n v="21"/>
    <x v="1"/>
    <x v="1"/>
    <x v="1"/>
    <s v="до 250 рублей"/>
  </r>
  <r>
    <s v="LBNXT214"/>
    <n v="21"/>
    <x v="1"/>
    <x v="3"/>
    <x v="1"/>
    <s v="до 250 рублей"/>
  </r>
  <r>
    <s v="SKKLG660"/>
    <n v="21"/>
    <x v="1"/>
    <x v="0"/>
    <x v="1"/>
    <s v="до 250 рублей"/>
  </r>
  <r>
    <s v="HXLJE621"/>
    <n v="21"/>
    <x v="1"/>
    <x v="2"/>
    <x v="0"/>
    <s v="до 250 рублей"/>
  </r>
  <r>
    <s v="HYKMF754"/>
    <n v="21"/>
    <x v="1"/>
    <x v="3"/>
    <x v="0"/>
    <s v="до 250 рублей"/>
  </r>
  <r>
    <s v="WHCXL388"/>
    <n v="21"/>
    <x v="1"/>
    <x v="0"/>
    <x v="1"/>
    <s v="до 250 рублей"/>
  </r>
  <r>
    <s v="TOTDA061"/>
    <n v="21"/>
    <x v="1"/>
    <x v="0"/>
    <x v="1"/>
    <s v="до 250 рублей"/>
  </r>
  <r>
    <s v="IBFPT804"/>
    <n v="21"/>
    <x v="1"/>
    <x v="2"/>
    <x v="4"/>
    <s v="до 250 рублей"/>
  </r>
  <r>
    <s v="OJBEZ718"/>
    <n v="21"/>
    <x v="1"/>
    <x v="0"/>
    <x v="1"/>
    <s v="до 250 рублей"/>
  </r>
  <r>
    <s v="POKFI611"/>
    <n v="21"/>
    <x v="1"/>
    <x v="3"/>
    <x v="1"/>
    <s v="до 250 рублей"/>
  </r>
  <r>
    <s v="TBULR028"/>
    <n v="21"/>
    <x v="1"/>
    <x v="0"/>
    <x v="1"/>
    <s v="до 250 рублей"/>
  </r>
  <r>
    <s v="LWHMH322"/>
    <n v="21"/>
    <x v="1"/>
    <x v="0"/>
    <x v="0"/>
    <s v="до 250 рублей"/>
  </r>
  <r>
    <s v="LIMIP750"/>
    <n v="21"/>
    <x v="1"/>
    <x v="0"/>
    <x v="4"/>
    <s v="до 250 рублей"/>
  </r>
  <r>
    <s v="BLNKX189"/>
    <n v="21"/>
    <x v="1"/>
    <x v="0"/>
    <x v="0"/>
    <s v="до 250 рублей"/>
  </r>
  <r>
    <s v="RXFKP750"/>
    <n v="21"/>
    <x v="1"/>
    <x v="0"/>
    <x v="0"/>
    <s v="до 250 рублей"/>
  </r>
  <r>
    <s v="GTXSY819"/>
    <n v="21"/>
    <x v="1"/>
    <x v="3"/>
    <x v="4"/>
    <s v="до 250 рублей"/>
  </r>
  <r>
    <s v="ZUQOP294"/>
    <n v="21"/>
    <x v="1"/>
    <x v="0"/>
    <x v="0"/>
    <s v="до 250 рублей"/>
  </r>
  <r>
    <s v="PIGXC972"/>
    <n v="21"/>
    <x v="1"/>
    <x v="0"/>
    <x v="3"/>
    <s v="до 250 рублей"/>
  </r>
  <r>
    <s v="MFTMX622"/>
    <n v="21"/>
    <x v="1"/>
    <x v="2"/>
    <x v="1"/>
    <s v="до 250 рублей"/>
  </r>
  <r>
    <s v="QALXY843"/>
    <n v="21"/>
    <x v="1"/>
    <x v="2"/>
    <x v="1"/>
    <s v="до 250 рублей"/>
  </r>
  <r>
    <s v="DDOSG151"/>
    <n v="22"/>
    <x v="1"/>
    <x v="2"/>
    <x v="0"/>
    <s v="до 250 рублей"/>
  </r>
  <r>
    <s v="VARBR822"/>
    <n v="22"/>
    <x v="1"/>
    <x v="0"/>
    <x v="1"/>
    <s v="до 250 рублей"/>
  </r>
  <r>
    <s v="XJULK368"/>
    <n v="22"/>
    <x v="1"/>
    <x v="0"/>
    <x v="1"/>
    <s v="до 250 рублей"/>
  </r>
  <r>
    <s v="XEJHU965"/>
    <n v="22"/>
    <x v="1"/>
    <x v="0"/>
    <x v="1"/>
    <s v="до 250 рублей"/>
  </r>
  <r>
    <s v="GQEMO540"/>
    <n v="22"/>
    <x v="1"/>
    <x v="3"/>
    <x v="0"/>
    <s v="до 250 рублей"/>
  </r>
  <r>
    <s v="GLRKB877"/>
    <n v="22"/>
    <x v="1"/>
    <x v="2"/>
    <x v="4"/>
    <s v="до 250 рублей"/>
  </r>
  <r>
    <s v="PQIHQ825"/>
    <n v="22"/>
    <x v="1"/>
    <x v="3"/>
    <x v="1"/>
    <s v="до 250 рублей"/>
  </r>
  <r>
    <s v="TAASA894"/>
    <n v="22"/>
    <x v="1"/>
    <x v="0"/>
    <x v="1"/>
    <s v="до 250 рублей"/>
  </r>
  <r>
    <s v="JMEFC890"/>
    <n v="22"/>
    <x v="1"/>
    <x v="3"/>
    <x v="4"/>
    <s v="до 250 рублей"/>
  </r>
  <r>
    <s v="AKPTX689"/>
    <n v="22"/>
    <x v="1"/>
    <x v="1"/>
    <x v="4"/>
    <s v="до 250 рублей"/>
  </r>
  <r>
    <s v="LXZYA607"/>
    <n v="22"/>
    <x v="1"/>
    <x v="2"/>
    <x v="4"/>
    <s v="до 250 рублей"/>
  </r>
  <r>
    <s v="CILYA739"/>
    <n v="22"/>
    <x v="1"/>
    <x v="2"/>
    <x v="1"/>
    <s v="до 250 рублей"/>
  </r>
  <r>
    <s v="PMLNA609"/>
    <n v="22"/>
    <x v="1"/>
    <x v="3"/>
    <x v="1"/>
    <s v="до 250 рублей"/>
  </r>
  <r>
    <s v="XZYQY132"/>
    <n v="22"/>
    <x v="1"/>
    <x v="0"/>
    <x v="0"/>
    <s v="до 250 рублей"/>
  </r>
  <r>
    <s v="DGPXY904"/>
    <n v="22"/>
    <x v="1"/>
    <x v="2"/>
    <x v="1"/>
    <s v="до 250 рублей"/>
  </r>
  <r>
    <s v="RYDJM336"/>
    <n v="22"/>
    <x v="1"/>
    <x v="0"/>
    <x v="3"/>
    <s v="до 250 рублей"/>
  </r>
  <r>
    <s v="UGKAK583"/>
    <n v="22"/>
    <x v="1"/>
    <x v="0"/>
    <x v="1"/>
    <s v="до 250 рублей"/>
  </r>
  <r>
    <s v="WWRGC016"/>
    <n v="22"/>
    <x v="1"/>
    <x v="0"/>
    <x v="3"/>
    <s v="до 250 рублей"/>
  </r>
  <r>
    <s v="TYCAC438"/>
    <n v="22"/>
    <x v="1"/>
    <x v="0"/>
    <x v="3"/>
    <s v="до 250 рублей"/>
  </r>
  <r>
    <s v="RJTLU681"/>
    <n v="22"/>
    <x v="1"/>
    <x v="0"/>
    <x v="4"/>
    <s v="до 250 рублей"/>
  </r>
  <r>
    <s v="SWCIR604"/>
    <n v="22"/>
    <x v="1"/>
    <x v="0"/>
    <x v="3"/>
    <s v="до 250 рублей"/>
  </r>
  <r>
    <s v="LNBTG154"/>
    <n v="22"/>
    <x v="1"/>
    <x v="0"/>
    <x v="0"/>
    <s v="до 250 рублей"/>
  </r>
  <r>
    <s v="FJDIZ908"/>
    <n v="22"/>
    <x v="1"/>
    <x v="1"/>
    <x v="4"/>
    <s v="до 250 рублей"/>
  </r>
  <r>
    <s v="LZHAF913"/>
    <n v="22"/>
    <x v="1"/>
    <x v="2"/>
    <x v="1"/>
    <s v="до 250 рублей"/>
  </r>
  <r>
    <s v="QBGLD433"/>
    <n v="22"/>
    <x v="1"/>
    <x v="0"/>
    <x v="4"/>
    <s v="до 250 рублей"/>
  </r>
  <r>
    <s v="QVMQD615"/>
    <n v="22"/>
    <x v="1"/>
    <x v="0"/>
    <x v="1"/>
    <s v="до 250 рублей"/>
  </r>
  <r>
    <s v="HQWZQ565"/>
    <n v="22"/>
    <x v="1"/>
    <x v="2"/>
    <x v="4"/>
    <s v="до 250 рублей"/>
  </r>
  <r>
    <s v="WWOEP382"/>
    <n v="22"/>
    <x v="1"/>
    <x v="0"/>
    <x v="1"/>
    <s v="до 250 рублей"/>
  </r>
  <r>
    <s v="PAYRP633"/>
    <n v="22"/>
    <x v="1"/>
    <x v="0"/>
    <x v="3"/>
    <s v="до 250 рублей"/>
  </r>
  <r>
    <s v="WWVNG117"/>
    <n v="22"/>
    <x v="1"/>
    <x v="0"/>
    <x v="0"/>
    <s v="до 250 рублей"/>
  </r>
  <r>
    <s v="UISKE667"/>
    <n v="22"/>
    <x v="1"/>
    <x v="0"/>
    <x v="1"/>
    <s v="до 250 рублей"/>
  </r>
  <r>
    <s v="WTUJU128"/>
    <n v="22"/>
    <x v="1"/>
    <x v="0"/>
    <x v="3"/>
    <s v="до 250 рублей"/>
  </r>
  <r>
    <s v="ZTLYW029"/>
    <n v="22"/>
    <x v="1"/>
    <x v="0"/>
    <x v="0"/>
    <s v="до 250 рублей"/>
  </r>
  <r>
    <s v="OIYMR777"/>
    <n v="22"/>
    <x v="1"/>
    <x v="0"/>
    <x v="1"/>
    <s v="до 250 рублей"/>
  </r>
  <r>
    <s v="ECDMY367"/>
    <n v="22"/>
    <x v="1"/>
    <x v="2"/>
    <x v="1"/>
    <s v="до 250 рублей"/>
  </r>
  <r>
    <s v="OBZYP189"/>
    <n v="22"/>
    <x v="1"/>
    <x v="0"/>
    <x v="1"/>
    <s v="до 250 рублей"/>
  </r>
  <r>
    <s v="XMFLT123"/>
    <n v="22"/>
    <x v="1"/>
    <x v="0"/>
    <x v="0"/>
    <s v="до 250 рублей"/>
  </r>
  <r>
    <s v="HOKTO272"/>
    <n v="22"/>
    <x v="1"/>
    <x v="3"/>
    <x v="4"/>
    <s v="до 250 рублей"/>
  </r>
  <r>
    <s v="SKWLK283"/>
    <n v="22"/>
    <x v="1"/>
    <x v="0"/>
    <x v="1"/>
    <s v="до 250 рублей"/>
  </r>
  <r>
    <s v="LWERY396"/>
    <n v="22"/>
    <x v="1"/>
    <x v="0"/>
    <x v="0"/>
    <s v="до 250 рублей"/>
  </r>
  <r>
    <s v="EBNLL641"/>
    <n v="22"/>
    <x v="1"/>
    <x v="3"/>
    <x v="0"/>
    <s v="до 250 рублей"/>
  </r>
  <r>
    <s v="YPMXJ580"/>
    <n v="22"/>
    <x v="1"/>
    <x v="0"/>
    <x v="0"/>
    <s v="до 250 рублей"/>
  </r>
  <r>
    <s v="ABOJI528"/>
    <n v="22"/>
    <x v="1"/>
    <x v="4"/>
    <x v="1"/>
    <s v="до 250 рублей"/>
  </r>
  <r>
    <s v="GDOFJ743"/>
    <n v="22"/>
    <x v="1"/>
    <x v="2"/>
    <x v="4"/>
    <s v="до 250 рублей"/>
  </r>
  <r>
    <s v="WCOQM992"/>
    <n v="22"/>
    <x v="1"/>
    <x v="0"/>
    <x v="1"/>
    <s v="до 250 рублей"/>
  </r>
  <r>
    <s v="FOKJN828"/>
    <n v="22"/>
    <x v="1"/>
    <x v="3"/>
    <x v="0"/>
    <s v="до 250 рублей"/>
  </r>
  <r>
    <s v="JZGZM198"/>
    <n v="22"/>
    <x v="1"/>
    <x v="0"/>
    <x v="1"/>
    <s v="до 250 рублей"/>
  </r>
  <r>
    <s v="DESLX403"/>
    <n v="22"/>
    <x v="1"/>
    <x v="2"/>
    <x v="1"/>
    <s v="до 250 рублей"/>
  </r>
  <r>
    <s v="QVNXW035"/>
    <n v="22"/>
    <x v="1"/>
    <x v="0"/>
    <x v="1"/>
    <s v="до 250 рублей"/>
  </r>
  <r>
    <s v="ZGCIC855"/>
    <n v="22"/>
    <x v="1"/>
    <x v="0"/>
    <x v="0"/>
    <s v="до 250 рублей"/>
  </r>
  <r>
    <s v="DWXVS867"/>
    <n v="22"/>
    <x v="1"/>
    <x v="0"/>
    <x v="0"/>
    <s v="до 250 рублей"/>
  </r>
  <r>
    <s v="FNBCB399"/>
    <n v="22"/>
    <x v="1"/>
    <x v="2"/>
    <x v="1"/>
    <s v="до 250 рублей"/>
  </r>
  <r>
    <s v="LSQBZ026"/>
    <n v="22"/>
    <x v="1"/>
    <x v="3"/>
    <x v="1"/>
    <s v="до 250 рублей"/>
  </r>
  <r>
    <s v="ZHPXF549"/>
    <n v="22"/>
    <x v="1"/>
    <x v="0"/>
    <x v="0"/>
    <s v="до 250 рублей"/>
  </r>
  <r>
    <s v="AJGOU308"/>
    <n v="22"/>
    <x v="1"/>
    <x v="4"/>
    <x v="3"/>
    <s v="до 250 рублей"/>
  </r>
  <r>
    <s v="YLLTD572"/>
    <n v="22"/>
    <x v="1"/>
    <x v="0"/>
    <x v="0"/>
    <s v="до 250 рублей"/>
  </r>
  <r>
    <s v="QTVJS012"/>
    <n v="22"/>
    <x v="1"/>
    <x v="0"/>
    <x v="1"/>
    <s v="до 250 рублей"/>
  </r>
  <r>
    <s v="DKZOP557"/>
    <n v="22"/>
    <x v="1"/>
    <x v="0"/>
    <x v="1"/>
    <s v="до 250 рублей"/>
  </r>
  <r>
    <s v="GJVFO664"/>
    <n v="22"/>
    <x v="1"/>
    <x v="2"/>
    <x v="0"/>
    <s v="до 250 рублей"/>
  </r>
  <r>
    <s v="SIWXE396"/>
    <n v="22"/>
    <x v="1"/>
    <x v="0"/>
    <x v="1"/>
    <s v="до 250 рублей"/>
  </r>
  <r>
    <s v="QDCQP088"/>
    <n v="22"/>
    <x v="1"/>
    <x v="2"/>
    <x v="4"/>
    <s v="до 250 рублей"/>
  </r>
  <r>
    <s v="MYUFG599"/>
    <n v="22"/>
    <x v="1"/>
    <x v="0"/>
    <x v="1"/>
    <s v="до 250 рублей"/>
  </r>
  <r>
    <s v="VAMGL196"/>
    <n v="22"/>
    <x v="1"/>
    <x v="0"/>
    <x v="1"/>
    <s v="до 250 рублей"/>
  </r>
  <r>
    <s v="XKOHF218"/>
    <n v="22"/>
    <x v="1"/>
    <x v="0"/>
    <x v="4"/>
    <s v="до 250 рублей"/>
  </r>
  <r>
    <s v="FWWKU744"/>
    <n v="22"/>
    <x v="1"/>
    <x v="3"/>
    <x v="4"/>
    <s v="до 250 рублей"/>
  </r>
  <r>
    <s v="PEKIK721"/>
    <n v="22"/>
    <x v="1"/>
    <x v="0"/>
    <x v="1"/>
    <s v="до 250 рублей"/>
  </r>
  <r>
    <s v="VOUGG003"/>
    <n v="22"/>
    <x v="1"/>
    <x v="0"/>
    <x v="1"/>
    <s v="до 250 рублей"/>
  </r>
  <r>
    <s v="GZDAK943"/>
    <n v="22"/>
    <x v="1"/>
    <x v="3"/>
    <x v="1"/>
    <s v="до 250 рублей"/>
  </r>
  <r>
    <s v="IURSU195"/>
    <n v="22"/>
    <x v="1"/>
    <x v="0"/>
    <x v="4"/>
    <s v="до 250 рублей"/>
  </r>
  <r>
    <s v="KCMTQ006"/>
    <n v="22"/>
    <x v="1"/>
    <x v="2"/>
    <x v="4"/>
    <s v="до 250 рублей"/>
  </r>
  <r>
    <s v="ZQZJR354"/>
    <n v="22"/>
    <x v="1"/>
    <x v="0"/>
    <x v="0"/>
    <s v="до 250 рублей"/>
  </r>
  <r>
    <s v="ANJXW186"/>
    <n v="22"/>
    <x v="1"/>
    <x v="1"/>
    <x v="3"/>
    <s v="до 250 рублей"/>
  </r>
  <r>
    <s v="UUXAQ080"/>
    <n v="22"/>
    <x v="1"/>
    <x v="0"/>
    <x v="3"/>
    <s v="до 250 рублей"/>
  </r>
  <r>
    <s v="GMVWO237"/>
    <n v="22"/>
    <x v="1"/>
    <x v="1"/>
    <x v="1"/>
    <s v="до 250 рублей"/>
  </r>
  <r>
    <s v="ZOSLW286"/>
    <n v="22"/>
    <x v="1"/>
    <x v="0"/>
    <x v="0"/>
    <s v="до 250 рублей"/>
  </r>
  <r>
    <s v="IROTI885"/>
    <n v="22"/>
    <x v="1"/>
    <x v="2"/>
    <x v="4"/>
    <s v="до 250 рублей"/>
  </r>
  <r>
    <s v="KWCIN839"/>
    <n v="22"/>
    <x v="1"/>
    <x v="0"/>
    <x v="4"/>
    <s v="до 250 рублей"/>
  </r>
  <r>
    <s v="BDFCL864"/>
    <n v="22"/>
    <x v="1"/>
    <x v="1"/>
    <x v="3"/>
    <s v="до 250 рублей"/>
  </r>
  <r>
    <s v="CYWRN222"/>
    <n v="22"/>
    <x v="1"/>
    <x v="0"/>
    <x v="0"/>
    <s v="до 250 рублей"/>
  </r>
  <r>
    <s v="LXPNS293"/>
    <n v="22"/>
    <x v="1"/>
    <x v="3"/>
    <x v="4"/>
    <s v="до 250 рублей"/>
  </r>
  <r>
    <s v="CFUEQ576"/>
    <n v="22"/>
    <x v="1"/>
    <x v="3"/>
    <x v="0"/>
    <s v="до 250 рублей"/>
  </r>
  <r>
    <s v="XNQDT138"/>
    <n v="22"/>
    <x v="1"/>
    <x v="0"/>
    <x v="0"/>
    <s v="до 250 рублей"/>
  </r>
  <r>
    <s v="UQEUN515"/>
    <n v="22"/>
    <x v="1"/>
    <x v="0"/>
    <x v="1"/>
    <s v="до 250 рублей"/>
  </r>
  <r>
    <s v="HKREU588"/>
    <n v="22"/>
    <x v="1"/>
    <x v="3"/>
    <x v="1"/>
    <s v="до 250 рублей"/>
  </r>
  <r>
    <s v="YZJAT122"/>
    <n v="22"/>
    <x v="1"/>
    <x v="0"/>
    <x v="0"/>
    <s v="до 250 рублей"/>
  </r>
  <r>
    <s v="IXHHB027"/>
    <n v="22"/>
    <x v="1"/>
    <x v="1"/>
    <x v="0"/>
    <s v="до 250 рублей"/>
  </r>
  <r>
    <s v="PSJQM360"/>
    <n v="22"/>
    <x v="1"/>
    <x v="0"/>
    <x v="3"/>
    <s v="до 250 рублей"/>
  </r>
  <r>
    <s v="GDGTH925"/>
    <n v="22"/>
    <x v="1"/>
    <x v="1"/>
    <x v="0"/>
    <s v="до 250 рублей"/>
  </r>
  <r>
    <s v="JBQGX835"/>
    <n v="22"/>
    <x v="1"/>
    <x v="0"/>
    <x v="1"/>
    <s v="до 250 рублей"/>
  </r>
  <r>
    <s v="NLPXO352"/>
    <n v="22"/>
    <x v="1"/>
    <x v="0"/>
    <x v="1"/>
    <s v="до 250 рублей"/>
  </r>
  <r>
    <s v="CEYNZ979"/>
    <n v="22"/>
    <x v="1"/>
    <x v="3"/>
    <x v="4"/>
    <s v="до 250 рублей"/>
  </r>
  <r>
    <s v="EYRZO846"/>
    <n v="22"/>
    <x v="1"/>
    <x v="2"/>
    <x v="4"/>
    <s v="до 250 рублей"/>
  </r>
  <r>
    <s v="PGOBU846"/>
    <n v="22"/>
    <x v="1"/>
    <x v="0"/>
    <x v="1"/>
    <s v="до 250 рублей"/>
  </r>
  <r>
    <s v="ULWVN765"/>
    <n v="22"/>
    <x v="1"/>
    <x v="0"/>
    <x v="1"/>
    <s v="до 250 рублей"/>
  </r>
  <r>
    <s v="OZCPZ929"/>
    <n v="22"/>
    <x v="1"/>
    <x v="0"/>
    <x v="1"/>
    <s v="до 250 рублей"/>
  </r>
  <r>
    <s v="DDEUU081"/>
    <n v="22"/>
    <x v="1"/>
    <x v="0"/>
    <x v="1"/>
    <s v="до 250 рублей"/>
  </r>
  <r>
    <s v="TJXGG896"/>
    <n v="22"/>
    <x v="1"/>
    <x v="0"/>
    <x v="1"/>
    <s v="до 250 рублей"/>
  </r>
  <r>
    <s v="YTXCR157"/>
    <n v="22"/>
    <x v="1"/>
    <x v="0"/>
    <x v="0"/>
    <s v="до 250 рублей"/>
  </r>
  <r>
    <s v="KEFPK052"/>
    <n v="22"/>
    <x v="1"/>
    <x v="3"/>
    <x v="1"/>
    <s v="до 250 рублей"/>
  </r>
  <r>
    <s v="CYYEI328"/>
    <n v="22"/>
    <x v="1"/>
    <x v="0"/>
    <x v="1"/>
    <s v="до 250 рублей"/>
  </r>
  <r>
    <s v="XOYVE467"/>
    <n v="22"/>
    <x v="1"/>
    <x v="0"/>
    <x v="0"/>
    <s v="до 250 рублей"/>
  </r>
  <r>
    <s v="HGKRU036"/>
    <n v="22"/>
    <x v="1"/>
    <x v="1"/>
    <x v="4"/>
    <s v="до 250 рублей"/>
  </r>
  <r>
    <s v="ZNURP586"/>
    <n v="22"/>
    <x v="1"/>
    <x v="0"/>
    <x v="0"/>
    <s v="до 250 рублей"/>
  </r>
  <r>
    <s v="NTBYG367"/>
    <n v="22"/>
    <x v="1"/>
    <x v="0"/>
    <x v="1"/>
    <s v="до 250 рублей"/>
  </r>
  <r>
    <s v="OTIML470"/>
    <n v="22"/>
    <x v="1"/>
    <x v="0"/>
    <x v="3"/>
    <s v="до 250 рублей"/>
  </r>
  <r>
    <s v="KZPTS826"/>
    <n v="22"/>
    <x v="1"/>
    <x v="3"/>
    <x v="4"/>
    <s v="до 250 рублей"/>
  </r>
  <r>
    <s v="PPXAY009"/>
    <n v="22"/>
    <x v="1"/>
    <x v="0"/>
    <x v="1"/>
    <s v="до 250 рублей"/>
  </r>
  <r>
    <s v="VLKKY906"/>
    <n v="22"/>
    <x v="1"/>
    <x v="0"/>
    <x v="1"/>
    <s v="до 250 рублей"/>
  </r>
  <r>
    <s v="TIQTW725"/>
    <n v="22"/>
    <x v="1"/>
    <x v="0"/>
    <x v="1"/>
    <s v="до 250 рублей"/>
  </r>
  <r>
    <s v="PIUXK896"/>
    <n v="22"/>
    <x v="1"/>
    <x v="0"/>
    <x v="1"/>
    <s v="до 250 рублей"/>
  </r>
  <r>
    <s v="CHABB965"/>
    <n v="22"/>
    <x v="1"/>
    <x v="0"/>
    <x v="3"/>
    <s v="до 250 рублей"/>
  </r>
  <r>
    <s v="AJJXH748"/>
    <n v="22"/>
    <x v="1"/>
    <x v="1"/>
    <x v="1"/>
    <s v="до 250 рублей"/>
  </r>
  <r>
    <s v="TSEIF261"/>
    <n v="22"/>
    <x v="1"/>
    <x v="0"/>
    <x v="1"/>
    <s v="до 250 рублей"/>
  </r>
  <r>
    <s v="LJWXO987"/>
    <n v="22"/>
    <x v="1"/>
    <x v="3"/>
    <x v="4"/>
    <s v="до 250 рублей"/>
  </r>
  <r>
    <s v="NYSDV793"/>
    <n v="22"/>
    <x v="1"/>
    <x v="0"/>
    <x v="1"/>
    <s v="до 250 рублей"/>
  </r>
  <r>
    <s v="PCNCQ596"/>
    <n v="22"/>
    <x v="1"/>
    <x v="0"/>
    <x v="1"/>
    <s v="до 250 рублей"/>
  </r>
  <r>
    <s v="FBAJW491"/>
    <n v="22"/>
    <x v="1"/>
    <x v="1"/>
    <x v="3"/>
    <s v="до 250 рублей"/>
  </r>
  <r>
    <s v="JZNUM670"/>
    <n v="22"/>
    <x v="1"/>
    <x v="2"/>
    <x v="0"/>
    <s v="до 250 рублей"/>
  </r>
  <r>
    <s v="VZEPX988"/>
    <n v="22"/>
    <x v="1"/>
    <x v="0"/>
    <x v="0"/>
    <s v="до 250 рублей"/>
  </r>
  <r>
    <s v="IGYHP956"/>
    <n v="22"/>
    <x v="1"/>
    <x v="3"/>
    <x v="4"/>
    <s v="до 250 рублей"/>
  </r>
  <r>
    <s v="OVGGC199"/>
    <n v="22"/>
    <x v="1"/>
    <x v="0"/>
    <x v="1"/>
    <s v="до 250 рублей"/>
  </r>
  <r>
    <s v="LQFUX426"/>
    <n v="22"/>
    <x v="1"/>
    <x v="0"/>
    <x v="4"/>
    <s v="до 250 рублей"/>
  </r>
  <r>
    <s v="AFEUD360"/>
    <n v="22"/>
    <x v="1"/>
    <x v="1"/>
    <x v="3"/>
    <s v="до 250 рублей"/>
  </r>
  <r>
    <s v="MPDXO314"/>
    <n v="22"/>
    <x v="1"/>
    <x v="0"/>
    <x v="4"/>
    <s v="до 250 рублей"/>
  </r>
  <r>
    <s v="ZAGHP041"/>
    <n v="22"/>
    <x v="1"/>
    <x v="0"/>
    <x v="0"/>
    <s v="до 250 рублей"/>
  </r>
  <r>
    <s v="HDNSO250"/>
    <n v="22"/>
    <x v="1"/>
    <x v="0"/>
    <x v="4"/>
    <s v="до 250 рублей"/>
  </r>
  <r>
    <s v="SHLJG121"/>
    <n v="22"/>
    <x v="1"/>
    <x v="0"/>
    <x v="0"/>
    <s v="до 250 рублей"/>
  </r>
  <r>
    <s v="ZVRQI834"/>
    <n v="22"/>
    <x v="1"/>
    <x v="0"/>
    <x v="0"/>
    <s v="до 250 рублей"/>
  </r>
  <r>
    <s v="MWMRL844"/>
    <n v="22"/>
    <x v="1"/>
    <x v="0"/>
    <x v="0"/>
    <s v="до 250 рублей"/>
  </r>
  <r>
    <s v="DGHXT934"/>
    <n v="22"/>
    <x v="1"/>
    <x v="0"/>
    <x v="0"/>
    <s v="до 250 рублей"/>
  </r>
  <r>
    <s v="OWQXB880"/>
    <n v="22"/>
    <x v="1"/>
    <x v="0"/>
    <x v="3"/>
    <s v="до 250 рублей"/>
  </r>
  <r>
    <s v="CHBVB524"/>
    <n v="22"/>
    <x v="1"/>
    <x v="2"/>
    <x v="4"/>
    <s v="до 250 рублей"/>
  </r>
  <r>
    <s v="NZTUE463"/>
    <n v="22"/>
    <x v="1"/>
    <x v="0"/>
    <x v="1"/>
    <s v="до 250 рублей"/>
  </r>
  <r>
    <s v="UUXOA188"/>
    <n v="22"/>
    <x v="1"/>
    <x v="0"/>
    <x v="1"/>
    <s v="до 250 рублей"/>
  </r>
  <r>
    <s v="QXRKB943"/>
    <n v="22"/>
    <x v="1"/>
    <x v="0"/>
    <x v="1"/>
    <s v="до 250 рублей"/>
  </r>
  <r>
    <s v="ROAZJ677"/>
    <n v="22"/>
    <x v="1"/>
    <x v="0"/>
    <x v="1"/>
    <s v="до 250 рублей"/>
  </r>
  <r>
    <s v="NIDMA535"/>
    <n v="22"/>
    <x v="1"/>
    <x v="0"/>
    <x v="1"/>
    <s v="до 250 рублей"/>
  </r>
  <r>
    <s v="ELSJO056"/>
    <n v="22"/>
    <x v="1"/>
    <x v="0"/>
    <x v="1"/>
    <s v="до 250 рублей"/>
  </r>
  <r>
    <s v="KHTEW310"/>
    <n v="22"/>
    <x v="1"/>
    <x v="0"/>
    <x v="0"/>
    <s v="до 250 рублей"/>
  </r>
  <r>
    <s v="CHWVJ778"/>
    <n v="22"/>
    <x v="1"/>
    <x v="2"/>
    <x v="4"/>
    <s v="до 250 рублей"/>
  </r>
  <r>
    <s v="ONQTL892"/>
    <n v="22"/>
    <x v="1"/>
    <x v="0"/>
    <x v="1"/>
    <s v="до 250 рублей"/>
  </r>
  <r>
    <s v="TLWXU600"/>
    <n v="23"/>
    <x v="1"/>
    <x v="0"/>
    <x v="1"/>
    <s v="до 250 рублей"/>
  </r>
  <r>
    <s v="ATLRB413"/>
    <n v="23"/>
    <x v="1"/>
    <x v="0"/>
    <x v="3"/>
    <s v="до 250 рублей"/>
  </r>
  <r>
    <s v="YXXFV716"/>
    <n v="23"/>
    <x v="1"/>
    <x v="3"/>
    <x v="0"/>
    <s v="до 250 рублей"/>
  </r>
  <r>
    <s v="NOCRY115"/>
    <n v="23"/>
    <x v="1"/>
    <x v="0"/>
    <x v="1"/>
    <s v="до 250 рублей"/>
  </r>
  <r>
    <s v="RTQUU258"/>
    <n v="23"/>
    <x v="1"/>
    <x v="0"/>
    <x v="4"/>
    <s v="до 250 рублей"/>
  </r>
  <r>
    <s v="HFPFC275"/>
    <n v="23"/>
    <x v="1"/>
    <x v="3"/>
    <x v="4"/>
    <s v="до 250 рублей"/>
  </r>
  <r>
    <s v="AFUTM422"/>
    <n v="23"/>
    <x v="1"/>
    <x v="1"/>
    <x v="4"/>
    <s v="до 250 рублей"/>
  </r>
  <r>
    <s v="PTFRI551"/>
    <n v="23"/>
    <x v="1"/>
    <x v="3"/>
    <x v="0"/>
    <s v="до 250 рублей"/>
  </r>
  <r>
    <s v="AWZZB338"/>
    <n v="23"/>
    <x v="1"/>
    <x v="1"/>
    <x v="3"/>
    <s v="до 250 рублей"/>
  </r>
  <r>
    <s v="GNVGJ042"/>
    <n v="23"/>
    <x v="1"/>
    <x v="2"/>
    <x v="0"/>
    <s v="до 250 рублей"/>
  </r>
  <r>
    <s v="WIZEX088"/>
    <n v="23"/>
    <x v="1"/>
    <x v="0"/>
    <x v="1"/>
    <s v="до 250 рублей"/>
  </r>
  <r>
    <s v="IVMBB524"/>
    <n v="23"/>
    <x v="1"/>
    <x v="0"/>
    <x v="0"/>
    <s v="до 250 рублей"/>
  </r>
  <r>
    <s v="ESLZH011"/>
    <n v="23"/>
    <x v="1"/>
    <x v="0"/>
    <x v="0"/>
    <s v="до 250 рублей"/>
  </r>
  <r>
    <s v="AAGZN621"/>
    <n v="23"/>
    <x v="1"/>
    <x v="1"/>
    <x v="0"/>
    <s v="до 250 рублей"/>
  </r>
  <r>
    <s v="APXRT042"/>
    <n v="23"/>
    <x v="1"/>
    <x v="1"/>
    <x v="0"/>
    <s v="до 250 рублей"/>
  </r>
  <r>
    <s v="HWMQN616"/>
    <n v="23"/>
    <x v="1"/>
    <x v="3"/>
    <x v="4"/>
    <s v="до 250 рублей"/>
  </r>
  <r>
    <s v="TKAZF107"/>
    <n v="23"/>
    <x v="1"/>
    <x v="0"/>
    <x v="1"/>
    <s v="до 250 рублей"/>
  </r>
  <r>
    <s v="PBRKE012"/>
    <n v="23"/>
    <x v="1"/>
    <x v="0"/>
    <x v="1"/>
    <s v="до 250 рублей"/>
  </r>
  <r>
    <s v="QICPF524"/>
    <n v="23"/>
    <x v="1"/>
    <x v="0"/>
    <x v="3"/>
    <s v="до 250 рублей"/>
  </r>
  <r>
    <s v="JPEWK164"/>
    <n v="23"/>
    <x v="1"/>
    <x v="0"/>
    <x v="0"/>
    <s v="до 250 рублей"/>
  </r>
  <r>
    <s v="RUDVX633"/>
    <n v="23"/>
    <x v="1"/>
    <x v="0"/>
    <x v="1"/>
    <s v="до 250 рублей"/>
  </r>
  <r>
    <s v="ZMDIS131"/>
    <n v="23"/>
    <x v="1"/>
    <x v="0"/>
    <x v="0"/>
    <s v="до 250 рублей"/>
  </r>
  <r>
    <s v="NHDIU145"/>
    <n v="23"/>
    <x v="1"/>
    <x v="0"/>
    <x v="1"/>
    <s v="до 250 рублей"/>
  </r>
  <r>
    <s v="BXYWO556"/>
    <n v="23"/>
    <x v="1"/>
    <x v="2"/>
    <x v="1"/>
    <s v="до 250 рублей"/>
  </r>
  <r>
    <s v="OQWUH675"/>
    <n v="23"/>
    <x v="1"/>
    <x v="0"/>
    <x v="1"/>
    <s v="до 250 рублей"/>
  </r>
  <r>
    <s v="FETSD241"/>
    <n v="23"/>
    <x v="1"/>
    <x v="1"/>
    <x v="1"/>
    <s v="до 250 рублей"/>
  </r>
  <r>
    <s v="LGTCW816"/>
    <n v="23"/>
    <x v="1"/>
    <x v="0"/>
    <x v="1"/>
    <s v="до 250 рублей"/>
  </r>
  <r>
    <s v="NRNZG719"/>
    <n v="23"/>
    <x v="1"/>
    <x v="0"/>
    <x v="1"/>
    <s v="до 250 рублей"/>
  </r>
  <r>
    <s v="KKVQU036"/>
    <n v="23"/>
    <x v="1"/>
    <x v="0"/>
    <x v="4"/>
    <s v="до 250 рублей"/>
  </r>
  <r>
    <s v="NHOMU487"/>
    <n v="23"/>
    <x v="1"/>
    <x v="0"/>
    <x v="1"/>
    <s v="до 250 рублей"/>
  </r>
  <r>
    <s v="NYYSC495"/>
    <n v="23"/>
    <x v="1"/>
    <x v="0"/>
    <x v="1"/>
    <s v="до 250 рублей"/>
  </r>
  <r>
    <s v="RMYMY393"/>
    <n v="23"/>
    <x v="1"/>
    <x v="0"/>
    <x v="0"/>
    <s v="до 250 рублей"/>
  </r>
  <r>
    <s v="MHCDC139"/>
    <n v="23"/>
    <x v="1"/>
    <x v="0"/>
    <x v="1"/>
    <s v="до 250 рублей"/>
  </r>
  <r>
    <s v="PWKXT626"/>
    <n v="23"/>
    <x v="1"/>
    <x v="3"/>
    <x v="0"/>
    <s v="до 250 рублей"/>
  </r>
  <r>
    <s v="ZAPUF689"/>
    <n v="23"/>
    <x v="1"/>
    <x v="0"/>
    <x v="0"/>
    <s v="до 250 рублей"/>
  </r>
  <r>
    <s v="BPHZI693"/>
    <n v="23"/>
    <x v="1"/>
    <x v="2"/>
    <x v="4"/>
    <s v="до 250 рублей"/>
  </r>
  <r>
    <s v="DMVAY785"/>
    <n v="23"/>
    <x v="1"/>
    <x v="0"/>
    <x v="0"/>
    <s v="до 250 рублей"/>
  </r>
  <r>
    <s v="TOLBE820"/>
    <n v="23"/>
    <x v="1"/>
    <x v="0"/>
    <x v="1"/>
    <s v="до 250 рублей"/>
  </r>
  <r>
    <s v="HCPNM086"/>
    <n v="23"/>
    <x v="1"/>
    <x v="3"/>
    <x v="4"/>
    <s v="до 250 рублей"/>
  </r>
  <r>
    <s v="QXLIZ465"/>
    <n v="23"/>
    <x v="1"/>
    <x v="0"/>
    <x v="4"/>
    <s v="до 250 рублей"/>
  </r>
  <r>
    <s v="YJFGW187"/>
    <n v="23"/>
    <x v="1"/>
    <x v="0"/>
    <x v="0"/>
    <s v="до 250 рублей"/>
  </r>
  <r>
    <s v="JPLMY797"/>
    <n v="23"/>
    <x v="1"/>
    <x v="3"/>
    <x v="4"/>
    <s v="до 250 рублей"/>
  </r>
  <r>
    <s v="MXJFX750"/>
    <n v="23"/>
    <x v="1"/>
    <x v="3"/>
    <x v="4"/>
    <s v="до 250 рублей"/>
  </r>
  <r>
    <s v="BPNMQ316"/>
    <n v="23"/>
    <x v="1"/>
    <x v="2"/>
    <x v="1"/>
    <s v="до 250 рублей"/>
  </r>
  <r>
    <s v="IAKYA575"/>
    <n v="23"/>
    <x v="1"/>
    <x v="0"/>
    <x v="4"/>
    <s v="до 250 рублей"/>
  </r>
  <r>
    <s v="XJAAF209"/>
    <n v="23"/>
    <x v="1"/>
    <x v="0"/>
    <x v="1"/>
    <s v="до 250 рублей"/>
  </r>
  <r>
    <s v="UDFMS370"/>
    <n v="23"/>
    <x v="1"/>
    <x v="0"/>
    <x v="1"/>
    <s v="до 250 рублей"/>
  </r>
  <r>
    <s v="TWBEU422"/>
    <n v="23"/>
    <x v="1"/>
    <x v="0"/>
    <x v="3"/>
    <s v="до 250 рублей"/>
  </r>
  <r>
    <s v="QYWVH445"/>
    <n v="23"/>
    <x v="1"/>
    <x v="0"/>
    <x v="1"/>
    <s v="до 250 рублей"/>
  </r>
  <r>
    <s v="ILEUQ564"/>
    <n v="23"/>
    <x v="1"/>
    <x v="3"/>
    <x v="1"/>
    <s v="до 250 рублей"/>
  </r>
  <r>
    <s v="APJPK475"/>
    <n v="23"/>
    <x v="1"/>
    <x v="4"/>
    <x v="3"/>
    <s v="до 250 рублей"/>
  </r>
  <r>
    <s v="TIGDT529"/>
    <n v="23"/>
    <x v="1"/>
    <x v="0"/>
    <x v="3"/>
    <s v="до 250 рублей"/>
  </r>
  <r>
    <s v="QBMFY333"/>
    <n v="23"/>
    <x v="1"/>
    <x v="3"/>
    <x v="4"/>
    <s v="до 250 рублей"/>
  </r>
  <r>
    <s v="ZEXVQ652"/>
    <n v="23"/>
    <x v="1"/>
    <x v="0"/>
    <x v="0"/>
    <s v="до 250 рублей"/>
  </r>
  <r>
    <s v="BPASY757"/>
    <n v="23"/>
    <x v="1"/>
    <x v="0"/>
    <x v="1"/>
    <s v="до 250 рублей"/>
  </r>
  <r>
    <s v="GYVIW841"/>
    <n v="23"/>
    <x v="1"/>
    <x v="3"/>
    <x v="4"/>
    <s v="до 250 рублей"/>
  </r>
  <r>
    <s v="MXUOB840"/>
    <n v="23"/>
    <x v="1"/>
    <x v="2"/>
    <x v="4"/>
    <s v="до 250 рублей"/>
  </r>
  <r>
    <s v="TMVFA513"/>
    <n v="23"/>
    <x v="1"/>
    <x v="0"/>
    <x v="1"/>
    <s v="до 250 рублей"/>
  </r>
  <r>
    <s v="CQMBK783"/>
    <n v="23"/>
    <x v="1"/>
    <x v="2"/>
    <x v="4"/>
    <s v="до 250 рублей"/>
  </r>
  <r>
    <s v="CQYHD986"/>
    <n v="23"/>
    <x v="1"/>
    <x v="0"/>
    <x v="1"/>
    <s v="до 250 рублей"/>
  </r>
  <r>
    <s v="DFMVZ237"/>
    <n v="23"/>
    <x v="1"/>
    <x v="2"/>
    <x v="1"/>
    <s v="до 250 рублей"/>
  </r>
  <r>
    <s v="FGBYC975"/>
    <n v="23"/>
    <x v="1"/>
    <x v="2"/>
    <x v="1"/>
    <s v="до 250 рублей"/>
  </r>
  <r>
    <s v="NOLVO164"/>
    <n v="23"/>
    <x v="1"/>
    <x v="2"/>
    <x v="4"/>
    <s v="до 250 рублей"/>
  </r>
  <r>
    <s v="CIJVC974"/>
    <n v="23"/>
    <x v="1"/>
    <x v="0"/>
    <x v="1"/>
    <s v="до 250 рублей"/>
  </r>
  <r>
    <s v="IAKVV015"/>
    <n v="23"/>
    <x v="1"/>
    <x v="1"/>
    <x v="1"/>
    <s v="до 250 рублей"/>
  </r>
  <r>
    <s v="AFGLH776"/>
    <n v="23"/>
    <x v="1"/>
    <x v="2"/>
    <x v="1"/>
    <s v="до 250 рублей"/>
  </r>
  <r>
    <s v="TPOGC571"/>
    <n v="23"/>
    <x v="1"/>
    <x v="2"/>
    <x v="0"/>
    <s v="до 250 рублей"/>
  </r>
  <r>
    <s v="BXVJI671"/>
    <n v="23"/>
    <x v="1"/>
    <x v="0"/>
    <x v="1"/>
    <s v="до 250 рублей"/>
  </r>
  <r>
    <s v="NJBXD126"/>
    <n v="23"/>
    <x v="1"/>
    <x v="3"/>
    <x v="4"/>
    <s v="до 250 рублей"/>
  </r>
  <r>
    <s v="AZVPL448"/>
    <n v="23"/>
    <x v="1"/>
    <x v="1"/>
    <x v="4"/>
    <s v="до 250 рублей"/>
  </r>
  <r>
    <s v="OXQNV345"/>
    <n v="23"/>
    <x v="1"/>
    <x v="2"/>
    <x v="0"/>
    <s v="до 250 рублей"/>
  </r>
  <r>
    <s v="OJKDC905"/>
    <n v="23"/>
    <x v="1"/>
    <x v="3"/>
    <x v="4"/>
    <s v="до 250 рублей"/>
  </r>
  <r>
    <s v="XSCES231"/>
    <n v="23"/>
    <x v="1"/>
    <x v="0"/>
    <x v="0"/>
    <s v="до 250 рублей"/>
  </r>
  <r>
    <s v="ZNVGM826"/>
    <n v="23"/>
    <x v="1"/>
    <x v="0"/>
    <x v="0"/>
    <s v="до 250 рублей"/>
  </r>
  <r>
    <s v="ZJBUE172"/>
    <n v="23"/>
    <x v="1"/>
    <x v="3"/>
    <x v="0"/>
    <s v="до 250 рублей"/>
  </r>
  <r>
    <s v="QPJUD134"/>
    <n v="23"/>
    <x v="1"/>
    <x v="0"/>
    <x v="1"/>
    <s v="до 250 рублей"/>
  </r>
  <r>
    <s v="XLRHD658"/>
    <n v="23"/>
    <x v="1"/>
    <x v="0"/>
    <x v="0"/>
    <s v="до 250 рублей"/>
  </r>
  <r>
    <s v="RLIHK926"/>
    <n v="23"/>
    <x v="1"/>
    <x v="0"/>
    <x v="3"/>
    <s v="до 250 рублей"/>
  </r>
  <r>
    <s v="OIIMG565"/>
    <n v="23"/>
    <x v="1"/>
    <x v="0"/>
    <x v="1"/>
    <s v="до 250 рублей"/>
  </r>
  <r>
    <s v="BWLIM275"/>
    <n v="23"/>
    <x v="1"/>
    <x v="3"/>
    <x v="4"/>
    <s v="до 250 рублей"/>
  </r>
  <r>
    <s v="PIMZQ488"/>
    <n v="23"/>
    <x v="1"/>
    <x v="0"/>
    <x v="1"/>
    <s v="до 250 рублей"/>
  </r>
  <r>
    <s v="DVUBO891"/>
    <n v="23"/>
    <x v="1"/>
    <x v="1"/>
    <x v="1"/>
    <s v="до 250 рублей"/>
  </r>
  <r>
    <s v="IHJJI639"/>
    <n v="23"/>
    <x v="1"/>
    <x v="3"/>
    <x v="0"/>
    <s v="до 250 рублей"/>
  </r>
  <r>
    <s v="PHGYR942"/>
    <n v="23"/>
    <x v="1"/>
    <x v="0"/>
    <x v="1"/>
    <s v="до 250 рублей"/>
  </r>
  <r>
    <s v="HKGON806"/>
    <n v="23"/>
    <x v="1"/>
    <x v="2"/>
    <x v="4"/>
    <s v="до 250 рублей"/>
  </r>
  <r>
    <s v="LYWKO314"/>
    <n v="23"/>
    <x v="1"/>
    <x v="0"/>
    <x v="0"/>
    <s v="до 250 рублей"/>
  </r>
  <r>
    <s v="ONRZQ066"/>
    <n v="23"/>
    <x v="1"/>
    <x v="3"/>
    <x v="1"/>
    <s v="до 250 рублей"/>
  </r>
  <r>
    <s v="JOGYP644"/>
    <n v="23"/>
    <x v="1"/>
    <x v="2"/>
    <x v="0"/>
    <s v="до 250 рублей"/>
  </r>
  <r>
    <s v="NGFRR350"/>
    <n v="23"/>
    <x v="1"/>
    <x v="3"/>
    <x v="0"/>
    <s v="до 250 рублей"/>
  </r>
  <r>
    <s v="HLGJH584"/>
    <n v="23"/>
    <x v="1"/>
    <x v="0"/>
    <x v="4"/>
    <s v="до 250 рублей"/>
  </r>
  <r>
    <s v="HMITY946"/>
    <n v="23"/>
    <x v="1"/>
    <x v="3"/>
    <x v="0"/>
    <s v="до 250 рублей"/>
  </r>
  <r>
    <s v="HKWJM849"/>
    <n v="23"/>
    <x v="1"/>
    <x v="0"/>
    <x v="0"/>
    <s v="до 250 рублей"/>
  </r>
  <r>
    <s v="RCPAS323"/>
    <n v="23"/>
    <x v="1"/>
    <x v="0"/>
    <x v="1"/>
    <s v="до 250 рублей"/>
  </r>
  <r>
    <s v="DDOWK789"/>
    <n v="23"/>
    <x v="1"/>
    <x v="2"/>
    <x v="0"/>
    <s v="до 250 рублей"/>
  </r>
  <r>
    <s v="ATLFX326"/>
    <n v="23"/>
    <x v="1"/>
    <x v="2"/>
    <x v="3"/>
    <s v="до 250 рублей"/>
  </r>
  <r>
    <s v="GEFVV131"/>
    <n v="23"/>
    <x v="1"/>
    <x v="2"/>
    <x v="1"/>
    <s v="до 250 рублей"/>
  </r>
  <r>
    <s v="JDTDW522"/>
    <n v="23"/>
    <x v="1"/>
    <x v="3"/>
    <x v="4"/>
    <s v="до 250 рублей"/>
  </r>
  <r>
    <s v="VYZAW487"/>
    <n v="23"/>
    <x v="1"/>
    <x v="0"/>
    <x v="1"/>
    <s v="до 250 рублей"/>
  </r>
  <r>
    <s v="OZZWZ912"/>
    <n v="23"/>
    <x v="1"/>
    <x v="0"/>
    <x v="4"/>
    <s v="до 250 рублей"/>
  </r>
  <r>
    <s v="EIJTV101"/>
    <n v="23"/>
    <x v="1"/>
    <x v="0"/>
    <x v="1"/>
    <s v="до 250 рублей"/>
  </r>
  <r>
    <s v="QDIMX551"/>
    <n v="23"/>
    <x v="1"/>
    <x v="0"/>
    <x v="1"/>
    <s v="до 250 рублей"/>
  </r>
  <r>
    <s v="YBNBL298"/>
    <n v="23"/>
    <x v="1"/>
    <x v="0"/>
    <x v="0"/>
    <s v="до 250 рублей"/>
  </r>
  <r>
    <s v="BIPHF520"/>
    <n v="23"/>
    <x v="1"/>
    <x v="1"/>
    <x v="3"/>
    <s v="до 250 рублей"/>
  </r>
  <r>
    <s v="WUFRK495"/>
    <n v="23"/>
    <x v="1"/>
    <x v="0"/>
    <x v="1"/>
    <s v="до 250 рублей"/>
  </r>
  <r>
    <s v="QFMFV830"/>
    <n v="23"/>
    <x v="1"/>
    <x v="3"/>
    <x v="1"/>
    <s v="до 250 рублей"/>
  </r>
  <r>
    <s v="DAEZY763"/>
    <n v="23"/>
    <x v="1"/>
    <x v="2"/>
    <x v="0"/>
    <s v="до 250 рублей"/>
  </r>
  <r>
    <s v="VBDGR917"/>
    <n v="23"/>
    <x v="1"/>
    <x v="0"/>
    <x v="1"/>
    <s v="до 250 рублей"/>
  </r>
  <r>
    <s v="YZQCO301"/>
    <n v="23"/>
    <x v="1"/>
    <x v="0"/>
    <x v="0"/>
    <s v="до 250 рублей"/>
  </r>
  <r>
    <s v="HESKN724"/>
    <n v="23"/>
    <x v="1"/>
    <x v="3"/>
    <x v="1"/>
    <s v="до 250 рублей"/>
  </r>
  <r>
    <s v="DSKVP962"/>
    <n v="23"/>
    <x v="1"/>
    <x v="2"/>
    <x v="0"/>
    <s v="до 250 рублей"/>
  </r>
  <r>
    <s v="VFBBA628"/>
    <n v="23"/>
    <x v="1"/>
    <x v="0"/>
    <x v="1"/>
    <s v="до 250 рублей"/>
  </r>
  <r>
    <s v="QCZME776"/>
    <n v="23"/>
    <x v="1"/>
    <x v="0"/>
    <x v="1"/>
    <s v="до 250 рублей"/>
  </r>
  <r>
    <s v="ANZAE039"/>
    <n v="23"/>
    <x v="1"/>
    <x v="4"/>
    <x v="3"/>
    <s v="до 250 рублей"/>
  </r>
  <r>
    <s v="EIFHC961"/>
    <n v="23"/>
    <x v="1"/>
    <x v="0"/>
    <x v="1"/>
    <s v="до 250 рублей"/>
  </r>
  <r>
    <s v="QFQNC760"/>
    <n v="23"/>
    <x v="1"/>
    <x v="0"/>
    <x v="0"/>
    <s v="до 250 рублей"/>
  </r>
  <r>
    <s v="UADKS911"/>
    <n v="23"/>
    <x v="1"/>
    <x v="0"/>
    <x v="3"/>
    <s v="до 250 рублей"/>
  </r>
  <r>
    <s v="EAJVZ439"/>
    <n v="23"/>
    <x v="1"/>
    <x v="2"/>
    <x v="1"/>
    <s v="до 250 рублей"/>
  </r>
  <r>
    <s v="VLOZL951"/>
    <n v="23"/>
    <x v="1"/>
    <x v="0"/>
    <x v="1"/>
    <s v="до 250 рублей"/>
  </r>
  <r>
    <s v="ATPEL891"/>
    <n v="23"/>
    <x v="1"/>
    <x v="1"/>
    <x v="3"/>
    <s v="до 250 рублей"/>
  </r>
  <r>
    <s v="URFJO620"/>
    <n v="23"/>
    <x v="1"/>
    <x v="0"/>
    <x v="1"/>
    <s v="до 250 рублей"/>
  </r>
  <r>
    <s v="QPHQZ282"/>
    <n v="23"/>
    <x v="1"/>
    <x v="0"/>
    <x v="0"/>
    <s v="до 250 рублей"/>
  </r>
  <r>
    <s v="FWHUU203"/>
    <n v="23"/>
    <x v="1"/>
    <x v="0"/>
    <x v="1"/>
    <s v="до 250 рублей"/>
  </r>
  <r>
    <s v="GZGCB247"/>
    <n v="23"/>
    <x v="1"/>
    <x v="0"/>
    <x v="4"/>
    <s v="до 250 рублей"/>
  </r>
  <r>
    <s v="ARNFH791"/>
    <n v="23"/>
    <x v="1"/>
    <x v="1"/>
    <x v="3"/>
    <s v="до 250 рублей"/>
  </r>
  <r>
    <s v="JNHDK024"/>
    <n v="23"/>
    <x v="1"/>
    <x v="2"/>
    <x v="4"/>
    <s v="до 250 рублей"/>
  </r>
  <r>
    <s v="DPKCF705"/>
    <n v="23"/>
    <x v="1"/>
    <x v="3"/>
    <x v="1"/>
    <s v="до 250 рублей"/>
  </r>
  <r>
    <s v="WFEED418"/>
    <n v="23"/>
    <x v="1"/>
    <x v="0"/>
    <x v="4"/>
    <s v="до 250 рублей"/>
  </r>
  <r>
    <s v="XENXC321"/>
    <n v="23"/>
    <x v="1"/>
    <x v="0"/>
    <x v="1"/>
    <s v="до 250 рублей"/>
  </r>
  <r>
    <s v="XWLRY971"/>
    <n v="23"/>
    <x v="1"/>
    <x v="0"/>
    <x v="0"/>
    <s v="до 250 рублей"/>
  </r>
  <r>
    <s v="MKGXY478"/>
    <n v="23"/>
    <x v="1"/>
    <x v="1"/>
    <x v="1"/>
    <s v="до 250 рублей"/>
  </r>
  <r>
    <s v="PYYAS746"/>
    <n v="23"/>
    <x v="1"/>
    <x v="0"/>
    <x v="1"/>
    <s v="до 250 рублей"/>
  </r>
  <r>
    <s v="XDMHZ297"/>
    <n v="23"/>
    <x v="1"/>
    <x v="0"/>
    <x v="0"/>
    <s v="до 250 рублей"/>
  </r>
  <r>
    <s v="CNNFJ341"/>
    <n v="23"/>
    <x v="1"/>
    <x v="2"/>
    <x v="4"/>
    <s v="до 250 рублей"/>
  </r>
  <r>
    <s v="DWADB953"/>
    <n v="23"/>
    <x v="1"/>
    <x v="3"/>
    <x v="4"/>
    <s v="до 250 рублей"/>
  </r>
  <r>
    <s v="KOHXH943"/>
    <n v="23"/>
    <x v="1"/>
    <x v="2"/>
    <x v="4"/>
    <s v="до 250 рублей"/>
  </r>
  <r>
    <s v="NNNGE787"/>
    <n v="23"/>
    <x v="1"/>
    <x v="2"/>
    <x v="0"/>
    <s v="до 250 рублей"/>
  </r>
  <r>
    <s v="UCGEB363"/>
    <n v="23"/>
    <x v="1"/>
    <x v="0"/>
    <x v="1"/>
    <s v="до 250 рублей"/>
  </r>
  <r>
    <s v="OYBDX721"/>
    <n v="23"/>
    <x v="1"/>
    <x v="2"/>
    <x v="1"/>
    <s v="до 250 рублей"/>
  </r>
  <r>
    <s v="ZUBSK353"/>
    <n v="23"/>
    <x v="1"/>
    <x v="0"/>
    <x v="0"/>
    <s v="до 250 рублей"/>
  </r>
  <r>
    <s v="PAIFP591"/>
    <n v="23"/>
    <x v="1"/>
    <x v="3"/>
    <x v="4"/>
    <s v="до 250 рублей"/>
  </r>
  <r>
    <s v="YJIEP710"/>
    <n v="23"/>
    <x v="1"/>
    <x v="0"/>
    <x v="0"/>
    <s v="до 250 рублей"/>
  </r>
  <r>
    <s v="WANHU318"/>
    <n v="23"/>
    <x v="1"/>
    <x v="0"/>
    <x v="0"/>
    <s v="до 250 рублей"/>
  </r>
  <r>
    <s v="VIQRX547"/>
    <n v="23"/>
    <x v="1"/>
    <x v="0"/>
    <x v="1"/>
    <s v="до 250 рублей"/>
  </r>
  <r>
    <s v="IRQWP763"/>
    <n v="23"/>
    <x v="1"/>
    <x v="0"/>
    <x v="4"/>
    <s v="до 250 рублей"/>
  </r>
  <r>
    <s v="RSBDM241"/>
    <n v="23"/>
    <x v="1"/>
    <x v="0"/>
    <x v="1"/>
    <s v="до 250 рублей"/>
  </r>
  <r>
    <s v="TDBNE695"/>
    <n v="23"/>
    <x v="1"/>
    <x v="0"/>
    <x v="1"/>
    <s v="до 250 рублей"/>
  </r>
  <r>
    <s v="EHGZD317"/>
    <n v="23"/>
    <x v="1"/>
    <x v="2"/>
    <x v="1"/>
    <s v="до 250 рублей"/>
  </r>
  <r>
    <s v="ILRMB075"/>
    <n v="23"/>
    <x v="1"/>
    <x v="0"/>
    <x v="4"/>
    <s v="до 250 рублей"/>
  </r>
  <r>
    <s v="VZUHZ883"/>
    <n v="23"/>
    <x v="1"/>
    <x v="0"/>
    <x v="4"/>
    <s v="до 250 рублей"/>
  </r>
  <r>
    <s v="ITNMT334"/>
    <n v="23"/>
    <x v="1"/>
    <x v="3"/>
    <x v="4"/>
    <s v="до 250 рублей"/>
  </r>
  <r>
    <s v="HBAJK899"/>
    <n v="23"/>
    <x v="1"/>
    <x v="2"/>
    <x v="1"/>
    <s v="до 250 рублей"/>
  </r>
  <r>
    <s v="XNMCX072"/>
    <n v="23"/>
    <x v="1"/>
    <x v="0"/>
    <x v="0"/>
    <s v="до 250 рублей"/>
  </r>
  <r>
    <s v="RNYIV849"/>
    <n v="23"/>
    <x v="1"/>
    <x v="0"/>
    <x v="4"/>
    <s v="до 250 рублей"/>
  </r>
  <r>
    <s v="IDUDX804"/>
    <n v="23"/>
    <x v="1"/>
    <x v="3"/>
    <x v="4"/>
    <s v="до 250 рублей"/>
  </r>
  <r>
    <s v="HENXA387"/>
    <n v="23"/>
    <x v="1"/>
    <x v="3"/>
    <x v="4"/>
    <s v="до 250 рублей"/>
  </r>
  <r>
    <s v="TXMMZ673"/>
    <n v="23"/>
    <x v="1"/>
    <x v="0"/>
    <x v="3"/>
    <s v="до 250 рублей"/>
  </r>
  <r>
    <s v="BVKVV642"/>
    <n v="23"/>
    <x v="1"/>
    <x v="3"/>
    <x v="1"/>
    <s v="до 250 рублей"/>
  </r>
  <r>
    <s v="SQNSZ952"/>
    <n v="23"/>
    <x v="1"/>
    <x v="0"/>
    <x v="1"/>
    <s v="до 250 рублей"/>
  </r>
  <r>
    <s v="AJMGM712"/>
    <n v="23"/>
    <x v="1"/>
    <x v="2"/>
    <x v="3"/>
    <s v="до 250 рублей"/>
  </r>
  <r>
    <s v="CTQXN831"/>
    <n v="24"/>
    <x v="1"/>
    <x v="3"/>
    <x v="0"/>
    <s v="до 250 рублей"/>
  </r>
  <r>
    <s v="OFHNG821"/>
    <n v="24"/>
    <x v="1"/>
    <x v="0"/>
    <x v="1"/>
    <s v="до 250 рублей"/>
  </r>
  <r>
    <s v="MDDLW982"/>
    <n v="24"/>
    <x v="1"/>
    <x v="2"/>
    <x v="0"/>
    <s v="до 250 рублей"/>
  </r>
  <r>
    <s v="PQKCK030"/>
    <n v="24"/>
    <x v="1"/>
    <x v="0"/>
    <x v="1"/>
    <s v="до 250 рублей"/>
  </r>
  <r>
    <s v="IWSXU617"/>
    <n v="24"/>
    <x v="1"/>
    <x v="0"/>
    <x v="1"/>
    <s v="до 250 рублей"/>
  </r>
  <r>
    <s v="ASLML130"/>
    <n v="24"/>
    <x v="1"/>
    <x v="1"/>
    <x v="3"/>
    <s v="до 250 рублей"/>
  </r>
  <r>
    <s v="URACX508"/>
    <n v="24"/>
    <x v="1"/>
    <x v="0"/>
    <x v="0"/>
    <s v="до 250 рублей"/>
  </r>
  <r>
    <s v="HDTTX285"/>
    <n v="24"/>
    <x v="1"/>
    <x v="3"/>
    <x v="4"/>
    <s v="до 250 рублей"/>
  </r>
  <r>
    <s v="TVDUM907"/>
    <n v="24"/>
    <x v="1"/>
    <x v="0"/>
    <x v="1"/>
    <s v="до 250 рублей"/>
  </r>
  <r>
    <s v="IJYZH199"/>
    <n v="24"/>
    <x v="1"/>
    <x v="3"/>
    <x v="1"/>
    <s v="до 250 рублей"/>
  </r>
  <r>
    <s v="NZNQZ845"/>
    <n v="24"/>
    <x v="1"/>
    <x v="2"/>
    <x v="1"/>
    <s v="до 250 рублей"/>
  </r>
  <r>
    <s v="QZBQM890"/>
    <n v="24"/>
    <x v="1"/>
    <x v="0"/>
    <x v="4"/>
    <s v="до 250 рублей"/>
  </r>
  <r>
    <s v="UCESD158"/>
    <n v="24"/>
    <x v="1"/>
    <x v="0"/>
    <x v="3"/>
    <s v="до 250 рублей"/>
  </r>
  <r>
    <s v="CAAYW201"/>
    <n v="24"/>
    <x v="1"/>
    <x v="0"/>
    <x v="0"/>
    <s v="до 250 рублей"/>
  </r>
  <r>
    <s v="PUSPQ812"/>
    <n v="24"/>
    <x v="1"/>
    <x v="0"/>
    <x v="1"/>
    <s v="до 250 рублей"/>
  </r>
  <r>
    <s v="LUVNU742"/>
    <n v="24"/>
    <x v="1"/>
    <x v="0"/>
    <x v="1"/>
    <s v="до 250 рублей"/>
  </r>
  <r>
    <s v="OHLSH131"/>
    <n v="24"/>
    <x v="1"/>
    <x v="3"/>
    <x v="4"/>
    <s v="до 250 рублей"/>
  </r>
  <r>
    <s v="KJEZD671"/>
    <n v="24"/>
    <x v="1"/>
    <x v="3"/>
    <x v="4"/>
    <s v="до 250 рублей"/>
  </r>
  <r>
    <s v="WMWUW459"/>
    <n v="24"/>
    <x v="1"/>
    <x v="2"/>
    <x v="4"/>
    <s v="до 250 рублей"/>
  </r>
  <r>
    <s v="MBGQI926"/>
    <n v="24"/>
    <x v="1"/>
    <x v="0"/>
    <x v="4"/>
    <s v="до 250 рублей"/>
  </r>
  <r>
    <s v="EXQBQ840"/>
    <n v="24"/>
    <x v="1"/>
    <x v="0"/>
    <x v="1"/>
    <s v="до 250 рублей"/>
  </r>
  <r>
    <s v="ZGACD935"/>
    <n v="24"/>
    <x v="1"/>
    <x v="3"/>
    <x v="0"/>
    <s v="до 250 рублей"/>
  </r>
  <r>
    <s v="EKJGM926"/>
    <n v="24"/>
    <x v="1"/>
    <x v="2"/>
    <x v="4"/>
    <s v="до 250 рублей"/>
  </r>
  <r>
    <s v="UPVLT722"/>
    <n v="24"/>
    <x v="1"/>
    <x v="0"/>
    <x v="1"/>
    <s v="до 250 рублей"/>
  </r>
  <r>
    <s v="XARUS608"/>
    <n v="24"/>
    <x v="1"/>
    <x v="0"/>
    <x v="0"/>
    <s v="до 250 рублей"/>
  </r>
  <r>
    <s v="IFTGX633"/>
    <n v="24"/>
    <x v="1"/>
    <x v="3"/>
    <x v="4"/>
    <s v="до 250 рублей"/>
  </r>
  <r>
    <s v="LYUHI269"/>
    <n v="24"/>
    <x v="1"/>
    <x v="0"/>
    <x v="4"/>
    <s v="до 250 рублей"/>
  </r>
  <r>
    <s v="EDSMG394"/>
    <n v="24"/>
    <x v="1"/>
    <x v="3"/>
    <x v="1"/>
    <s v="до 250 рублей"/>
  </r>
  <r>
    <s v="VPJWC678"/>
    <n v="24"/>
    <x v="1"/>
    <x v="0"/>
    <x v="1"/>
    <s v="до 250 рублей"/>
  </r>
  <r>
    <s v="WHBEQ911"/>
    <n v="24"/>
    <x v="1"/>
    <x v="0"/>
    <x v="0"/>
    <s v="до 250 рублей"/>
  </r>
  <r>
    <s v="ORSYC922"/>
    <n v="24"/>
    <x v="1"/>
    <x v="3"/>
    <x v="1"/>
    <s v="до 250 рублей"/>
  </r>
  <r>
    <s v="ROMYB789"/>
    <n v="24"/>
    <x v="1"/>
    <x v="0"/>
    <x v="4"/>
    <s v="до 250 рублей"/>
  </r>
  <r>
    <s v="VNXEV874"/>
    <n v="24"/>
    <x v="1"/>
    <x v="0"/>
    <x v="4"/>
    <s v="до 250 рублей"/>
  </r>
  <r>
    <s v="EGKGR184"/>
    <n v="24"/>
    <x v="1"/>
    <x v="2"/>
    <x v="1"/>
    <s v="до 250 рублей"/>
  </r>
  <r>
    <s v="CYRQL108"/>
    <n v="24"/>
    <x v="1"/>
    <x v="3"/>
    <x v="0"/>
    <s v="до 250 рублей"/>
  </r>
  <r>
    <s v="RPMGM666"/>
    <n v="24"/>
    <x v="1"/>
    <x v="0"/>
    <x v="1"/>
    <s v="до 250 рублей"/>
  </r>
  <r>
    <s v="SXEMG375"/>
    <n v="24"/>
    <x v="1"/>
    <x v="0"/>
    <x v="3"/>
    <s v="до 250 рублей"/>
  </r>
  <r>
    <s v="XPLGR764"/>
    <n v="24"/>
    <x v="1"/>
    <x v="0"/>
    <x v="0"/>
    <s v="до 250 рублей"/>
  </r>
  <r>
    <s v="QPVIB669"/>
    <n v="24"/>
    <x v="1"/>
    <x v="0"/>
    <x v="4"/>
    <s v="до 250 рублей"/>
  </r>
  <r>
    <s v="IQCSE645"/>
    <n v="24"/>
    <x v="1"/>
    <x v="2"/>
    <x v="0"/>
    <s v="до 250 рублей"/>
  </r>
  <r>
    <s v="JQRBD591"/>
    <n v="24"/>
    <x v="1"/>
    <x v="2"/>
    <x v="0"/>
    <s v="до 250 рублей"/>
  </r>
  <r>
    <s v="RWJHH645"/>
    <n v="24"/>
    <x v="1"/>
    <x v="0"/>
    <x v="1"/>
    <s v="до 250 рублей"/>
  </r>
  <r>
    <s v="LLNDT500"/>
    <n v="24"/>
    <x v="1"/>
    <x v="0"/>
    <x v="4"/>
    <s v="до 250 рублей"/>
  </r>
  <r>
    <s v="ZMEHA722"/>
    <n v="24"/>
    <x v="1"/>
    <x v="0"/>
    <x v="0"/>
    <s v="до 250 рублей"/>
  </r>
  <r>
    <s v="DRTGW180"/>
    <n v="24"/>
    <x v="1"/>
    <x v="2"/>
    <x v="1"/>
    <s v="до 250 рублей"/>
  </r>
  <r>
    <s v="VFBFH300"/>
    <n v="24"/>
    <x v="1"/>
    <x v="0"/>
    <x v="1"/>
    <s v="до 250 рублей"/>
  </r>
  <r>
    <s v="GNKCQ969"/>
    <n v="24"/>
    <x v="1"/>
    <x v="0"/>
    <x v="1"/>
    <s v="до 250 рублей"/>
  </r>
  <r>
    <s v="AOOQZ019"/>
    <n v="24"/>
    <x v="1"/>
    <x v="1"/>
    <x v="3"/>
    <s v="до 250 рублей"/>
  </r>
  <r>
    <s v="CDLXK272"/>
    <n v="24"/>
    <x v="1"/>
    <x v="2"/>
    <x v="0"/>
    <s v="до 250 рублей"/>
  </r>
  <r>
    <s v="XSFAR056"/>
    <n v="24"/>
    <x v="1"/>
    <x v="0"/>
    <x v="0"/>
    <s v="до 250 рублей"/>
  </r>
  <r>
    <s v="FEHSR387"/>
    <n v="24"/>
    <x v="1"/>
    <x v="1"/>
    <x v="1"/>
    <s v="до 250 рублей"/>
  </r>
  <r>
    <s v="PBQJI125"/>
    <n v="24"/>
    <x v="1"/>
    <x v="2"/>
    <x v="4"/>
    <s v="до 250 рублей"/>
  </r>
  <r>
    <s v="GTUUZ828"/>
    <n v="24"/>
    <x v="1"/>
    <x v="0"/>
    <x v="4"/>
    <s v="до 250 рублей"/>
  </r>
  <r>
    <s v="SVKWJ988"/>
    <n v="24"/>
    <x v="1"/>
    <x v="0"/>
    <x v="0"/>
    <s v="до 250 рублей"/>
  </r>
  <r>
    <s v="OROXS139"/>
    <n v="24"/>
    <x v="1"/>
    <x v="3"/>
    <x v="1"/>
    <s v="до 250 рублей"/>
  </r>
  <r>
    <s v="GOAUK965"/>
    <n v="24"/>
    <x v="1"/>
    <x v="2"/>
    <x v="1"/>
    <s v="до 250 рублей"/>
  </r>
  <r>
    <s v="JFNAQ297"/>
    <n v="24"/>
    <x v="1"/>
    <x v="3"/>
    <x v="0"/>
    <s v="до 250 рублей"/>
  </r>
  <r>
    <s v="RUTMA147"/>
    <n v="24"/>
    <x v="1"/>
    <x v="0"/>
    <x v="3"/>
    <s v="до 250 рублей"/>
  </r>
  <r>
    <s v="QALWX639"/>
    <n v="24"/>
    <x v="1"/>
    <x v="2"/>
    <x v="1"/>
    <s v="до 250 рублей"/>
  </r>
  <r>
    <s v="VGEJT519"/>
    <n v="24"/>
    <x v="1"/>
    <x v="0"/>
    <x v="1"/>
    <s v="до 250 рублей"/>
  </r>
  <r>
    <s v="FFFKB855"/>
    <n v="24"/>
    <x v="1"/>
    <x v="3"/>
    <x v="1"/>
    <s v="до 250 рублей"/>
  </r>
  <r>
    <s v="NHNHX040"/>
    <n v="24"/>
    <x v="1"/>
    <x v="0"/>
    <x v="0"/>
    <s v="до 250 рублей"/>
  </r>
  <r>
    <s v="SDGQE907"/>
    <n v="24"/>
    <x v="1"/>
    <x v="0"/>
    <x v="1"/>
    <s v="до 250 рублей"/>
  </r>
  <r>
    <s v="SCSET309"/>
    <n v="24"/>
    <x v="1"/>
    <x v="0"/>
    <x v="1"/>
    <s v="до 250 рублей"/>
  </r>
  <r>
    <s v="QRQWM198"/>
    <n v="24"/>
    <x v="1"/>
    <x v="0"/>
    <x v="1"/>
    <s v="до 250 рублей"/>
  </r>
  <r>
    <s v="QJJCR975"/>
    <n v="24"/>
    <x v="1"/>
    <x v="0"/>
    <x v="1"/>
    <s v="до 250 рублей"/>
  </r>
  <r>
    <s v="HQNKR106"/>
    <n v="24"/>
    <x v="1"/>
    <x v="0"/>
    <x v="1"/>
    <s v="до 250 рублей"/>
  </r>
  <r>
    <s v="VDMRH647"/>
    <n v="24"/>
    <x v="1"/>
    <x v="0"/>
    <x v="1"/>
    <s v="до 250 рублей"/>
  </r>
  <r>
    <s v="HJRHZ133"/>
    <n v="24"/>
    <x v="1"/>
    <x v="0"/>
    <x v="4"/>
    <s v="до 250 рублей"/>
  </r>
  <r>
    <s v="DUUXT488"/>
    <n v="24"/>
    <x v="1"/>
    <x v="0"/>
    <x v="4"/>
    <s v="до 250 рублей"/>
  </r>
  <r>
    <s v="ORTJS413"/>
    <n v="24"/>
    <x v="1"/>
    <x v="3"/>
    <x v="0"/>
    <s v="до 250 рублей"/>
  </r>
  <r>
    <s v="GRNBH897"/>
    <n v="24"/>
    <x v="1"/>
    <x v="2"/>
    <x v="1"/>
    <s v="до 250 рублей"/>
  </r>
  <r>
    <s v="OEQGI393"/>
    <n v="24"/>
    <x v="1"/>
    <x v="3"/>
    <x v="1"/>
    <s v="до 250 рублей"/>
  </r>
  <r>
    <s v="OHMGQ994"/>
    <n v="24"/>
    <x v="1"/>
    <x v="3"/>
    <x v="4"/>
    <s v="до 250 рублей"/>
  </r>
  <r>
    <s v="MGOTE228"/>
    <n v="24"/>
    <x v="1"/>
    <x v="3"/>
    <x v="4"/>
    <s v="до 250 рублей"/>
  </r>
  <r>
    <s v="LFLIA985"/>
    <n v="24"/>
    <x v="1"/>
    <x v="2"/>
    <x v="4"/>
    <s v="до 250 рублей"/>
  </r>
  <r>
    <s v="NAWJB102"/>
    <n v="24"/>
    <x v="1"/>
    <x v="0"/>
    <x v="0"/>
    <s v="до 250 рублей"/>
  </r>
  <r>
    <s v="MCUVJ000"/>
    <n v="24"/>
    <x v="1"/>
    <x v="0"/>
    <x v="4"/>
    <s v="до 250 рублей"/>
  </r>
  <r>
    <s v="BCCEC678"/>
    <n v="24"/>
    <x v="1"/>
    <x v="3"/>
    <x v="0"/>
    <s v="до 250 рублей"/>
  </r>
  <r>
    <s v="NXUUT497"/>
    <n v="24"/>
    <x v="1"/>
    <x v="3"/>
    <x v="0"/>
    <s v="до 250 рублей"/>
  </r>
  <r>
    <s v="OMPME045"/>
    <n v="24"/>
    <x v="1"/>
    <x v="3"/>
    <x v="4"/>
    <s v="до 250 рублей"/>
  </r>
  <r>
    <s v="SDHBZ773"/>
    <n v="24"/>
    <x v="1"/>
    <x v="0"/>
    <x v="1"/>
    <s v="до 250 рублей"/>
  </r>
  <r>
    <s v="EURAE052"/>
    <n v="24"/>
    <x v="1"/>
    <x v="2"/>
    <x v="4"/>
    <s v="до 250 рублей"/>
  </r>
  <r>
    <s v="JMQVS429"/>
    <n v="24"/>
    <x v="1"/>
    <x v="0"/>
    <x v="0"/>
    <s v="до 250 рублей"/>
  </r>
  <r>
    <s v="RYDZJ989"/>
    <n v="24"/>
    <x v="1"/>
    <x v="0"/>
    <x v="1"/>
    <s v="до 250 рублей"/>
  </r>
  <r>
    <s v="OXDCT117"/>
    <n v="24"/>
    <x v="1"/>
    <x v="0"/>
    <x v="4"/>
    <s v="до 250 рублей"/>
  </r>
  <r>
    <s v="DEBVL613"/>
    <n v="24"/>
    <x v="1"/>
    <x v="2"/>
    <x v="1"/>
    <s v="до 250 рублей"/>
  </r>
  <r>
    <s v="DJHOI129"/>
    <n v="24"/>
    <x v="1"/>
    <x v="2"/>
    <x v="4"/>
    <s v="до 250 рублей"/>
  </r>
  <r>
    <s v="MMWGP800"/>
    <n v="24"/>
    <x v="1"/>
    <x v="0"/>
    <x v="0"/>
    <s v="до 250 рублей"/>
  </r>
  <r>
    <s v="UZQQC116"/>
    <n v="24"/>
    <x v="1"/>
    <x v="0"/>
    <x v="3"/>
    <s v="до 250 рублей"/>
  </r>
  <r>
    <s v="BMQLR884"/>
    <n v="24"/>
    <x v="1"/>
    <x v="2"/>
    <x v="4"/>
    <s v="до 250 рублей"/>
  </r>
  <r>
    <s v="RXLSC035"/>
    <n v="24"/>
    <x v="1"/>
    <x v="0"/>
    <x v="4"/>
    <s v="до 250 рублей"/>
  </r>
  <r>
    <s v="IGPIS441"/>
    <n v="24"/>
    <x v="1"/>
    <x v="0"/>
    <x v="0"/>
    <s v="до 250 рублей"/>
  </r>
  <r>
    <s v="IOJPB464"/>
    <n v="24"/>
    <x v="1"/>
    <x v="2"/>
    <x v="0"/>
    <s v="до 250 рублей"/>
  </r>
  <r>
    <s v="SGCDK638"/>
    <n v="24"/>
    <x v="1"/>
    <x v="0"/>
    <x v="1"/>
    <s v="до 250 рублей"/>
  </r>
  <r>
    <s v="JDKBY559"/>
    <n v="24"/>
    <x v="1"/>
    <x v="0"/>
    <x v="1"/>
    <s v="до 250 рублей"/>
  </r>
  <r>
    <s v="MZWTZ982"/>
    <n v="24"/>
    <x v="1"/>
    <x v="0"/>
    <x v="4"/>
    <s v="до 250 рублей"/>
  </r>
  <r>
    <s v="FVERW989"/>
    <n v="24"/>
    <x v="1"/>
    <x v="2"/>
    <x v="1"/>
    <s v="до 250 рублей"/>
  </r>
  <r>
    <s v="ZJMCS717"/>
    <n v="24"/>
    <x v="1"/>
    <x v="0"/>
    <x v="0"/>
    <s v="до 250 рублей"/>
  </r>
  <r>
    <s v="VYREC190"/>
    <n v="24"/>
    <x v="1"/>
    <x v="0"/>
    <x v="0"/>
    <s v="до 250 рублей"/>
  </r>
  <r>
    <s v="KSHJW855"/>
    <n v="24"/>
    <x v="1"/>
    <x v="3"/>
    <x v="4"/>
    <s v="до 250 рублей"/>
  </r>
  <r>
    <s v="HFALM848"/>
    <n v="24"/>
    <x v="1"/>
    <x v="0"/>
    <x v="4"/>
    <s v="до 250 рублей"/>
  </r>
  <r>
    <s v="SDZAP329"/>
    <n v="24"/>
    <x v="1"/>
    <x v="0"/>
    <x v="0"/>
    <s v="до 250 рублей"/>
  </r>
  <r>
    <s v="LVYKA913"/>
    <n v="24"/>
    <x v="1"/>
    <x v="0"/>
    <x v="0"/>
    <s v="до 250 рублей"/>
  </r>
  <r>
    <s v="YYRIV364"/>
    <n v="24"/>
    <x v="1"/>
    <x v="0"/>
    <x v="0"/>
    <s v="до 250 рублей"/>
  </r>
  <r>
    <s v="UVJYL902"/>
    <n v="24"/>
    <x v="1"/>
    <x v="0"/>
    <x v="1"/>
    <s v="до 250 рублей"/>
  </r>
  <r>
    <s v="ADPBA513"/>
    <n v="24"/>
    <x v="1"/>
    <x v="2"/>
    <x v="3"/>
    <s v="до 250 рублей"/>
  </r>
  <r>
    <s v="XCCCN086"/>
    <n v="24"/>
    <x v="1"/>
    <x v="0"/>
    <x v="1"/>
    <s v="до 250 рублей"/>
  </r>
  <r>
    <s v="ALFDX113"/>
    <n v="24"/>
    <x v="1"/>
    <x v="1"/>
    <x v="3"/>
    <s v="до 250 рублей"/>
  </r>
  <r>
    <s v="ZGROB783"/>
    <n v="24"/>
    <x v="1"/>
    <x v="0"/>
    <x v="0"/>
    <s v="до 250 рублей"/>
  </r>
  <r>
    <s v="PAPYC480"/>
    <n v="24"/>
    <x v="1"/>
    <x v="3"/>
    <x v="0"/>
    <s v="до 250 рублей"/>
  </r>
  <r>
    <s v="GXTXR073"/>
    <n v="24"/>
    <x v="1"/>
    <x v="0"/>
    <x v="1"/>
    <s v="до 250 рублей"/>
  </r>
  <r>
    <s v="YKPVW341"/>
    <n v="24"/>
    <x v="1"/>
    <x v="0"/>
    <x v="0"/>
    <s v="до 250 рублей"/>
  </r>
  <r>
    <s v="PNYKM562"/>
    <n v="24"/>
    <x v="1"/>
    <x v="0"/>
    <x v="4"/>
    <s v="до 250 рублей"/>
  </r>
  <r>
    <s v="WHVAW931"/>
    <n v="24"/>
    <x v="1"/>
    <x v="0"/>
    <x v="1"/>
    <s v="до 250 рублей"/>
  </r>
  <r>
    <s v="HEILY541"/>
    <n v="24"/>
    <x v="1"/>
    <x v="0"/>
    <x v="4"/>
    <s v="до 250 рублей"/>
  </r>
  <r>
    <s v="WAUHY594"/>
    <n v="24"/>
    <x v="1"/>
    <x v="0"/>
    <x v="1"/>
    <s v="до 250 рублей"/>
  </r>
  <r>
    <s v="SGXAG053"/>
    <n v="24"/>
    <x v="1"/>
    <x v="0"/>
    <x v="4"/>
    <s v="до 250 рублей"/>
  </r>
  <r>
    <s v="KJZMM021"/>
    <n v="24"/>
    <x v="1"/>
    <x v="0"/>
    <x v="4"/>
    <s v="до 250 рублей"/>
  </r>
  <r>
    <s v="QQVKY383"/>
    <n v="24"/>
    <x v="1"/>
    <x v="0"/>
    <x v="1"/>
    <s v="до 250 рублей"/>
  </r>
  <r>
    <s v="JVJCJ686"/>
    <n v="24"/>
    <x v="1"/>
    <x v="0"/>
    <x v="0"/>
    <s v="до 250 рублей"/>
  </r>
  <r>
    <s v="JLHUE469"/>
    <n v="24"/>
    <x v="1"/>
    <x v="0"/>
    <x v="4"/>
    <s v="до 250 рублей"/>
  </r>
  <r>
    <s v="ORTQF688"/>
    <n v="24"/>
    <x v="1"/>
    <x v="3"/>
    <x v="0"/>
    <s v="до 250 рублей"/>
  </r>
  <r>
    <s v="DYOBW915"/>
    <n v="24"/>
    <x v="1"/>
    <x v="2"/>
    <x v="4"/>
    <s v="до 250 рублей"/>
  </r>
  <r>
    <s v="PKXTF811"/>
    <n v="24"/>
    <x v="1"/>
    <x v="0"/>
    <x v="4"/>
    <s v="до 250 рублей"/>
  </r>
  <r>
    <s v="GCTPY128"/>
    <n v="24"/>
    <x v="1"/>
    <x v="2"/>
    <x v="0"/>
    <s v="до 250 рублей"/>
  </r>
  <r>
    <s v="VOZOR859"/>
    <n v="24"/>
    <x v="1"/>
    <x v="0"/>
    <x v="1"/>
    <s v="до 250 рублей"/>
  </r>
  <r>
    <s v="NVMSP505"/>
    <n v="24"/>
    <x v="1"/>
    <x v="2"/>
    <x v="4"/>
    <s v="до 250 рублей"/>
  </r>
  <r>
    <s v="SZXSZ937"/>
    <n v="24"/>
    <x v="1"/>
    <x v="0"/>
    <x v="1"/>
    <s v="до 250 рублей"/>
  </r>
  <r>
    <s v="EARWC656"/>
    <n v="24"/>
    <x v="1"/>
    <x v="2"/>
    <x v="1"/>
    <s v="до 250 рублей"/>
  </r>
  <r>
    <s v="FPYIL833"/>
    <n v="24"/>
    <x v="1"/>
    <x v="3"/>
    <x v="0"/>
    <s v="до 250 рублей"/>
  </r>
  <r>
    <s v="EQWVZ426"/>
    <n v="24"/>
    <x v="1"/>
    <x v="2"/>
    <x v="1"/>
    <s v="до 250 рублей"/>
  </r>
  <r>
    <s v="TEVSD451"/>
    <n v="24"/>
    <x v="1"/>
    <x v="0"/>
    <x v="1"/>
    <s v="до 250 рублей"/>
  </r>
  <r>
    <s v="WVWHM755"/>
    <n v="24"/>
    <x v="1"/>
    <x v="0"/>
    <x v="4"/>
    <s v="до 250 рублей"/>
  </r>
  <r>
    <s v="FAWLQ310"/>
    <n v="24"/>
    <x v="1"/>
    <x v="0"/>
    <x v="1"/>
    <s v="до 250 рублей"/>
  </r>
  <r>
    <s v="NFTZY842"/>
    <n v="24"/>
    <x v="1"/>
    <x v="0"/>
    <x v="0"/>
    <s v="до 250 рублей"/>
  </r>
  <r>
    <s v="HJVPU225"/>
    <n v="24"/>
    <x v="1"/>
    <x v="0"/>
    <x v="4"/>
    <s v="до 250 рублей"/>
  </r>
  <r>
    <s v="TVWOY679"/>
    <n v="24"/>
    <x v="1"/>
    <x v="0"/>
    <x v="1"/>
    <s v="до 250 рублей"/>
  </r>
  <r>
    <s v="SCNAB315"/>
    <n v="24"/>
    <x v="1"/>
    <x v="0"/>
    <x v="4"/>
    <s v="до 250 рублей"/>
  </r>
  <r>
    <s v="LCVSL323"/>
    <n v="24"/>
    <x v="1"/>
    <x v="0"/>
    <x v="4"/>
    <s v="до 250 рублей"/>
  </r>
  <r>
    <s v="BNVFU801"/>
    <n v="24"/>
    <x v="1"/>
    <x v="0"/>
    <x v="1"/>
    <s v="до 250 рублей"/>
  </r>
  <r>
    <s v="XABVQ616"/>
    <n v="24"/>
    <x v="1"/>
    <x v="0"/>
    <x v="1"/>
    <s v="до 250 рублей"/>
  </r>
  <r>
    <s v="FHNLW346"/>
    <n v="24"/>
    <x v="1"/>
    <x v="0"/>
    <x v="4"/>
    <s v="до 250 рублей"/>
  </r>
  <r>
    <s v="UMMWD363"/>
    <n v="24"/>
    <x v="1"/>
    <x v="0"/>
    <x v="3"/>
    <s v="до 250 рублей"/>
  </r>
  <r>
    <s v="OSLTH510"/>
    <n v="24"/>
    <x v="1"/>
    <x v="0"/>
    <x v="1"/>
    <s v="до 250 рублей"/>
  </r>
  <r>
    <s v="WWWKG999"/>
    <n v="24"/>
    <x v="1"/>
    <x v="3"/>
    <x v="1"/>
    <s v="до 250 рублей"/>
  </r>
  <r>
    <s v="WHXFD836"/>
    <n v="24"/>
    <x v="1"/>
    <x v="0"/>
    <x v="1"/>
    <s v="до 250 рублей"/>
  </r>
  <r>
    <s v="CBYPA974"/>
    <n v="24"/>
    <x v="1"/>
    <x v="1"/>
    <x v="4"/>
    <s v="до 250 рублей"/>
  </r>
  <r>
    <s v="MQUPA634"/>
    <n v="24"/>
    <x v="1"/>
    <x v="3"/>
    <x v="1"/>
    <s v="до 250 рублей"/>
  </r>
  <r>
    <s v="RNFHL196"/>
    <n v="24"/>
    <x v="1"/>
    <x v="0"/>
    <x v="1"/>
    <s v="до 250 рублей"/>
  </r>
  <r>
    <s v="TXFKU879"/>
    <n v="25"/>
    <x v="1"/>
    <x v="0"/>
    <x v="3"/>
    <s v="до 250 рублей"/>
  </r>
  <r>
    <s v="AWXFG108"/>
    <n v="25"/>
    <x v="1"/>
    <x v="4"/>
    <x v="0"/>
    <s v="до 250 рублей"/>
  </r>
  <r>
    <s v="RUKVO355"/>
    <n v="25"/>
    <x v="1"/>
    <x v="0"/>
    <x v="3"/>
    <s v="до 250 рублей"/>
  </r>
  <r>
    <s v="EUZHG568"/>
    <n v="25"/>
    <x v="1"/>
    <x v="3"/>
    <x v="1"/>
    <s v="до 250 рублей"/>
  </r>
  <r>
    <s v="DHUWB465"/>
    <n v="25"/>
    <x v="1"/>
    <x v="0"/>
    <x v="1"/>
    <s v="до 250 рублей"/>
  </r>
  <r>
    <s v="RTCIE848"/>
    <n v="25"/>
    <x v="1"/>
    <x v="0"/>
    <x v="3"/>
    <s v="до 250 рублей"/>
  </r>
  <r>
    <s v="GUROC511"/>
    <n v="25"/>
    <x v="1"/>
    <x v="0"/>
    <x v="1"/>
    <s v="до 250 рублей"/>
  </r>
  <r>
    <s v="SVUDA600"/>
    <n v="25"/>
    <x v="1"/>
    <x v="0"/>
    <x v="4"/>
    <s v="до 250 рублей"/>
  </r>
  <r>
    <s v="ZAZYX342"/>
    <n v="25"/>
    <x v="1"/>
    <x v="3"/>
    <x v="0"/>
    <s v="до 250 рублей"/>
  </r>
  <r>
    <s v="UNVJZ234"/>
    <n v="25"/>
    <x v="1"/>
    <x v="0"/>
    <x v="4"/>
    <s v="до 250 рублей"/>
  </r>
  <r>
    <s v="DKGLW215"/>
    <n v="25"/>
    <x v="1"/>
    <x v="1"/>
    <x v="1"/>
    <s v="до 250 рублей"/>
  </r>
  <r>
    <s v="CWNMF346"/>
    <n v="25"/>
    <x v="1"/>
    <x v="2"/>
    <x v="1"/>
    <s v="до 250 рублей"/>
  </r>
  <r>
    <s v="PFVKE464"/>
    <n v="25"/>
    <x v="1"/>
    <x v="3"/>
    <x v="1"/>
    <s v="до 250 рублей"/>
  </r>
  <r>
    <s v="CWSZG664"/>
    <n v="25"/>
    <x v="1"/>
    <x v="2"/>
    <x v="4"/>
    <s v="до 250 рублей"/>
  </r>
  <r>
    <s v="MWFNN721"/>
    <n v="25"/>
    <x v="1"/>
    <x v="0"/>
    <x v="1"/>
    <s v="до 250 рублей"/>
  </r>
  <r>
    <s v="JSVKN127"/>
    <n v="25"/>
    <x v="1"/>
    <x v="3"/>
    <x v="1"/>
    <s v="до 250 рублей"/>
  </r>
  <r>
    <s v="QBDJE643"/>
    <n v="25"/>
    <x v="1"/>
    <x v="0"/>
    <x v="1"/>
    <s v="до 250 рублей"/>
  </r>
  <r>
    <s v="AEMXI826"/>
    <n v="25"/>
    <x v="1"/>
    <x v="4"/>
    <x v="2"/>
    <s v="до 250 рублей"/>
  </r>
  <r>
    <s v="AGYLW841"/>
    <n v="25"/>
    <x v="1"/>
    <x v="1"/>
    <x v="2"/>
    <s v="до 250 рублей"/>
  </r>
  <r>
    <s v="FDGLT878"/>
    <n v="25"/>
    <x v="1"/>
    <x v="1"/>
    <x v="3"/>
    <s v="до 250 рублей"/>
  </r>
  <r>
    <s v="OWEIS832"/>
    <n v="25"/>
    <x v="1"/>
    <x v="3"/>
    <x v="1"/>
    <s v="до 250 рублей"/>
  </r>
  <r>
    <s v="SIULD302"/>
    <n v="25"/>
    <x v="1"/>
    <x v="0"/>
    <x v="2"/>
    <s v="до 250 рублей"/>
  </r>
  <r>
    <s v="INIMJ646"/>
    <n v="25"/>
    <x v="1"/>
    <x v="2"/>
    <x v="4"/>
    <s v="до 250 рублей"/>
  </r>
  <r>
    <s v="QUKGV139"/>
    <n v="25"/>
    <x v="1"/>
    <x v="0"/>
    <x v="1"/>
    <s v="до 250 рублей"/>
  </r>
  <r>
    <s v="OLUDV650"/>
    <n v="25"/>
    <x v="1"/>
    <x v="0"/>
    <x v="1"/>
    <s v="до 250 рублей"/>
  </r>
  <r>
    <s v="SMIIY826"/>
    <n v="25"/>
    <x v="1"/>
    <x v="0"/>
    <x v="3"/>
    <s v="до 250 рублей"/>
  </r>
  <r>
    <s v="AUFKS353"/>
    <n v="25"/>
    <x v="1"/>
    <x v="4"/>
    <x v="1"/>
    <s v="до 250 рублей"/>
  </r>
  <r>
    <s v="MEOHD276"/>
    <n v="25"/>
    <x v="1"/>
    <x v="3"/>
    <x v="0"/>
    <s v="до 250 рублей"/>
  </r>
  <r>
    <s v="MNNXN625"/>
    <n v="25"/>
    <x v="1"/>
    <x v="3"/>
    <x v="1"/>
    <s v="до 250 рублей"/>
  </r>
  <r>
    <s v="PXYXZ036"/>
    <n v="25"/>
    <x v="1"/>
    <x v="0"/>
    <x v="1"/>
    <s v="до 250 рублей"/>
  </r>
  <r>
    <s v="XELPU468"/>
    <n v="25"/>
    <x v="1"/>
    <x v="0"/>
    <x v="1"/>
    <s v="до 250 рублей"/>
  </r>
  <r>
    <s v="YBDQC216"/>
    <n v="25"/>
    <x v="1"/>
    <x v="0"/>
    <x v="0"/>
    <s v="до 250 рублей"/>
  </r>
  <r>
    <s v="FNUNT387"/>
    <n v="25"/>
    <x v="1"/>
    <x v="2"/>
    <x v="3"/>
    <s v="до 250 рублей"/>
  </r>
  <r>
    <s v="EDZZZ173"/>
    <n v="25"/>
    <x v="1"/>
    <x v="1"/>
    <x v="1"/>
    <s v="до 250 рублей"/>
  </r>
  <r>
    <s v="FWNAP195"/>
    <n v="25"/>
    <x v="1"/>
    <x v="2"/>
    <x v="1"/>
    <s v="до 250 рублей"/>
  </r>
  <r>
    <s v="IKLPH176"/>
    <n v="25"/>
    <x v="1"/>
    <x v="3"/>
    <x v="4"/>
    <s v="до 250 рублей"/>
  </r>
  <r>
    <s v="KQEYC776"/>
    <n v="25"/>
    <x v="1"/>
    <x v="0"/>
    <x v="0"/>
    <s v="до 250 рублей"/>
  </r>
  <r>
    <s v="HWGYD890"/>
    <n v="25"/>
    <x v="1"/>
    <x v="4"/>
    <x v="2"/>
    <s v="до 250 рублей"/>
  </r>
  <r>
    <s v="HXTBJ204"/>
    <n v="25"/>
    <x v="1"/>
    <x v="2"/>
    <x v="1"/>
    <s v="до 250 рублей"/>
  </r>
  <r>
    <s v="KLNQM425"/>
    <n v="25"/>
    <x v="1"/>
    <x v="0"/>
    <x v="1"/>
    <s v="до 250 рублей"/>
  </r>
  <r>
    <s v="NFTLC915"/>
    <n v="25"/>
    <x v="1"/>
    <x v="2"/>
    <x v="4"/>
    <s v="до 250 рублей"/>
  </r>
  <r>
    <s v="EZMRH707"/>
    <n v="25"/>
    <x v="1"/>
    <x v="1"/>
    <x v="1"/>
    <s v="до 250 рублей"/>
  </r>
  <r>
    <s v="HHZWO597"/>
    <n v="25"/>
    <x v="1"/>
    <x v="0"/>
    <x v="1"/>
    <s v="до 250 рублей"/>
  </r>
  <r>
    <s v="MEBHS332"/>
    <n v="25"/>
    <x v="1"/>
    <x v="3"/>
    <x v="1"/>
    <s v="до 250 рублей"/>
  </r>
  <r>
    <s v="SNKHM613"/>
    <n v="25"/>
    <x v="1"/>
    <x v="0"/>
    <x v="1"/>
    <s v="до 250 рублей"/>
  </r>
  <r>
    <s v="IUJMA511"/>
    <n v="25"/>
    <x v="1"/>
    <x v="2"/>
    <x v="1"/>
    <s v="до 250 рублей"/>
  </r>
  <r>
    <s v="USFQQ615"/>
    <n v="25"/>
    <x v="1"/>
    <x v="0"/>
    <x v="3"/>
    <s v="до 250 рублей"/>
  </r>
  <r>
    <s v="VUIPO914"/>
    <n v="25"/>
    <x v="1"/>
    <x v="0"/>
    <x v="0"/>
    <s v="до 250 рублей"/>
  </r>
  <r>
    <s v="HBZAV593"/>
    <n v="25"/>
    <x v="1"/>
    <x v="3"/>
    <x v="0"/>
    <s v="до 250 рублей"/>
  </r>
  <r>
    <s v="NHNGR651"/>
    <n v="25"/>
    <x v="1"/>
    <x v="3"/>
    <x v="1"/>
    <s v="до 250 рублей"/>
  </r>
  <r>
    <s v="LHOTX492"/>
    <n v="25"/>
    <x v="1"/>
    <x v="2"/>
    <x v="1"/>
    <s v="до 250 рублей"/>
  </r>
  <r>
    <s v="LWTSV451"/>
    <n v="25"/>
    <x v="1"/>
    <x v="0"/>
    <x v="4"/>
    <s v="до 250 рублей"/>
  </r>
  <r>
    <s v="BITFH709"/>
    <n v="25"/>
    <x v="1"/>
    <x v="0"/>
    <x v="2"/>
    <s v="до 250 рублей"/>
  </r>
  <r>
    <s v="HQCQU020"/>
    <n v="25"/>
    <x v="1"/>
    <x v="0"/>
    <x v="1"/>
    <s v="до 250 рублей"/>
  </r>
  <r>
    <s v="DGRAT764"/>
    <n v="25"/>
    <x v="1"/>
    <x v="2"/>
    <x v="1"/>
    <s v="до 250 рублей"/>
  </r>
  <r>
    <s v="NIRBL281"/>
    <n v="25"/>
    <x v="1"/>
    <x v="0"/>
    <x v="1"/>
    <s v="до 250 рублей"/>
  </r>
  <r>
    <s v="DITYU692"/>
    <n v="25"/>
    <x v="1"/>
    <x v="1"/>
    <x v="2"/>
    <s v="до 250 рублей"/>
  </r>
  <r>
    <s v="AUVPS395"/>
    <n v="25"/>
    <x v="1"/>
    <x v="4"/>
    <x v="3"/>
    <s v="до 250 рублей"/>
  </r>
  <r>
    <s v="YJLOV803"/>
    <n v="25"/>
    <x v="1"/>
    <x v="0"/>
    <x v="1"/>
    <s v="до 250 рублей"/>
  </r>
  <r>
    <s v="KPLNQ245"/>
    <n v="25"/>
    <x v="1"/>
    <x v="3"/>
    <x v="1"/>
    <s v="до 250 рублей"/>
  </r>
  <r>
    <s v="CVRXB216"/>
    <n v="25"/>
    <x v="1"/>
    <x v="3"/>
    <x v="1"/>
    <s v="до 250 рублей"/>
  </r>
  <r>
    <s v="AVZRC505"/>
    <n v="25"/>
    <x v="1"/>
    <x v="4"/>
    <x v="4"/>
    <s v="до 250 рублей"/>
  </r>
  <r>
    <s v="BLBHU681"/>
    <n v="25"/>
    <x v="1"/>
    <x v="2"/>
    <x v="1"/>
    <s v="до 250 рублей"/>
  </r>
  <r>
    <s v="UTHTE055"/>
    <n v="25"/>
    <x v="1"/>
    <x v="0"/>
    <x v="1"/>
    <s v="до 250 рублей"/>
  </r>
  <r>
    <s v="NQGYG289"/>
    <n v="25"/>
    <x v="1"/>
    <x v="3"/>
    <x v="1"/>
    <s v="до 250 рублей"/>
  </r>
  <r>
    <s v="XBZVR326"/>
    <n v="25"/>
    <x v="1"/>
    <x v="0"/>
    <x v="3"/>
    <s v="до 250 рублей"/>
  </r>
  <r>
    <s v="LQYHW474"/>
    <n v="25"/>
    <x v="1"/>
    <x v="0"/>
    <x v="1"/>
    <s v="до 250 рублей"/>
  </r>
  <r>
    <s v="EYDFI800"/>
    <n v="25"/>
    <x v="1"/>
    <x v="1"/>
    <x v="3"/>
    <s v="до 250 рублей"/>
  </r>
  <r>
    <s v="VMYGN758"/>
    <n v="25"/>
    <x v="1"/>
    <x v="0"/>
    <x v="1"/>
    <s v="до 250 рублей"/>
  </r>
  <r>
    <s v="RSVEF729"/>
    <n v="25"/>
    <x v="1"/>
    <x v="0"/>
    <x v="1"/>
    <s v="до 250 рублей"/>
  </r>
  <r>
    <s v="IWOVV809"/>
    <n v="25"/>
    <x v="1"/>
    <x v="0"/>
    <x v="4"/>
    <s v="до 250 рублей"/>
  </r>
  <r>
    <s v="FBLQR968"/>
    <n v="25"/>
    <x v="1"/>
    <x v="2"/>
    <x v="3"/>
    <s v="до 250 рублей"/>
  </r>
  <r>
    <s v="LKWOW121"/>
    <n v="25"/>
    <x v="1"/>
    <x v="2"/>
    <x v="4"/>
    <s v="до 250 рублей"/>
  </r>
  <r>
    <s v="BARUQ399"/>
    <n v="25"/>
    <x v="1"/>
    <x v="4"/>
    <x v="2"/>
    <s v="до 250 рублей"/>
  </r>
  <r>
    <s v="FZGNY465"/>
    <n v="25"/>
    <x v="1"/>
    <x v="1"/>
    <x v="3"/>
    <s v="до 250 рублей"/>
  </r>
  <r>
    <s v="DPEJD759"/>
    <n v="25"/>
    <x v="1"/>
    <x v="0"/>
    <x v="3"/>
    <s v="до 250 рублей"/>
  </r>
  <r>
    <s v="LADXO762"/>
    <n v="25"/>
    <x v="1"/>
    <x v="3"/>
    <x v="1"/>
    <s v="до 250 рублей"/>
  </r>
  <r>
    <s v="BRNNP568"/>
    <n v="25"/>
    <x v="1"/>
    <x v="3"/>
    <x v="4"/>
    <s v="до 250 рублей"/>
  </r>
  <r>
    <s v="RUVTG367"/>
    <n v="25"/>
    <x v="1"/>
    <x v="0"/>
    <x v="3"/>
    <s v="до 250 рублей"/>
  </r>
  <r>
    <s v="CYHPU609"/>
    <n v="25"/>
    <x v="1"/>
    <x v="2"/>
    <x v="0"/>
    <s v="до 250 рублей"/>
  </r>
  <r>
    <s v="XYZAN841"/>
    <n v="25"/>
    <x v="1"/>
    <x v="0"/>
    <x v="0"/>
    <s v="до 250 рублей"/>
  </r>
  <r>
    <s v="NHBHC736"/>
    <n v="25"/>
    <x v="1"/>
    <x v="2"/>
    <x v="4"/>
    <s v="до 250 рублей"/>
  </r>
  <r>
    <s v="FRXPH620"/>
    <n v="25"/>
    <x v="1"/>
    <x v="0"/>
    <x v="4"/>
    <s v="до 250 рублей"/>
  </r>
  <r>
    <s v="SCZUL709"/>
    <n v="25"/>
    <x v="1"/>
    <x v="0"/>
    <x v="3"/>
    <s v="до 250 рублей"/>
  </r>
  <r>
    <s v="ZGLWV800"/>
    <n v="25"/>
    <x v="1"/>
    <x v="0"/>
    <x v="1"/>
    <s v="до 250 рублей"/>
  </r>
  <r>
    <s v="BVNKZ129"/>
    <n v="25"/>
    <x v="1"/>
    <x v="0"/>
    <x v="4"/>
    <s v="до 250 рублей"/>
  </r>
  <r>
    <s v="WASDT221"/>
    <n v="25"/>
    <x v="1"/>
    <x v="0"/>
    <x v="1"/>
    <s v="до 250 рублей"/>
  </r>
  <r>
    <s v="FHLHE289"/>
    <n v="25"/>
    <x v="1"/>
    <x v="1"/>
    <x v="1"/>
    <s v="до 250 рублей"/>
  </r>
  <r>
    <s v="MNLVE874"/>
    <n v="25"/>
    <x v="1"/>
    <x v="3"/>
    <x v="1"/>
    <s v="до 250 рублей"/>
  </r>
  <r>
    <s v="XKYRN569"/>
    <n v="25"/>
    <x v="1"/>
    <x v="0"/>
    <x v="3"/>
    <s v="до 250 рублей"/>
  </r>
  <r>
    <s v="IGUKE379"/>
    <n v="25"/>
    <x v="1"/>
    <x v="2"/>
    <x v="0"/>
    <s v="до 250 рублей"/>
  </r>
  <r>
    <s v="DYOVR712"/>
    <n v="25"/>
    <x v="1"/>
    <x v="2"/>
    <x v="3"/>
    <s v="до 250 рублей"/>
  </r>
  <r>
    <s v="KEKZN954"/>
    <n v="25"/>
    <x v="1"/>
    <x v="3"/>
    <x v="0"/>
    <s v="до 250 рублей"/>
  </r>
  <r>
    <s v="YQZIP097"/>
    <n v="25"/>
    <x v="1"/>
    <x v="0"/>
    <x v="1"/>
    <s v="до 250 рублей"/>
  </r>
  <r>
    <s v="XPWCN892"/>
    <n v="25"/>
    <x v="1"/>
    <x v="0"/>
    <x v="0"/>
    <s v="до 250 рублей"/>
  </r>
  <r>
    <s v="WDNEM601"/>
    <n v="25"/>
    <x v="1"/>
    <x v="0"/>
    <x v="3"/>
    <s v="до 250 рублей"/>
  </r>
  <r>
    <s v="AYSNR279"/>
    <n v="25"/>
    <x v="1"/>
    <x v="4"/>
    <x v="2"/>
    <s v="до 250 рублей"/>
  </r>
  <r>
    <s v="BVBTQ732"/>
    <n v="25"/>
    <x v="1"/>
    <x v="2"/>
    <x v="1"/>
    <s v="до 250 рублей"/>
  </r>
  <r>
    <s v="VFBJO635"/>
    <n v="25"/>
    <x v="1"/>
    <x v="0"/>
    <x v="3"/>
    <s v="до 250 рублей"/>
  </r>
  <r>
    <s v="IHKUI696"/>
    <n v="25"/>
    <x v="1"/>
    <x v="0"/>
    <x v="1"/>
    <s v="до 250 рублей"/>
  </r>
  <r>
    <s v="XGKWY412"/>
    <n v="25"/>
    <x v="1"/>
    <x v="0"/>
    <x v="3"/>
    <s v="до 250 рублей"/>
  </r>
  <r>
    <s v="EHQLU731"/>
    <n v="25"/>
    <x v="1"/>
    <x v="1"/>
    <x v="3"/>
    <s v="до 250 рублей"/>
  </r>
  <r>
    <s v="RVJWO678"/>
    <n v="25"/>
    <x v="1"/>
    <x v="0"/>
    <x v="1"/>
    <s v="до 250 рублей"/>
  </r>
  <r>
    <s v="GAIZK084"/>
    <n v="25"/>
    <x v="1"/>
    <x v="0"/>
    <x v="4"/>
    <s v="до 250 рублей"/>
  </r>
  <r>
    <s v="BNCGD922"/>
    <n v="25"/>
    <x v="1"/>
    <x v="1"/>
    <x v="0"/>
    <s v="до 250 рублей"/>
  </r>
  <r>
    <s v="BDOLJ613"/>
    <n v="25"/>
    <x v="1"/>
    <x v="4"/>
    <x v="4"/>
    <s v="до 250 рублей"/>
  </r>
  <r>
    <s v="VINMB855"/>
    <n v="25"/>
    <x v="1"/>
    <x v="0"/>
    <x v="3"/>
    <s v="до 250 рублей"/>
  </r>
  <r>
    <s v="MXXEW978"/>
    <n v="25"/>
    <x v="1"/>
    <x v="3"/>
    <x v="3"/>
    <s v="до 250 рублей"/>
  </r>
  <r>
    <s v="AAGYR866"/>
    <n v="25"/>
    <x v="1"/>
    <x v="4"/>
    <x v="0"/>
    <s v="до 250 рублей"/>
  </r>
  <r>
    <s v="CALET703"/>
    <n v="25"/>
    <x v="1"/>
    <x v="2"/>
    <x v="3"/>
    <s v="до 250 рублей"/>
  </r>
  <r>
    <s v="RXGYQ511"/>
    <n v="25"/>
    <x v="1"/>
    <x v="0"/>
    <x v="1"/>
    <s v="до 250 рублей"/>
  </r>
  <r>
    <s v="XZXQC530"/>
    <n v="25"/>
    <x v="1"/>
    <x v="0"/>
    <x v="0"/>
    <s v="до 250 рублей"/>
  </r>
  <r>
    <s v="QCKMF214"/>
    <n v="25"/>
    <x v="1"/>
    <x v="3"/>
    <x v="0"/>
    <s v="до 250 рублей"/>
  </r>
  <r>
    <s v="FKJME560"/>
    <n v="25"/>
    <x v="1"/>
    <x v="1"/>
    <x v="1"/>
    <s v="до 250 рублей"/>
  </r>
  <r>
    <s v="KBOFC595"/>
    <n v="25"/>
    <x v="1"/>
    <x v="2"/>
    <x v="0"/>
    <s v="до 250 рублей"/>
  </r>
  <r>
    <s v="YCJLR709"/>
    <n v="25"/>
    <x v="1"/>
    <x v="3"/>
    <x v="0"/>
    <s v="до 250 рублей"/>
  </r>
  <r>
    <s v="YMGZZ052"/>
    <n v="25"/>
    <x v="1"/>
    <x v="0"/>
    <x v="3"/>
    <s v="до 250 рублей"/>
  </r>
  <r>
    <s v="EJPMA441"/>
    <n v="25"/>
    <x v="1"/>
    <x v="3"/>
    <x v="1"/>
    <s v="до 250 рублей"/>
  </r>
  <r>
    <s v="KFJLN993"/>
    <n v="25"/>
    <x v="1"/>
    <x v="2"/>
    <x v="0"/>
    <s v="до 250 рублей"/>
  </r>
  <r>
    <s v="TNBBL994"/>
    <n v="25"/>
    <x v="1"/>
    <x v="0"/>
    <x v="3"/>
    <s v="до 250 рублей"/>
  </r>
  <r>
    <s v="ZOJDY710"/>
    <n v="25"/>
    <x v="1"/>
    <x v="3"/>
    <x v="0"/>
    <s v="до 250 рублей"/>
  </r>
  <r>
    <s v="HEQDH853"/>
    <n v="25"/>
    <x v="1"/>
    <x v="3"/>
    <x v="0"/>
    <s v="до 250 рублей"/>
  </r>
  <r>
    <s v="OIXSR291"/>
    <n v="25"/>
    <x v="1"/>
    <x v="0"/>
    <x v="0"/>
    <s v="до 250 рублей"/>
  </r>
  <r>
    <s v="IWQHO987"/>
    <n v="25"/>
    <x v="1"/>
    <x v="3"/>
    <x v="4"/>
    <s v="до 250 рублей"/>
  </r>
  <r>
    <s v="ROKLY020"/>
    <n v="25"/>
    <x v="1"/>
    <x v="0"/>
    <x v="3"/>
    <s v="до 250 рублей"/>
  </r>
  <r>
    <s v="ZENDD146"/>
    <n v="25"/>
    <x v="1"/>
    <x v="0"/>
    <x v="3"/>
    <s v="до 250 рублей"/>
  </r>
  <r>
    <s v="DOXUJ817"/>
    <n v="25"/>
    <x v="1"/>
    <x v="3"/>
    <x v="3"/>
    <s v="до 250 рублей"/>
  </r>
  <r>
    <s v="IJTXM080"/>
    <n v="25"/>
    <x v="1"/>
    <x v="0"/>
    <x v="1"/>
    <s v="до 250 рублей"/>
  </r>
  <r>
    <s v="CORRU840"/>
    <n v="25"/>
    <x v="1"/>
    <x v="2"/>
    <x v="1"/>
    <s v="до 250 рублей"/>
  </r>
  <r>
    <s v="OGDYF377"/>
    <n v="25"/>
    <x v="1"/>
    <x v="2"/>
    <x v="1"/>
    <s v="до 250 рублей"/>
  </r>
  <r>
    <s v="XXJBN298"/>
    <n v="25"/>
    <x v="1"/>
    <x v="0"/>
    <x v="0"/>
    <s v="до 250 рублей"/>
  </r>
  <r>
    <s v="ACWBC774"/>
    <n v="25"/>
    <x v="1"/>
    <x v="4"/>
    <x v="2"/>
    <s v="до 250 рублей"/>
  </r>
  <r>
    <s v="FVMKR641"/>
    <n v="25"/>
    <x v="1"/>
    <x v="1"/>
    <x v="1"/>
    <s v="до 250 рублей"/>
  </r>
  <r>
    <s v="LGCLN509"/>
    <n v="25"/>
    <x v="1"/>
    <x v="2"/>
    <x v="0"/>
    <s v="до 250 рублей"/>
  </r>
  <r>
    <s v="DGPVC252"/>
    <n v="25"/>
    <x v="1"/>
    <x v="2"/>
    <x v="3"/>
    <s v="до 250 рублей"/>
  </r>
  <r>
    <s v="NLFFT868"/>
    <n v="25"/>
    <x v="1"/>
    <x v="3"/>
    <x v="1"/>
    <s v="до 250 рублей"/>
  </r>
  <r>
    <s v="AUJTW275"/>
    <n v="25"/>
    <x v="1"/>
    <x v="4"/>
    <x v="2"/>
    <s v="до 250 рублей"/>
  </r>
  <r>
    <s v="ZZGOT618"/>
    <n v="25"/>
    <x v="1"/>
    <x v="3"/>
    <x v="0"/>
    <s v="до 250 рублей"/>
  </r>
  <r>
    <s v="HQUBC029"/>
    <n v="25"/>
    <x v="1"/>
    <x v="0"/>
    <x v="4"/>
    <s v="до 250 рублей"/>
  </r>
  <r>
    <s v="XUNTA270"/>
    <n v="25"/>
    <x v="1"/>
    <x v="3"/>
    <x v="0"/>
    <s v="до 250 рублей"/>
  </r>
  <r>
    <s v="IVWZW953"/>
    <n v="25"/>
    <x v="1"/>
    <x v="2"/>
    <x v="1"/>
    <s v="до 250 рублей"/>
  </r>
  <r>
    <s v="VNPFX353"/>
    <n v="25"/>
    <x v="1"/>
    <x v="0"/>
    <x v="1"/>
    <s v="до 250 рублей"/>
  </r>
  <r>
    <s v="PVNVR555"/>
    <n v="25"/>
    <x v="1"/>
    <x v="0"/>
    <x v="1"/>
    <s v="до 250 рублей"/>
  </r>
  <r>
    <s v="XZLJM290"/>
    <n v="25"/>
    <x v="1"/>
    <x v="0"/>
    <x v="0"/>
    <s v="до 250 рублей"/>
  </r>
  <r>
    <s v="OWZQN102"/>
    <n v="25"/>
    <x v="1"/>
    <x v="2"/>
    <x v="1"/>
    <s v="до 250 рублей"/>
  </r>
  <r>
    <s v="LRODA236"/>
    <n v="25"/>
    <x v="1"/>
    <x v="3"/>
    <x v="4"/>
    <s v="до 250 рублей"/>
  </r>
  <r>
    <s v="FLMHN038"/>
    <n v="25"/>
    <x v="1"/>
    <x v="1"/>
    <x v="1"/>
    <s v="до 250 рублей"/>
  </r>
  <r>
    <s v="TPSNV959"/>
    <n v="25"/>
    <x v="1"/>
    <x v="0"/>
    <x v="3"/>
    <s v="до 250 рублей"/>
  </r>
  <r>
    <s v="IRZTT512"/>
    <n v="25"/>
    <x v="1"/>
    <x v="3"/>
    <x v="1"/>
    <s v="до 250 рублей"/>
  </r>
  <r>
    <s v="QBLCG814"/>
    <n v="25"/>
    <x v="1"/>
    <x v="2"/>
    <x v="1"/>
    <s v="до 250 рублей"/>
  </r>
  <r>
    <s v="YAING179"/>
    <n v="25"/>
    <x v="1"/>
    <x v="0"/>
    <x v="0"/>
    <s v="до 250 рублей"/>
  </r>
  <r>
    <s v="SDFQB279"/>
    <n v="25"/>
    <x v="1"/>
    <x v="0"/>
    <x v="3"/>
    <s v="до 250 рублей"/>
  </r>
  <r>
    <s v="KUREN620"/>
    <n v="25"/>
    <x v="1"/>
    <x v="2"/>
    <x v="0"/>
    <s v="до 250 рублей"/>
  </r>
  <r>
    <s v="KDGCJ256"/>
    <n v="25"/>
    <x v="1"/>
    <x v="3"/>
    <x v="4"/>
    <s v="до 250 рублей"/>
  </r>
  <r>
    <s v="RMGYA617"/>
    <n v="25"/>
    <x v="1"/>
    <x v="0"/>
    <x v="4"/>
    <s v="до 250 рублей"/>
  </r>
  <r>
    <s v="IJKYA488"/>
    <n v="25"/>
    <x v="1"/>
    <x v="3"/>
    <x v="0"/>
    <s v="до 250 рублей"/>
  </r>
  <r>
    <s v="NSUVN290"/>
    <n v="25"/>
    <x v="1"/>
    <x v="0"/>
    <x v="1"/>
    <s v="до 250 рублей"/>
  </r>
  <r>
    <s v="EYUWX967"/>
    <n v="25"/>
    <x v="1"/>
    <x v="2"/>
    <x v="3"/>
    <s v="до 250 рублей"/>
  </r>
  <r>
    <s v="YRZHR597"/>
    <n v="25"/>
    <x v="1"/>
    <x v="0"/>
    <x v="1"/>
    <s v="до 250 рублей"/>
  </r>
  <r>
    <s v="CHDPQ652"/>
    <n v="25"/>
    <x v="1"/>
    <x v="1"/>
    <x v="4"/>
    <s v="до 250 рублей"/>
  </r>
  <r>
    <s v="ODWSU376"/>
    <n v="25"/>
    <x v="1"/>
    <x v="2"/>
    <x v="0"/>
    <s v="до 250 рублей"/>
  </r>
  <r>
    <s v="GFIKV164"/>
    <n v="25"/>
    <x v="1"/>
    <x v="1"/>
    <x v="0"/>
    <s v="до 250 рублей"/>
  </r>
  <r>
    <s v="JLKAN757"/>
    <n v="25"/>
    <x v="1"/>
    <x v="3"/>
    <x v="1"/>
    <s v="до 250 рублей"/>
  </r>
  <r>
    <s v="OQKCE938"/>
    <n v="25"/>
    <x v="1"/>
    <x v="2"/>
    <x v="1"/>
    <s v="до 250 рублей"/>
  </r>
  <r>
    <s v="PEVLH859"/>
    <n v="25"/>
    <x v="1"/>
    <x v="0"/>
    <x v="1"/>
    <s v="до 250 рублей"/>
  </r>
  <r>
    <s v="CHWIR422"/>
    <n v="25"/>
    <x v="1"/>
    <x v="1"/>
    <x v="1"/>
    <s v="до 250 рублей"/>
  </r>
  <r>
    <s v="OCYUL934"/>
    <n v="25"/>
    <x v="1"/>
    <x v="2"/>
    <x v="0"/>
    <s v="до 250 рублей"/>
  </r>
  <r>
    <s v="DIWQR122"/>
    <n v="25"/>
    <x v="1"/>
    <x v="2"/>
    <x v="4"/>
    <s v="до 250 рублей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A5110-A902-4D35-8A2A-35B5900AB3A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colHeaderCaption="Сколько минут тратите в месяц?">
  <location ref="A3:G10" firstHeaderRow="1" firstDataRow="2" firstDataCol="1" rowPageCount="1" colPageCount="1"/>
  <pivotFields count="6">
    <pivotField showAll="0">
      <items count="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64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58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showAll="0"/>
    <pivotField axis="axisPage" multipleItemSelectionAllowed="1" showAll="0">
      <items count="6">
        <item h="1" x="2"/>
        <item x="3"/>
        <item h="1" x="0"/>
        <item x="1"/>
        <item x="4"/>
        <item t="default"/>
      </items>
    </pivotField>
    <pivotField axis="axisRow" showAll="0" sortType="descending">
      <items count="6">
        <item x="1"/>
        <item x="2"/>
        <item x="3"/>
        <item x="4"/>
        <item sd="0" x="0"/>
        <item t="default"/>
      </items>
    </pivotField>
    <pivotField axis="axisCol" showAll="0">
      <items count="6">
        <item x="0"/>
        <item x="4"/>
        <item x="1"/>
        <item x="3"/>
        <item x="2"/>
        <item t="default"/>
      </items>
    </pivotField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hier="-1"/>
  </pageFields>
  <dataFields count="1">
    <dataField name="Count of Сколько вы готовы заплатить за оптимальный тариф?" fld="5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48836-0D0D-4B0E-9947-ABC584050068}" name="PivotTable18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 rowPageCount="1" colPageCount="1"/>
  <pivotFields count="6">
    <pivotField dataField="1"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6">
        <item x="0"/>
        <item x="4"/>
        <item x="3"/>
        <item x="2"/>
        <item x="1"/>
        <item t="default"/>
      </items>
    </pivotField>
    <pivotField axis="axisCol" showAll="0">
      <items count="8">
        <item x="0"/>
        <item x="4"/>
        <item m="1" x="5"/>
        <item x="1"/>
        <item x="3"/>
        <item m="1" x="6"/>
        <item x="2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3"/>
    </i>
    <i>
      <x v="4"/>
    </i>
    <i>
      <x v="6"/>
    </i>
    <i t="grand">
      <x/>
    </i>
  </colItems>
  <pageFields count="1">
    <pageField fld="2" item="0" hier="-1"/>
  </pageFields>
  <dataFields count="1">
    <dataField name="Count of ID" fld="0" subtotal="count" showDataAs="percentOfTotal" baseField="0" baseItem="0" numFmtId="165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workbookViewId="0">
      <selection activeCell="D24" sqref="D24"/>
    </sheetView>
  </sheetViews>
  <sheetFormatPr defaultColWidth="11" defaultRowHeight="15.75" x14ac:dyDescent="0.25"/>
  <cols>
    <col min="1" max="1" width="7.5" customWidth="1"/>
    <col min="2" max="2" width="24.625" customWidth="1"/>
    <col min="3" max="3" width="35.625" customWidth="1"/>
    <col min="4" max="4" width="51.5" customWidth="1"/>
    <col min="5" max="6" width="19.125" customWidth="1"/>
  </cols>
  <sheetData>
    <row r="1" spans="1:15" x14ac:dyDescent="0.25">
      <c r="A1" s="1" t="s">
        <v>1251</v>
      </c>
      <c r="B1" s="1"/>
      <c r="C1" s="1"/>
      <c r="D1" s="2"/>
      <c r="E1" s="1"/>
      <c r="F1" s="9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5">
      <c r="A2" s="3"/>
      <c r="B2" s="3"/>
      <c r="C2" s="3"/>
      <c r="D2" s="4"/>
      <c r="E2" s="3"/>
      <c r="F2" s="11"/>
      <c r="G2" s="8"/>
      <c r="H2" s="8"/>
      <c r="I2" s="8"/>
      <c r="J2" s="8"/>
      <c r="K2" s="8"/>
      <c r="L2" s="8"/>
      <c r="M2" s="8"/>
      <c r="N2" s="8"/>
      <c r="O2" s="8"/>
    </row>
    <row r="3" spans="1:15" x14ac:dyDescent="0.25">
      <c r="A3" s="3"/>
      <c r="B3" s="3"/>
      <c r="C3" s="3"/>
      <c r="D3" s="4"/>
      <c r="E3" s="3"/>
      <c r="F3" s="11"/>
      <c r="G3" s="8"/>
      <c r="H3" s="8"/>
      <c r="I3" s="8"/>
      <c r="J3" s="8"/>
      <c r="K3" s="8"/>
      <c r="L3" s="8"/>
      <c r="M3" s="8"/>
      <c r="N3" s="8"/>
      <c r="O3" s="8"/>
    </row>
    <row r="4" spans="1:15" ht="24.95" customHeight="1" x14ac:dyDescent="0.25">
      <c r="A4" s="75" t="s">
        <v>0</v>
      </c>
      <c r="B4" s="75" t="s">
        <v>1</v>
      </c>
      <c r="C4" s="75" t="s">
        <v>2</v>
      </c>
      <c r="D4" s="3"/>
      <c r="E4" s="11"/>
      <c r="F4" s="8"/>
      <c r="G4" s="8"/>
      <c r="H4" s="8"/>
      <c r="I4" s="8"/>
      <c r="J4" s="8"/>
      <c r="K4" s="8"/>
      <c r="L4" s="8"/>
      <c r="M4" s="8"/>
      <c r="N4" s="8"/>
    </row>
    <row r="5" spans="1:15" ht="33.950000000000003" customHeight="1" x14ac:dyDescent="0.25">
      <c r="A5" s="72">
        <v>1</v>
      </c>
      <c r="B5" s="73" t="s">
        <v>4</v>
      </c>
      <c r="C5" s="74"/>
      <c r="D5" s="3"/>
      <c r="E5" s="11"/>
      <c r="F5" s="8"/>
      <c r="G5" s="8"/>
      <c r="H5" s="8"/>
      <c r="I5" s="8"/>
      <c r="J5" s="8"/>
      <c r="K5" s="8"/>
      <c r="L5" s="8"/>
      <c r="M5" s="8"/>
      <c r="N5" s="8"/>
    </row>
    <row r="6" spans="1:15" ht="36" customHeight="1" x14ac:dyDescent="0.25">
      <c r="A6" s="12">
        <v>2</v>
      </c>
      <c r="B6" s="13" t="s">
        <v>5</v>
      </c>
      <c r="C6" s="5" t="s">
        <v>3</v>
      </c>
      <c r="D6" s="3"/>
      <c r="E6" s="11"/>
      <c r="F6" s="8"/>
      <c r="G6" s="8"/>
      <c r="H6" s="8"/>
      <c r="I6" s="8"/>
      <c r="J6" s="8"/>
      <c r="K6" s="8"/>
      <c r="L6" s="8"/>
      <c r="M6" s="8"/>
      <c r="N6" s="8"/>
    </row>
    <row r="7" spans="1:15" ht="38.1" customHeight="1" x14ac:dyDescent="0.25">
      <c r="A7" s="14">
        <v>3</v>
      </c>
      <c r="B7" s="7" t="s">
        <v>6</v>
      </c>
      <c r="C7" s="6" t="s">
        <v>1259</v>
      </c>
      <c r="D7" s="3"/>
      <c r="E7" s="11"/>
      <c r="F7" s="8"/>
      <c r="G7" s="8"/>
      <c r="H7" s="8"/>
      <c r="I7" s="8"/>
      <c r="J7" s="8"/>
      <c r="K7" s="8"/>
      <c r="L7" s="8"/>
      <c r="M7" s="8"/>
      <c r="N7" s="8"/>
    </row>
    <row r="8" spans="1:15" ht="35.1" customHeight="1" x14ac:dyDescent="0.25">
      <c r="A8" s="14">
        <v>4</v>
      </c>
      <c r="B8" s="7" t="s">
        <v>8</v>
      </c>
      <c r="C8" s="6" t="s">
        <v>9</v>
      </c>
      <c r="D8" s="3"/>
      <c r="E8" s="11"/>
      <c r="F8" s="8"/>
      <c r="G8" s="8"/>
      <c r="H8" s="8"/>
      <c r="I8" s="8"/>
      <c r="J8" s="8"/>
      <c r="K8" s="8"/>
      <c r="L8" s="8"/>
      <c r="M8" s="8"/>
      <c r="N8" s="8"/>
    </row>
    <row r="9" spans="1:15" ht="41.1" customHeight="1" x14ac:dyDescent="0.25">
      <c r="A9" s="14">
        <v>5</v>
      </c>
      <c r="B9" s="7" t="s">
        <v>7</v>
      </c>
      <c r="C9" s="6" t="s">
        <v>23</v>
      </c>
      <c r="D9" s="3"/>
      <c r="E9" s="11"/>
      <c r="F9" s="8"/>
      <c r="G9" s="8"/>
      <c r="H9" s="8"/>
      <c r="I9" s="8"/>
      <c r="J9" s="8"/>
      <c r="K9" s="8"/>
      <c r="L9" s="8"/>
      <c r="M9" s="8"/>
      <c r="N9" s="8"/>
    </row>
    <row r="10" spans="1:15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9"/>
  <sheetViews>
    <sheetView topLeftCell="A25" workbookViewId="0">
      <selection activeCell="F53" sqref="F53"/>
    </sheetView>
  </sheetViews>
  <sheetFormatPr defaultColWidth="11" defaultRowHeight="15.75" x14ac:dyDescent="0.25"/>
  <cols>
    <col min="1" max="1" width="10.875" customWidth="1"/>
    <col min="2" max="2" width="11" customWidth="1"/>
    <col min="6" max="10" width="11" customWidth="1"/>
  </cols>
  <sheetData>
    <row r="1" spans="1:16" x14ac:dyDescent="0.25">
      <c r="A1" s="60" t="s">
        <v>1251</v>
      </c>
      <c r="B1" s="60"/>
      <c r="C1" s="60"/>
      <c r="D1" s="61"/>
      <c r="E1" s="62"/>
      <c r="F1" s="62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x14ac:dyDescent="0.25">
      <c r="A2" s="3"/>
      <c r="B2" s="15"/>
      <c r="C2" s="15"/>
      <c r="D2" s="3"/>
      <c r="E2" s="3"/>
      <c r="F2" s="3"/>
      <c r="G2" s="3"/>
      <c r="H2" s="3"/>
      <c r="I2" s="3"/>
      <c r="J2" s="3"/>
      <c r="K2" s="3"/>
      <c r="L2" s="3"/>
      <c r="M2" s="8"/>
      <c r="N2" s="8"/>
      <c r="O2" s="8"/>
      <c r="P2" s="8"/>
    </row>
    <row r="3" spans="1:16" x14ac:dyDescent="0.25">
      <c r="A3" s="3"/>
      <c r="B3" s="15"/>
      <c r="C3" s="15"/>
      <c r="D3" s="3"/>
      <c r="E3" s="3"/>
      <c r="F3" s="3"/>
      <c r="G3" s="3"/>
      <c r="H3" s="3"/>
      <c r="I3" s="3"/>
      <c r="J3" s="3"/>
      <c r="K3" s="3"/>
      <c r="L3" s="3"/>
      <c r="M3" s="8"/>
      <c r="N3" s="8"/>
      <c r="O3" s="8"/>
      <c r="P3" s="8"/>
    </row>
    <row r="4" spans="1:16" x14ac:dyDescent="0.25">
      <c r="A4" s="64" t="s">
        <v>10</v>
      </c>
      <c r="B4" s="64"/>
      <c r="C4" s="65"/>
      <c r="D4" s="65"/>
      <c r="E4" s="65"/>
      <c r="F4" s="65"/>
      <c r="G4" s="65"/>
      <c r="H4" s="65"/>
      <c r="I4" s="65"/>
      <c r="J4" s="65"/>
      <c r="K4" s="66"/>
      <c r="L4" s="63"/>
      <c r="M4" s="63"/>
      <c r="N4" s="63"/>
      <c r="O4" s="64"/>
      <c r="P4" s="65"/>
    </row>
    <row r="5" spans="1:16" x14ac:dyDescent="0.25">
      <c r="A5" s="3"/>
      <c r="B5" s="17" t="s">
        <v>1262</v>
      </c>
      <c r="C5" s="17"/>
      <c r="D5" s="18"/>
      <c r="E5" s="18"/>
      <c r="F5" s="18"/>
      <c r="G5" s="18"/>
      <c r="H5" s="18"/>
      <c r="I5" s="18"/>
      <c r="J5" s="18"/>
      <c r="K5" s="18"/>
      <c r="L5" s="3"/>
      <c r="M5" s="8"/>
      <c r="N5" s="8"/>
      <c r="O5" s="8"/>
      <c r="P5" s="8"/>
    </row>
    <row r="6" spans="1:16" ht="17.100000000000001" customHeight="1" x14ac:dyDescent="0.25">
      <c r="A6" s="90" t="s">
        <v>18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</row>
    <row r="7" spans="1:16" x14ac:dyDescent="0.25">
      <c r="A7" s="90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</row>
    <row r="8" spans="1:16" x14ac:dyDescent="0.25">
      <c r="A8" s="3"/>
      <c r="B8" s="19"/>
      <c r="C8" s="19"/>
      <c r="D8" s="18"/>
      <c r="E8" s="18"/>
      <c r="F8" s="18"/>
      <c r="G8" s="18"/>
      <c r="H8" s="18"/>
      <c r="I8" s="18"/>
      <c r="J8" s="18"/>
      <c r="K8" s="18"/>
      <c r="L8" s="3"/>
      <c r="M8" s="8"/>
      <c r="N8" s="8"/>
      <c r="O8" s="8"/>
      <c r="P8" s="8"/>
    </row>
    <row r="9" spans="1:16" x14ac:dyDescent="0.25">
      <c r="A9" s="27" t="s">
        <v>20</v>
      </c>
      <c r="B9" s="19"/>
      <c r="C9" s="18"/>
      <c r="D9" s="18"/>
      <c r="E9" s="18"/>
      <c r="F9" s="18"/>
      <c r="G9" s="18"/>
      <c r="H9" s="18"/>
      <c r="I9" s="18"/>
      <c r="J9" s="18"/>
      <c r="K9" s="3"/>
      <c r="L9" s="8"/>
      <c r="M9" s="8"/>
      <c r="N9" s="8"/>
      <c r="O9" s="8"/>
    </row>
    <row r="10" spans="1:16" x14ac:dyDescent="0.25">
      <c r="A10" s="19" t="s">
        <v>19</v>
      </c>
      <c r="B10" s="70"/>
      <c r="C10" s="18"/>
      <c r="D10" s="18"/>
      <c r="E10" s="18"/>
      <c r="F10" s="18"/>
      <c r="G10" s="18"/>
      <c r="H10" s="18"/>
      <c r="I10" s="18"/>
      <c r="J10" s="18"/>
      <c r="K10" s="3"/>
      <c r="L10" s="71"/>
      <c r="M10" s="71"/>
      <c r="N10" s="8"/>
      <c r="O10" s="8"/>
    </row>
    <row r="11" spans="1:16" x14ac:dyDescent="0.25">
      <c r="A11" s="19" t="s">
        <v>1252</v>
      </c>
      <c r="B11" s="70"/>
      <c r="C11" s="18"/>
      <c r="D11" s="18"/>
      <c r="E11" s="18"/>
      <c r="F11" s="18"/>
      <c r="G11" s="18"/>
      <c r="H11" s="18"/>
      <c r="I11" s="18"/>
      <c r="J11" s="18"/>
      <c r="K11" s="3"/>
      <c r="L11" s="71"/>
      <c r="M11" s="71"/>
      <c r="N11" s="8"/>
      <c r="O11" s="8"/>
    </row>
    <row r="12" spans="1:16" x14ac:dyDescent="0.25">
      <c r="A12" s="19" t="s">
        <v>21</v>
      </c>
      <c r="B12" s="70"/>
      <c r="C12" s="18"/>
      <c r="D12" s="18"/>
      <c r="E12" s="18"/>
      <c r="F12" s="18"/>
      <c r="G12" s="18"/>
      <c r="H12" s="18"/>
      <c r="I12" s="18"/>
      <c r="J12" s="18"/>
      <c r="K12" s="3"/>
      <c r="L12" s="71"/>
      <c r="M12" s="71"/>
      <c r="N12" s="8"/>
      <c r="O12" s="8"/>
    </row>
    <row r="13" spans="1:16" x14ac:dyDescent="0.25">
      <c r="A13" s="19" t="s">
        <v>1253</v>
      </c>
      <c r="B13" s="70"/>
      <c r="C13" s="18"/>
      <c r="D13" s="18"/>
      <c r="E13" s="18"/>
      <c r="F13" s="18"/>
      <c r="G13" s="18"/>
      <c r="H13" s="18"/>
      <c r="I13" s="18"/>
      <c r="J13" s="18"/>
      <c r="K13" s="3"/>
      <c r="L13" s="71"/>
      <c r="M13" s="71"/>
      <c r="N13" s="8"/>
      <c r="O13" s="8"/>
    </row>
    <row r="14" spans="1:16" x14ac:dyDescent="0.25">
      <c r="A14" s="20"/>
      <c r="B14" s="20"/>
      <c r="C14" s="21"/>
      <c r="D14" s="21"/>
      <c r="E14" s="21"/>
      <c r="F14" s="21"/>
      <c r="G14" s="21"/>
      <c r="H14" s="21"/>
      <c r="I14" s="21"/>
      <c r="J14" s="21"/>
      <c r="K14" s="57"/>
      <c r="L14" s="58"/>
      <c r="M14" s="58"/>
      <c r="N14" s="58"/>
      <c r="O14" s="58"/>
      <c r="P14" s="58"/>
    </row>
    <row r="15" spans="1:16" x14ac:dyDescent="0.25">
      <c r="A15" s="3"/>
      <c r="B15" s="15"/>
      <c r="C15" s="15"/>
      <c r="D15" s="3"/>
      <c r="E15" s="3"/>
      <c r="F15" s="3"/>
      <c r="G15" s="3"/>
      <c r="H15" s="3"/>
      <c r="I15" s="3"/>
      <c r="J15" s="3"/>
      <c r="K15" s="3"/>
      <c r="L15" s="3"/>
      <c r="M15" s="8"/>
      <c r="N15" s="8"/>
      <c r="O15" s="8"/>
      <c r="P15" s="8"/>
    </row>
    <row r="16" spans="1:16" x14ac:dyDescent="0.25">
      <c r="A16" s="64" t="s">
        <v>11</v>
      </c>
      <c r="B16" s="64"/>
      <c r="C16" s="67"/>
      <c r="D16" s="68"/>
      <c r="E16" s="68"/>
      <c r="F16" s="68"/>
      <c r="G16" s="68"/>
      <c r="H16" s="68"/>
      <c r="I16" s="68"/>
      <c r="J16" s="68"/>
      <c r="K16" s="69"/>
      <c r="L16" s="63"/>
      <c r="M16" s="63"/>
      <c r="N16" s="63"/>
      <c r="O16" s="63"/>
      <c r="P16" s="63"/>
    </row>
    <row r="17" spans="1:16" x14ac:dyDescent="0.25">
      <c r="A17" s="3"/>
      <c r="B17" s="15"/>
      <c r="C17" s="15"/>
      <c r="D17" s="3"/>
      <c r="E17" s="3"/>
      <c r="F17" s="3"/>
      <c r="G17" s="3"/>
      <c r="H17" s="3"/>
      <c r="I17" s="3"/>
      <c r="J17" s="3"/>
      <c r="K17" s="3"/>
      <c r="L17" s="3"/>
      <c r="M17" s="8"/>
      <c r="N17" s="8"/>
      <c r="O17" s="8"/>
      <c r="P17" s="8"/>
    </row>
    <row r="18" spans="1:16" x14ac:dyDescent="0.25">
      <c r="A18" s="30" t="s">
        <v>12</v>
      </c>
      <c r="B18" s="31" t="s">
        <v>22</v>
      </c>
      <c r="C18" s="30"/>
      <c r="D18" s="30"/>
      <c r="E18" s="30"/>
      <c r="F18" s="30"/>
      <c r="G18" s="30"/>
      <c r="H18" s="30"/>
      <c r="I18" s="30"/>
      <c r="J18" s="32"/>
      <c r="K18" s="28"/>
      <c r="L18" s="29"/>
      <c r="M18" s="29"/>
      <c r="N18" s="29"/>
      <c r="O18" s="29"/>
      <c r="P18" s="29"/>
    </row>
    <row r="19" spans="1:16" x14ac:dyDescent="0.25">
      <c r="A19" s="3"/>
      <c r="B19" s="23" t="s">
        <v>1257</v>
      </c>
      <c r="C19" s="22"/>
      <c r="D19" s="22"/>
      <c r="E19" s="22"/>
      <c r="F19" s="22"/>
      <c r="G19" s="22"/>
      <c r="H19" s="22"/>
      <c r="I19" s="22"/>
      <c r="J19" s="24"/>
      <c r="K19" s="3"/>
      <c r="L19" s="8"/>
      <c r="M19" s="8"/>
      <c r="N19" s="8"/>
      <c r="O19" s="8"/>
    </row>
    <row r="20" spans="1:16" x14ac:dyDescent="0.25">
      <c r="A20" s="3"/>
      <c r="B20" s="23" t="s">
        <v>1244</v>
      </c>
      <c r="C20" s="22"/>
      <c r="D20" s="22"/>
      <c r="E20" s="22"/>
      <c r="F20" s="22"/>
      <c r="G20" s="22"/>
      <c r="H20" s="22"/>
      <c r="I20" s="22"/>
      <c r="J20" s="24"/>
      <c r="K20" s="3"/>
      <c r="L20" s="8"/>
      <c r="M20" s="8"/>
      <c r="N20" s="8"/>
      <c r="O20" s="8"/>
    </row>
    <row r="21" spans="1:16" x14ac:dyDescent="0.25">
      <c r="A21" s="3"/>
      <c r="B21" s="23" t="s">
        <v>1245</v>
      </c>
      <c r="C21" s="22"/>
      <c r="D21" s="22"/>
      <c r="E21" s="22"/>
      <c r="F21" s="22"/>
      <c r="G21" s="22"/>
      <c r="H21" s="22"/>
      <c r="I21" s="22"/>
      <c r="J21" s="24"/>
      <c r="K21" s="3"/>
      <c r="L21" s="8"/>
      <c r="M21" s="8"/>
      <c r="N21" s="8"/>
      <c r="O21" s="8"/>
    </row>
    <row r="22" spans="1:16" x14ac:dyDescent="0.25">
      <c r="A22" s="3"/>
      <c r="B22" s="23" t="s">
        <v>1254</v>
      </c>
      <c r="C22" s="22"/>
      <c r="D22" s="22"/>
      <c r="E22" s="22"/>
      <c r="F22" s="22"/>
      <c r="G22" s="22"/>
      <c r="H22" s="22"/>
      <c r="I22" s="22"/>
      <c r="J22" s="24"/>
      <c r="K22" s="3"/>
      <c r="L22" s="8"/>
      <c r="M22" s="8"/>
      <c r="N22" s="8"/>
      <c r="O22" s="8"/>
    </row>
    <row r="23" spans="1:16" x14ac:dyDescent="0.25">
      <c r="A23" s="3"/>
      <c r="B23" s="39" t="s">
        <v>1255</v>
      </c>
      <c r="C23" s="22"/>
      <c r="D23" s="22"/>
      <c r="E23" s="22"/>
      <c r="F23" s="22"/>
      <c r="G23" s="22"/>
      <c r="H23" s="22"/>
      <c r="I23" s="22"/>
      <c r="J23" s="24"/>
      <c r="K23" s="3"/>
      <c r="L23" s="8"/>
      <c r="M23" s="8"/>
      <c r="N23" s="8"/>
      <c r="O23" s="8"/>
    </row>
    <row r="24" spans="1:16" x14ac:dyDescent="0.25">
      <c r="A24" s="3"/>
      <c r="B24" s="25"/>
      <c r="C24" s="25"/>
      <c r="D24" s="16"/>
      <c r="E24" s="16"/>
      <c r="F24" s="16"/>
      <c r="G24" s="16"/>
      <c r="H24" s="16"/>
      <c r="I24" s="16"/>
      <c r="J24" s="16"/>
      <c r="K24" s="16"/>
      <c r="L24" s="3"/>
      <c r="M24" s="8"/>
      <c r="N24" s="8"/>
      <c r="O24" s="8"/>
      <c r="P24" s="8"/>
    </row>
    <row r="25" spans="1:16" x14ac:dyDescent="0.25">
      <c r="A25" s="30" t="s">
        <v>13</v>
      </c>
      <c r="B25" s="31" t="s">
        <v>25</v>
      </c>
      <c r="C25" s="30"/>
      <c r="D25" s="30"/>
      <c r="E25" s="30"/>
      <c r="F25" s="30"/>
      <c r="G25" s="30"/>
      <c r="H25" s="30"/>
      <c r="I25" s="30"/>
      <c r="J25" s="32"/>
      <c r="K25" s="28"/>
      <c r="L25" s="29"/>
      <c r="M25" s="29"/>
      <c r="N25" s="29"/>
      <c r="O25" s="29"/>
      <c r="P25" s="29"/>
    </row>
    <row r="26" spans="1:16" x14ac:dyDescent="0.25">
      <c r="A26" s="22"/>
      <c r="B26" s="23" t="s">
        <v>1246</v>
      </c>
      <c r="C26" s="22"/>
      <c r="D26" s="22"/>
      <c r="E26" s="22"/>
      <c r="F26" s="22"/>
      <c r="G26" s="22"/>
      <c r="H26" s="22"/>
      <c r="I26" s="22"/>
      <c r="J26" s="24"/>
      <c r="K26" s="3"/>
      <c r="L26" s="8"/>
      <c r="M26" s="8"/>
      <c r="N26" s="8"/>
      <c r="O26" s="8"/>
    </row>
    <row r="27" spans="1:16" x14ac:dyDescent="0.25">
      <c r="A27" s="25"/>
      <c r="B27" s="15"/>
      <c r="C27" s="3"/>
      <c r="D27" s="3"/>
      <c r="E27" s="3"/>
      <c r="F27" s="3"/>
      <c r="G27" s="3"/>
      <c r="H27" s="3"/>
      <c r="I27" s="3"/>
      <c r="J27" s="3"/>
      <c r="K27" s="3"/>
      <c r="L27" s="8"/>
      <c r="M27" s="8"/>
      <c r="N27" s="8"/>
      <c r="O27" s="8"/>
    </row>
    <row r="28" spans="1:16" x14ac:dyDescent="0.25">
      <c r="A28" s="30" t="s">
        <v>14</v>
      </c>
      <c r="B28" s="31" t="s">
        <v>26</v>
      </c>
      <c r="C28" s="30"/>
      <c r="D28" s="30"/>
      <c r="E28" s="30"/>
      <c r="F28" s="30"/>
      <c r="G28" s="30"/>
      <c r="H28" s="30"/>
      <c r="I28" s="30"/>
      <c r="J28" s="32"/>
      <c r="K28" s="28"/>
      <c r="L28" s="29"/>
      <c r="M28" s="29"/>
      <c r="N28" s="29"/>
      <c r="O28" s="29"/>
      <c r="P28" s="29"/>
    </row>
    <row r="29" spans="1:16" x14ac:dyDescent="0.25">
      <c r="A29" s="22"/>
      <c r="B29" s="23" t="s">
        <v>27</v>
      </c>
      <c r="C29" s="26"/>
      <c r="D29" s="26"/>
      <c r="E29" s="22"/>
      <c r="F29" s="22"/>
      <c r="G29" s="22"/>
      <c r="H29" s="22"/>
      <c r="I29" s="22"/>
      <c r="J29" s="24"/>
      <c r="K29" s="3"/>
      <c r="L29" s="8"/>
      <c r="M29" s="8"/>
      <c r="N29" s="8"/>
      <c r="O29" s="8"/>
    </row>
    <row r="30" spans="1:16" x14ac:dyDescent="0.25">
      <c r="A30" s="22"/>
      <c r="B30" s="23" t="s">
        <v>1266</v>
      </c>
      <c r="C30" s="26"/>
      <c r="D30" s="26"/>
      <c r="E30" s="22"/>
      <c r="F30" s="22"/>
      <c r="G30" s="22"/>
      <c r="H30" s="22"/>
      <c r="I30" s="22"/>
      <c r="J30" s="24"/>
      <c r="K30" s="3"/>
      <c r="L30" s="8"/>
      <c r="M30" s="8"/>
      <c r="N30" s="8"/>
      <c r="O30" s="8"/>
    </row>
    <row r="31" spans="1:16" x14ac:dyDescent="0.25">
      <c r="A31" s="22"/>
      <c r="B31" s="23" t="s">
        <v>1243</v>
      </c>
      <c r="C31" s="26"/>
      <c r="D31" s="26"/>
      <c r="E31" s="22"/>
      <c r="F31" s="22"/>
      <c r="G31" s="22"/>
      <c r="H31" s="22"/>
      <c r="I31" s="22"/>
      <c r="J31" s="24"/>
      <c r="K31" s="3"/>
      <c r="L31" s="8"/>
      <c r="M31" s="8"/>
      <c r="N31" s="8"/>
      <c r="O31" s="8"/>
    </row>
    <row r="32" spans="1:16" x14ac:dyDescent="0.25">
      <c r="A32" s="25"/>
      <c r="B32" s="15"/>
      <c r="C32" s="3"/>
      <c r="D32" s="3"/>
      <c r="E32" s="3"/>
      <c r="F32" s="3"/>
      <c r="G32" s="3"/>
      <c r="H32" s="3"/>
      <c r="I32" s="3"/>
      <c r="J32" s="3"/>
      <c r="K32" s="3"/>
      <c r="L32" s="8"/>
      <c r="M32" s="8"/>
      <c r="N32" s="8"/>
      <c r="O32" s="8"/>
    </row>
    <row r="33" spans="1:16" x14ac:dyDescent="0.25">
      <c r="A33" s="30" t="s">
        <v>15</v>
      </c>
      <c r="B33" s="31" t="s">
        <v>28</v>
      </c>
      <c r="C33" s="30"/>
      <c r="D33" s="30"/>
      <c r="E33" s="30"/>
      <c r="F33" s="30"/>
      <c r="G33" s="30"/>
      <c r="H33" s="30"/>
      <c r="I33" s="30"/>
      <c r="J33" s="32"/>
      <c r="K33" s="28"/>
      <c r="L33" s="29"/>
      <c r="M33" s="29"/>
      <c r="N33" s="29"/>
      <c r="O33" s="29"/>
      <c r="P33" s="29"/>
    </row>
    <row r="34" spans="1:16" x14ac:dyDescent="0.25">
      <c r="A34" s="22"/>
      <c r="B34" s="23" t="s">
        <v>30</v>
      </c>
      <c r="C34" s="22"/>
      <c r="D34" s="22"/>
      <c r="E34" s="22"/>
      <c r="F34" s="22"/>
      <c r="G34" s="22"/>
      <c r="H34" s="22"/>
      <c r="I34" s="22"/>
      <c r="J34" s="24"/>
      <c r="K34" s="3"/>
      <c r="L34" s="8"/>
      <c r="M34" s="8"/>
      <c r="N34" s="8"/>
      <c r="O34" s="8"/>
      <c r="P34" s="8"/>
    </row>
    <row r="35" spans="1:16" x14ac:dyDescent="0.25">
      <c r="A35" s="22"/>
      <c r="B35" s="23" t="s">
        <v>29</v>
      </c>
      <c r="C35" s="22"/>
      <c r="D35" s="22"/>
      <c r="E35" s="22"/>
      <c r="F35" s="22"/>
      <c r="G35" s="22"/>
      <c r="H35" s="22"/>
      <c r="I35" s="22"/>
      <c r="J35" s="24"/>
      <c r="K35" s="3"/>
      <c r="L35" s="8"/>
      <c r="M35" s="8"/>
      <c r="N35" s="8"/>
      <c r="O35" s="8"/>
    </row>
    <row r="36" spans="1:16" x14ac:dyDescent="0.25">
      <c r="A36" s="22"/>
      <c r="B36" s="23" t="s">
        <v>1258</v>
      </c>
      <c r="C36" s="22"/>
      <c r="D36" s="22"/>
      <c r="E36" s="22"/>
      <c r="F36" s="22"/>
      <c r="G36" s="22"/>
      <c r="H36" s="22"/>
      <c r="I36" s="22"/>
      <c r="J36" s="24"/>
      <c r="K36" s="3"/>
      <c r="L36" s="8"/>
      <c r="M36" s="8"/>
      <c r="N36" s="8"/>
      <c r="O36" s="8"/>
    </row>
    <row r="37" spans="1:16" x14ac:dyDescent="0.25">
      <c r="A37" s="25"/>
      <c r="B37" s="15"/>
      <c r="C37" s="3"/>
      <c r="D37" s="3"/>
      <c r="E37" s="3"/>
      <c r="F37" s="3"/>
      <c r="G37" s="3"/>
      <c r="H37" s="3"/>
      <c r="I37" s="3"/>
      <c r="J37" s="3"/>
      <c r="K37" s="3"/>
      <c r="L37" s="8"/>
      <c r="M37" s="8"/>
      <c r="N37" s="8"/>
      <c r="O37" s="8"/>
    </row>
    <row r="38" spans="1:16" x14ac:dyDescent="0.25">
      <c r="A38" s="30" t="s">
        <v>16</v>
      </c>
      <c r="B38" s="31" t="s">
        <v>31</v>
      </c>
      <c r="C38" s="30"/>
      <c r="D38" s="30"/>
      <c r="E38" s="30"/>
      <c r="F38" s="30"/>
      <c r="G38" s="30"/>
      <c r="H38" s="30"/>
      <c r="I38" s="30"/>
      <c r="J38" s="32"/>
      <c r="K38" s="28"/>
      <c r="L38" s="29"/>
      <c r="M38" s="29"/>
      <c r="N38" s="29"/>
      <c r="O38" s="29"/>
      <c r="P38" s="29"/>
    </row>
    <row r="39" spans="1:16" x14ac:dyDescent="0.25">
      <c r="A39" s="22"/>
      <c r="B39" s="23" t="s">
        <v>32</v>
      </c>
      <c r="C39" s="22"/>
      <c r="D39" s="22"/>
      <c r="E39" s="22"/>
      <c r="F39" s="22"/>
      <c r="G39" s="22"/>
      <c r="H39" s="22"/>
      <c r="I39" s="22"/>
      <c r="J39" s="24"/>
      <c r="K39" s="3"/>
      <c r="L39" s="40"/>
      <c r="M39" s="40"/>
      <c r="N39" s="8"/>
      <c r="O39" s="8"/>
    </row>
    <row r="40" spans="1:16" x14ac:dyDescent="0.25">
      <c r="A40" s="22"/>
      <c r="B40" s="40" t="s">
        <v>1247</v>
      </c>
      <c r="C40" s="22"/>
      <c r="D40" s="22"/>
      <c r="E40" s="22"/>
      <c r="F40" s="22"/>
      <c r="G40" s="22"/>
      <c r="H40" s="22"/>
      <c r="I40" s="22"/>
      <c r="J40" s="24"/>
      <c r="K40" s="3"/>
      <c r="L40" s="40"/>
      <c r="M40" s="40"/>
      <c r="N40" s="8"/>
      <c r="O40" s="8"/>
    </row>
    <row r="41" spans="1:16" x14ac:dyDescent="0.25">
      <c r="A41" s="22"/>
      <c r="B41" s="40" t="s">
        <v>1248</v>
      </c>
      <c r="C41" s="22"/>
      <c r="D41" s="22"/>
      <c r="E41" s="22"/>
      <c r="F41" s="22"/>
      <c r="G41" s="22"/>
      <c r="H41" s="22"/>
      <c r="I41" s="22"/>
      <c r="J41" s="24"/>
      <c r="K41" s="3"/>
      <c r="L41" s="40"/>
      <c r="M41" s="40"/>
      <c r="N41" s="8"/>
      <c r="O41" s="8"/>
    </row>
    <row r="42" spans="1:16" x14ac:dyDescent="0.25">
      <c r="A42" s="22"/>
      <c r="B42" s="40" t="s">
        <v>1249</v>
      </c>
      <c r="C42" s="22"/>
      <c r="D42" s="22"/>
      <c r="E42" s="22"/>
      <c r="F42" s="22"/>
      <c r="G42" s="22"/>
      <c r="H42" s="22"/>
      <c r="I42" s="22"/>
      <c r="J42" s="24"/>
      <c r="K42" s="3"/>
      <c r="L42" s="40"/>
      <c r="M42" s="40"/>
      <c r="N42" s="8"/>
      <c r="O42" s="8"/>
    </row>
    <row r="43" spans="1:16" x14ac:dyDescent="0.25">
      <c r="A43" s="22"/>
      <c r="B43" s="40" t="s">
        <v>1263</v>
      </c>
      <c r="C43" s="22"/>
      <c r="D43" s="22"/>
      <c r="E43" s="22"/>
      <c r="F43" s="22"/>
      <c r="G43" s="22"/>
      <c r="H43" s="22"/>
      <c r="I43" s="22"/>
      <c r="J43" s="24"/>
      <c r="K43" s="3"/>
      <c r="L43" s="40"/>
      <c r="M43" s="40"/>
      <c r="N43" s="8"/>
      <c r="O43" s="8"/>
    </row>
    <row r="44" spans="1:16" x14ac:dyDescent="0.25">
      <c r="A44" s="22"/>
      <c r="B44" s="40" t="s">
        <v>1264</v>
      </c>
      <c r="C44" s="22"/>
      <c r="D44" s="22"/>
      <c r="E44" s="22"/>
      <c r="F44" s="22"/>
      <c r="G44" s="22"/>
      <c r="H44" s="22"/>
      <c r="I44" s="22"/>
      <c r="J44" s="24"/>
      <c r="K44" s="3"/>
      <c r="L44" s="40"/>
      <c r="M44" s="40"/>
      <c r="N44" s="8"/>
      <c r="O44" s="8"/>
    </row>
    <row r="45" spans="1:16" x14ac:dyDescent="0.25">
      <c r="A45" s="22"/>
      <c r="B45" s="40" t="s">
        <v>1260</v>
      </c>
      <c r="C45" s="22"/>
      <c r="D45" s="22"/>
      <c r="E45" s="22"/>
      <c r="F45" s="22"/>
      <c r="G45" s="22"/>
      <c r="H45" s="22"/>
      <c r="I45" s="22"/>
      <c r="J45" s="24"/>
      <c r="K45" s="3"/>
      <c r="L45" s="40"/>
      <c r="M45" s="40"/>
      <c r="N45" s="8"/>
      <c r="O45" s="8"/>
    </row>
    <row r="46" spans="1:16" x14ac:dyDescent="0.25">
      <c r="A46" s="15"/>
      <c r="B46" s="15"/>
      <c r="C46" s="3"/>
      <c r="D46" s="3"/>
      <c r="E46" s="3"/>
      <c r="F46" s="3"/>
      <c r="G46" s="3"/>
      <c r="H46" s="3"/>
      <c r="I46" s="3"/>
      <c r="J46" s="3"/>
      <c r="K46" s="3"/>
      <c r="L46" s="8"/>
      <c r="M46" s="8"/>
      <c r="N46" s="8"/>
      <c r="O46" s="8"/>
    </row>
    <row r="47" spans="1:16" x14ac:dyDescent="0.25">
      <c r="A47" s="30" t="s">
        <v>17</v>
      </c>
      <c r="B47" s="31" t="s">
        <v>33</v>
      </c>
      <c r="C47" s="30"/>
      <c r="D47" s="30"/>
      <c r="E47" s="30"/>
      <c r="F47" s="30"/>
      <c r="G47" s="30"/>
      <c r="H47" s="30"/>
      <c r="I47" s="30"/>
      <c r="J47" s="32"/>
      <c r="K47" s="28"/>
      <c r="L47" s="29"/>
      <c r="M47" s="29"/>
      <c r="N47" s="29"/>
      <c r="O47" s="29"/>
      <c r="P47" s="29"/>
    </row>
    <row r="48" spans="1:16" x14ac:dyDescent="0.25">
      <c r="A48" s="22"/>
      <c r="B48" s="40" t="s">
        <v>24</v>
      </c>
      <c r="C48" s="22"/>
      <c r="D48" s="22"/>
      <c r="E48" s="22"/>
      <c r="F48" s="22"/>
      <c r="G48" s="22"/>
      <c r="H48" s="22"/>
      <c r="I48" s="22"/>
      <c r="J48" s="24"/>
      <c r="K48" s="3"/>
      <c r="L48" s="8"/>
      <c r="M48" s="8"/>
      <c r="N48" s="8"/>
      <c r="O48" s="8"/>
    </row>
    <row r="49" spans="1:15" x14ac:dyDescent="0.25">
      <c r="A49" s="22"/>
      <c r="B49" s="40" t="s">
        <v>1250</v>
      </c>
      <c r="C49" s="22"/>
      <c r="D49" s="22"/>
      <c r="E49" s="22"/>
      <c r="F49" s="22"/>
      <c r="G49" s="22"/>
      <c r="H49" s="22"/>
      <c r="I49" s="22"/>
      <c r="J49" s="24"/>
      <c r="K49" s="3"/>
      <c r="L49" s="8"/>
      <c r="M49" s="8"/>
      <c r="N49" s="8"/>
      <c r="O49" s="8"/>
    </row>
    <row r="50" spans="1:15" x14ac:dyDescent="0.25">
      <c r="A50" s="22"/>
      <c r="B50" s="23" t="s">
        <v>1261</v>
      </c>
      <c r="C50" s="22"/>
      <c r="D50" s="22"/>
      <c r="E50" s="22"/>
      <c r="F50" s="22"/>
      <c r="G50" s="22"/>
      <c r="H50" s="22"/>
      <c r="I50" s="22"/>
      <c r="J50" s="24"/>
      <c r="K50" s="3"/>
      <c r="L50" s="8"/>
      <c r="M50" s="8"/>
      <c r="N50" s="8"/>
      <c r="O50" s="8"/>
    </row>
    <row r="51" spans="1:15" x14ac:dyDescent="0.25">
      <c r="A51" s="22"/>
      <c r="B51" s="23"/>
      <c r="C51" s="22"/>
      <c r="D51" s="22"/>
      <c r="E51" s="22"/>
      <c r="F51" s="22"/>
      <c r="G51" s="22"/>
      <c r="H51" s="22"/>
      <c r="I51" s="22"/>
      <c r="J51" s="24"/>
      <c r="K51" s="3"/>
      <c r="L51" s="8"/>
      <c r="M51" s="8"/>
      <c r="N51" s="8"/>
      <c r="O51" s="8"/>
    </row>
    <row r="52" spans="1:15" x14ac:dyDescent="0.25">
      <c r="A52" s="15"/>
      <c r="B52" s="15"/>
      <c r="C52" s="3"/>
      <c r="D52" s="3"/>
      <c r="E52" s="3"/>
      <c r="F52" s="3"/>
      <c r="G52" s="3"/>
      <c r="H52" s="3"/>
      <c r="I52" s="3"/>
      <c r="J52" s="3"/>
      <c r="K52" s="3"/>
      <c r="L52" s="8"/>
      <c r="M52" s="8"/>
      <c r="N52" s="8"/>
      <c r="O52" s="8"/>
    </row>
    <row r="53" spans="1:15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5"/>
      <c r="K53" s="33"/>
    </row>
    <row r="54" spans="1:15" x14ac:dyDescent="0.25">
      <c r="A54" s="33"/>
      <c r="B54" s="34"/>
      <c r="C54" s="36"/>
      <c r="D54" s="34"/>
      <c r="E54" s="34"/>
      <c r="F54" s="34"/>
      <c r="G54" s="34"/>
      <c r="H54" s="34"/>
      <c r="I54" s="34"/>
      <c r="J54" s="34"/>
      <c r="K54" s="35"/>
      <c r="L54" s="33"/>
    </row>
    <row r="55" spans="1:15" x14ac:dyDescent="0.25">
      <c r="A55" s="33"/>
      <c r="B55" s="34"/>
      <c r="C55" s="36"/>
      <c r="D55" s="34"/>
      <c r="E55" s="34"/>
      <c r="F55" s="34"/>
      <c r="G55" s="34"/>
      <c r="H55" s="34"/>
      <c r="I55" s="34"/>
      <c r="J55" s="34"/>
      <c r="K55" s="35"/>
      <c r="L55" s="33"/>
    </row>
    <row r="56" spans="1:15" x14ac:dyDescent="0.25">
      <c r="A56" s="33"/>
      <c r="B56" s="34"/>
      <c r="C56" s="36"/>
      <c r="D56" s="34"/>
      <c r="E56" s="34"/>
      <c r="F56" s="34"/>
      <c r="G56" s="34"/>
      <c r="H56" s="34"/>
      <c r="I56" s="34"/>
      <c r="J56" s="34"/>
      <c r="K56" s="35"/>
      <c r="L56" s="33"/>
    </row>
    <row r="57" spans="1:15" x14ac:dyDescent="0.25">
      <c r="A57" s="33"/>
      <c r="B57" s="34"/>
      <c r="C57" s="36"/>
      <c r="D57" s="34"/>
      <c r="E57" s="34"/>
      <c r="F57" s="34"/>
      <c r="G57" s="34"/>
      <c r="H57" s="34"/>
      <c r="I57" s="34"/>
      <c r="J57" s="34"/>
      <c r="K57" s="35"/>
      <c r="L57" s="33"/>
    </row>
    <row r="58" spans="1:15" x14ac:dyDescent="0.25">
      <c r="A58" s="33"/>
      <c r="L58" s="33"/>
    </row>
    <row r="59" spans="1:15" x14ac:dyDescent="0.25">
      <c r="A59" s="33"/>
      <c r="B59" s="34"/>
      <c r="C59" s="34"/>
      <c r="D59" s="34"/>
      <c r="E59" s="34"/>
      <c r="F59" s="34"/>
      <c r="G59" s="34"/>
      <c r="H59" s="34"/>
      <c r="I59" s="34"/>
      <c r="J59" s="34"/>
      <c r="K59" s="35"/>
      <c r="L59" s="33"/>
    </row>
    <row r="60" spans="1:15" x14ac:dyDescent="0.25">
      <c r="A60" s="33"/>
      <c r="B60" s="34"/>
      <c r="C60" s="36"/>
      <c r="D60" s="34"/>
      <c r="E60" s="34"/>
      <c r="F60" s="34"/>
      <c r="G60" s="34"/>
      <c r="H60" s="34"/>
      <c r="I60" s="34"/>
      <c r="J60" s="34"/>
      <c r="K60" s="35"/>
      <c r="L60" s="33"/>
    </row>
    <row r="61" spans="1:15" x14ac:dyDescent="0.25">
      <c r="A61" s="33"/>
      <c r="B61" s="34"/>
      <c r="C61" s="36"/>
      <c r="D61" s="34"/>
      <c r="E61" s="34"/>
      <c r="F61" s="34"/>
      <c r="G61" s="34"/>
      <c r="H61" s="34"/>
      <c r="I61" s="34"/>
      <c r="J61" s="34"/>
      <c r="K61" s="35"/>
      <c r="L61" s="33"/>
    </row>
    <row r="62" spans="1:15" x14ac:dyDescent="0.25">
      <c r="A62" s="33"/>
      <c r="B62" s="34"/>
      <c r="C62" s="36"/>
      <c r="D62" s="34"/>
      <c r="E62" s="34"/>
      <c r="F62" s="34"/>
      <c r="G62" s="34"/>
      <c r="H62" s="34"/>
      <c r="I62" s="34"/>
      <c r="J62" s="34"/>
      <c r="K62" s="35"/>
      <c r="L62" s="33"/>
    </row>
    <row r="63" spans="1:15" x14ac:dyDescent="0.25">
      <c r="A63" s="33"/>
      <c r="B63" s="37"/>
      <c r="C63" s="37"/>
      <c r="D63" s="33"/>
      <c r="E63" s="33"/>
      <c r="F63" s="33"/>
      <c r="G63" s="33"/>
      <c r="H63" s="33"/>
      <c r="I63" s="33"/>
      <c r="J63" s="33"/>
      <c r="K63" s="33"/>
      <c r="L63" s="33"/>
    </row>
    <row r="64" spans="1:15" x14ac:dyDescent="0.25">
      <c r="A64" s="33"/>
      <c r="B64" s="34"/>
      <c r="C64" s="34"/>
      <c r="D64" s="34"/>
      <c r="E64" s="34"/>
      <c r="F64" s="34"/>
      <c r="G64" s="34"/>
      <c r="H64" s="34"/>
      <c r="I64" s="34"/>
      <c r="J64" s="34"/>
      <c r="K64" s="35"/>
      <c r="L64" s="33"/>
    </row>
    <row r="65" spans="1:12" x14ac:dyDescent="0.25">
      <c r="A65" s="33"/>
      <c r="B65" s="34"/>
      <c r="C65" s="34"/>
      <c r="D65" s="34"/>
      <c r="E65" s="34"/>
      <c r="F65" s="34"/>
      <c r="G65" s="34"/>
      <c r="H65" s="34"/>
      <c r="I65" s="34"/>
      <c r="J65" s="34"/>
      <c r="K65" s="35"/>
      <c r="L65" s="33"/>
    </row>
    <row r="66" spans="1:12" x14ac:dyDescent="0.25">
      <c r="A66" s="33"/>
      <c r="B66" s="34"/>
      <c r="C66" s="36"/>
      <c r="D66" s="34"/>
      <c r="E66" s="34"/>
      <c r="F66" s="34"/>
      <c r="G66" s="34"/>
      <c r="H66" s="34"/>
      <c r="I66" s="34"/>
      <c r="J66" s="34"/>
      <c r="K66" s="35"/>
      <c r="L66" s="33"/>
    </row>
    <row r="67" spans="1:12" x14ac:dyDescent="0.25">
      <c r="A67" s="33"/>
      <c r="B67" s="34"/>
      <c r="C67" s="36"/>
      <c r="D67" s="34"/>
      <c r="E67" s="34"/>
      <c r="F67" s="34"/>
      <c r="G67" s="34"/>
      <c r="H67" s="34"/>
      <c r="I67" s="34"/>
      <c r="J67" s="34"/>
      <c r="K67" s="35"/>
      <c r="L67" s="33"/>
    </row>
    <row r="68" spans="1:12" x14ac:dyDescent="0.25">
      <c r="A68" s="33"/>
      <c r="B68" s="34"/>
      <c r="C68" s="36"/>
      <c r="D68" s="34"/>
      <c r="E68" s="34"/>
      <c r="F68" s="34"/>
      <c r="G68" s="34"/>
      <c r="H68" s="34"/>
      <c r="I68" s="34"/>
      <c r="J68" s="34"/>
      <c r="K68" s="35"/>
      <c r="L68" s="33"/>
    </row>
    <row r="69" spans="1:12" x14ac:dyDescent="0.25">
      <c r="A69" s="33"/>
      <c r="B69" s="34"/>
      <c r="C69" s="36"/>
      <c r="D69" s="34"/>
      <c r="E69" s="34"/>
      <c r="F69" s="34"/>
      <c r="G69" s="34"/>
      <c r="H69" s="34"/>
      <c r="I69" s="34"/>
      <c r="J69" s="34"/>
      <c r="K69" s="35"/>
      <c r="L69" s="33"/>
    </row>
    <row r="70" spans="1:12" x14ac:dyDescent="0.25">
      <c r="A70" s="33"/>
      <c r="B70" s="37"/>
      <c r="C70" s="37"/>
      <c r="D70" s="33"/>
      <c r="E70" s="33"/>
      <c r="F70" s="33"/>
      <c r="G70" s="33"/>
      <c r="H70" s="33"/>
      <c r="I70" s="33"/>
      <c r="J70" s="33"/>
      <c r="K70" s="33"/>
      <c r="L70" s="33"/>
    </row>
    <row r="71" spans="1:12" x14ac:dyDescent="0.25">
      <c r="A71" s="33"/>
      <c r="B71" s="34"/>
      <c r="C71" s="34"/>
      <c r="D71" s="34"/>
      <c r="E71" s="34"/>
      <c r="F71" s="34"/>
      <c r="G71" s="34"/>
      <c r="H71" s="34"/>
      <c r="I71" s="34"/>
      <c r="J71" s="34"/>
      <c r="K71" s="35"/>
      <c r="L71" s="33"/>
    </row>
    <row r="72" spans="1:12" x14ac:dyDescent="0.25">
      <c r="A72" s="33"/>
      <c r="B72" s="34"/>
      <c r="C72" s="36"/>
      <c r="D72" s="36"/>
      <c r="E72" s="36"/>
      <c r="F72" s="36"/>
      <c r="G72" s="34"/>
      <c r="H72" s="34"/>
      <c r="I72" s="34"/>
      <c r="J72" s="34"/>
      <c r="K72" s="35"/>
      <c r="L72" s="33"/>
    </row>
    <row r="73" spans="1:12" x14ac:dyDescent="0.25">
      <c r="A73" s="33"/>
      <c r="B73" s="34"/>
      <c r="C73" s="36"/>
      <c r="D73" s="36"/>
      <c r="E73" s="36"/>
      <c r="F73" s="36"/>
      <c r="G73" s="34"/>
      <c r="H73" s="34"/>
      <c r="I73" s="34"/>
      <c r="J73" s="34"/>
      <c r="K73" s="35"/>
      <c r="L73" s="33"/>
    </row>
    <row r="74" spans="1:12" x14ac:dyDescent="0.25">
      <c r="A74" s="33"/>
      <c r="B74" s="37"/>
      <c r="C74" s="37"/>
      <c r="D74" s="33"/>
      <c r="E74" s="33"/>
      <c r="F74" s="33"/>
      <c r="G74" s="33"/>
      <c r="H74" s="33"/>
      <c r="I74" s="33"/>
      <c r="J74" s="33"/>
      <c r="K74" s="33"/>
      <c r="L74" s="33"/>
    </row>
    <row r="75" spans="1:12" x14ac:dyDescent="0.25">
      <c r="A75" s="33"/>
      <c r="B75" s="34"/>
      <c r="C75" s="34"/>
      <c r="D75" s="34"/>
      <c r="E75" s="34"/>
      <c r="F75" s="34"/>
      <c r="G75" s="34"/>
      <c r="H75" s="34"/>
      <c r="I75" s="34"/>
      <c r="J75" s="34"/>
      <c r="K75" s="35"/>
      <c r="L75" s="33"/>
    </row>
    <row r="76" spans="1:12" x14ac:dyDescent="0.25">
      <c r="A76" s="33"/>
      <c r="B76" s="37"/>
      <c r="C76" s="38"/>
      <c r="D76" s="33"/>
      <c r="E76" s="33"/>
      <c r="F76" s="33"/>
      <c r="G76" s="33"/>
      <c r="H76" s="33"/>
      <c r="I76" s="33"/>
      <c r="J76" s="33"/>
      <c r="K76" s="33"/>
      <c r="L76" s="33"/>
    </row>
    <row r="77" spans="1:12" x14ac:dyDescent="0.25">
      <c r="A77" s="33"/>
      <c r="B77" s="37"/>
      <c r="C77" s="38"/>
      <c r="D77" s="33"/>
      <c r="E77" s="33"/>
      <c r="F77" s="33"/>
      <c r="G77" s="33"/>
      <c r="H77" s="33"/>
      <c r="I77" s="33"/>
      <c r="J77" s="33"/>
      <c r="K77" s="33"/>
      <c r="L77" s="33"/>
    </row>
    <row r="78" spans="1:12" x14ac:dyDescent="0.25">
      <c r="A78" s="33"/>
      <c r="B78" s="37"/>
      <c r="C78" s="38"/>
      <c r="D78" s="33"/>
      <c r="E78" s="33"/>
      <c r="F78" s="33"/>
      <c r="G78" s="33"/>
      <c r="H78" s="33"/>
      <c r="I78" s="33"/>
      <c r="J78" s="33"/>
      <c r="K78" s="33"/>
      <c r="L78" s="33"/>
    </row>
    <row r="79" spans="1:12" x14ac:dyDescent="0.25">
      <c r="B79" s="37"/>
      <c r="C79" s="37"/>
      <c r="D79" s="33"/>
      <c r="E79" s="33"/>
      <c r="F79" s="33"/>
      <c r="G79" s="33"/>
      <c r="H79" s="33"/>
      <c r="I79" s="33"/>
      <c r="J79" s="33"/>
      <c r="K79" s="33"/>
      <c r="L79" s="33"/>
    </row>
  </sheetData>
  <mergeCells count="1">
    <mergeCell ref="A6:P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144"/>
  <sheetViews>
    <sheetView tabSelected="1" topLeftCell="M5" workbookViewId="0">
      <selection activeCell="Q6" sqref="Q6"/>
    </sheetView>
  </sheetViews>
  <sheetFormatPr defaultColWidth="11" defaultRowHeight="15.75" x14ac:dyDescent="0.25"/>
  <cols>
    <col min="1" max="1" width="20" bestFit="1" customWidth="1"/>
    <col min="2" max="2" width="14.375" style="43" bestFit="1" customWidth="1"/>
    <col min="5" max="5" width="29.5" bestFit="1" customWidth="1"/>
    <col min="6" max="6" width="9.125" bestFit="1" customWidth="1"/>
    <col min="7" max="7" width="22" style="43" bestFit="1" customWidth="1"/>
    <col min="8" max="8" width="41.625" bestFit="1" customWidth="1"/>
    <col min="9" max="9" width="37.625" bestFit="1" customWidth="1"/>
    <col min="10" max="10" width="38.375" bestFit="1" customWidth="1"/>
    <col min="11" max="11" width="28.5" bestFit="1" customWidth="1"/>
    <col min="12" max="12" width="34.625" bestFit="1" customWidth="1"/>
    <col min="13" max="13" width="14.5" bestFit="1" customWidth="1"/>
    <col min="14" max="14" width="24.625" bestFit="1" customWidth="1"/>
    <col min="15" max="15" width="18.625" bestFit="1" customWidth="1"/>
    <col min="17" max="17" width="8.5" customWidth="1"/>
  </cols>
  <sheetData>
    <row r="1" spans="1:31" x14ac:dyDescent="0.25">
      <c r="A1" s="59" t="s">
        <v>1251</v>
      </c>
      <c r="B1" s="1"/>
      <c r="C1" s="1"/>
      <c r="D1" s="2"/>
      <c r="E1" s="1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x14ac:dyDescent="0.25">
      <c r="A2" s="41" t="s">
        <v>34</v>
      </c>
      <c r="B2" s="42"/>
      <c r="C2" s="43">
        <v>44682</v>
      </c>
      <c r="Q2" s="46" t="s">
        <v>1268</v>
      </c>
      <c r="R2" s="79">
        <f>AVERAGEIFS(Q6:Q1144,S6:S1144,"&lt;=25")</f>
        <v>164.8717701812572</v>
      </c>
    </row>
    <row r="3" spans="1:31" x14ac:dyDescent="0.25">
      <c r="A3" s="41" t="s">
        <v>35</v>
      </c>
      <c r="B3" s="42"/>
      <c r="C3" s="43">
        <v>44562</v>
      </c>
      <c r="Q3" s="46" t="s">
        <v>1269</v>
      </c>
      <c r="R3" s="79">
        <f>AVERAGEIFS(R6:R1144,S6:S1144,"&lt;=25")</f>
        <v>19.744334596959384</v>
      </c>
    </row>
    <row r="4" spans="1:31" x14ac:dyDescent="0.25">
      <c r="Q4" s="46"/>
    </row>
    <row r="5" spans="1:31" s="46" customFormat="1" x14ac:dyDescent="0.25">
      <c r="A5" s="44" t="s">
        <v>36</v>
      </c>
      <c r="B5" s="45" t="s">
        <v>37</v>
      </c>
      <c r="C5" s="44" t="s">
        <v>38</v>
      </c>
      <c r="D5" s="44" t="s">
        <v>39</v>
      </c>
      <c r="E5" s="44" t="s">
        <v>40</v>
      </c>
      <c r="F5" s="44" t="s">
        <v>41</v>
      </c>
      <c r="G5" s="45" t="s">
        <v>42</v>
      </c>
      <c r="H5" s="44" t="s">
        <v>1267</v>
      </c>
      <c r="I5" s="44" t="s">
        <v>43</v>
      </c>
      <c r="J5" s="44" t="s">
        <v>44</v>
      </c>
      <c r="K5" s="44" t="s">
        <v>45</v>
      </c>
      <c r="L5" s="44" t="s">
        <v>46</v>
      </c>
      <c r="M5" s="44" t="s">
        <v>47</v>
      </c>
      <c r="N5" s="44" t="s">
        <v>48</v>
      </c>
      <c r="O5" s="44" t="s">
        <v>49</v>
      </c>
      <c r="P5" s="76" t="s">
        <v>1270</v>
      </c>
      <c r="Q5" s="76" t="s">
        <v>1271</v>
      </c>
      <c r="R5" s="76" t="s">
        <v>1272</v>
      </c>
      <c r="S5" s="76" t="s">
        <v>1273</v>
      </c>
      <c r="T5" s="76" t="s">
        <v>1292</v>
      </c>
      <c r="U5" s="76" t="s">
        <v>1288</v>
      </c>
      <c r="V5" s="76" t="s">
        <v>1289</v>
      </c>
    </row>
    <row r="6" spans="1:31" x14ac:dyDescent="0.25">
      <c r="A6" t="s">
        <v>197</v>
      </c>
      <c r="B6" s="43">
        <v>38105</v>
      </c>
      <c r="C6" t="s">
        <v>50</v>
      </c>
      <c r="D6" t="s">
        <v>51</v>
      </c>
      <c r="E6" t="s">
        <v>52</v>
      </c>
      <c r="F6" t="s">
        <v>53</v>
      </c>
      <c r="G6" s="43">
        <v>44004</v>
      </c>
      <c r="H6">
        <v>5</v>
      </c>
      <c r="I6">
        <v>99496</v>
      </c>
      <c r="J6">
        <v>176000000</v>
      </c>
      <c r="P6" s="77">
        <f t="shared" ref="P6:P63" si="0">DATEDIF(G6,$C$2,"D")</f>
        <v>678</v>
      </c>
      <c r="Q6" s="78">
        <f t="shared" ref="Q6:Q63" si="1">IF(P6&lt;DATEDIF($C$3,$C$2,"D"),I6/(60*(P6/30)),I6/(60*5))</f>
        <v>331.65333333333331</v>
      </c>
      <c r="R6" s="78">
        <f t="shared" ref="R6:R63" si="2">IF(P6&lt;DATEDIF($C$3,$C$2,"D"),J6/(1048576*(P6/30)),J6/(1048576*5))</f>
        <v>33.5693359375</v>
      </c>
      <c r="S6" s="78">
        <f t="shared" ref="S6:S63" si="3">DATEDIF(B6,$C$2,"Y")</f>
        <v>18</v>
      </c>
      <c r="T6" s="78">
        <f>(Q6*7)/30</f>
        <v>77.385777777777776</v>
      </c>
      <c r="U6" s="78" t="str">
        <f>IF(T6&gt;120,"120+",IF(T6&gt;90,"91-120",IF(T6&gt;60,"61-90",IF(T6&gt;35,"35-60","&lt;35"))))</f>
        <v>61-90</v>
      </c>
      <c r="V6" s="78" t="str">
        <f>IF(R6&gt;40,"40+ Гб",IF(R6&gt;30,"31-40 Гб",IF(R6&gt;20,"21-30 Гб",IF(R6&gt;10,"10-20 Гб","&lt;10 Гб"))))</f>
        <v>31-40 Гб</v>
      </c>
    </row>
    <row r="7" spans="1:31" x14ac:dyDescent="0.25">
      <c r="A7" t="s">
        <v>1133</v>
      </c>
      <c r="B7" s="43">
        <v>38101</v>
      </c>
      <c r="C7" t="s">
        <v>58</v>
      </c>
      <c r="D7" t="s">
        <v>51</v>
      </c>
      <c r="E7" t="s">
        <v>52</v>
      </c>
      <c r="F7" t="s">
        <v>63</v>
      </c>
      <c r="G7" s="43">
        <v>43201</v>
      </c>
      <c r="H7">
        <v>5</v>
      </c>
      <c r="I7">
        <v>22176</v>
      </c>
      <c r="J7">
        <v>136000000</v>
      </c>
      <c r="K7">
        <v>1</v>
      </c>
      <c r="N7">
        <v>1</v>
      </c>
      <c r="P7" s="77">
        <f t="shared" si="0"/>
        <v>1481</v>
      </c>
      <c r="Q7" s="78">
        <f t="shared" si="1"/>
        <v>73.92</v>
      </c>
      <c r="R7" s="78">
        <f t="shared" si="2"/>
        <v>25.93994140625</v>
      </c>
      <c r="S7" s="78">
        <f t="shared" si="3"/>
        <v>18</v>
      </c>
      <c r="T7" s="78">
        <f t="shared" ref="T7:T70" si="4">(Q7*7)/30</f>
        <v>17.248000000000001</v>
      </c>
      <c r="U7" s="78" t="str">
        <f t="shared" ref="U7:U70" si="5">IF(T7&gt;120,"120+",IF(T7&gt;90,"91-120",IF(T7&gt;60,"61-90",IF(T7&gt;35,"35-60","&lt;35"))))</f>
        <v>&lt;35</v>
      </c>
      <c r="V7" s="78" t="str">
        <f t="shared" ref="V7:V70" si="6">IF(R7&gt;40,"40+ Гб",IF(R7&gt;30,"31-40 Гб",IF(R7&gt;20,"21-30 Гб",IF(R7&gt;10,"10-20 Гб","&lt;10 Гб"))))</f>
        <v>21-30 Гб</v>
      </c>
      <c r="AA7" s="8"/>
    </row>
    <row r="8" spans="1:31" x14ac:dyDescent="0.25">
      <c r="A8" t="s">
        <v>976</v>
      </c>
      <c r="B8" s="43">
        <v>38086</v>
      </c>
      <c r="C8" t="s">
        <v>50</v>
      </c>
      <c r="D8" t="s">
        <v>51</v>
      </c>
      <c r="E8" t="s">
        <v>52</v>
      </c>
      <c r="F8" t="s">
        <v>63</v>
      </c>
      <c r="G8" s="43">
        <v>43938</v>
      </c>
      <c r="H8">
        <v>5</v>
      </c>
      <c r="I8">
        <v>4064</v>
      </c>
      <c r="J8">
        <v>152000000</v>
      </c>
      <c r="L8">
        <v>1</v>
      </c>
      <c r="N8">
        <v>1</v>
      </c>
      <c r="O8">
        <v>1</v>
      </c>
      <c r="P8" s="77">
        <f t="shared" si="0"/>
        <v>744</v>
      </c>
      <c r="Q8" s="78">
        <f t="shared" si="1"/>
        <v>13.546666666666667</v>
      </c>
      <c r="R8" s="78">
        <f t="shared" si="2"/>
        <v>28.99169921875</v>
      </c>
      <c r="S8" s="78">
        <f t="shared" si="3"/>
        <v>18</v>
      </c>
      <c r="T8" s="78">
        <f t="shared" si="4"/>
        <v>3.1608888888888891</v>
      </c>
      <c r="U8" s="78" t="str">
        <f t="shared" si="5"/>
        <v>&lt;35</v>
      </c>
      <c r="V8" s="78" t="str">
        <f t="shared" si="6"/>
        <v>21-30 Гб</v>
      </c>
      <c r="AA8" s="8"/>
    </row>
    <row r="9" spans="1:31" x14ac:dyDescent="0.25">
      <c r="A9" t="s">
        <v>1134</v>
      </c>
      <c r="B9" s="43">
        <v>38086</v>
      </c>
      <c r="C9" t="s">
        <v>50</v>
      </c>
      <c r="D9" t="s">
        <v>51</v>
      </c>
      <c r="E9" t="s">
        <v>54</v>
      </c>
      <c r="F9" t="s">
        <v>69</v>
      </c>
      <c r="G9" s="43">
        <v>43739</v>
      </c>
      <c r="H9">
        <v>5</v>
      </c>
      <c r="I9">
        <v>30344</v>
      </c>
      <c r="J9">
        <v>16000000</v>
      </c>
      <c r="K9">
        <v>1</v>
      </c>
      <c r="P9" s="77">
        <f t="shared" si="0"/>
        <v>943</v>
      </c>
      <c r="Q9" s="78">
        <f t="shared" si="1"/>
        <v>101.14666666666666</v>
      </c>
      <c r="R9" s="78">
        <f t="shared" si="2"/>
        <v>3.0517578125</v>
      </c>
      <c r="S9" s="78">
        <f t="shared" si="3"/>
        <v>18</v>
      </c>
      <c r="T9" s="78">
        <f t="shared" si="4"/>
        <v>23.600888888888889</v>
      </c>
      <c r="U9" s="78" t="str">
        <f t="shared" si="5"/>
        <v>&lt;35</v>
      </c>
      <c r="V9" s="78" t="str">
        <f t="shared" si="6"/>
        <v>&lt;10 Гб</v>
      </c>
      <c r="AA9" s="8"/>
    </row>
    <row r="10" spans="1:31" x14ac:dyDescent="0.25">
      <c r="A10" t="s">
        <v>663</v>
      </c>
      <c r="B10" s="43">
        <v>38082</v>
      </c>
      <c r="C10" t="s">
        <v>58</v>
      </c>
      <c r="D10" t="s">
        <v>51</v>
      </c>
      <c r="E10" t="s">
        <v>52</v>
      </c>
      <c r="F10" t="s">
        <v>63</v>
      </c>
      <c r="G10" s="43">
        <v>44058</v>
      </c>
      <c r="H10">
        <v>5</v>
      </c>
      <c r="I10">
        <v>6616</v>
      </c>
      <c r="J10">
        <v>144000000</v>
      </c>
      <c r="L10">
        <v>1</v>
      </c>
      <c r="O10">
        <v>1</v>
      </c>
      <c r="P10" s="77">
        <f t="shared" si="0"/>
        <v>624</v>
      </c>
      <c r="Q10" s="78">
        <f t="shared" si="1"/>
        <v>22.053333333333335</v>
      </c>
      <c r="R10" s="78">
        <f t="shared" si="2"/>
        <v>27.4658203125</v>
      </c>
      <c r="S10" s="78">
        <f t="shared" si="3"/>
        <v>18</v>
      </c>
      <c r="T10" s="78">
        <f t="shared" si="4"/>
        <v>5.145777777777778</v>
      </c>
      <c r="U10" s="78" t="str">
        <f t="shared" si="5"/>
        <v>&lt;35</v>
      </c>
      <c r="V10" s="78" t="str">
        <f t="shared" si="6"/>
        <v>21-30 Гб</v>
      </c>
      <c r="AA10" s="8"/>
    </row>
    <row r="11" spans="1:31" x14ac:dyDescent="0.25">
      <c r="A11" t="s">
        <v>432</v>
      </c>
      <c r="B11" s="43">
        <v>38081</v>
      </c>
      <c r="C11" t="s">
        <v>50</v>
      </c>
      <c r="D11" t="s">
        <v>51</v>
      </c>
      <c r="E11" t="s">
        <v>54</v>
      </c>
      <c r="F11" t="s">
        <v>57</v>
      </c>
      <c r="G11" s="43">
        <v>43439</v>
      </c>
      <c r="H11">
        <v>5</v>
      </c>
      <c r="I11">
        <v>61756</v>
      </c>
      <c r="J11">
        <v>96000000</v>
      </c>
      <c r="P11" s="77">
        <f t="shared" si="0"/>
        <v>1243</v>
      </c>
      <c r="Q11" s="78">
        <f t="shared" si="1"/>
        <v>205.85333333333332</v>
      </c>
      <c r="R11" s="78">
        <f t="shared" si="2"/>
        <v>18.310546875</v>
      </c>
      <c r="S11" s="78">
        <f t="shared" si="3"/>
        <v>18</v>
      </c>
      <c r="T11" s="78">
        <f t="shared" si="4"/>
        <v>48.032444444444444</v>
      </c>
      <c r="U11" s="78" t="str">
        <f t="shared" si="5"/>
        <v>35-60</v>
      </c>
      <c r="V11" s="78" t="str">
        <f t="shared" si="6"/>
        <v>10-20 Гб</v>
      </c>
      <c r="AA11" s="8"/>
    </row>
    <row r="12" spans="1:31" x14ac:dyDescent="0.25">
      <c r="A12" t="s">
        <v>591</v>
      </c>
      <c r="B12" s="43">
        <v>38072</v>
      </c>
      <c r="C12" t="s">
        <v>58</v>
      </c>
      <c r="D12" t="s">
        <v>51</v>
      </c>
      <c r="E12" t="s">
        <v>52</v>
      </c>
      <c r="F12" t="s">
        <v>63</v>
      </c>
      <c r="G12" s="43">
        <v>43053</v>
      </c>
      <c r="H12">
        <v>5</v>
      </c>
      <c r="I12">
        <v>19144</v>
      </c>
      <c r="J12">
        <v>152000000</v>
      </c>
      <c r="P12" s="77">
        <f t="shared" si="0"/>
        <v>1629</v>
      </c>
      <c r="Q12" s="78">
        <f t="shared" si="1"/>
        <v>63.813333333333333</v>
      </c>
      <c r="R12" s="78">
        <f t="shared" si="2"/>
        <v>28.99169921875</v>
      </c>
      <c r="S12" s="78">
        <f t="shared" si="3"/>
        <v>18</v>
      </c>
      <c r="T12" s="78">
        <f t="shared" si="4"/>
        <v>14.889777777777777</v>
      </c>
      <c r="U12" s="78" t="str">
        <f t="shared" si="5"/>
        <v>&lt;35</v>
      </c>
      <c r="V12" s="78" t="str">
        <f t="shared" si="6"/>
        <v>21-30 Гб</v>
      </c>
      <c r="AA12" s="8"/>
    </row>
    <row r="13" spans="1:31" x14ac:dyDescent="0.25">
      <c r="A13" t="s">
        <v>793</v>
      </c>
      <c r="B13" s="43">
        <v>38068</v>
      </c>
      <c r="C13" t="s">
        <v>58</v>
      </c>
      <c r="D13" t="s">
        <v>51</v>
      </c>
      <c r="E13" t="s">
        <v>52</v>
      </c>
      <c r="F13" t="s">
        <v>57</v>
      </c>
      <c r="G13" s="43">
        <v>42872</v>
      </c>
      <c r="H13">
        <v>5</v>
      </c>
      <c r="I13">
        <v>3368</v>
      </c>
      <c r="J13">
        <v>100000000</v>
      </c>
      <c r="L13">
        <v>1</v>
      </c>
      <c r="O13">
        <v>1</v>
      </c>
      <c r="P13" s="77">
        <f t="shared" si="0"/>
        <v>1810</v>
      </c>
      <c r="Q13" s="78">
        <f t="shared" si="1"/>
        <v>11.226666666666667</v>
      </c>
      <c r="R13" s="78">
        <f t="shared" si="2"/>
        <v>19.073486328125</v>
      </c>
      <c r="S13" s="78">
        <f t="shared" si="3"/>
        <v>18</v>
      </c>
      <c r="T13" s="78">
        <f t="shared" si="4"/>
        <v>2.6195555555555559</v>
      </c>
      <c r="U13" s="78" t="str">
        <f t="shared" si="5"/>
        <v>&lt;35</v>
      </c>
      <c r="V13" s="78" t="str">
        <f t="shared" si="6"/>
        <v>10-20 Гб</v>
      </c>
      <c r="AA13" s="8"/>
      <c r="AB13" s="8"/>
      <c r="AC13" s="8"/>
      <c r="AD13" s="8"/>
    </row>
    <row r="14" spans="1:31" x14ac:dyDescent="0.25">
      <c r="A14" t="s">
        <v>357</v>
      </c>
      <c r="B14" s="43">
        <v>38065</v>
      </c>
      <c r="C14" t="s">
        <v>58</v>
      </c>
      <c r="D14" t="s">
        <v>51</v>
      </c>
      <c r="E14" t="s">
        <v>54</v>
      </c>
      <c r="F14" t="s">
        <v>56</v>
      </c>
      <c r="G14" s="43">
        <v>44432</v>
      </c>
      <c r="H14">
        <v>5</v>
      </c>
      <c r="I14">
        <v>113756</v>
      </c>
      <c r="J14">
        <v>136000000</v>
      </c>
      <c r="K14">
        <v>1</v>
      </c>
      <c r="P14" s="77">
        <f t="shared" si="0"/>
        <v>250</v>
      </c>
      <c r="Q14" s="78">
        <f t="shared" si="1"/>
        <v>379.18666666666667</v>
      </c>
      <c r="R14" s="78">
        <f t="shared" si="2"/>
        <v>25.93994140625</v>
      </c>
      <c r="S14" s="78">
        <f t="shared" si="3"/>
        <v>18</v>
      </c>
      <c r="T14" s="78">
        <f t="shared" si="4"/>
        <v>88.476888888888894</v>
      </c>
      <c r="U14" s="78" t="str">
        <f t="shared" si="5"/>
        <v>61-90</v>
      </c>
      <c r="V14" s="78" t="str">
        <f t="shared" si="6"/>
        <v>21-30 Гб</v>
      </c>
    </row>
    <row r="15" spans="1:31" x14ac:dyDescent="0.25">
      <c r="A15" t="s">
        <v>336</v>
      </c>
      <c r="B15" s="43">
        <v>38059</v>
      </c>
      <c r="C15" t="s">
        <v>58</v>
      </c>
      <c r="D15" t="s">
        <v>51</v>
      </c>
      <c r="E15" t="s">
        <v>52</v>
      </c>
      <c r="F15" t="s">
        <v>56</v>
      </c>
      <c r="G15" s="43">
        <v>43641</v>
      </c>
      <c r="H15">
        <v>5</v>
      </c>
      <c r="I15">
        <v>105680</v>
      </c>
      <c r="J15">
        <v>100000000</v>
      </c>
      <c r="P15" s="77">
        <f t="shared" si="0"/>
        <v>1041</v>
      </c>
      <c r="Q15" s="78">
        <f t="shared" si="1"/>
        <v>352.26666666666665</v>
      </c>
      <c r="R15" s="78">
        <f t="shared" si="2"/>
        <v>19.073486328125</v>
      </c>
      <c r="S15" s="78">
        <f t="shared" si="3"/>
        <v>18</v>
      </c>
      <c r="T15" s="78">
        <f t="shared" si="4"/>
        <v>82.195555555555558</v>
      </c>
      <c r="U15" s="78" t="str">
        <f t="shared" si="5"/>
        <v>61-90</v>
      </c>
      <c r="V15" s="78" t="str">
        <f t="shared" si="6"/>
        <v>10-20 Гб</v>
      </c>
      <c r="X15" s="91" t="s">
        <v>1227</v>
      </c>
      <c r="Y15" s="91"/>
      <c r="Z15" s="91"/>
      <c r="AA15" s="91"/>
      <c r="AC15" s="91" t="s">
        <v>1228</v>
      </c>
      <c r="AD15" s="91"/>
      <c r="AE15" s="91"/>
    </row>
    <row r="16" spans="1:31" x14ac:dyDescent="0.25">
      <c r="A16" t="s">
        <v>383</v>
      </c>
      <c r="B16" s="43">
        <v>38056</v>
      </c>
      <c r="C16" t="s">
        <v>50</v>
      </c>
      <c r="D16" t="s">
        <v>51</v>
      </c>
      <c r="E16" t="s">
        <v>54</v>
      </c>
      <c r="F16" t="s">
        <v>56</v>
      </c>
      <c r="G16" s="43">
        <v>43778</v>
      </c>
      <c r="H16">
        <v>5</v>
      </c>
      <c r="I16">
        <v>20436</v>
      </c>
      <c r="J16">
        <v>140000000</v>
      </c>
      <c r="P16" s="77">
        <f t="shared" si="0"/>
        <v>904</v>
      </c>
      <c r="Q16" s="78">
        <f t="shared" si="1"/>
        <v>68.12</v>
      </c>
      <c r="R16" s="78">
        <f t="shared" si="2"/>
        <v>26.702880859375</v>
      </c>
      <c r="S16" s="78">
        <f t="shared" si="3"/>
        <v>18</v>
      </c>
      <c r="T16" s="78">
        <f t="shared" si="4"/>
        <v>15.894666666666668</v>
      </c>
      <c r="U16" s="78" t="str">
        <f t="shared" si="5"/>
        <v>&lt;35</v>
      </c>
      <c r="V16" s="78" t="str">
        <f t="shared" si="6"/>
        <v>21-30 Гб</v>
      </c>
      <c r="X16" s="47" t="s">
        <v>41</v>
      </c>
      <c r="Y16" s="47" t="s">
        <v>1224</v>
      </c>
      <c r="Z16" s="47" t="s">
        <v>1225</v>
      </c>
      <c r="AA16" s="47" t="s">
        <v>1226</v>
      </c>
      <c r="AC16" s="92" t="s">
        <v>45</v>
      </c>
      <c r="AD16" s="93"/>
      <c r="AE16" s="94"/>
    </row>
    <row r="17" spans="1:31" x14ac:dyDescent="0.25">
      <c r="A17" t="s">
        <v>696</v>
      </c>
      <c r="B17" s="43">
        <v>38049</v>
      </c>
      <c r="C17" t="s">
        <v>58</v>
      </c>
      <c r="D17" t="s">
        <v>51</v>
      </c>
      <c r="E17" t="s">
        <v>52</v>
      </c>
      <c r="F17" t="s">
        <v>63</v>
      </c>
      <c r="G17" s="43">
        <v>44276</v>
      </c>
      <c r="H17">
        <v>5</v>
      </c>
      <c r="I17">
        <v>2840</v>
      </c>
      <c r="J17">
        <v>156000000</v>
      </c>
      <c r="L17">
        <v>1</v>
      </c>
      <c r="O17">
        <v>1</v>
      </c>
      <c r="P17" s="77">
        <f t="shared" si="0"/>
        <v>406</v>
      </c>
      <c r="Q17" s="78">
        <f t="shared" si="1"/>
        <v>9.4666666666666668</v>
      </c>
      <c r="R17" s="78">
        <f t="shared" si="2"/>
        <v>29.754638671875</v>
      </c>
      <c r="S17" s="78">
        <f t="shared" si="3"/>
        <v>18</v>
      </c>
      <c r="T17" s="78">
        <f t="shared" si="4"/>
        <v>2.2088888888888887</v>
      </c>
      <c r="U17" s="78" t="str">
        <f t="shared" si="5"/>
        <v>&lt;35</v>
      </c>
      <c r="V17" s="78" t="str">
        <f t="shared" si="6"/>
        <v>21-30 Гб</v>
      </c>
      <c r="X17" s="48" t="s">
        <v>53</v>
      </c>
      <c r="Y17" s="48">
        <v>770</v>
      </c>
      <c r="Z17" s="48">
        <v>700</v>
      </c>
      <c r="AA17" s="48">
        <v>50</v>
      </c>
      <c r="AC17" s="50" t="s">
        <v>46</v>
      </c>
      <c r="AD17" s="51"/>
      <c r="AE17" s="52"/>
    </row>
    <row r="18" spans="1:31" x14ac:dyDescent="0.25">
      <c r="A18" t="s">
        <v>965</v>
      </c>
      <c r="B18" s="43">
        <v>38049</v>
      </c>
      <c r="C18" t="s">
        <v>58</v>
      </c>
      <c r="D18" t="s">
        <v>51</v>
      </c>
      <c r="E18" t="s">
        <v>54</v>
      </c>
      <c r="F18" t="s">
        <v>63</v>
      </c>
      <c r="G18" s="43">
        <v>44358</v>
      </c>
      <c r="H18">
        <v>5</v>
      </c>
      <c r="I18">
        <v>10328</v>
      </c>
      <c r="J18">
        <v>144000000</v>
      </c>
      <c r="L18">
        <v>1</v>
      </c>
      <c r="N18">
        <v>1</v>
      </c>
      <c r="O18">
        <v>1</v>
      </c>
      <c r="P18" s="77">
        <f t="shared" si="0"/>
        <v>324</v>
      </c>
      <c r="Q18" s="78">
        <f t="shared" si="1"/>
        <v>34.426666666666669</v>
      </c>
      <c r="R18" s="78">
        <f t="shared" si="2"/>
        <v>27.4658203125</v>
      </c>
      <c r="S18" s="78">
        <f t="shared" si="3"/>
        <v>18</v>
      </c>
      <c r="T18" s="78">
        <f t="shared" si="4"/>
        <v>8.0328888888888894</v>
      </c>
      <c r="U18" s="78" t="str">
        <f t="shared" si="5"/>
        <v>&lt;35</v>
      </c>
      <c r="V18" s="78" t="str">
        <f t="shared" si="6"/>
        <v>21-30 Гб</v>
      </c>
      <c r="X18" s="48" t="s">
        <v>56</v>
      </c>
      <c r="Y18" s="48">
        <v>550</v>
      </c>
      <c r="Z18" s="48">
        <v>500</v>
      </c>
      <c r="AA18" s="48">
        <v>35</v>
      </c>
      <c r="AC18" s="92" t="s">
        <v>47</v>
      </c>
      <c r="AD18" s="93"/>
      <c r="AE18" s="94"/>
    </row>
    <row r="19" spans="1:31" x14ac:dyDescent="0.25">
      <c r="A19" t="s">
        <v>876</v>
      </c>
      <c r="B19" s="43">
        <v>38048</v>
      </c>
      <c r="C19" t="s">
        <v>50</v>
      </c>
      <c r="D19" t="s">
        <v>51</v>
      </c>
      <c r="E19" t="s">
        <v>52</v>
      </c>
      <c r="F19" t="s">
        <v>63</v>
      </c>
      <c r="G19" s="43">
        <v>44070</v>
      </c>
      <c r="H19">
        <v>5</v>
      </c>
      <c r="I19">
        <v>20720</v>
      </c>
      <c r="J19">
        <v>152000000</v>
      </c>
      <c r="P19" s="77">
        <f t="shared" si="0"/>
        <v>612</v>
      </c>
      <c r="Q19" s="78">
        <f t="shared" si="1"/>
        <v>69.066666666666663</v>
      </c>
      <c r="R19" s="78">
        <f t="shared" si="2"/>
        <v>28.99169921875</v>
      </c>
      <c r="S19" s="78">
        <f t="shared" si="3"/>
        <v>18</v>
      </c>
      <c r="T19" s="78">
        <f t="shared" si="4"/>
        <v>16.115555555555556</v>
      </c>
      <c r="U19" s="78" t="str">
        <f t="shared" si="5"/>
        <v>&lt;35</v>
      </c>
      <c r="V19" s="78" t="str">
        <f t="shared" si="6"/>
        <v>21-30 Гб</v>
      </c>
      <c r="X19" s="48" t="s">
        <v>57</v>
      </c>
      <c r="Y19" s="48">
        <v>440</v>
      </c>
      <c r="Z19" s="48">
        <v>400</v>
      </c>
      <c r="AA19" s="48">
        <v>30</v>
      </c>
      <c r="AC19" s="92" t="s">
        <v>48</v>
      </c>
      <c r="AD19" s="93"/>
      <c r="AE19" s="94"/>
    </row>
    <row r="20" spans="1:31" x14ac:dyDescent="0.25">
      <c r="A20" t="s">
        <v>483</v>
      </c>
      <c r="B20" s="43">
        <v>38046</v>
      </c>
      <c r="C20" t="s">
        <v>58</v>
      </c>
      <c r="D20" t="s">
        <v>51</v>
      </c>
      <c r="E20" t="s">
        <v>52</v>
      </c>
      <c r="F20" t="s">
        <v>57</v>
      </c>
      <c r="G20" s="43">
        <v>43614</v>
      </c>
      <c r="H20">
        <v>5</v>
      </c>
      <c r="I20">
        <v>90940</v>
      </c>
      <c r="J20">
        <v>40000000</v>
      </c>
      <c r="L20">
        <v>1</v>
      </c>
      <c r="P20" s="77">
        <f t="shared" si="0"/>
        <v>1068</v>
      </c>
      <c r="Q20" s="78">
        <f t="shared" si="1"/>
        <v>303.13333333333333</v>
      </c>
      <c r="R20" s="78">
        <f t="shared" si="2"/>
        <v>7.62939453125</v>
      </c>
      <c r="S20" s="78">
        <f t="shared" si="3"/>
        <v>18</v>
      </c>
      <c r="T20" s="78">
        <f t="shared" si="4"/>
        <v>70.731111111111119</v>
      </c>
      <c r="U20" s="78" t="str">
        <f t="shared" si="5"/>
        <v>61-90</v>
      </c>
      <c r="V20" s="78" t="str">
        <f t="shared" si="6"/>
        <v>&lt;10 Гб</v>
      </c>
      <c r="X20" s="48" t="s">
        <v>63</v>
      </c>
      <c r="Y20" s="48">
        <v>330</v>
      </c>
      <c r="Z20" s="48">
        <v>150</v>
      </c>
      <c r="AA20" s="48">
        <v>40</v>
      </c>
      <c r="AC20" s="92" t="s">
        <v>49</v>
      </c>
      <c r="AD20" s="93"/>
      <c r="AE20" s="94"/>
    </row>
    <row r="21" spans="1:31" x14ac:dyDescent="0.25">
      <c r="A21" t="s">
        <v>1189</v>
      </c>
      <c r="B21" s="43">
        <v>38039</v>
      </c>
      <c r="C21" t="s">
        <v>58</v>
      </c>
      <c r="D21" t="s">
        <v>51</v>
      </c>
      <c r="E21" t="s">
        <v>52</v>
      </c>
      <c r="F21" t="s">
        <v>69</v>
      </c>
      <c r="G21" s="43">
        <v>43053</v>
      </c>
      <c r="H21">
        <v>5</v>
      </c>
      <c r="I21">
        <v>30328</v>
      </c>
      <c r="J21">
        <v>4000000</v>
      </c>
      <c r="K21">
        <v>1</v>
      </c>
      <c r="N21">
        <v>1</v>
      </c>
      <c r="P21" s="77">
        <f t="shared" si="0"/>
        <v>1629</v>
      </c>
      <c r="Q21" s="78">
        <f t="shared" si="1"/>
        <v>101.09333333333333</v>
      </c>
      <c r="R21" s="78">
        <f t="shared" si="2"/>
        <v>0.762939453125</v>
      </c>
      <c r="S21" s="78">
        <f t="shared" si="3"/>
        <v>18</v>
      </c>
      <c r="T21" s="78">
        <f t="shared" si="4"/>
        <v>23.588444444444445</v>
      </c>
      <c r="U21" s="78" t="str">
        <f t="shared" si="5"/>
        <v>&lt;35</v>
      </c>
      <c r="V21" s="78" t="str">
        <f t="shared" si="6"/>
        <v>&lt;10 Гб</v>
      </c>
      <c r="X21" s="48" t="s">
        <v>69</v>
      </c>
      <c r="Y21" s="48">
        <v>220</v>
      </c>
      <c r="Z21" s="48">
        <v>200</v>
      </c>
      <c r="AA21" s="48">
        <v>5</v>
      </c>
    </row>
    <row r="22" spans="1:31" x14ac:dyDescent="0.25">
      <c r="A22" t="s">
        <v>906</v>
      </c>
      <c r="B22" s="43">
        <v>38038</v>
      </c>
      <c r="C22" t="s">
        <v>58</v>
      </c>
      <c r="D22" t="s">
        <v>51</v>
      </c>
      <c r="E22" t="s">
        <v>52</v>
      </c>
      <c r="F22" t="s">
        <v>63</v>
      </c>
      <c r="G22" s="43">
        <v>42768</v>
      </c>
      <c r="H22">
        <v>5</v>
      </c>
      <c r="I22">
        <v>18848</v>
      </c>
      <c r="J22">
        <v>64000000</v>
      </c>
      <c r="N22">
        <v>1</v>
      </c>
      <c r="P22" s="77">
        <f t="shared" si="0"/>
        <v>1914</v>
      </c>
      <c r="Q22" s="78">
        <f t="shared" si="1"/>
        <v>62.826666666666668</v>
      </c>
      <c r="R22" s="78">
        <f t="shared" si="2"/>
        <v>12.20703125</v>
      </c>
      <c r="S22" s="78">
        <f t="shared" si="3"/>
        <v>18</v>
      </c>
      <c r="T22" s="78">
        <f t="shared" si="4"/>
        <v>14.659555555555556</v>
      </c>
      <c r="U22" s="78" t="str">
        <f t="shared" si="5"/>
        <v>&lt;35</v>
      </c>
      <c r="V22" s="78" t="str">
        <f t="shared" si="6"/>
        <v>10-20 Гб</v>
      </c>
    </row>
    <row r="23" spans="1:31" x14ac:dyDescent="0.25">
      <c r="A23" t="s">
        <v>390</v>
      </c>
      <c r="B23" s="43">
        <v>38036</v>
      </c>
      <c r="C23" t="s">
        <v>50</v>
      </c>
      <c r="D23" t="s">
        <v>51</v>
      </c>
      <c r="E23" t="s">
        <v>52</v>
      </c>
      <c r="F23" t="s">
        <v>56</v>
      </c>
      <c r="G23" s="43">
        <v>44435</v>
      </c>
      <c r="H23">
        <v>5</v>
      </c>
      <c r="I23">
        <v>100412</v>
      </c>
      <c r="J23">
        <v>72000000</v>
      </c>
      <c r="P23" s="77">
        <f t="shared" si="0"/>
        <v>247</v>
      </c>
      <c r="Q23" s="78">
        <f t="shared" si="1"/>
        <v>334.70666666666665</v>
      </c>
      <c r="R23" s="78">
        <f t="shared" si="2"/>
        <v>13.73291015625</v>
      </c>
      <c r="S23" s="78">
        <f t="shared" si="3"/>
        <v>18</v>
      </c>
      <c r="T23" s="78">
        <f t="shared" si="4"/>
        <v>78.098222222222219</v>
      </c>
      <c r="U23" s="78" t="str">
        <f t="shared" si="5"/>
        <v>61-90</v>
      </c>
      <c r="V23" s="78" t="str">
        <f t="shared" si="6"/>
        <v>10-20 Гб</v>
      </c>
    </row>
    <row r="24" spans="1:31" x14ac:dyDescent="0.25">
      <c r="A24" t="s">
        <v>1049</v>
      </c>
      <c r="B24" s="43">
        <v>38033</v>
      </c>
      <c r="C24" t="s">
        <v>50</v>
      </c>
      <c r="D24" t="s">
        <v>51</v>
      </c>
      <c r="E24" t="s">
        <v>54</v>
      </c>
      <c r="F24" t="s">
        <v>63</v>
      </c>
      <c r="G24" s="43">
        <v>43568</v>
      </c>
      <c r="H24">
        <v>5</v>
      </c>
      <c r="I24">
        <v>10184</v>
      </c>
      <c r="J24">
        <v>148000000</v>
      </c>
      <c r="P24" s="77">
        <f t="shared" si="0"/>
        <v>1114</v>
      </c>
      <c r="Q24" s="78">
        <f t="shared" si="1"/>
        <v>33.946666666666665</v>
      </c>
      <c r="R24" s="78">
        <f t="shared" si="2"/>
        <v>28.228759765625</v>
      </c>
      <c r="S24" s="78">
        <f t="shared" si="3"/>
        <v>18</v>
      </c>
      <c r="T24" s="78">
        <f t="shared" si="4"/>
        <v>7.9208888888888884</v>
      </c>
      <c r="U24" s="78" t="str">
        <f t="shared" si="5"/>
        <v>&lt;35</v>
      </c>
      <c r="V24" s="78" t="str">
        <f t="shared" si="6"/>
        <v>21-30 Гб</v>
      </c>
    </row>
    <row r="25" spans="1:31" x14ac:dyDescent="0.25">
      <c r="A25" t="s">
        <v>944</v>
      </c>
      <c r="B25" s="43">
        <v>38023</v>
      </c>
      <c r="C25" t="s">
        <v>50</v>
      </c>
      <c r="D25" t="s">
        <v>51</v>
      </c>
      <c r="E25" t="s">
        <v>54</v>
      </c>
      <c r="F25" t="s">
        <v>63</v>
      </c>
      <c r="G25" s="43">
        <v>43528</v>
      </c>
      <c r="H25">
        <v>5</v>
      </c>
      <c r="I25">
        <v>14816</v>
      </c>
      <c r="J25">
        <v>156000000</v>
      </c>
      <c r="L25">
        <v>1</v>
      </c>
      <c r="O25">
        <v>1</v>
      </c>
      <c r="P25" s="77">
        <f t="shared" si="0"/>
        <v>1154</v>
      </c>
      <c r="Q25" s="78">
        <f t="shared" si="1"/>
        <v>49.386666666666663</v>
      </c>
      <c r="R25" s="78">
        <f t="shared" si="2"/>
        <v>29.754638671875</v>
      </c>
      <c r="S25" s="78">
        <f t="shared" si="3"/>
        <v>18</v>
      </c>
      <c r="T25" s="78">
        <f t="shared" si="4"/>
        <v>11.523555555555555</v>
      </c>
      <c r="U25" s="78" t="str">
        <f t="shared" si="5"/>
        <v>&lt;35</v>
      </c>
      <c r="V25" s="78" t="str">
        <f t="shared" si="6"/>
        <v>21-30 Гб</v>
      </c>
    </row>
    <row r="26" spans="1:31" x14ac:dyDescent="0.25">
      <c r="A26" t="s">
        <v>553</v>
      </c>
      <c r="B26" s="43">
        <v>38020</v>
      </c>
      <c r="C26" t="s">
        <v>50</v>
      </c>
      <c r="D26" t="s">
        <v>51</v>
      </c>
      <c r="E26" t="s">
        <v>54</v>
      </c>
      <c r="F26" t="s">
        <v>63</v>
      </c>
      <c r="G26" s="43">
        <v>43825</v>
      </c>
      <c r="H26">
        <v>5</v>
      </c>
      <c r="I26">
        <v>21444</v>
      </c>
      <c r="J26">
        <v>152000000</v>
      </c>
      <c r="L26">
        <v>1</v>
      </c>
      <c r="N26">
        <v>1</v>
      </c>
      <c r="O26">
        <v>1</v>
      </c>
      <c r="P26" s="77">
        <f t="shared" si="0"/>
        <v>857</v>
      </c>
      <c r="Q26" s="78">
        <f t="shared" si="1"/>
        <v>71.48</v>
      </c>
      <c r="R26" s="78">
        <f t="shared" si="2"/>
        <v>28.99169921875</v>
      </c>
      <c r="S26" s="78">
        <f t="shared" si="3"/>
        <v>18</v>
      </c>
      <c r="T26" s="78">
        <f t="shared" si="4"/>
        <v>16.678666666666668</v>
      </c>
      <c r="U26" s="78" t="str">
        <f t="shared" si="5"/>
        <v>&lt;35</v>
      </c>
      <c r="V26" s="78" t="str">
        <f t="shared" si="6"/>
        <v>21-30 Гб</v>
      </c>
    </row>
    <row r="27" spans="1:31" x14ac:dyDescent="0.25">
      <c r="A27" t="s">
        <v>912</v>
      </c>
      <c r="B27" s="43">
        <v>38018</v>
      </c>
      <c r="C27" t="s">
        <v>50</v>
      </c>
      <c r="D27" t="s">
        <v>51</v>
      </c>
      <c r="E27" t="s">
        <v>54</v>
      </c>
      <c r="F27" t="s">
        <v>63</v>
      </c>
      <c r="G27" s="43">
        <v>43421</v>
      </c>
      <c r="H27">
        <v>5</v>
      </c>
      <c r="I27">
        <v>14164</v>
      </c>
      <c r="J27">
        <v>148000000</v>
      </c>
      <c r="P27" s="77">
        <f t="shared" si="0"/>
        <v>1261</v>
      </c>
      <c r="Q27" s="78">
        <f t="shared" si="1"/>
        <v>47.213333333333331</v>
      </c>
      <c r="R27" s="78">
        <f t="shared" si="2"/>
        <v>28.228759765625</v>
      </c>
      <c r="S27" s="78">
        <f t="shared" si="3"/>
        <v>18</v>
      </c>
      <c r="T27" s="78">
        <f t="shared" si="4"/>
        <v>11.016444444444444</v>
      </c>
      <c r="U27" s="78" t="str">
        <f t="shared" si="5"/>
        <v>&lt;35</v>
      </c>
      <c r="V27" s="78" t="str">
        <f t="shared" si="6"/>
        <v>21-30 Гб</v>
      </c>
    </row>
    <row r="28" spans="1:31" x14ac:dyDescent="0.25">
      <c r="A28" t="s">
        <v>501</v>
      </c>
      <c r="B28" s="43">
        <v>38015</v>
      </c>
      <c r="C28" t="s">
        <v>50</v>
      </c>
      <c r="D28" t="s">
        <v>51</v>
      </c>
      <c r="E28" t="s">
        <v>54</v>
      </c>
      <c r="F28" t="s">
        <v>63</v>
      </c>
      <c r="G28" s="43">
        <v>43511</v>
      </c>
      <c r="H28">
        <v>5</v>
      </c>
      <c r="I28">
        <v>12040</v>
      </c>
      <c r="J28">
        <v>156000000</v>
      </c>
      <c r="K28">
        <v>1</v>
      </c>
      <c r="N28">
        <v>1</v>
      </c>
      <c r="P28" s="77">
        <f t="shared" si="0"/>
        <v>1171</v>
      </c>
      <c r="Q28" s="78">
        <f t="shared" si="1"/>
        <v>40.133333333333333</v>
      </c>
      <c r="R28" s="78">
        <f t="shared" si="2"/>
        <v>29.754638671875</v>
      </c>
      <c r="S28" s="78">
        <f t="shared" si="3"/>
        <v>18</v>
      </c>
      <c r="T28" s="78">
        <f t="shared" si="4"/>
        <v>9.3644444444444446</v>
      </c>
      <c r="U28" s="78" t="str">
        <f t="shared" si="5"/>
        <v>&lt;35</v>
      </c>
      <c r="V28" s="78" t="str">
        <f t="shared" si="6"/>
        <v>21-30 Гб</v>
      </c>
    </row>
    <row r="29" spans="1:31" x14ac:dyDescent="0.25">
      <c r="A29" t="s">
        <v>792</v>
      </c>
      <c r="B29" s="43">
        <v>38015</v>
      </c>
      <c r="C29" t="s">
        <v>58</v>
      </c>
      <c r="D29" t="s">
        <v>51</v>
      </c>
      <c r="E29" t="s">
        <v>54</v>
      </c>
      <c r="F29" t="s">
        <v>57</v>
      </c>
      <c r="G29" s="43">
        <v>43423</v>
      </c>
      <c r="H29">
        <v>5</v>
      </c>
      <c r="I29">
        <v>91856</v>
      </c>
      <c r="J29">
        <v>100000000</v>
      </c>
      <c r="M29">
        <v>1</v>
      </c>
      <c r="P29" s="77">
        <f t="shared" si="0"/>
        <v>1259</v>
      </c>
      <c r="Q29" s="78">
        <f t="shared" si="1"/>
        <v>306.18666666666667</v>
      </c>
      <c r="R29" s="78">
        <f t="shared" si="2"/>
        <v>19.073486328125</v>
      </c>
      <c r="S29" s="78">
        <f t="shared" si="3"/>
        <v>18</v>
      </c>
      <c r="T29" s="78">
        <f t="shared" si="4"/>
        <v>71.443555555555562</v>
      </c>
      <c r="U29" s="78" t="str">
        <f t="shared" si="5"/>
        <v>61-90</v>
      </c>
      <c r="V29" s="78" t="str">
        <f t="shared" si="6"/>
        <v>10-20 Гб</v>
      </c>
    </row>
    <row r="30" spans="1:31" x14ac:dyDescent="0.25">
      <c r="A30" t="s">
        <v>782</v>
      </c>
      <c r="B30" s="43">
        <v>38014</v>
      </c>
      <c r="C30" t="s">
        <v>50</v>
      </c>
      <c r="D30" t="s">
        <v>51</v>
      </c>
      <c r="E30" t="s">
        <v>52</v>
      </c>
      <c r="F30" t="s">
        <v>63</v>
      </c>
      <c r="G30" s="43">
        <v>43248</v>
      </c>
      <c r="H30">
        <v>5</v>
      </c>
      <c r="I30">
        <v>10688</v>
      </c>
      <c r="J30">
        <v>160000000</v>
      </c>
      <c r="P30" s="77">
        <f t="shared" si="0"/>
        <v>1434</v>
      </c>
      <c r="Q30" s="78">
        <f t="shared" si="1"/>
        <v>35.626666666666665</v>
      </c>
      <c r="R30" s="78">
        <f t="shared" si="2"/>
        <v>30.517578125</v>
      </c>
      <c r="S30" s="78">
        <f t="shared" si="3"/>
        <v>18</v>
      </c>
      <c r="T30" s="78">
        <f t="shared" si="4"/>
        <v>8.3128888888888888</v>
      </c>
      <c r="U30" s="78" t="str">
        <f t="shared" si="5"/>
        <v>&lt;35</v>
      </c>
      <c r="V30" s="78" t="str">
        <f t="shared" si="6"/>
        <v>31-40 Гб</v>
      </c>
    </row>
    <row r="31" spans="1:31" x14ac:dyDescent="0.25">
      <c r="A31" t="s">
        <v>442</v>
      </c>
      <c r="B31" s="43">
        <v>38008</v>
      </c>
      <c r="C31" t="s">
        <v>58</v>
      </c>
      <c r="D31" t="s">
        <v>51</v>
      </c>
      <c r="E31" t="s">
        <v>52</v>
      </c>
      <c r="F31" t="s">
        <v>57</v>
      </c>
      <c r="G31" s="43">
        <v>44511</v>
      </c>
      <c r="H31">
        <v>5</v>
      </c>
      <c r="I31">
        <v>18680</v>
      </c>
      <c r="J31">
        <v>44000000</v>
      </c>
      <c r="K31">
        <v>1</v>
      </c>
      <c r="P31" s="77">
        <f t="shared" si="0"/>
        <v>171</v>
      </c>
      <c r="Q31" s="78">
        <f t="shared" si="1"/>
        <v>62.266666666666666</v>
      </c>
      <c r="R31" s="78">
        <f t="shared" si="2"/>
        <v>8.392333984375</v>
      </c>
      <c r="S31" s="78">
        <f t="shared" si="3"/>
        <v>18</v>
      </c>
      <c r="T31" s="78">
        <f t="shared" si="4"/>
        <v>14.52888888888889</v>
      </c>
      <c r="U31" s="78" t="str">
        <f t="shared" si="5"/>
        <v>&lt;35</v>
      </c>
      <c r="V31" s="78" t="str">
        <f t="shared" si="6"/>
        <v>&lt;10 Гб</v>
      </c>
    </row>
    <row r="32" spans="1:31" x14ac:dyDescent="0.25">
      <c r="A32" t="s">
        <v>397</v>
      </c>
      <c r="B32" s="43">
        <v>38003</v>
      </c>
      <c r="C32" t="s">
        <v>58</v>
      </c>
      <c r="D32" t="s">
        <v>51</v>
      </c>
      <c r="E32" t="s">
        <v>52</v>
      </c>
      <c r="F32" t="s">
        <v>56</v>
      </c>
      <c r="G32" s="43">
        <v>43813</v>
      </c>
      <c r="H32">
        <v>5</v>
      </c>
      <c r="I32">
        <v>111984</v>
      </c>
      <c r="J32">
        <v>136000000</v>
      </c>
      <c r="P32" s="77">
        <f t="shared" si="0"/>
        <v>869</v>
      </c>
      <c r="Q32" s="78">
        <f t="shared" si="1"/>
        <v>373.28</v>
      </c>
      <c r="R32" s="78">
        <f t="shared" si="2"/>
        <v>25.93994140625</v>
      </c>
      <c r="S32" s="78">
        <f t="shared" si="3"/>
        <v>18</v>
      </c>
      <c r="T32" s="78">
        <f t="shared" si="4"/>
        <v>87.098666666666674</v>
      </c>
      <c r="U32" s="78" t="str">
        <f t="shared" si="5"/>
        <v>61-90</v>
      </c>
      <c r="V32" s="78" t="str">
        <f t="shared" si="6"/>
        <v>21-30 Гб</v>
      </c>
    </row>
    <row r="33" spans="1:22" x14ac:dyDescent="0.25">
      <c r="A33" t="s">
        <v>136</v>
      </c>
      <c r="B33" s="43">
        <v>37999</v>
      </c>
      <c r="C33" t="s">
        <v>50</v>
      </c>
      <c r="D33" t="s">
        <v>51</v>
      </c>
      <c r="E33" t="s">
        <v>52</v>
      </c>
      <c r="F33" t="s">
        <v>69</v>
      </c>
      <c r="G33" s="43">
        <v>44574</v>
      </c>
      <c r="H33">
        <v>3</v>
      </c>
      <c r="I33">
        <v>53345</v>
      </c>
      <c r="J33">
        <v>10800000</v>
      </c>
      <c r="N33">
        <v>1</v>
      </c>
      <c r="O33">
        <v>1</v>
      </c>
      <c r="P33" s="77">
        <f t="shared" si="0"/>
        <v>108</v>
      </c>
      <c r="Q33" s="78">
        <f t="shared" si="1"/>
        <v>246.96759259259258</v>
      </c>
      <c r="R33" s="78">
        <f t="shared" si="2"/>
        <v>2.86102294921875</v>
      </c>
      <c r="S33" s="78">
        <f t="shared" si="3"/>
        <v>18</v>
      </c>
      <c r="T33" s="78">
        <f t="shared" si="4"/>
        <v>57.625771604938265</v>
      </c>
      <c r="U33" s="78" t="str">
        <f t="shared" si="5"/>
        <v>35-60</v>
      </c>
      <c r="V33" s="78" t="str">
        <f t="shared" si="6"/>
        <v>&lt;10 Гб</v>
      </c>
    </row>
    <row r="34" spans="1:22" x14ac:dyDescent="0.25">
      <c r="A34" t="s">
        <v>852</v>
      </c>
      <c r="B34" s="43">
        <v>37999</v>
      </c>
      <c r="C34" t="s">
        <v>58</v>
      </c>
      <c r="D34" t="s">
        <v>51</v>
      </c>
      <c r="E34" t="s">
        <v>54</v>
      </c>
      <c r="F34" t="s">
        <v>63</v>
      </c>
      <c r="G34" s="43">
        <v>43271</v>
      </c>
      <c r="H34">
        <v>5</v>
      </c>
      <c r="I34">
        <v>22228</v>
      </c>
      <c r="J34">
        <v>140000000</v>
      </c>
      <c r="P34" s="77">
        <f t="shared" si="0"/>
        <v>1411</v>
      </c>
      <c r="Q34" s="78">
        <f t="shared" si="1"/>
        <v>74.093333333333334</v>
      </c>
      <c r="R34" s="78">
        <f t="shared" si="2"/>
        <v>26.702880859375</v>
      </c>
      <c r="S34" s="78">
        <f t="shared" si="3"/>
        <v>18</v>
      </c>
      <c r="T34" s="78">
        <f t="shared" si="4"/>
        <v>17.288444444444444</v>
      </c>
      <c r="U34" s="78" t="str">
        <f t="shared" si="5"/>
        <v>&lt;35</v>
      </c>
      <c r="V34" s="78" t="str">
        <f t="shared" si="6"/>
        <v>21-30 Гб</v>
      </c>
    </row>
    <row r="35" spans="1:22" x14ac:dyDescent="0.25">
      <c r="A35" t="s">
        <v>669</v>
      </c>
      <c r="B35" s="43">
        <v>37997</v>
      </c>
      <c r="C35" t="s">
        <v>50</v>
      </c>
      <c r="D35" t="s">
        <v>51</v>
      </c>
      <c r="E35" t="s">
        <v>52</v>
      </c>
      <c r="F35" t="s">
        <v>63</v>
      </c>
      <c r="G35" s="43">
        <v>43408</v>
      </c>
      <c r="H35">
        <v>5</v>
      </c>
      <c r="I35">
        <v>6036</v>
      </c>
      <c r="J35">
        <v>156000000</v>
      </c>
      <c r="L35">
        <v>1</v>
      </c>
      <c r="P35" s="77">
        <f t="shared" si="0"/>
        <v>1274</v>
      </c>
      <c r="Q35" s="78">
        <f t="shared" si="1"/>
        <v>20.12</v>
      </c>
      <c r="R35" s="78">
        <f t="shared" si="2"/>
        <v>29.754638671875</v>
      </c>
      <c r="S35" s="78">
        <f t="shared" si="3"/>
        <v>18</v>
      </c>
      <c r="T35" s="78">
        <f t="shared" si="4"/>
        <v>4.6946666666666665</v>
      </c>
      <c r="U35" s="78" t="str">
        <f t="shared" si="5"/>
        <v>&lt;35</v>
      </c>
      <c r="V35" s="78" t="str">
        <f t="shared" si="6"/>
        <v>21-30 Гб</v>
      </c>
    </row>
    <row r="36" spans="1:22" x14ac:dyDescent="0.25">
      <c r="A36" t="s">
        <v>1153</v>
      </c>
      <c r="B36" s="43">
        <v>37995</v>
      </c>
      <c r="C36" t="s">
        <v>58</v>
      </c>
      <c r="D36" t="s">
        <v>51</v>
      </c>
      <c r="E36" t="s">
        <v>52</v>
      </c>
      <c r="F36" t="s">
        <v>69</v>
      </c>
      <c r="G36" s="43">
        <v>43511</v>
      </c>
      <c r="H36">
        <v>5</v>
      </c>
      <c r="I36">
        <v>15656</v>
      </c>
      <c r="J36">
        <v>4000000</v>
      </c>
      <c r="P36" s="77">
        <f t="shared" si="0"/>
        <v>1171</v>
      </c>
      <c r="Q36" s="78">
        <f t="shared" si="1"/>
        <v>52.186666666666667</v>
      </c>
      <c r="R36" s="78">
        <f t="shared" si="2"/>
        <v>0.762939453125</v>
      </c>
      <c r="S36" s="78">
        <f t="shared" si="3"/>
        <v>18</v>
      </c>
      <c r="T36" s="78">
        <f t="shared" si="4"/>
        <v>12.17688888888889</v>
      </c>
      <c r="U36" s="78" t="str">
        <f t="shared" si="5"/>
        <v>&lt;35</v>
      </c>
      <c r="V36" s="78" t="str">
        <f t="shared" si="6"/>
        <v>&lt;10 Гб</v>
      </c>
    </row>
    <row r="37" spans="1:22" x14ac:dyDescent="0.25">
      <c r="A37" t="s">
        <v>1010</v>
      </c>
      <c r="B37" s="43">
        <v>37990</v>
      </c>
      <c r="C37" t="s">
        <v>50</v>
      </c>
      <c r="D37" t="s">
        <v>51</v>
      </c>
      <c r="E37" t="s">
        <v>54</v>
      </c>
      <c r="F37" t="s">
        <v>63</v>
      </c>
      <c r="G37" s="43">
        <v>42835</v>
      </c>
      <c r="H37">
        <v>5</v>
      </c>
      <c r="I37">
        <v>15632</v>
      </c>
      <c r="J37">
        <v>156000000</v>
      </c>
      <c r="L37">
        <v>1</v>
      </c>
      <c r="O37">
        <v>1</v>
      </c>
      <c r="P37" s="77">
        <f t="shared" si="0"/>
        <v>1847</v>
      </c>
      <c r="Q37" s="78">
        <f t="shared" si="1"/>
        <v>52.106666666666669</v>
      </c>
      <c r="R37" s="78">
        <f t="shared" si="2"/>
        <v>29.754638671875</v>
      </c>
      <c r="S37" s="78">
        <f t="shared" si="3"/>
        <v>18</v>
      </c>
      <c r="T37" s="78">
        <f t="shared" si="4"/>
        <v>12.158222222222223</v>
      </c>
      <c r="U37" s="78" t="str">
        <f t="shared" si="5"/>
        <v>&lt;35</v>
      </c>
      <c r="V37" s="78" t="str">
        <f t="shared" si="6"/>
        <v>21-30 Гб</v>
      </c>
    </row>
    <row r="38" spans="1:22" x14ac:dyDescent="0.25">
      <c r="A38" t="s">
        <v>827</v>
      </c>
      <c r="B38" s="43">
        <v>37988</v>
      </c>
      <c r="C38" t="s">
        <v>50</v>
      </c>
      <c r="D38" t="s">
        <v>51</v>
      </c>
      <c r="E38" t="s">
        <v>52</v>
      </c>
      <c r="F38" t="s">
        <v>63</v>
      </c>
      <c r="G38" s="43">
        <v>43364</v>
      </c>
      <c r="H38">
        <v>5</v>
      </c>
      <c r="I38">
        <v>12472</v>
      </c>
      <c r="J38">
        <v>160000000</v>
      </c>
      <c r="P38" s="77">
        <f t="shared" si="0"/>
        <v>1318</v>
      </c>
      <c r="Q38" s="78">
        <f t="shared" si="1"/>
        <v>41.573333333333331</v>
      </c>
      <c r="R38" s="78">
        <f t="shared" si="2"/>
        <v>30.517578125</v>
      </c>
      <c r="S38" s="78">
        <f t="shared" si="3"/>
        <v>18</v>
      </c>
      <c r="T38" s="78">
        <f t="shared" si="4"/>
        <v>9.7004444444444449</v>
      </c>
      <c r="U38" s="78" t="str">
        <f t="shared" si="5"/>
        <v>&lt;35</v>
      </c>
      <c r="V38" s="78" t="str">
        <f t="shared" si="6"/>
        <v>31-40 Гб</v>
      </c>
    </row>
    <row r="39" spans="1:22" x14ac:dyDescent="0.25">
      <c r="A39" t="s">
        <v>399</v>
      </c>
      <c r="B39" s="43">
        <v>37986</v>
      </c>
      <c r="C39" t="s">
        <v>50</v>
      </c>
      <c r="D39" t="s">
        <v>51</v>
      </c>
      <c r="E39" t="s">
        <v>54</v>
      </c>
      <c r="F39" t="s">
        <v>56</v>
      </c>
      <c r="G39" s="43">
        <v>43030</v>
      </c>
      <c r="H39">
        <v>5</v>
      </c>
      <c r="I39">
        <v>49956</v>
      </c>
      <c r="J39">
        <v>124000000</v>
      </c>
      <c r="P39" s="77">
        <f t="shared" si="0"/>
        <v>1652</v>
      </c>
      <c r="Q39" s="78">
        <f t="shared" si="1"/>
        <v>166.52</v>
      </c>
      <c r="R39" s="78">
        <f t="shared" si="2"/>
        <v>23.651123046875</v>
      </c>
      <c r="S39" s="78">
        <f t="shared" si="3"/>
        <v>18</v>
      </c>
      <c r="T39" s="78">
        <f t="shared" si="4"/>
        <v>38.854666666666667</v>
      </c>
      <c r="U39" s="78" t="str">
        <f t="shared" si="5"/>
        <v>35-60</v>
      </c>
      <c r="V39" s="78" t="str">
        <f t="shared" si="6"/>
        <v>21-30 Гб</v>
      </c>
    </row>
    <row r="40" spans="1:22" x14ac:dyDescent="0.25">
      <c r="A40" t="s">
        <v>149</v>
      </c>
      <c r="B40" s="43">
        <v>37983</v>
      </c>
      <c r="C40" t="s">
        <v>58</v>
      </c>
      <c r="D40" t="s">
        <v>51</v>
      </c>
      <c r="E40" t="s">
        <v>52</v>
      </c>
      <c r="F40" t="s">
        <v>63</v>
      </c>
      <c r="G40" s="43">
        <v>44548</v>
      </c>
      <c r="H40">
        <v>4</v>
      </c>
      <c r="I40">
        <v>33520</v>
      </c>
      <c r="J40">
        <v>128000000</v>
      </c>
      <c r="P40" s="77">
        <f t="shared" si="0"/>
        <v>134</v>
      </c>
      <c r="Q40" s="78">
        <f t="shared" si="1"/>
        <v>111.73333333333333</v>
      </c>
      <c r="R40" s="78">
        <f t="shared" si="2"/>
        <v>24.4140625</v>
      </c>
      <c r="S40" s="78">
        <f t="shared" si="3"/>
        <v>18</v>
      </c>
      <c r="T40" s="78">
        <f t="shared" si="4"/>
        <v>26.071111111111112</v>
      </c>
      <c r="U40" s="78" t="str">
        <f t="shared" si="5"/>
        <v>&lt;35</v>
      </c>
      <c r="V40" s="78" t="str">
        <f t="shared" si="6"/>
        <v>21-30 Гб</v>
      </c>
    </row>
    <row r="41" spans="1:22" x14ac:dyDescent="0.25">
      <c r="A41" t="s">
        <v>217</v>
      </c>
      <c r="B41" s="43">
        <v>37972</v>
      </c>
      <c r="C41" t="s">
        <v>58</v>
      </c>
      <c r="D41" t="s">
        <v>51</v>
      </c>
      <c r="E41" t="s">
        <v>54</v>
      </c>
      <c r="F41" t="s">
        <v>56</v>
      </c>
      <c r="G41" s="43">
        <v>44468</v>
      </c>
      <c r="H41">
        <v>5</v>
      </c>
      <c r="I41">
        <v>92316</v>
      </c>
      <c r="J41">
        <v>120000000</v>
      </c>
      <c r="P41" s="77">
        <f t="shared" si="0"/>
        <v>214</v>
      </c>
      <c r="Q41" s="78">
        <f t="shared" si="1"/>
        <v>307.72000000000003</v>
      </c>
      <c r="R41" s="78">
        <f t="shared" si="2"/>
        <v>22.88818359375</v>
      </c>
      <c r="S41" s="78">
        <f t="shared" si="3"/>
        <v>18</v>
      </c>
      <c r="T41" s="78">
        <f t="shared" si="4"/>
        <v>71.801333333333332</v>
      </c>
      <c r="U41" s="78" t="str">
        <f t="shared" si="5"/>
        <v>61-90</v>
      </c>
      <c r="V41" s="78" t="str">
        <f t="shared" si="6"/>
        <v>21-30 Гб</v>
      </c>
    </row>
    <row r="42" spans="1:22" x14ac:dyDescent="0.25">
      <c r="A42" t="s">
        <v>322</v>
      </c>
      <c r="B42" s="43">
        <v>37971</v>
      </c>
      <c r="C42" t="s">
        <v>50</v>
      </c>
      <c r="D42" t="s">
        <v>51</v>
      </c>
      <c r="E42" t="s">
        <v>52</v>
      </c>
      <c r="F42" t="s">
        <v>56</v>
      </c>
      <c r="G42" s="43">
        <v>44034</v>
      </c>
      <c r="H42">
        <v>5</v>
      </c>
      <c r="I42">
        <v>113816</v>
      </c>
      <c r="J42">
        <v>124000000</v>
      </c>
      <c r="P42" s="77">
        <f t="shared" si="0"/>
        <v>648</v>
      </c>
      <c r="Q42" s="78">
        <f t="shared" si="1"/>
        <v>379.38666666666666</v>
      </c>
      <c r="R42" s="78">
        <f t="shared" si="2"/>
        <v>23.651123046875</v>
      </c>
      <c r="S42" s="78">
        <f t="shared" si="3"/>
        <v>18</v>
      </c>
      <c r="T42" s="78">
        <f t="shared" si="4"/>
        <v>88.523555555555546</v>
      </c>
      <c r="U42" s="78" t="str">
        <f t="shared" si="5"/>
        <v>61-90</v>
      </c>
      <c r="V42" s="78" t="str">
        <f t="shared" si="6"/>
        <v>21-30 Гб</v>
      </c>
    </row>
    <row r="43" spans="1:22" x14ac:dyDescent="0.25">
      <c r="A43" t="s">
        <v>499</v>
      </c>
      <c r="B43" s="43">
        <v>37965</v>
      </c>
      <c r="C43" t="s">
        <v>50</v>
      </c>
      <c r="D43" t="s">
        <v>51</v>
      </c>
      <c r="E43" t="s">
        <v>52</v>
      </c>
      <c r="F43" t="s">
        <v>57</v>
      </c>
      <c r="G43" s="43">
        <v>43507</v>
      </c>
      <c r="H43">
        <v>5</v>
      </c>
      <c r="I43">
        <v>79516</v>
      </c>
      <c r="J43">
        <v>104000000</v>
      </c>
      <c r="P43" s="77">
        <f t="shared" si="0"/>
        <v>1175</v>
      </c>
      <c r="Q43" s="78">
        <f t="shared" si="1"/>
        <v>265.05333333333334</v>
      </c>
      <c r="R43" s="78">
        <f t="shared" si="2"/>
        <v>19.83642578125</v>
      </c>
      <c r="S43" s="78">
        <f t="shared" si="3"/>
        <v>18</v>
      </c>
      <c r="T43" s="78">
        <f t="shared" si="4"/>
        <v>61.845777777777784</v>
      </c>
      <c r="U43" s="78" t="str">
        <f t="shared" si="5"/>
        <v>61-90</v>
      </c>
      <c r="V43" s="78" t="str">
        <f t="shared" si="6"/>
        <v>10-20 Гб</v>
      </c>
    </row>
    <row r="44" spans="1:22" x14ac:dyDescent="0.25">
      <c r="A44" t="s">
        <v>521</v>
      </c>
      <c r="B44" s="43">
        <v>37964</v>
      </c>
      <c r="C44" t="s">
        <v>58</v>
      </c>
      <c r="D44" t="s">
        <v>51</v>
      </c>
      <c r="E44" t="s">
        <v>52</v>
      </c>
      <c r="F44" t="s">
        <v>57</v>
      </c>
      <c r="G44" s="43">
        <v>43036</v>
      </c>
      <c r="H44">
        <v>5</v>
      </c>
      <c r="I44">
        <v>81600</v>
      </c>
      <c r="J44">
        <v>40000000</v>
      </c>
      <c r="P44" s="77">
        <f t="shared" si="0"/>
        <v>1646</v>
      </c>
      <c r="Q44" s="78">
        <f t="shared" si="1"/>
        <v>272</v>
      </c>
      <c r="R44" s="78">
        <f t="shared" si="2"/>
        <v>7.62939453125</v>
      </c>
      <c r="S44" s="78">
        <f t="shared" si="3"/>
        <v>18</v>
      </c>
      <c r="T44" s="78">
        <f t="shared" si="4"/>
        <v>63.466666666666669</v>
      </c>
      <c r="U44" s="78" t="str">
        <f t="shared" si="5"/>
        <v>61-90</v>
      </c>
      <c r="V44" s="78" t="str">
        <f t="shared" si="6"/>
        <v>&lt;10 Гб</v>
      </c>
    </row>
    <row r="45" spans="1:22" x14ac:dyDescent="0.25">
      <c r="A45" t="s">
        <v>133</v>
      </c>
      <c r="B45" s="43">
        <v>37961</v>
      </c>
      <c r="C45" t="s">
        <v>50</v>
      </c>
      <c r="D45" t="s">
        <v>51</v>
      </c>
      <c r="E45" t="s">
        <v>52</v>
      </c>
      <c r="F45" t="s">
        <v>63</v>
      </c>
      <c r="G45" s="43">
        <v>44569</v>
      </c>
      <c r="H45">
        <v>3</v>
      </c>
      <c r="I45">
        <v>33900</v>
      </c>
      <c r="J45">
        <v>113000000</v>
      </c>
      <c r="N45">
        <v>1</v>
      </c>
      <c r="P45" s="77">
        <f t="shared" si="0"/>
        <v>113</v>
      </c>
      <c r="Q45" s="78">
        <f t="shared" si="1"/>
        <v>150</v>
      </c>
      <c r="R45" s="78">
        <f t="shared" si="2"/>
        <v>28.6102294921875</v>
      </c>
      <c r="S45" s="78">
        <f t="shared" si="3"/>
        <v>18</v>
      </c>
      <c r="T45" s="78">
        <f t="shared" si="4"/>
        <v>35</v>
      </c>
      <c r="U45" s="78" t="str">
        <f t="shared" si="5"/>
        <v>&lt;35</v>
      </c>
      <c r="V45" s="78" t="str">
        <f t="shared" si="6"/>
        <v>21-30 Гб</v>
      </c>
    </row>
    <row r="46" spans="1:22" x14ac:dyDescent="0.25">
      <c r="A46" t="s">
        <v>479</v>
      </c>
      <c r="B46" s="43">
        <v>37959</v>
      </c>
      <c r="C46" t="s">
        <v>58</v>
      </c>
      <c r="D46" t="s">
        <v>51</v>
      </c>
      <c r="E46" t="s">
        <v>54</v>
      </c>
      <c r="F46" t="s">
        <v>57</v>
      </c>
      <c r="G46" s="43">
        <v>44354</v>
      </c>
      <c r="H46">
        <v>5</v>
      </c>
      <c r="I46">
        <v>65820</v>
      </c>
      <c r="J46">
        <v>48000000</v>
      </c>
      <c r="M46">
        <v>1</v>
      </c>
      <c r="P46" s="77">
        <f t="shared" si="0"/>
        <v>328</v>
      </c>
      <c r="Q46" s="78">
        <f t="shared" si="1"/>
        <v>219.4</v>
      </c>
      <c r="R46" s="78">
        <f t="shared" si="2"/>
        <v>9.1552734375</v>
      </c>
      <c r="S46" s="78">
        <f t="shared" si="3"/>
        <v>18</v>
      </c>
      <c r="T46" s="78">
        <f t="shared" si="4"/>
        <v>51.193333333333335</v>
      </c>
      <c r="U46" s="78" t="str">
        <f t="shared" si="5"/>
        <v>35-60</v>
      </c>
      <c r="V46" s="78" t="str">
        <f t="shared" si="6"/>
        <v>&lt;10 Гб</v>
      </c>
    </row>
    <row r="47" spans="1:22" x14ac:dyDescent="0.25">
      <c r="A47" t="s">
        <v>791</v>
      </c>
      <c r="B47" s="43">
        <v>37957</v>
      </c>
      <c r="C47" t="s">
        <v>50</v>
      </c>
      <c r="D47" t="s">
        <v>51</v>
      </c>
      <c r="E47" t="s">
        <v>54</v>
      </c>
      <c r="F47" t="s">
        <v>57</v>
      </c>
      <c r="G47" s="43">
        <v>44077</v>
      </c>
      <c r="H47">
        <v>5</v>
      </c>
      <c r="I47">
        <v>15100</v>
      </c>
      <c r="J47">
        <v>88000000</v>
      </c>
      <c r="K47">
        <v>1</v>
      </c>
      <c r="L47">
        <v>1</v>
      </c>
      <c r="P47" s="77">
        <f t="shared" si="0"/>
        <v>605</v>
      </c>
      <c r="Q47" s="78">
        <f t="shared" si="1"/>
        <v>50.333333333333336</v>
      </c>
      <c r="R47" s="78">
        <f t="shared" si="2"/>
        <v>16.78466796875</v>
      </c>
      <c r="S47" s="78">
        <f t="shared" si="3"/>
        <v>18</v>
      </c>
      <c r="T47" s="78">
        <f t="shared" si="4"/>
        <v>11.744444444444445</v>
      </c>
      <c r="U47" s="78" t="str">
        <f t="shared" si="5"/>
        <v>&lt;35</v>
      </c>
      <c r="V47" s="78" t="str">
        <f t="shared" si="6"/>
        <v>10-20 Гб</v>
      </c>
    </row>
    <row r="48" spans="1:22" x14ac:dyDescent="0.25">
      <c r="A48" t="s">
        <v>118</v>
      </c>
      <c r="B48" s="43">
        <v>37953</v>
      </c>
      <c r="C48" t="s">
        <v>50</v>
      </c>
      <c r="D48" t="s">
        <v>51</v>
      </c>
      <c r="E48" t="s">
        <v>52</v>
      </c>
      <c r="F48" t="s">
        <v>57</v>
      </c>
      <c r="G48" s="43">
        <v>44579</v>
      </c>
      <c r="H48">
        <v>3</v>
      </c>
      <c r="I48">
        <v>63515</v>
      </c>
      <c r="J48">
        <v>92700000</v>
      </c>
      <c r="P48" s="77">
        <f t="shared" si="0"/>
        <v>103</v>
      </c>
      <c r="Q48" s="78">
        <f t="shared" si="1"/>
        <v>308.32524271844659</v>
      </c>
      <c r="R48" s="78">
        <f t="shared" si="2"/>
        <v>25.74920654296875</v>
      </c>
      <c r="S48" s="78">
        <f t="shared" si="3"/>
        <v>18</v>
      </c>
      <c r="T48" s="78">
        <f t="shared" si="4"/>
        <v>71.942556634304211</v>
      </c>
      <c r="U48" s="78" t="str">
        <f t="shared" si="5"/>
        <v>61-90</v>
      </c>
      <c r="V48" s="78" t="str">
        <f t="shared" si="6"/>
        <v>21-30 Гб</v>
      </c>
    </row>
    <row r="49" spans="1:22" x14ac:dyDescent="0.25">
      <c r="A49" t="s">
        <v>774</v>
      </c>
      <c r="B49" s="43">
        <v>37948</v>
      </c>
      <c r="C49" t="s">
        <v>50</v>
      </c>
      <c r="D49" t="s">
        <v>51</v>
      </c>
      <c r="E49" t="s">
        <v>52</v>
      </c>
      <c r="F49" t="s">
        <v>57</v>
      </c>
      <c r="G49" s="43">
        <v>44124</v>
      </c>
      <c r="H49">
        <v>5</v>
      </c>
      <c r="I49">
        <v>15172</v>
      </c>
      <c r="J49">
        <v>24000000</v>
      </c>
      <c r="K49">
        <v>1</v>
      </c>
      <c r="L49">
        <v>1</v>
      </c>
      <c r="O49">
        <v>1</v>
      </c>
      <c r="P49" s="77">
        <f t="shared" si="0"/>
        <v>558</v>
      </c>
      <c r="Q49" s="78">
        <f t="shared" si="1"/>
        <v>50.573333333333331</v>
      </c>
      <c r="R49" s="78">
        <f t="shared" si="2"/>
        <v>4.57763671875</v>
      </c>
      <c r="S49" s="78">
        <f t="shared" si="3"/>
        <v>18</v>
      </c>
      <c r="T49" s="78">
        <f t="shared" si="4"/>
        <v>11.800444444444445</v>
      </c>
      <c r="U49" s="78" t="str">
        <f t="shared" si="5"/>
        <v>&lt;35</v>
      </c>
      <c r="V49" s="78" t="str">
        <f t="shared" si="6"/>
        <v>&lt;10 Гб</v>
      </c>
    </row>
    <row r="50" spans="1:22" x14ac:dyDescent="0.25">
      <c r="A50" t="s">
        <v>417</v>
      </c>
      <c r="B50" s="43">
        <v>37939</v>
      </c>
      <c r="C50" t="s">
        <v>58</v>
      </c>
      <c r="D50" t="s">
        <v>51</v>
      </c>
      <c r="E50" t="s">
        <v>52</v>
      </c>
      <c r="F50" t="s">
        <v>56</v>
      </c>
      <c r="G50" s="43">
        <v>44168</v>
      </c>
      <c r="H50">
        <v>5</v>
      </c>
      <c r="I50">
        <v>65924</v>
      </c>
      <c r="J50">
        <v>112000000</v>
      </c>
      <c r="P50" s="77">
        <f t="shared" si="0"/>
        <v>514</v>
      </c>
      <c r="Q50" s="78">
        <f t="shared" si="1"/>
        <v>219.74666666666667</v>
      </c>
      <c r="R50" s="78">
        <f t="shared" si="2"/>
        <v>21.3623046875</v>
      </c>
      <c r="S50" s="78">
        <f t="shared" si="3"/>
        <v>18</v>
      </c>
      <c r="T50" s="78">
        <f t="shared" si="4"/>
        <v>51.274222222222221</v>
      </c>
      <c r="U50" s="78" t="str">
        <f t="shared" si="5"/>
        <v>35-60</v>
      </c>
      <c r="V50" s="78" t="str">
        <f t="shared" si="6"/>
        <v>21-30 Гб</v>
      </c>
    </row>
    <row r="51" spans="1:22" x14ac:dyDescent="0.25">
      <c r="A51" t="s">
        <v>422</v>
      </c>
      <c r="B51" s="43">
        <v>37936</v>
      </c>
      <c r="C51" t="s">
        <v>58</v>
      </c>
      <c r="D51" t="s">
        <v>51</v>
      </c>
      <c r="E51" t="s">
        <v>52</v>
      </c>
      <c r="F51" t="s">
        <v>56</v>
      </c>
      <c r="G51" s="43">
        <v>42893</v>
      </c>
      <c r="H51">
        <v>5</v>
      </c>
      <c r="I51">
        <v>54552</v>
      </c>
      <c r="J51">
        <v>40000000</v>
      </c>
      <c r="L51">
        <v>1</v>
      </c>
      <c r="N51">
        <v>1</v>
      </c>
      <c r="P51" s="77">
        <f t="shared" si="0"/>
        <v>1789</v>
      </c>
      <c r="Q51" s="78">
        <f t="shared" si="1"/>
        <v>181.84</v>
      </c>
      <c r="R51" s="78">
        <f t="shared" si="2"/>
        <v>7.62939453125</v>
      </c>
      <c r="S51" s="78">
        <f t="shared" si="3"/>
        <v>18</v>
      </c>
      <c r="T51" s="78">
        <f t="shared" si="4"/>
        <v>42.429333333333339</v>
      </c>
      <c r="U51" s="78" t="str">
        <f t="shared" si="5"/>
        <v>35-60</v>
      </c>
      <c r="V51" s="78" t="str">
        <f t="shared" si="6"/>
        <v>&lt;10 Гб</v>
      </c>
    </row>
    <row r="52" spans="1:22" x14ac:dyDescent="0.25">
      <c r="A52" t="s">
        <v>644</v>
      </c>
      <c r="B52" s="43">
        <v>37935</v>
      </c>
      <c r="C52" t="s">
        <v>58</v>
      </c>
      <c r="D52" t="s">
        <v>51</v>
      </c>
      <c r="E52" t="s">
        <v>54</v>
      </c>
      <c r="F52" t="s">
        <v>57</v>
      </c>
      <c r="G52" s="43">
        <v>43113</v>
      </c>
      <c r="H52">
        <v>5</v>
      </c>
      <c r="I52">
        <v>82580</v>
      </c>
      <c r="J52">
        <v>68000000</v>
      </c>
      <c r="P52" s="77">
        <f t="shared" si="0"/>
        <v>1569</v>
      </c>
      <c r="Q52" s="78">
        <f t="shared" si="1"/>
        <v>275.26666666666665</v>
      </c>
      <c r="R52" s="78">
        <f t="shared" si="2"/>
        <v>12.969970703125</v>
      </c>
      <c r="S52" s="78">
        <f t="shared" si="3"/>
        <v>18</v>
      </c>
      <c r="T52" s="78">
        <f t="shared" si="4"/>
        <v>64.228888888888889</v>
      </c>
      <c r="U52" s="78" t="str">
        <f t="shared" si="5"/>
        <v>61-90</v>
      </c>
      <c r="V52" s="78" t="str">
        <f t="shared" si="6"/>
        <v>10-20 Гб</v>
      </c>
    </row>
    <row r="53" spans="1:22" x14ac:dyDescent="0.25">
      <c r="A53" t="s">
        <v>1047</v>
      </c>
      <c r="B53" s="43">
        <v>37930</v>
      </c>
      <c r="C53" t="s">
        <v>58</v>
      </c>
      <c r="D53" t="s">
        <v>51</v>
      </c>
      <c r="E53" t="s">
        <v>52</v>
      </c>
      <c r="F53" t="s">
        <v>63</v>
      </c>
      <c r="G53" s="43">
        <v>44416</v>
      </c>
      <c r="H53">
        <v>5</v>
      </c>
      <c r="I53">
        <v>13648</v>
      </c>
      <c r="J53">
        <v>140000000</v>
      </c>
      <c r="K53">
        <v>1</v>
      </c>
      <c r="L53">
        <v>1</v>
      </c>
      <c r="M53">
        <v>1</v>
      </c>
      <c r="O53">
        <v>1</v>
      </c>
      <c r="P53" s="77">
        <f t="shared" si="0"/>
        <v>266</v>
      </c>
      <c r="Q53" s="78">
        <f t="shared" si="1"/>
        <v>45.493333333333332</v>
      </c>
      <c r="R53" s="78">
        <f t="shared" si="2"/>
        <v>26.702880859375</v>
      </c>
      <c r="S53" s="78">
        <f t="shared" si="3"/>
        <v>18</v>
      </c>
      <c r="T53" s="78">
        <f t="shared" si="4"/>
        <v>10.61511111111111</v>
      </c>
      <c r="U53" s="78" t="str">
        <f t="shared" si="5"/>
        <v>&lt;35</v>
      </c>
      <c r="V53" s="78" t="str">
        <f t="shared" si="6"/>
        <v>21-30 Гб</v>
      </c>
    </row>
    <row r="54" spans="1:22" x14ac:dyDescent="0.25">
      <c r="A54" t="s">
        <v>443</v>
      </c>
      <c r="B54" s="43">
        <v>37928</v>
      </c>
      <c r="C54" t="s">
        <v>50</v>
      </c>
      <c r="D54" t="s">
        <v>51</v>
      </c>
      <c r="E54" t="s">
        <v>52</v>
      </c>
      <c r="F54" t="s">
        <v>57</v>
      </c>
      <c r="G54" s="43">
        <v>44324</v>
      </c>
      <c r="H54">
        <v>5</v>
      </c>
      <c r="I54">
        <v>25956</v>
      </c>
      <c r="J54">
        <v>48000000</v>
      </c>
      <c r="K54">
        <v>1</v>
      </c>
      <c r="P54" s="77">
        <f t="shared" si="0"/>
        <v>358</v>
      </c>
      <c r="Q54" s="78">
        <f t="shared" si="1"/>
        <v>86.52</v>
      </c>
      <c r="R54" s="78">
        <f t="shared" si="2"/>
        <v>9.1552734375</v>
      </c>
      <c r="S54" s="78">
        <f t="shared" si="3"/>
        <v>18</v>
      </c>
      <c r="T54" s="78">
        <f t="shared" si="4"/>
        <v>20.187999999999999</v>
      </c>
      <c r="U54" s="78" t="str">
        <f t="shared" si="5"/>
        <v>&lt;35</v>
      </c>
      <c r="V54" s="78" t="str">
        <f t="shared" si="6"/>
        <v>&lt;10 Гб</v>
      </c>
    </row>
    <row r="55" spans="1:22" x14ac:dyDescent="0.25">
      <c r="A55" t="s">
        <v>130</v>
      </c>
      <c r="B55" s="43">
        <v>37911</v>
      </c>
      <c r="C55" t="s">
        <v>50</v>
      </c>
      <c r="D55" t="s">
        <v>51</v>
      </c>
      <c r="E55" t="s">
        <v>54</v>
      </c>
      <c r="F55" t="s">
        <v>63</v>
      </c>
      <c r="G55" s="43">
        <v>44564</v>
      </c>
      <c r="H55">
        <v>3</v>
      </c>
      <c r="I55">
        <v>35400</v>
      </c>
      <c r="J55">
        <v>145533333</v>
      </c>
      <c r="K55">
        <v>1</v>
      </c>
      <c r="L55">
        <v>1</v>
      </c>
      <c r="O55">
        <v>1</v>
      </c>
      <c r="P55" s="77">
        <f t="shared" si="0"/>
        <v>118</v>
      </c>
      <c r="Q55" s="78">
        <f t="shared" si="1"/>
        <v>150</v>
      </c>
      <c r="R55" s="78">
        <f t="shared" si="2"/>
        <v>35.285949626211398</v>
      </c>
      <c r="S55" s="78">
        <f t="shared" si="3"/>
        <v>18</v>
      </c>
      <c r="T55" s="78">
        <f t="shared" si="4"/>
        <v>35</v>
      </c>
      <c r="U55" s="78" t="str">
        <f t="shared" si="5"/>
        <v>&lt;35</v>
      </c>
      <c r="V55" s="78" t="str">
        <f t="shared" si="6"/>
        <v>31-40 Гб</v>
      </c>
    </row>
    <row r="56" spans="1:22" x14ac:dyDescent="0.25">
      <c r="A56" t="s">
        <v>481</v>
      </c>
      <c r="B56" s="43">
        <v>37908</v>
      </c>
      <c r="C56" t="s">
        <v>50</v>
      </c>
      <c r="D56" t="s">
        <v>51</v>
      </c>
      <c r="E56" t="s">
        <v>54</v>
      </c>
      <c r="F56" t="s">
        <v>57</v>
      </c>
      <c r="G56" s="43">
        <v>42826</v>
      </c>
      <c r="H56">
        <v>5</v>
      </c>
      <c r="I56">
        <v>88616</v>
      </c>
      <c r="J56">
        <v>36000000</v>
      </c>
      <c r="P56" s="77">
        <f t="shared" si="0"/>
        <v>1856</v>
      </c>
      <c r="Q56" s="78">
        <f t="shared" si="1"/>
        <v>295.38666666666666</v>
      </c>
      <c r="R56" s="78">
        <f t="shared" si="2"/>
        <v>6.866455078125</v>
      </c>
      <c r="S56" s="78">
        <f t="shared" si="3"/>
        <v>18</v>
      </c>
      <c r="T56" s="78">
        <f t="shared" si="4"/>
        <v>68.923555555555552</v>
      </c>
      <c r="U56" s="78" t="str">
        <f t="shared" si="5"/>
        <v>61-90</v>
      </c>
      <c r="V56" s="78" t="str">
        <f t="shared" si="6"/>
        <v>&lt;10 Гб</v>
      </c>
    </row>
    <row r="57" spans="1:22" x14ac:dyDescent="0.25">
      <c r="A57" t="s">
        <v>853</v>
      </c>
      <c r="B57" s="43">
        <v>37908</v>
      </c>
      <c r="C57" t="s">
        <v>58</v>
      </c>
      <c r="D57" t="s">
        <v>51</v>
      </c>
      <c r="E57" t="s">
        <v>52</v>
      </c>
      <c r="F57" t="s">
        <v>63</v>
      </c>
      <c r="G57" s="43">
        <v>44070</v>
      </c>
      <c r="H57">
        <v>5</v>
      </c>
      <c r="I57">
        <v>35948</v>
      </c>
      <c r="J57">
        <v>136000000</v>
      </c>
      <c r="K57">
        <v>1</v>
      </c>
      <c r="L57">
        <v>1</v>
      </c>
      <c r="P57" s="77">
        <f t="shared" si="0"/>
        <v>612</v>
      </c>
      <c r="Q57" s="78">
        <f t="shared" si="1"/>
        <v>119.82666666666667</v>
      </c>
      <c r="R57" s="78">
        <f t="shared" si="2"/>
        <v>25.93994140625</v>
      </c>
      <c r="S57" s="78">
        <f t="shared" si="3"/>
        <v>18</v>
      </c>
      <c r="T57" s="78">
        <f t="shared" si="4"/>
        <v>27.959555555555553</v>
      </c>
      <c r="U57" s="78" t="str">
        <f t="shared" si="5"/>
        <v>&lt;35</v>
      </c>
      <c r="V57" s="78" t="str">
        <f t="shared" si="6"/>
        <v>21-30 Гб</v>
      </c>
    </row>
    <row r="58" spans="1:22" x14ac:dyDescent="0.25">
      <c r="A58" t="s">
        <v>672</v>
      </c>
      <c r="B58" s="43">
        <v>37894</v>
      </c>
      <c r="C58" t="s">
        <v>58</v>
      </c>
      <c r="D58" t="s">
        <v>51</v>
      </c>
      <c r="E58" t="s">
        <v>52</v>
      </c>
      <c r="F58" t="s">
        <v>57</v>
      </c>
      <c r="G58" s="43">
        <v>42924</v>
      </c>
      <c r="H58">
        <v>5</v>
      </c>
      <c r="I58">
        <v>11336</v>
      </c>
      <c r="J58">
        <v>68000000</v>
      </c>
      <c r="P58" s="77">
        <f t="shared" si="0"/>
        <v>1758</v>
      </c>
      <c r="Q58" s="78">
        <f t="shared" si="1"/>
        <v>37.786666666666669</v>
      </c>
      <c r="R58" s="78">
        <f t="shared" si="2"/>
        <v>12.969970703125</v>
      </c>
      <c r="S58" s="78">
        <f t="shared" si="3"/>
        <v>18</v>
      </c>
      <c r="T58" s="78">
        <f t="shared" si="4"/>
        <v>8.8168888888888883</v>
      </c>
      <c r="U58" s="78" t="str">
        <f t="shared" si="5"/>
        <v>&lt;35</v>
      </c>
      <c r="V58" s="78" t="str">
        <f t="shared" si="6"/>
        <v>10-20 Гб</v>
      </c>
    </row>
    <row r="59" spans="1:22" x14ac:dyDescent="0.25">
      <c r="A59" t="s">
        <v>388</v>
      </c>
      <c r="B59" s="43">
        <v>37893</v>
      </c>
      <c r="C59" t="s">
        <v>58</v>
      </c>
      <c r="D59" t="s">
        <v>51</v>
      </c>
      <c r="E59" t="s">
        <v>54</v>
      </c>
      <c r="F59" t="s">
        <v>56</v>
      </c>
      <c r="G59" s="43">
        <v>42753</v>
      </c>
      <c r="H59">
        <v>5</v>
      </c>
      <c r="I59">
        <v>107040</v>
      </c>
      <c r="J59">
        <v>56000000</v>
      </c>
      <c r="P59" s="77">
        <f t="shared" si="0"/>
        <v>1929</v>
      </c>
      <c r="Q59" s="78">
        <f t="shared" si="1"/>
        <v>356.8</v>
      </c>
      <c r="R59" s="78">
        <f t="shared" si="2"/>
        <v>10.68115234375</v>
      </c>
      <c r="S59" s="78">
        <f t="shared" si="3"/>
        <v>18</v>
      </c>
      <c r="T59" s="78">
        <f t="shared" si="4"/>
        <v>83.25333333333333</v>
      </c>
      <c r="U59" s="78" t="str">
        <f t="shared" si="5"/>
        <v>61-90</v>
      </c>
      <c r="V59" s="78" t="str">
        <f t="shared" si="6"/>
        <v>10-20 Гб</v>
      </c>
    </row>
    <row r="60" spans="1:22" x14ac:dyDescent="0.25">
      <c r="A60" t="s">
        <v>578</v>
      </c>
      <c r="B60" s="43">
        <v>37893</v>
      </c>
      <c r="C60" t="s">
        <v>50</v>
      </c>
      <c r="D60" t="s">
        <v>51</v>
      </c>
      <c r="E60" t="s">
        <v>52</v>
      </c>
      <c r="F60" t="s">
        <v>57</v>
      </c>
      <c r="G60" s="43">
        <v>43933</v>
      </c>
      <c r="H60">
        <v>5</v>
      </c>
      <c r="I60">
        <v>67860</v>
      </c>
      <c r="J60">
        <v>0</v>
      </c>
      <c r="P60" s="77">
        <f t="shared" si="0"/>
        <v>749</v>
      </c>
      <c r="Q60" s="78">
        <f t="shared" si="1"/>
        <v>226.2</v>
      </c>
      <c r="R60" s="78">
        <f t="shared" si="2"/>
        <v>0</v>
      </c>
      <c r="S60" s="78">
        <f t="shared" si="3"/>
        <v>18</v>
      </c>
      <c r="T60" s="78">
        <f t="shared" si="4"/>
        <v>52.779999999999994</v>
      </c>
      <c r="U60" s="78" t="str">
        <f t="shared" si="5"/>
        <v>35-60</v>
      </c>
      <c r="V60" s="78" t="str">
        <f t="shared" si="6"/>
        <v>&lt;10 Гб</v>
      </c>
    </row>
    <row r="61" spans="1:22" x14ac:dyDescent="0.25">
      <c r="A61" t="s">
        <v>328</v>
      </c>
      <c r="B61" s="43">
        <v>37892</v>
      </c>
      <c r="C61" t="s">
        <v>50</v>
      </c>
      <c r="D61" t="s">
        <v>51</v>
      </c>
      <c r="E61" t="s">
        <v>54</v>
      </c>
      <c r="F61" t="s">
        <v>56</v>
      </c>
      <c r="G61" s="43">
        <v>43268</v>
      </c>
      <c r="H61">
        <v>5</v>
      </c>
      <c r="I61">
        <v>38044</v>
      </c>
      <c r="J61">
        <v>140000000</v>
      </c>
      <c r="N61">
        <v>1</v>
      </c>
      <c r="P61" s="77">
        <f t="shared" si="0"/>
        <v>1414</v>
      </c>
      <c r="Q61" s="78">
        <f t="shared" si="1"/>
        <v>126.81333333333333</v>
      </c>
      <c r="R61" s="78">
        <f t="shared" si="2"/>
        <v>26.702880859375</v>
      </c>
      <c r="S61" s="78">
        <f t="shared" si="3"/>
        <v>18</v>
      </c>
      <c r="T61" s="78">
        <f t="shared" si="4"/>
        <v>29.58977777777778</v>
      </c>
      <c r="U61" s="78" t="str">
        <f t="shared" si="5"/>
        <v>&lt;35</v>
      </c>
      <c r="V61" s="78" t="str">
        <f t="shared" si="6"/>
        <v>21-30 Гб</v>
      </c>
    </row>
    <row r="62" spans="1:22" x14ac:dyDescent="0.25">
      <c r="A62" t="s">
        <v>972</v>
      </c>
      <c r="B62" s="43">
        <v>37886</v>
      </c>
      <c r="C62" t="s">
        <v>50</v>
      </c>
      <c r="D62" t="s">
        <v>51</v>
      </c>
      <c r="E62" t="s">
        <v>54</v>
      </c>
      <c r="F62" t="s">
        <v>63</v>
      </c>
      <c r="G62" s="43">
        <v>44290</v>
      </c>
      <c r="H62">
        <v>5</v>
      </c>
      <c r="I62">
        <v>18028</v>
      </c>
      <c r="J62">
        <v>148000000</v>
      </c>
      <c r="P62" s="77">
        <f t="shared" si="0"/>
        <v>392</v>
      </c>
      <c r="Q62" s="78">
        <f t="shared" si="1"/>
        <v>60.093333333333334</v>
      </c>
      <c r="R62" s="78">
        <f t="shared" si="2"/>
        <v>28.228759765625</v>
      </c>
      <c r="S62" s="78">
        <f t="shared" si="3"/>
        <v>18</v>
      </c>
      <c r="T62" s="78">
        <f t="shared" si="4"/>
        <v>14.021777777777777</v>
      </c>
      <c r="U62" s="78" t="str">
        <f t="shared" si="5"/>
        <v>&lt;35</v>
      </c>
      <c r="V62" s="78" t="str">
        <f t="shared" si="6"/>
        <v>21-30 Гб</v>
      </c>
    </row>
    <row r="63" spans="1:22" x14ac:dyDescent="0.25">
      <c r="A63" t="s">
        <v>670</v>
      </c>
      <c r="B63" s="43">
        <v>37883</v>
      </c>
      <c r="C63" t="s">
        <v>50</v>
      </c>
      <c r="D63" t="s">
        <v>51</v>
      </c>
      <c r="E63" t="s">
        <v>54</v>
      </c>
      <c r="F63" t="s">
        <v>57</v>
      </c>
      <c r="G63" s="43">
        <v>44427</v>
      </c>
      <c r="H63">
        <v>5</v>
      </c>
      <c r="I63">
        <v>22428</v>
      </c>
      <c r="J63">
        <v>112000000</v>
      </c>
      <c r="K63">
        <v>1</v>
      </c>
      <c r="L63">
        <v>1</v>
      </c>
      <c r="O63">
        <v>1</v>
      </c>
      <c r="P63" s="77">
        <f t="shared" si="0"/>
        <v>255</v>
      </c>
      <c r="Q63" s="78">
        <f t="shared" si="1"/>
        <v>74.760000000000005</v>
      </c>
      <c r="R63" s="78">
        <f t="shared" si="2"/>
        <v>21.3623046875</v>
      </c>
      <c r="S63" s="78">
        <f t="shared" si="3"/>
        <v>18</v>
      </c>
      <c r="T63" s="78">
        <f t="shared" si="4"/>
        <v>17.444000000000003</v>
      </c>
      <c r="U63" s="78" t="str">
        <f t="shared" si="5"/>
        <v>&lt;35</v>
      </c>
      <c r="V63" s="78" t="str">
        <f t="shared" si="6"/>
        <v>21-30 Гб</v>
      </c>
    </row>
    <row r="64" spans="1:22" x14ac:dyDescent="0.25">
      <c r="A64" t="s">
        <v>996</v>
      </c>
      <c r="B64" s="43">
        <v>37877</v>
      </c>
      <c r="C64" t="s">
        <v>50</v>
      </c>
      <c r="D64" t="s">
        <v>51</v>
      </c>
      <c r="E64" t="s">
        <v>54</v>
      </c>
      <c r="F64" t="s">
        <v>63</v>
      </c>
      <c r="G64" s="43">
        <v>43101</v>
      </c>
      <c r="H64">
        <v>5</v>
      </c>
      <c r="I64">
        <v>1400</v>
      </c>
      <c r="J64">
        <v>152000000</v>
      </c>
      <c r="M64">
        <v>1</v>
      </c>
      <c r="P64" s="77">
        <f t="shared" ref="P64:P127" si="7">DATEDIF(G64,$C$2,"D")</f>
        <v>1581</v>
      </c>
      <c r="Q64" s="78">
        <f t="shared" ref="Q64:Q127" si="8">IF(P64&lt;DATEDIF($C$3,$C$2,"D"),I64/(60*(P64/30)),I64/(60*5))</f>
        <v>4.666666666666667</v>
      </c>
      <c r="R64" s="78">
        <f t="shared" ref="R64:R127" si="9">IF(P64&lt;DATEDIF($C$3,$C$2,"D"),J64/(1048576*(P64/30)),J64/(1048576*5))</f>
        <v>28.99169921875</v>
      </c>
      <c r="S64" s="78">
        <f t="shared" ref="S64:S127" si="10">DATEDIF(B64,$C$2,"Y")</f>
        <v>18</v>
      </c>
      <c r="T64" s="78">
        <f t="shared" si="4"/>
        <v>1.088888888888889</v>
      </c>
      <c r="U64" s="78" t="str">
        <f t="shared" si="5"/>
        <v>&lt;35</v>
      </c>
      <c r="V64" s="78" t="str">
        <f t="shared" si="6"/>
        <v>21-30 Гб</v>
      </c>
    </row>
    <row r="65" spans="1:22" x14ac:dyDescent="0.25">
      <c r="A65" t="s">
        <v>284</v>
      </c>
      <c r="B65" s="43">
        <v>37870</v>
      </c>
      <c r="C65" t="s">
        <v>50</v>
      </c>
      <c r="D65" t="s">
        <v>51</v>
      </c>
      <c r="E65" t="s">
        <v>52</v>
      </c>
      <c r="F65" t="s">
        <v>56</v>
      </c>
      <c r="G65" s="43">
        <v>43420</v>
      </c>
      <c r="H65">
        <v>5</v>
      </c>
      <c r="I65">
        <v>85616</v>
      </c>
      <c r="J65">
        <v>120000000</v>
      </c>
      <c r="K65">
        <v>1</v>
      </c>
      <c r="P65" s="77">
        <f t="shared" si="7"/>
        <v>1262</v>
      </c>
      <c r="Q65" s="78">
        <f t="shared" si="8"/>
        <v>285.38666666666666</v>
      </c>
      <c r="R65" s="78">
        <f t="shared" si="9"/>
        <v>22.88818359375</v>
      </c>
      <c r="S65" s="78">
        <f t="shared" si="10"/>
        <v>18</v>
      </c>
      <c r="T65" s="78">
        <f t="shared" si="4"/>
        <v>66.590222222222209</v>
      </c>
      <c r="U65" s="78" t="str">
        <f t="shared" si="5"/>
        <v>61-90</v>
      </c>
      <c r="V65" s="78" t="str">
        <f t="shared" si="6"/>
        <v>21-30 Гб</v>
      </c>
    </row>
    <row r="66" spans="1:22" x14ac:dyDescent="0.25">
      <c r="A66" t="s">
        <v>866</v>
      </c>
      <c r="B66" s="43">
        <v>37864</v>
      </c>
      <c r="C66" t="s">
        <v>50</v>
      </c>
      <c r="D66" t="s">
        <v>51</v>
      </c>
      <c r="E66" t="s">
        <v>52</v>
      </c>
      <c r="F66" t="s">
        <v>63</v>
      </c>
      <c r="G66" s="43">
        <v>43986</v>
      </c>
      <c r="H66">
        <v>5</v>
      </c>
      <c r="I66">
        <v>17324</v>
      </c>
      <c r="J66">
        <v>44000000</v>
      </c>
      <c r="P66" s="77">
        <f t="shared" si="7"/>
        <v>696</v>
      </c>
      <c r="Q66" s="78">
        <f t="shared" si="8"/>
        <v>57.74666666666667</v>
      </c>
      <c r="R66" s="78">
        <f t="shared" si="9"/>
        <v>8.392333984375</v>
      </c>
      <c r="S66" s="78">
        <f t="shared" si="10"/>
        <v>18</v>
      </c>
      <c r="T66" s="78">
        <f t="shared" si="4"/>
        <v>13.474222222222222</v>
      </c>
      <c r="U66" s="78" t="str">
        <f t="shared" si="5"/>
        <v>&lt;35</v>
      </c>
      <c r="V66" s="78" t="str">
        <f t="shared" si="6"/>
        <v>&lt;10 Гб</v>
      </c>
    </row>
    <row r="67" spans="1:22" x14ac:dyDescent="0.25">
      <c r="A67" t="s">
        <v>1146</v>
      </c>
      <c r="B67" s="43">
        <v>37857</v>
      </c>
      <c r="C67" t="s">
        <v>50</v>
      </c>
      <c r="D67" t="s">
        <v>51</v>
      </c>
      <c r="E67" t="s">
        <v>52</v>
      </c>
      <c r="F67" t="s">
        <v>69</v>
      </c>
      <c r="G67" s="43">
        <v>42783</v>
      </c>
      <c r="H67">
        <v>5</v>
      </c>
      <c r="I67">
        <v>45928</v>
      </c>
      <c r="J67">
        <v>20000000</v>
      </c>
      <c r="K67">
        <v>1</v>
      </c>
      <c r="L67">
        <v>1</v>
      </c>
      <c r="P67" s="77">
        <f t="shared" si="7"/>
        <v>1899</v>
      </c>
      <c r="Q67" s="78">
        <f t="shared" si="8"/>
        <v>153.09333333333333</v>
      </c>
      <c r="R67" s="78">
        <f t="shared" si="9"/>
        <v>3.814697265625</v>
      </c>
      <c r="S67" s="78">
        <f t="shared" si="10"/>
        <v>18</v>
      </c>
      <c r="T67" s="78">
        <f t="shared" si="4"/>
        <v>35.721777777777781</v>
      </c>
      <c r="U67" s="78" t="str">
        <f t="shared" si="5"/>
        <v>35-60</v>
      </c>
      <c r="V67" s="78" t="str">
        <f t="shared" si="6"/>
        <v>&lt;10 Гб</v>
      </c>
    </row>
    <row r="68" spans="1:22" x14ac:dyDescent="0.25">
      <c r="A68" t="s">
        <v>1139</v>
      </c>
      <c r="B68" s="43">
        <v>37853</v>
      </c>
      <c r="C68" t="s">
        <v>58</v>
      </c>
      <c r="D68" t="s">
        <v>51</v>
      </c>
      <c r="E68" t="s">
        <v>52</v>
      </c>
      <c r="F68" t="s">
        <v>69</v>
      </c>
      <c r="G68" s="43">
        <v>42736</v>
      </c>
      <c r="H68">
        <v>5</v>
      </c>
      <c r="I68">
        <v>3796</v>
      </c>
      <c r="J68">
        <v>8000000</v>
      </c>
      <c r="P68" s="77">
        <f t="shared" si="7"/>
        <v>1946</v>
      </c>
      <c r="Q68" s="78">
        <f t="shared" si="8"/>
        <v>12.653333333333334</v>
      </c>
      <c r="R68" s="78">
        <f t="shared" si="9"/>
        <v>1.52587890625</v>
      </c>
      <c r="S68" s="78">
        <f t="shared" si="10"/>
        <v>18</v>
      </c>
      <c r="T68" s="78">
        <f t="shared" si="4"/>
        <v>2.9524444444444446</v>
      </c>
      <c r="U68" s="78" t="str">
        <f t="shared" si="5"/>
        <v>&lt;35</v>
      </c>
      <c r="V68" s="78" t="str">
        <f t="shared" si="6"/>
        <v>&lt;10 Гб</v>
      </c>
    </row>
    <row r="69" spans="1:22" x14ac:dyDescent="0.25">
      <c r="A69" t="s">
        <v>1142</v>
      </c>
      <c r="B69" s="43">
        <v>37850</v>
      </c>
      <c r="C69" t="s">
        <v>50</v>
      </c>
      <c r="D69" t="s">
        <v>51</v>
      </c>
      <c r="E69" t="s">
        <v>52</v>
      </c>
      <c r="F69" t="s">
        <v>69</v>
      </c>
      <c r="G69" s="43">
        <v>42891</v>
      </c>
      <c r="H69">
        <v>5</v>
      </c>
      <c r="I69">
        <v>32964</v>
      </c>
      <c r="J69">
        <v>16000000</v>
      </c>
      <c r="P69" s="77">
        <f t="shared" si="7"/>
        <v>1791</v>
      </c>
      <c r="Q69" s="78">
        <f t="shared" si="8"/>
        <v>109.88</v>
      </c>
      <c r="R69" s="78">
        <f t="shared" si="9"/>
        <v>3.0517578125</v>
      </c>
      <c r="S69" s="78">
        <f t="shared" si="10"/>
        <v>18</v>
      </c>
      <c r="T69" s="78">
        <f t="shared" si="4"/>
        <v>25.638666666666666</v>
      </c>
      <c r="U69" s="78" t="str">
        <f t="shared" si="5"/>
        <v>&lt;35</v>
      </c>
      <c r="V69" s="78" t="str">
        <f t="shared" si="6"/>
        <v>&lt;10 Гб</v>
      </c>
    </row>
    <row r="70" spans="1:22" x14ac:dyDescent="0.25">
      <c r="A70" t="s">
        <v>1178</v>
      </c>
      <c r="B70" s="43">
        <v>37850</v>
      </c>
      <c r="C70" t="s">
        <v>58</v>
      </c>
      <c r="D70" t="s">
        <v>51</v>
      </c>
      <c r="E70" t="s">
        <v>54</v>
      </c>
      <c r="F70" t="s">
        <v>69</v>
      </c>
      <c r="G70" s="43">
        <v>42761</v>
      </c>
      <c r="H70">
        <v>5</v>
      </c>
      <c r="I70">
        <v>36868</v>
      </c>
      <c r="J70">
        <v>16000000</v>
      </c>
      <c r="N70">
        <v>1</v>
      </c>
      <c r="P70" s="77">
        <f t="shared" si="7"/>
        <v>1921</v>
      </c>
      <c r="Q70" s="78">
        <f t="shared" si="8"/>
        <v>122.89333333333333</v>
      </c>
      <c r="R70" s="78">
        <f t="shared" si="9"/>
        <v>3.0517578125</v>
      </c>
      <c r="S70" s="78">
        <f t="shared" si="10"/>
        <v>18</v>
      </c>
      <c r="T70" s="78">
        <f t="shared" si="4"/>
        <v>28.675111111111111</v>
      </c>
      <c r="U70" s="78" t="str">
        <f t="shared" si="5"/>
        <v>&lt;35</v>
      </c>
      <c r="V70" s="78" t="str">
        <f t="shared" si="6"/>
        <v>&lt;10 Гб</v>
      </c>
    </row>
    <row r="71" spans="1:22" x14ac:dyDescent="0.25">
      <c r="A71" t="s">
        <v>984</v>
      </c>
      <c r="B71" s="43">
        <v>37846</v>
      </c>
      <c r="C71" t="s">
        <v>50</v>
      </c>
      <c r="D71" t="s">
        <v>51</v>
      </c>
      <c r="E71" t="s">
        <v>54</v>
      </c>
      <c r="F71" t="s">
        <v>63</v>
      </c>
      <c r="G71" s="43">
        <v>42985</v>
      </c>
      <c r="H71">
        <v>5</v>
      </c>
      <c r="I71">
        <v>21172</v>
      </c>
      <c r="J71">
        <v>144000000</v>
      </c>
      <c r="P71" s="77">
        <f t="shared" si="7"/>
        <v>1697</v>
      </c>
      <c r="Q71" s="78">
        <f t="shared" si="8"/>
        <v>70.573333333333338</v>
      </c>
      <c r="R71" s="78">
        <f t="shared" si="9"/>
        <v>27.4658203125</v>
      </c>
      <c r="S71" s="78">
        <f t="shared" si="10"/>
        <v>18</v>
      </c>
      <c r="T71" s="78">
        <f t="shared" ref="T71:T134" si="11">(Q71*7)/30</f>
        <v>16.467111111111112</v>
      </c>
      <c r="U71" s="78" t="str">
        <f t="shared" ref="U71:U134" si="12">IF(T71&gt;120,"120+",IF(T71&gt;90,"91-120",IF(T71&gt;60,"61-90",IF(T71&gt;35,"35-60","&lt;35"))))</f>
        <v>&lt;35</v>
      </c>
      <c r="V71" s="78" t="str">
        <f t="shared" ref="V71:V134" si="13">IF(R71&gt;40,"40+ Гб",IF(R71&gt;30,"31-40 Гб",IF(R71&gt;20,"21-30 Гб",IF(R71&gt;10,"10-20 Гб","&lt;10 Гб"))))</f>
        <v>21-30 Гб</v>
      </c>
    </row>
    <row r="72" spans="1:22" x14ac:dyDescent="0.25">
      <c r="A72" t="s">
        <v>798</v>
      </c>
      <c r="B72" s="43">
        <v>37843</v>
      </c>
      <c r="C72" t="s">
        <v>50</v>
      </c>
      <c r="D72" t="s">
        <v>51</v>
      </c>
      <c r="E72" t="s">
        <v>52</v>
      </c>
      <c r="F72" t="s">
        <v>63</v>
      </c>
      <c r="G72" s="43">
        <v>44234</v>
      </c>
      <c r="H72">
        <v>5</v>
      </c>
      <c r="I72">
        <v>27632</v>
      </c>
      <c r="J72">
        <v>156000000</v>
      </c>
      <c r="P72" s="77">
        <f t="shared" si="7"/>
        <v>448</v>
      </c>
      <c r="Q72" s="78">
        <f t="shared" si="8"/>
        <v>92.106666666666669</v>
      </c>
      <c r="R72" s="78">
        <f t="shared" si="9"/>
        <v>29.754638671875</v>
      </c>
      <c r="S72" s="78">
        <f t="shared" si="10"/>
        <v>18</v>
      </c>
      <c r="T72" s="78">
        <f t="shared" si="11"/>
        <v>21.491555555555557</v>
      </c>
      <c r="U72" s="78" t="str">
        <f t="shared" si="12"/>
        <v>&lt;35</v>
      </c>
      <c r="V72" s="78" t="str">
        <f t="shared" si="13"/>
        <v>21-30 Гб</v>
      </c>
    </row>
    <row r="73" spans="1:22" x14ac:dyDescent="0.25">
      <c r="A73" t="s">
        <v>777</v>
      </c>
      <c r="B73" s="43">
        <v>37841</v>
      </c>
      <c r="C73" t="s">
        <v>58</v>
      </c>
      <c r="D73" t="s">
        <v>51</v>
      </c>
      <c r="E73" t="s">
        <v>54</v>
      </c>
      <c r="F73" t="s">
        <v>57</v>
      </c>
      <c r="G73" s="43">
        <v>43967</v>
      </c>
      <c r="H73">
        <v>5</v>
      </c>
      <c r="I73">
        <v>7648</v>
      </c>
      <c r="J73">
        <v>120000000</v>
      </c>
      <c r="L73">
        <v>1</v>
      </c>
      <c r="P73" s="77">
        <f t="shared" si="7"/>
        <v>715</v>
      </c>
      <c r="Q73" s="78">
        <f t="shared" si="8"/>
        <v>25.493333333333332</v>
      </c>
      <c r="R73" s="78">
        <f t="shared" si="9"/>
        <v>22.88818359375</v>
      </c>
      <c r="S73" s="78">
        <f t="shared" si="10"/>
        <v>18</v>
      </c>
      <c r="T73" s="78">
        <f t="shared" si="11"/>
        <v>5.9484444444444442</v>
      </c>
      <c r="U73" s="78" t="str">
        <f t="shared" si="12"/>
        <v>&lt;35</v>
      </c>
      <c r="V73" s="78" t="str">
        <f t="shared" si="13"/>
        <v>21-30 Гб</v>
      </c>
    </row>
    <row r="74" spans="1:22" x14ac:dyDescent="0.25">
      <c r="A74" t="s">
        <v>810</v>
      </c>
      <c r="B74" s="43">
        <v>37840</v>
      </c>
      <c r="C74" t="s">
        <v>50</v>
      </c>
      <c r="D74" t="s">
        <v>51</v>
      </c>
      <c r="E74" t="s">
        <v>54</v>
      </c>
      <c r="F74" t="s">
        <v>63</v>
      </c>
      <c r="G74" s="43">
        <v>43801</v>
      </c>
      <c r="H74">
        <v>5</v>
      </c>
      <c r="I74">
        <v>21920</v>
      </c>
      <c r="J74">
        <v>116000000</v>
      </c>
      <c r="P74" s="77">
        <f t="shared" si="7"/>
        <v>881</v>
      </c>
      <c r="Q74" s="78">
        <f t="shared" si="8"/>
        <v>73.066666666666663</v>
      </c>
      <c r="R74" s="78">
        <f t="shared" si="9"/>
        <v>22.125244140625</v>
      </c>
      <c r="S74" s="78">
        <f t="shared" si="10"/>
        <v>18</v>
      </c>
      <c r="T74" s="78">
        <f t="shared" si="11"/>
        <v>17.048888888888889</v>
      </c>
      <c r="U74" s="78" t="str">
        <f t="shared" si="12"/>
        <v>&lt;35</v>
      </c>
      <c r="V74" s="78" t="str">
        <f t="shared" si="13"/>
        <v>21-30 Гб</v>
      </c>
    </row>
    <row r="75" spans="1:22" x14ac:dyDescent="0.25">
      <c r="A75" t="s">
        <v>1019</v>
      </c>
      <c r="B75" s="43">
        <v>37838</v>
      </c>
      <c r="C75" t="s">
        <v>50</v>
      </c>
      <c r="D75" t="s">
        <v>51</v>
      </c>
      <c r="E75" t="s">
        <v>52</v>
      </c>
      <c r="F75" t="s">
        <v>63</v>
      </c>
      <c r="G75" s="43">
        <v>44134</v>
      </c>
      <c r="H75">
        <v>5</v>
      </c>
      <c r="I75">
        <v>16232</v>
      </c>
      <c r="J75">
        <v>104000000</v>
      </c>
      <c r="K75">
        <v>1</v>
      </c>
      <c r="L75">
        <v>1</v>
      </c>
      <c r="O75">
        <v>1</v>
      </c>
      <c r="P75" s="77">
        <f t="shared" si="7"/>
        <v>548</v>
      </c>
      <c r="Q75" s="78">
        <f t="shared" si="8"/>
        <v>54.106666666666669</v>
      </c>
      <c r="R75" s="78">
        <f t="shared" si="9"/>
        <v>19.83642578125</v>
      </c>
      <c r="S75" s="78">
        <f t="shared" si="10"/>
        <v>18</v>
      </c>
      <c r="T75" s="78">
        <f t="shared" si="11"/>
        <v>12.624888888888888</v>
      </c>
      <c r="U75" s="78" t="str">
        <f t="shared" si="12"/>
        <v>&lt;35</v>
      </c>
      <c r="V75" s="78" t="str">
        <f t="shared" si="13"/>
        <v>10-20 Гб</v>
      </c>
    </row>
    <row r="76" spans="1:22" x14ac:dyDescent="0.25">
      <c r="A76" t="s">
        <v>1031</v>
      </c>
      <c r="B76" s="43">
        <v>37836</v>
      </c>
      <c r="C76" t="s">
        <v>58</v>
      </c>
      <c r="D76" t="s">
        <v>51</v>
      </c>
      <c r="E76" t="s">
        <v>52</v>
      </c>
      <c r="F76" t="s">
        <v>63</v>
      </c>
      <c r="G76" s="43">
        <v>43868</v>
      </c>
      <c r="H76">
        <v>5</v>
      </c>
      <c r="I76">
        <v>31408</v>
      </c>
      <c r="J76">
        <v>120000000</v>
      </c>
      <c r="P76" s="77">
        <f t="shared" si="7"/>
        <v>814</v>
      </c>
      <c r="Q76" s="78">
        <f t="shared" si="8"/>
        <v>104.69333333333333</v>
      </c>
      <c r="R76" s="78">
        <f t="shared" si="9"/>
        <v>22.88818359375</v>
      </c>
      <c r="S76" s="78">
        <f t="shared" si="10"/>
        <v>18</v>
      </c>
      <c r="T76" s="78">
        <f t="shared" si="11"/>
        <v>24.428444444444441</v>
      </c>
      <c r="U76" s="78" t="str">
        <f t="shared" si="12"/>
        <v>&lt;35</v>
      </c>
      <c r="V76" s="78" t="str">
        <f t="shared" si="13"/>
        <v>21-30 Гб</v>
      </c>
    </row>
    <row r="77" spans="1:22" x14ac:dyDescent="0.25">
      <c r="A77" t="s">
        <v>1012</v>
      </c>
      <c r="B77" s="43">
        <v>37828</v>
      </c>
      <c r="C77" t="s">
        <v>58</v>
      </c>
      <c r="D77" t="s">
        <v>51</v>
      </c>
      <c r="E77" t="s">
        <v>52</v>
      </c>
      <c r="F77" t="s">
        <v>63</v>
      </c>
      <c r="G77" s="43">
        <v>43619</v>
      </c>
      <c r="H77">
        <v>5</v>
      </c>
      <c r="I77">
        <v>9876</v>
      </c>
      <c r="J77">
        <v>152000000</v>
      </c>
      <c r="K77">
        <v>1</v>
      </c>
      <c r="M77">
        <v>1</v>
      </c>
      <c r="N77">
        <v>1</v>
      </c>
      <c r="P77" s="77">
        <f t="shared" si="7"/>
        <v>1063</v>
      </c>
      <c r="Q77" s="78">
        <f t="shared" si="8"/>
        <v>32.92</v>
      </c>
      <c r="R77" s="78">
        <f t="shared" si="9"/>
        <v>28.99169921875</v>
      </c>
      <c r="S77" s="78">
        <f t="shared" si="10"/>
        <v>18</v>
      </c>
      <c r="T77" s="78">
        <f t="shared" si="11"/>
        <v>7.6813333333333329</v>
      </c>
      <c r="U77" s="78" t="str">
        <f t="shared" si="12"/>
        <v>&lt;35</v>
      </c>
      <c r="V77" s="78" t="str">
        <f t="shared" si="13"/>
        <v>21-30 Гб</v>
      </c>
    </row>
    <row r="78" spans="1:22" x14ac:dyDescent="0.25">
      <c r="A78" t="s">
        <v>916</v>
      </c>
      <c r="B78" s="43">
        <v>37822</v>
      </c>
      <c r="C78" t="s">
        <v>58</v>
      </c>
      <c r="D78" t="s">
        <v>51</v>
      </c>
      <c r="E78" t="s">
        <v>54</v>
      </c>
      <c r="F78" t="s">
        <v>63</v>
      </c>
      <c r="G78" s="43">
        <v>43439</v>
      </c>
      <c r="H78">
        <v>5</v>
      </c>
      <c r="I78">
        <v>8976</v>
      </c>
      <c r="J78">
        <v>8000000</v>
      </c>
      <c r="P78" s="77">
        <f t="shared" si="7"/>
        <v>1243</v>
      </c>
      <c r="Q78" s="78">
        <f t="shared" si="8"/>
        <v>29.92</v>
      </c>
      <c r="R78" s="78">
        <f t="shared" si="9"/>
        <v>1.52587890625</v>
      </c>
      <c r="S78" s="78">
        <f t="shared" si="10"/>
        <v>18</v>
      </c>
      <c r="T78" s="78">
        <f t="shared" si="11"/>
        <v>6.9813333333333336</v>
      </c>
      <c r="U78" s="78" t="str">
        <f t="shared" si="12"/>
        <v>&lt;35</v>
      </c>
      <c r="V78" s="78" t="str">
        <f t="shared" si="13"/>
        <v>&lt;10 Гб</v>
      </c>
    </row>
    <row r="79" spans="1:22" x14ac:dyDescent="0.25">
      <c r="A79" t="s">
        <v>534</v>
      </c>
      <c r="B79" s="43">
        <v>37821</v>
      </c>
      <c r="C79" t="s">
        <v>50</v>
      </c>
      <c r="D79" t="s">
        <v>51</v>
      </c>
      <c r="E79" t="s">
        <v>52</v>
      </c>
      <c r="F79" t="s">
        <v>57</v>
      </c>
      <c r="G79" s="43">
        <v>44291</v>
      </c>
      <c r="H79">
        <v>5</v>
      </c>
      <c r="I79">
        <v>88956</v>
      </c>
      <c r="J79">
        <v>88000000</v>
      </c>
      <c r="P79" s="77">
        <f t="shared" si="7"/>
        <v>391</v>
      </c>
      <c r="Q79" s="78">
        <f t="shared" si="8"/>
        <v>296.52</v>
      </c>
      <c r="R79" s="78">
        <f t="shared" si="9"/>
        <v>16.78466796875</v>
      </c>
      <c r="S79" s="78">
        <f t="shared" si="10"/>
        <v>18</v>
      </c>
      <c r="T79" s="78">
        <f t="shared" si="11"/>
        <v>69.188000000000002</v>
      </c>
      <c r="U79" s="78" t="str">
        <f t="shared" si="12"/>
        <v>61-90</v>
      </c>
      <c r="V79" s="78" t="str">
        <f t="shared" si="13"/>
        <v>10-20 Гб</v>
      </c>
    </row>
    <row r="80" spans="1:22" x14ac:dyDescent="0.25">
      <c r="A80" t="s">
        <v>548</v>
      </c>
      <c r="B80" s="43">
        <v>37816</v>
      </c>
      <c r="C80" t="s">
        <v>50</v>
      </c>
      <c r="D80" t="s">
        <v>51</v>
      </c>
      <c r="E80" t="s">
        <v>52</v>
      </c>
      <c r="F80" t="s">
        <v>57</v>
      </c>
      <c r="G80" s="43">
        <v>43173</v>
      </c>
      <c r="H80">
        <v>5</v>
      </c>
      <c r="I80">
        <v>76640</v>
      </c>
      <c r="J80">
        <v>104000000</v>
      </c>
      <c r="L80">
        <v>1</v>
      </c>
      <c r="P80" s="77">
        <f t="shared" si="7"/>
        <v>1509</v>
      </c>
      <c r="Q80" s="78">
        <f t="shared" si="8"/>
        <v>255.46666666666667</v>
      </c>
      <c r="R80" s="78">
        <f t="shared" si="9"/>
        <v>19.83642578125</v>
      </c>
      <c r="S80" s="78">
        <f t="shared" si="10"/>
        <v>18</v>
      </c>
      <c r="T80" s="78">
        <f t="shared" si="11"/>
        <v>59.608888888888892</v>
      </c>
      <c r="U80" s="78" t="str">
        <f t="shared" si="12"/>
        <v>35-60</v>
      </c>
      <c r="V80" s="78" t="str">
        <f t="shared" si="13"/>
        <v>10-20 Гб</v>
      </c>
    </row>
    <row r="81" spans="1:22" x14ac:dyDescent="0.25">
      <c r="A81" t="s">
        <v>834</v>
      </c>
      <c r="B81" s="43">
        <v>37815</v>
      </c>
      <c r="C81" t="s">
        <v>50</v>
      </c>
      <c r="D81" t="s">
        <v>51</v>
      </c>
      <c r="E81" t="s">
        <v>54</v>
      </c>
      <c r="F81" t="s">
        <v>63</v>
      </c>
      <c r="G81" s="43">
        <v>43519</v>
      </c>
      <c r="H81">
        <v>5</v>
      </c>
      <c r="I81">
        <v>3108</v>
      </c>
      <c r="J81">
        <v>144000000</v>
      </c>
      <c r="L81">
        <v>1</v>
      </c>
      <c r="P81" s="77">
        <f t="shared" si="7"/>
        <v>1163</v>
      </c>
      <c r="Q81" s="78">
        <f t="shared" si="8"/>
        <v>10.36</v>
      </c>
      <c r="R81" s="78">
        <f t="shared" si="9"/>
        <v>27.4658203125</v>
      </c>
      <c r="S81" s="78">
        <f t="shared" si="10"/>
        <v>18</v>
      </c>
      <c r="T81" s="78">
        <f t="shared" si="11"/>
        <v>2.4173333333333331</v>
      </c>
      <c r="U81" s="78" t="str">
        <f t="shared" si="12"/>
        <v>&lt;35</v>
      </c>
      <c r="V81" s="78" t="str">
        <f t="shared" si="13"/>
        <v>21-30 Гб</v>
      </c>
    </row>
    <row r="82" spans="1:22" x14ac:dyDescent="0.25">
      <c r="A82" t="s">
        <v>1132</v>
      </c>
      <c r="B82" s="43">
        <v>37813</v>
      </c>
      <c r="C82" t="s">
        <v>58</v>
      </c>
      <c r="D82" t="s">
        <v>51</v>
      </c>
      <c r="E82" t="s">
        <v>54</v>
      </c>
      <c r="F82" t="s">
        <v>69</v>
      </c>
      <c r="G82" s="43">
        <v>43070</v>
      </c>
      <c r="H82">
        <v>5</v>
      </c>
      <c r="I82">
        <v>46188</v>
      </c>
      <c r="J82">
        <v>12000000</v>
      </c>
      <c r="K82">
        <v>1</v>
      </c>
      <c r="L82">
        <v>1</v>
      </c>
      <c r="P82" s="77">
        <f t="shared" si="7"/>
        <v>1612</v>
      </c>
      <c r="Q82" s="78">
        <f t="shared" si="8"/>
        <v>153.96</v>
      </c>
      <c r="R82" s="78">
        <f t="shared" si="9"/>
        <v>2.288818359375</v>
      </c>
      <c r="S82" s="78">
        <f t="shared" si="10"/>
        <v>18</v>
      </c>
      <c r="T82" s="78">
        <f t="shared" si="11"/>
        <v>35.923999999999999</v>
      </c>
      <c r="U82" s="78" t="str">
        <f t="shared" si="12"/>
        <v>35-60</v>
      </c>
      <c r="V82" s="78" t="str">
        <f t="shared" si="13"/>
        <v>&lt;10 Гб</v>
      </c>
    </row>
    <row r="83" spans="1:22" x14ac:dyDescent="0.25">
      <c r="A83" t="s">
        <v>129</v>
      </c>
      <c r="B83" s="43">
        <v>37811</v>
      </c>
      <c r="C83" t="s">
        <v>50</v>
      </c>
      <c r="D83" t="s">
        <v>51</v>
      </c>
      <c r="E83" t="s">
        <v>52</v>
      </c>
      <c r="F83" t="s">
        <v>63</v>
      </c>
      <c r="G83" s="43">
        <v>44583</v>
      </c>
      <c r="H83">
        <v>3</v>
      </c>
      <c r="I83">
        <v>29700</v>
      </c>
      <c r="J83">
        <v>122100000</v>
      </c>
      <c r="K83">
        <v>1</v>
      </c>
      <c r="L83">
        <v>1</v>
      </c>
      <c r="O83">
        <v>1</v>
      </c>
      <c r="P83" s="77">
        <f t="shared" si="7"/>
        <v>99</v>
      </c>
      <c r="Q83" s="78">
        <f t="shared" si="8"/>
        <v>150</v>
      </c>
      <c r="R83" s="78">
        <f t="shared" si="9"/>
        <v>35.28594970703125</v>
      </c>
      <c r="S83" s="78">
        <f t="shared" si="10"/>
        <v>18</v>
      </c>
      <c r="T83" s="78">
        <f t="shared" si="11"/>
        <v>35</v>
      </c>
      <c r="U83" s="78" t="str">
        <f t="shared" si="12"/>
        <v>&lt;35</v>
      </c>
      <c r="V83" s="78" t="str">
        <f t="shared" si="13"/>
        <v>31-40 Гб</v>
      </c>
    </row>
    <row r="84" spans="1:22" x14ac:dyDescent="0.25">
      <c r="A84" t="s">
        <v>571</v>
      </c>
      <c r="B84" s="43">
        <v>37809</v>
      </c>
      <c r="C84" t="s">
        <v>50</v>
      </c>
      <c r="D84" t="s">
        <v>51</v>
      </c>
      <c r="E84" t="s">
        <v>52</v>
      </c>
      <c r="F84" t="s">
        <v>57</v>
      </c>
      <c r="G84" s="43">
        <v>43078</v>
      </c>
      <c r="H84">
        <v>5</v>
      </c>
      <c r="I84">
        <v>77268</v>
      </c>
      <c r="J84">
        <v>100000000</v>
      </c>
      <c r="K84">
        <v>1</v>
      </c>
      <c r="L84">
        <v>1</v>
      </c>
      <c r="O84">
        <v>1</v>
      </c>
      <c r="P84" s="77">
        <f t="shared" si="7"/>
        <v>1604</v>
      </c>
      <c r="Q84" s="78">
        <f t="shared" si="8"/>
        <v>257.56</v>
      </c>
      <c r="R84" s="78">
        <f t="shared" si="9"/>
        <v>19.073486328125</v>
      </c>
      <c r="S84" s="78">
        <f t="shared" si="10"/>
        <v>18</v>
      </c>
      <c r="T84" s="78">
        <f t="shared" si="11"/>
        <v>60.097333333333339</v>
      </c>
      <c r="U84" s="78" t="str">
        <f t="shared" si="12"/>
        <v>61-90</v>
      </c>
      <c r="V84" s="78" t="str">
        <f t="shared" si="13"/>
        <v>10-20 Гб</v>
      </c>
    </row>
    <row r="85" spans="1:22" x14ac:dyDescent="0.25">
      <c r="A85" t="s">
        <v>611</v>
      </c>
      <c r="B85" s="43">
        <v>37809</v>
      </c>
      <c r="C85" t="s">
        <v>58</v>
      </c>
      <c r="D85" t="s">
        <v>51</v>
      </c>
      <c r="E85" t="s">
        <v>52</v>
      </c>
      <c r="F85" t="s">
        <v>57</v>
      </c>
      <c r="G85" s="43">
        <v>42848</v>
      </c>
      <c r="H85">
        <v>5</v>
      </c>
      <c r="I85">
        <v>22480</v>
      </c>
      <c r="J85">
        <v>116000000</v>
      </c>
      <c r="M85">
        <v>1</v>
      </c>
      <c r="P85" s="77">
        <f t="shared" si="7"/>
        <v>1834</v>
      </c>
      <c r="Q85" s="78">
        <f t="shared" si="8"/>
        <v>74.933333333333337</v>
      </c>
      <c r="R85" s="78">
        <f t="shared" si="9"/>
        <v>22.125244140625</v>
      </c>
      <c r="S85" s="78">
        <f t="shared" si="10"/>
        <v>18</v>
      </c>
      <c r="T85" s="78">
        <f t="shared" si="11"/>
        <v>17.484444444444442</v>
      </c>
      <c r="U85" s="78" t="str">
        <f t="shared" si="12"/>
        <v>&lt;35</v>
      </c>
      <c r="V85" s="78" t="str">
        <f t="shared" si="13"/>
        <v>21-30 Гб</v>
      </c>
    </row>
    <row r="86" spans="1:22" x14ac:dyDescent="0.25">
      <c r="A86" t="s">
        <v>902</v>
      </c>
      <c r="B86" s="43">
        <v>37809</v>
      </c>
      <c r="C86" t="s">
        <v>58</v>
      </c>
      <c r="D86" t="s">
        <v>51</v>
      </c>
      <c r="E86" t="s">
        <v>54</v>
      </c>
      <c r="F86" t="s">
        <v>63</v>
      </c>
      <c r="G86" s="43">
        <v>44314</v>
      </c>
      <c r="H86">
        <v>5</v>
      </c>
      <c r="I86">
        <v>3824</v>
      </c>
      <c r="J86">
        <v>108000000</v>
      </c>
      <c r="P86" s="77">
        <f t="shared" si="7"/>
        <v>368</v>
      </c>
      <c r="Q86" s="78">
        <f t="shared" si="8"/>
        <v>12.746666666666666</v>
      </c>
      <c r="R86" s="78">
        <f t="shared" si="9"/>
        <v>20.599365234375</v>
      </c>
      <c r="S86" s="78">
        <f t="shared" si="10"/>
        <v>18</v>
      </c>
      <c r="T86" s="78">
        <f t="shared" si="11"/>
        <v>2.9742222222222221</v>
      </c>
      <c r="U86" s="78" t="str">
        <f t="shared" si="12"/>
        <v>&lt;35</v>
      </c>
      <c r="V86" s="78" t="str">
        <f t="shared" si="13"/>
        <v>21-30 Гб</v>
      </c>
    </row>
    <row r="87" spans="1:22" x14ac:dyDescent="0.25">
      <c r="A87" t="s">
        <v>199</v>
      </c>
      <c r="B87" s="43">
        <v>37805</v>
      </c>
      <c r="C87" t="s">
        <v>50</v>
      </c>
      <c r="D87" t="s">
        <v>51</v>
      </c>
      <c r="E87" t="s">
        <v>52</v>
      </c>
      <c r="F87" t="s">
        <v>53</v>
      </c>
      <c r="G87" s="43">
        <v>44406</v>
      </c>
      <c r="H87">
        <v>5</v>
      </c>
      <c r="I87">
        <v>124188</v>
      </c>
      <c r="J87">
        <v>196000000</v>
      </c>
      <c r="K87">
        <v>1</v>
      </c>
      <c r="P87" s="77">
        <f t="shared" si="7"/>
        <v>276</v>
      </c>
      <c r="Q87" s="78">
        <f t="shared" si="8"/>
        <v>413.96</v>
      </c>
      <c r="R87" s="78">
        <f t="shared" si="9"/>
        <v>37.384033203125</v>
      </c>
      <c r="S87" s="78">
        <f t="shared" si="10"/>
        <v>18</v>
      </c>
      <c r="T87" s="78">
        <f t="shared" si="11"/>
        <v>96.590666666666664</v>
      </c>
      <c r="U87" s="78" t="str">
        <f t="shared" si="12"/>
        <v>91-120</v>
      </c>
      <c r="V87" s="78" t="str">
        <f t="shared" si="13"/>
        <v>31-40 Гб</v>
      </c>
    </row>
    <row r="88" spans="1:22" x14ac:dyDescent="0.25">
      <c r="A88" t="s">
        <v>176</v>
      </c>
      <c r="B88" s="43">
        <v>37800</v>
      </c>
      <c r="C88" t="s">
        <v>50</v>
      </c>
      <c r="D88" t="s">
        <v>51</v>
      </c>
      <c r="E88" t="s">
        <v>52</v>
      </c>
      <c r="F88" t="s">
        <v>53</v>
      </c>
      <c r="G88" s="43">
        <v>43553</v>
      </c>
      <c r="H88">
        <v>5</v>
      </c>
      <c r="I88">
        <v>90836</v>
      </c>
      <c r="J88">
        <v>196000000</v>
      </c>
      <c r="P88" s="77">
        <f t="shared" si="7"/>
        <v>1129</v>
      </c>
      <c r="Q88" s="78">
        <f t="shared" si="8"/>
        <v>302.78666666666669</v>
      </c>
      <c r="R88" s="78">
        <f t="shared" si="9"/>
        <v>37.384033203125</v>
      </c>
      <c r="S88" s="78">
        <f t="shared" si="10"/>
        <v>18</v>
      </c>
      <c r="T88" s="78">
        <f t="shared" si="11"/>
        <v>70.650222222222226</v>
      </c>
      <c r="U88" s="78" t="str">
        <f t="shared" si="12"/>
        <v>61-90</v>
      </c>
      <c r="V88" s="78" t="str">
        <f t="shared" si="13"/>
        <v>31-40 Гб</v>
      </c>
    </row>
    <row r="89" spans="1:22" x14ac:dyDescent="0.25">
      <c r="A89" t="s">
        <v>1099</v>
      </c>
      <c r="B89" s="43">
        <v>37793</v>
      </c>
      <c r="C89" t="s">
        <v>58</v>
      </c>
      <c r="D89" t="s">
        <v>51</v>
      </c>
      <c r="E89" t="s">
        <v>52</v>
      </c>
      <c r="F89" t="s">
        <v>63</v>
      </c>
      <c r="G89" s="43">
        <v>43288</v>
      </c>
      <c r="H89">
        <v>5</v>
      </c>
      <c r="I89">
        <v>20532</v>
      </c>
      <c r="J89">
        <v>156000000</v>
      </c>
      <c r="P89" s="77">
        <f t="shared" si="7"/>
        <v>1394</v>
      </c>
      <c r="Q89" s="78">
        <f t="shared" si="8"/>
        <v>68.44</v>
      </c>
      <c r="R89" s="78">
        <f t="shared" si="9"/>
        <v>29.754638671875</v>
      </c>
      <c r="S89" s="78">
        <f t="shared" si="10"/>
        <v>18</v>
      </c>
      <c r="T89" s="78">
        <f t="shared" si="11"/>
        <v>15.969333333333333</v>
      </c>
      <c r="U89" s="78" t="str">
        <f t="shared" si="12"/>
        <v>&lt;35</v>
      </c>
      <c r="V89" s="78" t="str">
        <f t="shared" si="13"/>
        <v>21-30 Гб</v>
      </c>
    </row>
    <row r="90" spans="1:22" x14ac:dyDescent="0.25">
      <c r="A90" t="s">
        <v>380</v>
      </c>
      <c r="B90" s="43">
        <v>37792</v>
      </c>
      <c r="C90" t="s">
        <v>50</v>
      </c>
      <c r="D90" t="s">
        <v>51</v>
      </c>
      <c r="E90" t="s">
        <v>54</v>
      </c>
      <c r="F90" t="s">
        <v>56</v>
      </c>
      <c r="G90" s="43">
        <v>43030</v>
      </c>
      <c r="H90">
        <v>5</v>
      </c>
      <c r="I90">
        <v>9740</v>
      </c>
      <c r="J90">
        <v>128000000</v>
      </c>
      <c r="K90">
        <v>1</v>
      </c>
      <c r="L90">
        <v>1</v>
      </c>
      <c r="P90" s="77">
        <f t="shared" si="7"/>
        <v>1652</v>
      </c>
      <c r="Q90" s="78">
        <f t="shared" si="8"/>
        <v>32.466666666666669</v>
      </c>
      <c r="R90" s="78">
        <f t="shared" si="9"/>
        <v>24.4140625</v>
      </c>
      <c r="S90" s="78">
        <f t="shared" si="10"/>
        <v>18</v>
      </c>
      <c r="T90" s="78">
        <f t="shared" si="11"/>
        <v>7.5755555555555558</v>
      </c>
      <c r="U90" s="78" t="str">
        <f t="shared" si="12"/>
        <v>&lt;35</v>
      </c>
      <c r="V90" s="78" t="str">
        <f t="shared" si="13"/>
        <v>21-30 Гб</v>
      </c>
    </row>
    <row r="91" spans="1:22" x14ac:dyDescent="0.25">
      <c r="A91" t="s">
        <v>406</v>
      </c>
      <c r="B91" s="43">
        <v>37788</v>
      </c>
      <c r="C91" t="s">
        <v>58</v>
      </c>
      <c r="D91" t="s">
        <v>51</v>
      </c>
      <c r="E91" t="s">
        <v>54</v>
      </c>
      <c r="F91" t="s">
        <v>56</v>
      </c>
      <c r="G91" s="43">
        <v>44167</v>
      </c>
      <c r="H91">
        <v>5</v>
      </c>
      <c r="I91">
        <v>111308</v>
      </c>
      <c r="J91">
        <v>112000000</v>
      </c>
      <c r="P91" s="77">
        <f t="shared" si="7"/>
        <v>515</v>
      </c>
      <c r="Q91" s="78">
        <f t="shared" si="8"/>
        <v>371.02666666666664</v>
      </c>
      <c r="R91" s="78">
        <f t="shared" si="9"/>
        <v>21.3623046875</v>
      </c>
      <c r="S91" s="78">
        <f t="shared" si="10"/>
        <v>18</v>
      </c>
      <c r="T91" s="78">
        <f t="shared" si="11"/>
        <v>86.572888888888883</v>
      </c>
      <c r="U91" s="78" t="str">
        <f t="shared" si="12"/>
        <v>61-90</v>
      </c>
      <c r="V91" s="78" t="str">
        <f t="shared" si="13"/>
        <v>21-30 Гб</v>
      </c>
    </row>
    <row r="92" spans="1:22" x14ac:dyDescent="0.25">
      <c r="A92" t="s">
        <v>439</v>
      </c>
      <c r="B92" s="43">
        <v>37785</v>
      </c>
      <c r="C92" t="s">
        <v>50</v>
      </c>
      <c r="D92" t="s">
        <v>51</v>
      </c>
      <c r="E92" t="s">
        <v>52</v>
      </c>
      <c r="F92" t="s">
        <v>57</v>
      </c>
      <c r="G92" s="43">
        <v>43253</v>
      </c>
      <c r="H92">
        <v>5</v>
      </c>
      <c r="I92">
        <v>9916</v>
      </c>
      <c r="J92">
        <v>96000000</v>
      </c>
      <c r="K92">
        <v>1</v>
      </c>
      <c r="P92" s="77">
        <f t="shared" si="7"/>
        <v>1429</v>
      </c>
      <c r="Q92" s="78">
        <f t="shared" si="8"/>
        <v>33.053333333333335</v>
      </c>
      <c r="R92" s="78">
        <f t="shared" si="9"/>
        <v>18.310546875</v>
      </c>
      <c r="S92" s="78">
        <f t="shared" si="10"/>
        <v>18</v>
      </c>
      <c r="T92" s="78">
        <f t="shared" si="11"/>
        <v>7.7124444444444444</v>
      </c>
      <c r="U92" s="78" t="str">
        <f t="shared" si="12"/>
        <v>&lt;35</v>
      </c>
      <c r="V92" s="78" t="str">
        <f t="shared" si="13"/>
        <v>10-20 Гб</v>
      </c>
    </row>
    <row r="93" spans="1:22" x14ac:dyDescent="0.25">
      <c r="A93" t="s">
        <v>496</v>
      </c>
      <c r="B93" s="43">
        <v>37780</v>
      </c>
      <c r="C93" t="s">
        <v>50</v>
      </c>
      <c r="D93" t="s">
        <v>51</v>
      </c>
      <c r="E93" t="s">
        <v>54</v>
      </c>
      <c r="F93" t="s">
        <v>57</v>
      </c>
      <c r="G93" s="43">
        <v>43411</v>
      </c>
      <c r="H93">
        <v>5</v>
      </c>
      <c r="I93">
        <v>44652</v>
      </c>
      <c r="J93">
        <v>104000000</v>
      </c>
      <c r="P93" s="77">
        <f t="shared" si="7"/>
        <v>1271</v>
      </c>
      <c r="Q93" s="78">
        <f t="shared" si="8"/>
        <v>148.84</v>
      </c>
      <c r="R93" s="78">
        <f t="shared" si="9"/>
        <v>19.83642578125</v>
      </c>
      <c r="S93" s="78">
        <f t="shared" si="10"/>
        <v>18</v>
      </c>
      <c r="T93" s="78">
        <f t="shared" si="11"/>
        <v>34.729333333333336</v>
      </c>
      <c r="U93" s="78" t="str">
        <f t="shared" si="12"/>
        <v>&lt;35</v>
      </c>
      <c r="V93" s="78" t="str">
        <f t="shared" si="13"/>
        <v>10-20 Гб</v>
      </c>
    </row>
    <row r="94" spans="1:22" x14ac:dyDescent="0.25">
      <c r="A94" t="s">
        <v>350</v>
      </c>
      <c r="B94" s="43">
        <v>37777</v>
      </c>
      <c r="C94" t="s">
        <v>58</v>
      </c>
      <c r="D94" t="s">
        <v>51</v>
      </c>
      <c r="E94" t="s">
        <v>52</v>
      </c>
      <c r="F94" t="s">
        <v>56</v>
      </c>
      <c r="G94" s="43">
        <v>43692</v>
      </c>
      <c r="H94">
        <v>5</v>
      </c>
      <c r="I94">
        <v>50860</v>
      </c>
      <c r="J94">
        <v>128000000</v>
      </c>
      <c r="L94">
        <v>1</v>
      </c>
      <c r="P94" s="77">
        <f t="shared" si="7"/>
        <v>990</v>
      </c>
      <c r="Q94" s="78">
        <f t="shared" si="8"/>
        <v>169.53333333333333</v>
      </c>
      <c r="R94" s="78">
        <f t="shared" si="9"/>
        <v>24.4140625</v>
      </c>
      <c r="S94" s="78">
        <f t="shared" si="10"/>
        <v>18</v>
      </c>
      <c r="T94" s="78">
        <f t="shared" si="11"/>
        <v>39.55777777777778</v>
      </c>
      <c r="U94" s="78" t="str">
        <f t="shared" si="12"/>
        <v>35-60</v>
      </c>
      <c r="V94" s="78" t="str">
        <f t="shared" si="13"/>
        <v>21-30 Гб</v>
      </c>
    </row>
    <row r="95" spans="1:22" x14ac:dyDescent="0.25">
      <c r="A95" t="s">
        <v>1018</v>
      </c>
      <c r="B95" s="43">
        <v>37777</v>
      </c>
      <c r="C95" t="s">
        <v>58</v>
      </c>
      <c r="D95" t="s">
        <v>51</v>
      </c>
      <c r="E95" t="s">
        <v>52</v>
      </c>
      <c r="F95" t="s">
        <v>63</v>
      </c>
      <c r="G95" s="43">
        <v>43792</v>
      </c>
      <c r="H95">
        <v>5</v>
      </c>
      <c r="I95">
        <v>18292</v>
      </c>
      <c r="J95">
        <v>156000000</v>
      </c>
      <c r="K95">
        <v>1</v>
      </c>
      <c r="P95" s="77">
        <f t="shared" si="7"/>
        <v>890</v>
      </c>
      <c r="Q95" s="78">
        <f t="shared" si="8"/>
        <v>60.973333333333336</v>
      </c>
      <c r="R95" s="78">
        <f t="shared" si="9"/>
        <v>29.754638671875</v>
      </c>
      <c r="S95" s="78">
        <f t="shared" si="10"/>
        <v>18</v>
      </c>
      <c r="T95" s="78">
        <f t="shared" si="11"/>
        <v>14.22711111111111</v>
      </c>
      <c r="U95" s="78" t="str">
        <f t="shared" si="12"/>
        <v>&lt;35</v>
      </c>
      <c r="V95" s="78" t="str">
        <f t="shared" si="13"/>
        <v>21-30 Гб</v>
      </c>
    </row>
    <row r="96" spans="1:22" x14ac:dyDescent="0.25">
      <c r="A96" t="s">
        <v>901</v>
      </c>
      <c r="B96" s="43">
        <v>37776</v>
      </c>
      <c r="C96" t="s">
        <v>50</v>
      </c>
      <c r="D96" t="s">
        <v>51</v>
      </c>
      <c r="E96" t="s">
        <v>52</v>
      </c>
      <c r="F96" t="s">
        <v>63</v>
      </c>
      <c r="G96" s="43">
        <v>43405</v>
      </c>
      <c r="H96">
        <v>5</v>
      </c>
      <c r="I96">
        <v>34832</v>
      </c>
      <c r="J96">
        <v>92000000</v>
      </c>
      <c r="K96">
        <v>1</v>
      </c>
      <c r="P96" s="77">
        <f t="shared" si="7"/>
        <v>1277</v>
      </c>
      <c r="Q96" s="78">
        <f t="shared" si="8"/>
        <v>116.10666666666667</v>
      </c>
      <c r="R96" s="78">
        <f t="shared" si="9"/>
        <v>17.547607421875</v>
      </c>
      <c r="S96" s="78">
        <f t="shared" si="10"/>
        <v>18</v>
      </c>
      <c r="T96" s="78">
        <f t="shared" si="11"/>
        <v>27.091555555555555</v>
      </c>
      <c r="U96" s="78" t="str">
        <f t="shared" si="12"/>
        <v>&lt;35</v>
      </c>
      <c r="V96" s="78" t="str">
        <f t="shared" si="13"/>
        <v>10-20 Гб</v>
      </c>
    </row>
    <row r="97" spans="1:22" x14ac:dyDescent="0.25">
      <c r="A97" t="s">
        <v>707</v>
      </c>
      <c r="B97" s="43">
        <v>37763</v>
      </c>
      <c r="C97" t="s">
        <v>50</v>
      </c>
      <c r="D97" t="s">
        <v>51</v>
      </c>
      <c r="E97" t="s">
        <v>52</v>
      </c>
      <c r="F97" t="s">
        <v>57</v>
      </c>
      <c r="G97" s="43">
        <v>44032</v>
      </c>
      <c r="H97">
        <v>5</v>
      </c>
      <c r="I97">
        <v>14408</v>
      </c>
      <c r="J97">
        <v>64000000</v>
      </c>
      <c r="K97">
        <v>1</v>
      </c>
      <c r="L97">
        <v>1</v>
      </c>
      <c r="M97">
        <v>1</v>
      </c>
      <c r="O97">
        <v>1</v>
      </c>
      <c r="P97" s="77">
        <f t="shared" si="7"/>
        <v>650</v>
      </c>
      <c r="Q97" s="78">
        <f t="shared" si="8"/>
        <v>48.026666666666664</v>
      </c>
      <c r="R97" s="78">
        <f t="shared" si="9"/>
        <v>12.20703125</v>
      </c>
      <c r="S97" s="78">
        <f t="shared" si="10"/>
        <v>18</v>
      </c>
      <c r="T97" s="78">
        <f t="shared" si="11"/>
        <v>11.206222222222221</v>
      </c>
      <c r="U97" s="78" t="str">
        <f t="shared" si="12"/>
        <v>&lt;35</v>
      </c>
      <c r="V97" s="78" t="str">
        <f t="shared" si="13"/>
        <v>10-20 Гб</v>
      </c>
    </row>
    <row r="98" spans="1:22" x14ac:dyDescent="0.25">
      <c r="A98" t="s">
        <v>551</v>
      </c>
      <c r="B98" s="43">
        <v>37762</v>
      </c>
      <c r="C98" t="s">
        <v>50</v>
      </c>
      <c r="D98" t="s">
        <v>51</v>
      </c>
      <c r="E98" t="s">
        <v>52</v>
      </c>
      <c r="F98" t="s">
        <v>57</v>
      </c>
      <c r="G98" s="43">
        <v>44527</v>
      </c>
      <c r="H98">
        <v>5</v>
      </c>
      <c r="I98">
        <v>56608</v>
      </c>
      <c r="J98">
        <v>28000000</v>
      </c>
      <c r="P98" s="77">
        <f t="shared" si="7"/>
        <v>155</v>
      </c>
      <c r="Q98" s="78">
        <f t="shared" si="8"/>
        <v>188.69333333333333</v>
      </c>
      <c r="R98" s="78">
        <f t="shared" si="9"/>
        <v>5.340576171875</v>
      </c>
      <c r="S98" s="78">
        <f t="shared" si="10"/>
        <v>18</v>
      </c>
      <c r="T98" s="78">
        <f t="shared" si="11"/>
        <v>44.028444444444439</v>
      </c>
      <c r="U98" s="78" t="str">
        <f t="shared" si="12"/>
        <v>35-60</v>
      </c>
      <c r="V98" s="78" t="str">
        <f t="shared" si="13"/>
        <v>&lt;10 Гб</v>
      </c>
    </row>
    <row r="99" spans="1:22" x14ac:dyDescent="0.25">
      <c r="A99" t="s">
        <v>825</v>
      </c>
      <c r="B99" s="43">
        <v>37762</v>
      </c>
      <c r="C99" t="s">
        <v>50</v>
      </c>
      <c r="D99" t="s">
        <v>51</v>
      </c>
      <c r="E99" t="s">
        <v>54</v>
      </c>
      <c r="F99" t="s">
        <v>63</v>
      </c>
      <c r="G99" s="43">
        <v>43007</v>
      </c>
      <c r="H99">
        <v>5</v>
      </c>
      <c r="I99">
        <v>10800</v>
      </c>
      <c r="J99">
        <v>148000000</v>
      </c>
      <c r="K99">
        <v>1</v>
      </c>
      <c r="L99">
        <v>1</v>
      </c>
      <c r="P99" s="77">
        <f t="shared" si="7"/>
        <v>1675</v>
      </c>
      <c r="Q99" s="78">
        <f t="shared" si="8"/>
        <v>36</v>
      </c>
      <c r="R99" s="78">
        <f t="shared" si="9"/>
        <v>28.228759765625</v>
      </c>
      <c r="S99" s="78">
        <f t="shared" si="10"/>
        <v>18</v>
      </c>
      <c r="T99" s="78">
        <f t="shared" si="11"/>
        <v>8.4</v>
      </c>
      <c r="U99" s="78" t="str">
        <f t="shared" si="12"/>
        <v>&lt;35</v>
      </c>
      <c r="V99" s="78" t="str">
        <f t="shared" si="13"/>
        <v>21-30 Гб</v>
      </c>
    </row>
    <row r="100" spans="1:22" x14ac:dyDescent="0.25">
      <c r="A100" t="s">
        <v>565</v>
      </c>
      <c r="B100" s="43">
        <v>37752</v>
      </c>
      <c r="C100" t="s">
        <v>50</v>
      </c>
      <c r="D100" t="s">
        <v>51</v>
      </c>
      <c r="E100" t="s">
        <v>54</v>
      </c>
      <c r="F100" t="s">
        <v>57</v>
      </c>
      <c r="G100" s="43">
        <v>43559</v>
      </c>
      <c r="H100">
        <v>5</v>
      </c>
      <c r="I100">
        <v>27032</v>
      </c>
      <c r="J100">
        <v>108000000</v>
      </c>
      <c r="P100" s="77">
        <f t="shared" si="7"/>
        <v>1123</v>
      </c>
      <c r="Q100" s="78">
        <f t="shared" si="8"/>
        <v>90.106666666666669</v>
      </c>
      <c r="R100" s="78">
        <f t="shared" si="9"/>
        <v>20.599365234375</v>
      </c>
      <c r="S100" s="78">
        <f t="shared" si="10"/>
        <v>18</v>
      </c>
      <c r="T100" s="78">
        <f t="shared" si="11"/>
        <v>21.024888888888889</v>
      </c>
      <c r="U100" s="78" t="str">
        <f t="shared" si="12"/>
        <v>&lt;35</v>
      </c>
      <c r="V100" s="78" t="str">
        <f t="shared" si="13"/>
        <v>21-30 Гб</v>
      </c>
    </row>
    <row r="101" spans="1:22" x14ac:dyDescent="0.25">
      <c r="A101" t="s">
        <v>1040</v>
      </c>
      <c r="B101" s="43">
        <v>37746</v>
      </c>
      <c r="C101" t="s">
        <v>50</v>
      </c>
      <c r="D101" t="s">
        <v>51</v>
      </c>
      <c r="E101" t="s">
        <v>54</v>
      </c>
      <c r="F101" t="s">
        <v>63</v>
      </c>
      <c r="G101" s="43">
        <v>42844</v>
      </c>
      <c r="H101">
        <v>5</v>
      </c>
      <c r="I101">
        <v>20136</v>
      </c>
      <c r="J101">
        <v>124000000</v>
      </c>
      <c r="K101">
        <v>1</v>
      </c>
      <c r="P101" s="77">
        <f t="shared" si="7"/>
        <v>1838</v>
      </c>
      <c r="Q101" s="78">
        <f t="shared" si="8"/>
        <v>67.12</v>
      </c>
      <c r="R101" s="78">
        <f t="shared" si="9"/>
        <v>23.651123046875</v>
      </c>
      <c r="S101" s="78">
        <f t="shared" si="10"/>
        <v>18</v>
      </c>
      <c r="T101" s="78">
        <f t="shared" si="11"/>
        <v>15.661333333333335</v>
      </c>
      <c r="U101" s="78" t="str">
        <f t="shared" si="12"/>
        <v>&lt;35</v>
      </c>
      <c r="V101" s="78" t="str">
        <f t="shared" si="13"/>
        <v>21-30 Гб</v>
      </c>
    </row>
    <row r="102" spans="1:22" x14ac:dyDescent="0.25">
      <c r="A102" t="s">
        <v>303</v>
      </c>
      <c r="B102" s="43">
        <v>37739</v>
      </c>
      <c r="C102" t="s">
        <v>50</v>
      </c>
      <c r="D102" t="s">
        <v>51</v>
      </c>
      <c r="E102" t="s">
        <v>54</v>
      </c>
      <c r="F102" t="s">
        <v>56</v>
      </c>
      <c r="G102" s="43">
        <v>43454</v>
      </c>
      <c r="H102">
        <v>5</v>
      </c>
      <c r="I102">
        <v>115296</v>
      </c>
      <c r="J102">
        <v>132000000</v>
      </c>
      <c r="P102" s="77">
        <f t="shared" si="7"/>
        <v>1228</v>
      </c>
      <c r="Q102" s="78">
        <f t="shared" si="8"/>
        <v>384.32</v>
      </c>
      <c r="R102" s="78">
        <f t="shared" si="9"/>
        <v>25.177001953125</v>
      </c>
      <c r="S102" s="78">
        <f t="shared" si="10"/>
        <v>19</v>
      </c>
      <c r="T102" s="78">
        <f t="shared" si="11"/>
        <v>89.674666666666653</v>
      </c>
      <c r="U102" s="78" t="str">
        <f t="shared" si="12"/>
        <v>61-90</v>
      </c>
      <c r="V102" s="78" t="str">
        <f t="shared" si="13"/>
        <v>21-30 Гб</v>
      </c>
    </row>
    <row r="103" spans="1:22" x14ac:dyDescent="0.25">
      <c r="A103" t="s">
        <v>361</v>
      </c>
      <c r="B103" s="43">
        <v>37737</v>
      </c>
      <c r="C103" t="s">
        <v>50</v>
      </c>
      <c r="D103" t="s">
        <v>51</v>
      </c>
      <c r="E103" t="s">
        <v>54</v>
      </c>
      <c r="F103" t="s">
        <v>56</v>
      </c>
      <c r="G103" s="43">
        <v>43917</v>
      </c>
      <c r="H103">
        <v>5</v>
      </c>
      <c r="I103">
        <v>11912</v>
      </c>
      <c r="J103">
        <v>128000000</v>
      </c>
      <c r="L103">
        <v>1</v>
      </c>
      <c r="P103" s="77">
        <f t="shared" si="7"/>
        <v>765</v>
      </c>
      <c r="Q103" s="78">
        <f t="shared" si="8"/>
        <v>39.706666666666663</v>
      </c>
      <c r="R103" s="78">
        <f t="shared" si="9"/>
        <v>24.4140625</v>
      </c>
      <c r="S103" s="78">
        <f t="shared" si="10"/>
        <v>19</v>
      </c>
      <c r="T103" s="78">
        <f t="shared" si="11"/>
        <v>9.2648888888888887</v>
      </c>
      <c r="U103" s="78" t="str">
        <f t="shared" si="12"/>
        <v>&lt;35</v>
      </c>
      <c r="V103" s="78" t="str">
        <f t="shared" si="13"/>
        <v>21-30 Гб</v>
      </c>
    </row>
    <row r="104" spans="1:22" x14ac:dyDescent="0.25">
      <c r="A104" t="s">
        <v>122</v>
      </c>
      <c r="B104" s="43">
        <v>37736</v>
      </c>
      <c r="C104" t="s">
        <v>50</v>
      </c>
      <c r="D104" t="s">
        <v>51</v>
      </c>
      <c r="E104" t="s">
        <v>52</v>
      </c>
      <c r="F104" t="s">
        <v>63</v>
      </c>
      <c r="G104" s="43">
        <v>44577</v>
      </c>
      <c r="H104">
        <v>3</v>
      </c>
      <c r="I104">
        <v>31500</v>
      </c>
      <c r="J104">
        <v>136500000</v>
      </c>
      <c r="P104" s="77">
        <f t="shared" si="7"/>
        <v>105</v>
      </c>
      <c r="Q104" s="78">
        <f t="shared" si="8"/>
        <v>150</v>
      </c>
      <c r="R104" s="78">
        <f t="shared" si="9"/>
        <v>37.19329833984375</v>
      </c>
      <c r="S104" s="78">
        <f t="shared" si="10"/>
        <v>19</v>
      </c>
      <c r="T104" s="78">
        <f t="shared" si="11"/>
        <v>35</v>
      </c>
      <c r="U104" s="78" t="str">
        <f t="shared" si="12"/>
        <v>&lt;35</v>
      </c>
      <c r="V104" s="78" t="str">
        <f t="shared" si="13"/>
        <v>31-40 Гб</v>
      </c>
    </row>
    <row r="105" spans="1:22" x14ac:dyDescent="0.25">
      <c r="A105" t="s">
        <v>542</v>
      </c>
      <c r="B105" s="43">
        <v>37734</v>
      </c>
      <c r="C105" t="s">
        <v>50</v>
      </c>
      <c r="D105" t="s">
        <v>51</v>
      </c>
      <c r="E105" t="s">
        <v>52</v>
      </c>
      <c r="F105" t="s">
        <v>57</v>
      </c>
      <c r="G105" s="43">
        <v>44488</v>
      </c>
      <c r="H105">
        <v>5</v>
      </c>
      <c r="I105">
        <v>31376</v>
      </c>
      <c r="J105">
        <v>100000000</v>
      </c>
      <c r="P105" s="77">
        <f t="shared" si="7"/>
        <v>194</v>
      </c>
      <c r="Q105" s="78">
        <f t="shared" si="8"/>
        <v>104.58666666666667</v>
      </c>
      <c r="R105" s="78">
        <f t="shared" si="9"/>
        <v>19.073486328125</v>
      </c>
      <c r="S105" s="78">
        <f t="shared" si="10"/>
        <v>19</v>
      </c>
      <c r="T105" s="78">
        <f t="shared" si="11"/>
        <v>24.403555555555556</v>
      </c>
      <c r="U105" s="78" t="str">
        <f t="shared" si="12"/>
        <v>&lt;35</v>
      </c>
      <c r="V105" s="78" t="str">
        <f t="shared" si="13"/>
        <v>10-20 Гб</v>
      </c>
    </row>
    <row r="106" spans="1:22" x14ac:dyDescent="0.25">
      <c r="A106" t="s">
        <v>185</v>
      </c>
      <c r="B106" s="43">
        <v>37733</v>
      </c>
      <c r="C106" t="s">
        <v>50</v>
      </c>
      <c r="D106" t="s">
        <v>51</v>
      </c>
      <c r="E106" t="s">
        <v>52</v>
      </c>
      <c r="F106" t="s">
        <v>53</v>
      </c>
      <c r="G106" s="43">
        <v>42804</v>
      </c>
      <c r="H106">
        <v>5</v>
      </c>
      <c r="I106">
        <v>164196</v>
      </c>
      <c r="J106">
        <v>56000000</v>
      </c>
      <c r="P106" s="77">
        <f t="shared" si="7"/>
        <v>1878</v>
      </c>
      <c r="Q106" s="78">
        <f t="shared" si="8"/>
        <v>547.32000000000005</v>
      </c>
      <c r="R106" s="78">
        <f t="shared" si="9"/>
        <v>10.68115234375</v>
      </c>
      <c r="S106" s="78">
        <f t="shared" si="10"/>
        <v>19</v>
      </c>
      <c r="T106" s="78">
        <f t="shared" si="11"/>
        <v>127.70800000000001</v>
      </c>
      <c r="U106" s="78" t="str">
        <f t="shared" si="12"/>
        <v>120+</v>
      </c>
      <c r="V106" s="78" t="str">
        <f t="shared" si="13"/>
        <v>10-20 Гб</v>
      </c>
    </row>
    <row r="107" spans="1:22" x14ac:dyDescent="0.25">
      <c r="A107" t="s">
        <v>1075</v>
      </c>
      <c r="B107" s="43">
        <v>37732</v>
      </c>
      <c r="C107" t="s">
        <v>58</v>
      </c>
      <c r="D107" t="s">
        <v>51</v>
      </c>
      <c r="E107" t="s">
        <v>52</v>
      </c>
      <c r="F107" t="s">
        <v>63</v>
      </c>
      <c r="G107" s="43">
        <v>43576</v>
      </c>
      <c r="H107">
        <v>5</v>
      </c>
      <c r="I107">
        <v>18480</v>
      </c>
      <c r="J107">
        <v>40000000</v>
      </c>
      <c r="K107">
        <v>1</v>
      </c>
      <c r="P107" s="77">
        <f t="shared" si="7"/>
        <v>1106</v>
      </c>
      <c r="Q107" s="78">
        <f t="shared" si="8"/>
        <v>61.6</v>
      </c>
      <c r="R107" s="78">
        <f t="shared" si="9"/>
        <v>7.62939453125</v>
      </c>
      <c r="S107" s="78">
        <f t="shared" si="10"/>
        <v>19</v>
      </c>
      <c r="T107" s="78">
        <f t="shared" si="11"/>
        <v>14.373333333333333</v>
      </c>
      <c r="U107" s="78" t="str">
        <f t="shared" si="12"/>
        <v>&lt;35</v>
      </c>
      <c r="V107" s="78" t="str">
        <f t="shared" si="13"/>
        <v>&lt;10 Гб</v>
      </c>
    </row>
    <row r="108" spans="1:22" x14ac:dyDescent="0.25">
      <c r="A108" t="s">
        <v>767</v>
      </c>
      <c r="B108" s="43">
        <v>37728</v>
      </c>
      <c r="C108" t="s">
        <v>50</v>
      </c>
      <c r="D108" t="s">
        <v>51</v>
      </c>
      <c r="E108" t="s">
        <v>54</v>
      </c>
      <c r="F108" t="s">
        <v>57</v>
      </c>
      <c r="G108" s="43">
        <v>42930</v>
      </c>
      <c r="H108">
        <v>5</v>
      </c>
      <c r="I108">
        <v>80728</v>
      </c>
      <c r="J108">
        <v>100000000</v>
      </c>
      <c r="L108">
        <v>1</v>
      </c>
      <c r="M108">
        <v>1</v>
      </c>
      <c r="P108" s="77">
        <f t="shared" si="7"/>
        <v>1752</v>
      </c>
      <c r="Q108" s="78">
        <f t="shared" si="8"/>
        <v>269.09333333333331</v>
      </c>
      <c r="R108" s="78">
        <f t="shared" si="9"/>
        <v>19.073486328125</v>
      </c>
      <c r="S108" s="78">
        <f t="shared" si="10"/>
        <v>19</v>
      </c>
      <c r="T108" s="78">
        <f t="shared" si="11"/>
        <v>62.788444444444437</v>
      </c>
      <c r="U108" s="78" t="str">
        <f t="shared" si="12"/>
        <v>61-90</v>
      </c>
      <c r="V108" s="78" t="str">
        <f t="shared" si="13"/>
        <v>10-20 Гб</v>
      </c>
    </row>
    <row r="109" spans="1:22" x14ac:dyDescent="0.25">
      <c r="A109" t="s">
        <v>803</v>
      </c>
      <c r="B109" s="43">
        <v>37728</v>
      </c>
      <c r="C109" t="s">
        <v>58</v>
      </c>
      <c r="D109" t="s">
        <v>51</v>
      </c>
      <c r="E109" t="s">
        <v>54</v>
      </c>
      <c r="F109" t="s">
        <v>63</v>
      </c>
      <c r="G109" s="43">
        <v>42825</v>
      </c>
      <c r="H109">
        <v>5</v>
      </c>
      <c r="I109">
        <v>35872</v>
      </c>
      <c r="J109">
        <v>136000000</v>
      </c>
      <c r="K109">
        <v>1</v>
      </c>
      <c r="P109" s="77">
        <f t="shared" si="7"/>
        <v>1857</v>
      </c>
      <c r="Q109" s="78">
        <f t="shared" si="8"/>
        <v>119.57333333333334</v>
      </c>
      <c r="R109" s="78">
        <f t="shared" si="9"/>
        <v>25.93994140625</v>
      </c>
      <c r="S109" s="78">
        <f t="shared" si="10"/>
        <v>19</v>
      </c>
      <c r="T109" s="78">
        <f t="shared" si="11"/>
        <v>27.900444444444442</v>
      </c>
      <c r="U109" s="78" t="str">
        <f t="shared" si="12"/>
        <v>&lt;35</v>
      </c>
      <c r="V109" s="78" t="str">
        <f t="shared" si="13"/>
        <v>21-30 Гб</v>
      </c>
    </row>
    <row r="110" spans="1:22" x14ac:dyDescent="0.25">
      <c r="A110" t="s">
        <v>836</v>
      </c>
      <c r="B110" s="43">
        <v>37728</v>
      </c>
      <c r="C110" t="s">
        <v>58</v>
      </c>
      <c r="D110" t="s">
        <v>51</v>
      </c>
      <c r="E110" t="s">
        <v>52</v>
      </c>
      <c r="F110" t="s">
        <v>63</v>
      </c>
      <c r="G110" s="43">
        <v>42859</v>
      </c>
      <c r="H110">
        <v>5</v>
      </c>
      <c r="I110">
        <v>24176</v>
      </c>
      <c r="J110">
        <v>120000000</v>
      </c>
      <c r="K110">
        <v>1</v>
      </c>
      <c r="P110" s="77">
        <f t="shared" si="7"/>
        <v>1823</v>
      </c>
      <c r="Q110" s="78">
        <f t="shared" si="8"/>
        <v>80.586666666666673</v>
      </c>
      <c r="R110" s="78">
        <f t="shared" si="9"/>
        <v>22.88818359375</v>
      </c>
      <c r="S110" s="78">
        <f t="shared" si="10"/>
        <v>19</v>
      </c>
      <c r="T110" s="78">
        <f t="shared" si="11"/>
        <v>18.803555555555555</v>
      </c>
      <c r="U110" s="78" t="str">
        <f t="shared" si="12"/>
        <v>&lt;35</v>
      </c>
      <c r="V110" s="78" t="str">
        <f t="shared" si="13"/>
        <v>21-30 Гб</v>
      </c>
    </row>
    <row r="111" spans="1:22" x14ac:dyDescent="0.25">
      <c r="A111" t="s">
        <v>424</v>
      </c>
      <c r="B111" s="43">
        <v>37727</v>
      </c>
      <c r="C111" t="s">
        <v>50</v>
      </c>
      <c r="D111" t="s">
        <v>51</v>
      </c>
      <c r="E111" t="s">
        <v>52</v>
      </c>
      <c r="F111" t="s">
        <v>56</v>
      </c>
      <c r="G111" s="43">
        <v>44140</v>
      </c>
      <c r="H111">
        <v>5</v>
      </c>
      <c r="I111">
        <v>112340</v>
      </c>
      <c r="J111">
        <v>68000000</v>
      </c>
      <c r="P111" s="77">
        <f t="shared" si="7"/>
        <v>542</v>
      </c>
      <c r="Q111" s="78">
        <f t="shared" si="8"/>
        <v>374.46666666666664</v>
      </c>
      <c r="R111" s="78">
        <f t="shared" si="9"/>
        <v>12.969970703125</v>
      </c>
      <c r="S111" s="78">
        <f t="shared" si="10"/>
        <v>19</v>
      </c>
      <c r="T111" s="78">
        <f t="shared" si="11"/>
        <v>87.37555555555555</v>
      </c>
      <c r="U111" s="78" t="str">
        <f t="shared" si="12"/>
        <v>61-90</v>
      </c>
      <c r="V111" s="78" t="str">
        <f t="shared" si="13"/>
        <v>10-20 Гб</v>
      </c>
    </row>
    <row r="112" spans="1:22" x14ac:dyDescent="0.25">
      <c r="A112" t="s">
        <v>1105</v>
      </c>
      <c r="B112" s="43">
        <v>37724</v>
      </c>
      <c r="C112" t="s">
        <v>50</v>
      </c>
      <c r="D112" t="s">
        <v>51</v>
      </c>
      <c r="E112" t="s">
        <v>54</v>
      </c>
      <c r="F112" t="s">
        <v>69</v>
      </c>
      <c r="G112" s="43">
        <v>43456</v>
      </c>
      <c r="H112">
        <v>5</v>
      </c>
      <c r="I112">
        <v>27320</v>
      </c>
      <c r="J112">
        <v>8000000</v>
      </c>
      <c r="P112" s="77">
        <f t="shared" si="7"/>
        <v>1226</v>
      </c>
      <c r="Q112" s="78">
        <f t="shared" si="8"/>
        <v>91.066666666666663</v>
      </c>
      <c r="R112" s="78">
        <f t="shared" si="9"/>
        <v>1.52587890625</v>
      </c>
      <c r="S112" s="78">
        <f t="shared" si="10"/>
        <v>19</v>
      </c>
      <c r="T112" s="78">
        <f t="shared" si="11"/>
        <v>21.248888888888889</v>
      </c>
      <c r="U112" s="78" t="str">
        <f t="shared" si="12"/>
        <v>&lt;35</v>
      </c>
      <c r="V112" s="78" t="str">
        <f t="shared" si="13"/>
        <v>&lt;10 Гб</v>
      </c>
    </row>
    <row r="113" spans="1:22" x14ac:dyDescent="0.25">
      <c r="A113" t="s">
        <v>948</v>
      </c>
      <c r="B113" s="43">
        <v>37723</v>
      </c>
      <c r="C113" t="s">
        <v>50</v>
      </c>
      <c r="D113" t="s">
        <v>51</v>
      </c>
      <c r="E113" t="s">
        <v>54</v>
      </c>
      <c r="F113" t="s">
        <v>63</v>
      </c>
      <c r="G113" s="43">
        <v>42998</v>
      </c>
      <c r="H113">
        <v>5</v>
      </c>
      <c r="I113">
        <v>18564</v>
      </c>
      <c r="J113">
        <v>148000000</v>
      </c>
      <c r="P113" s="77">
        <f t="shared" si="7"/>
        <v>1684</v>
      </c>
      <c r="Q113" s="78">
        <f t="shared" si="8"/>
        <v>61.88</v>
      </c>
      <c r="R113" s="78">
        <f t="shared" si="9"/>
        <v>28.228759765625</v>
      </c>
      <c r="S113" s="78">
        <f t="shared" si="10"/>
        <v>19</v>
      </c>
      <c r="T113" s="78">
        <f t="shared" si="11"/>
        <v>14.438666666666668</v>
      </c>
      <c r="U113" s="78" t="str">
        <f t="shared" si="12"/>
        <v>&lt;35</v>
      </c>
      <c r="V113" s="78" t="str">
        <f t="shared" si="13"/>
        <v>21-30 Гб</v>
      </c>
    </row>
    <row r="114" spans="1:22" x14ac:dyDescent="0.25">
      <c r="A114" t="s">
        <v>444</v>
      </c>
      <c r="B114" s="43">
        <v>37717</v>
      </c>
      <c r="C114" t="s">
        <v>50</v>
      </c>
      <c r="D114" t="s">
        <v>51</v>
      </c>
      <c r="E114" t="s">
        <v>52</v>
      </c>
      <c r="F114" t="s">
        <v>57</v>
      </c>
      <c r="G114" s="43">
        <v>44237</v>
      </c>
      <c r="H114">
        <v>5</v>
      </c>
      <c r="I114">
        <v>65968</v>
      </c>
      <c r="J114">
        <v>44000000</v>
      </c>
      <c r="K114">
        <v>1</v>
      </c>
      <c r="P114" s="77">
        <f t="shared" si="7"/>
        <v>445</v>
      </c>
      <c r="Q114" s="78">
        <f t="shared" si="8"/>
        <v>219.89333333333335</v>
      </c>
      <c r="R114" s="78">
        <f t="shared" si="9"/>
        <v>8.392333984375</v>
      </c>
      <c r="S114" s="78">
        <f t="shared" si="10"/>
        <v>19</v>
      </c>
      <c r="T114" s="78">
        <f t="shared" si="11"/>
        <v>51.308444444444447</v>
      </c>
      <c r="U114" s="78" t="str">
        <f t="shared" si="12"/>
        <v>35-60</v>
      </c>
      <c r="V114" s="78" t="str">
        <f t="shared" si="13"/>
        <v>&lt;10 Гб</v>
      </c>
    </row>
    <row r="115" spans="1:22" x14ac:dyDescent="0.25">
      <c r="A115" t="s">
        <v>941</v>
      </c>
      <c r="B115" s="43">
        <v>37714</v>
      </c>
      <c r="C115" t="s">
        <v>58</v>
      </c>
      <c r="D115" t="s">
        <v>51</v>
      </c>
      <c r="E115" t="s">
        <v>52</v>
      </c>
      <c r="F115" t="s">
        <v>63</v>
      </c>
      <c r="G115" s="43">
        <v>43778</v>
      </c>
      <c r="H115">
        <v>5</v>
      </c>
      <c r="I115">
        <v>24484</v>
      </c>
      <c r="J115">
        <v>144000000</v>
      </c>
      <c r="P115" s="77">
        <f t="shared" si="7"/>
        <v>904</v>
      </c>
      <c r="Q115" s="78">
        <f t="shared" si="8"/>
        <v>81.61333333333333</v>
      </c>
      <c r="R115" s="78">
        <f t="shared" si="9"/>
        <v>27.4658203125</v>
      </c>
      <c r="S115" s="78">
        <f t="shared" si="10"/>
        <v>19</v>
      </c>
      <c r="T115" s="78">
        <f t="shared" si="11"/>
        <v>19.043111111111109</v>
      </c>
      <c r="U115" s="78" t="str">
        <f t="shared" si="12"/>
        <v>&lt;35</v>
      </c>
      <c r="V115" s="78" t="str">
        <f t="shared" si="13"/>
        <v>21-30 Гб</v>
      </c>
    </row>
    <row r="116" spans="1:22" x14ac:dyDescent="0.25">
      <c r="A116" t="s">
        <v>552</v>
      </c>
      <c r="B116" s="43">
        <v>37713</v>
      </c>
      <c r="C116" t="s">
        <v>50</v>
      </c>
      <c r="D116" t="s">
        <v>51</v>
      </c>
      <c r="E116" t="s">
        <v>52</v>
      </c>
      <c r="F116" t="s">
        <v>57</v>
      </c>
      <c r="G116" s="43">
        <v>43764</v>
      </c>
      <c r="H116">
        <v>5</v>
      </c>
      <c r="I116">
        <v>66516</v>
      </c>
      <c r="J116">
        <v>112000000</v>
      </c>
      <c r="K116">
        <v>1</v>
      </c>
      <c r="P116" s="77">
        <f t="shared" si="7"/>
        <v>918</v>
      </c>
      <c r="Q116" s="78">
        <f t="shared" si="8"/>
        <v>221.72</v>
      </c>
      <c r="R116" s="78">
        <f t="shared" si="9"/>
        <v>21.3623046875</v>
      </c>
      <c r="S116" s="78">
        <f t="shared" si="10"/>
        <v>19</v>
      </c>
      <c r="T116" s="78">
        <f t="shared" si="11"/>
        <v>51.734666666666662</v>
      </c>
      <c r="U116" s="78" t="str">
        <f t="shared" si="12"/>
        <v>35-60</v>
      </c>
      <c r="V116" s="78" t="str">
        <f t="shared" si="13"/>
        <v>21-30 Гб</v>
      </c>
    </row>
    <row r="117" spans="1:22" x14ac:dyDescent="0.25">
      <c r="A117" t="s">
        <v>936</v>
      </c>
      <c r="B117" s="43">
        <v>37709</v>
      </c>
      <c r="C117" t="s">
        <v>50</v>
      </c>
      <c r="D117" t="s">
        <v>51</v>
      </c>
      <c r="E117" t="s">
        <v>54</v>
      </c>
      <c r="F117" t="s">
        <v>63</v>
      </c>
      <c r="G117" s="43">
        <v>43785</v>
      </c>
      <c r="H117">
        <v>5</v>
      </c>
      <c r="I117">
        <v>9716</v>
      </c>
      <c r="J117">
        <v>156000000</v>
      </c>
      <c r="P117" s="77">
        <f t="shared" si="7"/>
        <v>897</v>
      </c>
      <c r="Q117" s="78">
        <f t="shared" si="8"/>
        <v>32.386666666666663</v>
      </c>
      <c r="R117" s="78">
        <f t="shared" si="9"/>
        <v>29.754638671875</v>
      </c>
      <c r="S117" s="78">
        <f t="shared" si="10"/>
        <v>19</v>
      </c>
      <c r="T117" s="78">
        <f t="shared" si="11"/>
        <v>7.5568888888888885</v>
      </c>
      <c r="U117" s="78" t="str">
        <f t="shared" si="12"/>
        <v>&lt;35</v>
      </c>
      <c r="V117" s="78" t="str">
        <f t="shared" si="13"/>
        <v>21-30 Гб</v>
      </c>
    </row>
    <row r="118" spans="1:22" x14ac:dyDescent="0.25">
      <c r="A118" t="s">
        <v>639</v>
      </c>
      <c r="B118" s="43">
        <v>37707</v>
      </c>
      <c r="C118" t="s">
        <v>50</v>
      </c>
      <c r="D118" t="s">
        <v>51</v>
      </c>
      <c r="E118" t="s">
        <v>52</v>
      </c>
      <c r="F118" t="s">
        <v>57</v>
      </c>
      <c r="G118" s="43">
        <v>43799</v>
      </c>
      <c r="H118">
        <v>5</v>
      </c>
      <c r="I118">
        <v>75400</v>
      </c>
      <c r="J118">
        <v>104000000</v>
      </c>
      <c r="K118">
        <v>1</v>
      </c>
      <c r="P118" s="77">
        <f t="shared" si="7"/>
        <v>883</v>
      </c>
      <c r="Q118" s="78">
        <f t="shared" si="8"/>
        <v>251.33333333333334</v>
      </c>
      <c r="R118" s="78">
        <f t="shared" si="9"/>
        <v>19.83642578125</v>
      </c>
      <c r="S118" s="78">
        <f t="shared" si="10"/>
        <v>19</v>
      </c>
      <c r="T118" s="78">
        <f t="shared" si="11"/>
        <v>58.644444444444453</v>
      </c>
      <c r="U118" s="78" t="str">
        <f t="shared" si="12"/>
        <v>35-60</v>
      </c>
      <c r="V118" s="78" t="str">
        <f t="shared" si="13"/>
        <v>10-20 Гб</v>
      </c>
    </row>
    <row r="119" spans="1:22" x14ac:dyDescent="0.25">
      <c r="A119" t="s">
        <v>454</v>
      </c>
      <c r="B119" s="43">
        <v>37706</v>
      </c>
      <c r="C119" t="s">
        <v>50</v>
      </c>
      <c r="D119" t="s">
        <v>51</v>
      </c>
      <c r="E119" t="s">
        <v>52</v>
      </c>
      <c r="F119" t="s">
        <v>57</v>
      </c>
      <c r="G119" s="43">
        <v>42909</v>
      </c>
      <c r="H119">
        <v>5</v>
      </c>
      <c r="I119">
        <v>37832</v>
      </c>
      <c r="J119">
        <v>16000000</v>
      </c>
      <c r="P119" s="77">
        <f t="shared" si="7"/>
        <v>1773</v>
      </c>
      <c r="Q119" s="78">
        <f t="shared" si="8"/>
        <v>126.10666666666667</v>
      </c>
      <c r="R119" s="78">
        <f t="shared" si="9"/>
        <v>3.0517578125</v>
      </c>
      <c r="S119" s="78">
        <f t="shared" si="10"/>
        <v>19</v>
      </c>
      <c r="T119" s="78">
        <f t="shared" si="11"/>
        <v>29.424888888888891</v>
      </c>
      <c r="U119" s="78" t="str">
        <f t="shared" si="12"/>
        <v>&lt;35</v>
      </c>
      <c r="V119" s="78" t="str">
        <f t="shared" si="13"/>
        <v>&lt;10 Гб</v>
      </c>
    </row>
    <row r="120" spans="1:22" x14ac:dyDescent="0.25">
      <c r="A120" t="s">
        <v>576</v>
      </c>
      <c r="B120" s="43">
        <v>37702</v>
      </c>
      <c r="C120" t="s">
        <v>58</v>
      </c>
      <c r="D120" t="s">
        <v>51</v>
      </c>
      <c r="E120" t="s">
        <v>54</v>
      </c>
      <c r="F120" t="s">
        <v>57</v>
      </c>
      <c r="G120" s="43">
        <v>43584</v>
      </c>
      <c r="H120">
        <v>5</v>
      </c>
      <c r="I120">
        <v>6852</v>
      </c>
      <c r="J120">
        <v>24000000</v>
      </c>
      <c r="P120" s="77">
        <f t="shared" si="7"/>
        <v>1098</v>
      </c>
      <c r="Q120" s="78">
        <f t="shared" si="8"/>
        <v>22.84</v>
      </c>
      <c r="R120" s="78">
        <f t="shared" si="9"/>
        <v>4.57763671875</v>
      </c>
      <c r="S120" s="78">
        <f t="shared" si="10"/>
        <v>19</v>
      </c>
      <c r="T120" s="78">
        <f t="shared" si="11"/>
        <v>5.3293333333333335</v>
      </c>
      <c r="U120" s="78" t="str">
        <f t="shared" si="12"/>
        <v>&lt;35</v>
      </c>
      <c r="V120" s="78" t="str">
        <f t="shared" si="13"/>
        <v>&lt;10 Гб</v>
      </c>
    </row>
    <row r="121" spans="1:22" x14ac:dyDescent="0.25">
      <c r="A121" t="s">
        <v>655</v>
      </c>
      <c r="B121" s="43">
        <v>37702</v>
      </c>
      <c r="C121" t="s">
        <v>50</v>
      </c>
      <c r="D121" t="s">
        <v>51</v>
      </c>
      <c r="E121" t="s">
        <v>54</v>
      </c>
      <c r="F121" t="s">
        <v>57</v>
      </c>
      <c r="G121" s="43">
        <v>42769</v>
      </c>
      <c r="H121">
        <v>5</v>
      </c>
      <c r="I121">
        <v>84832</v>
      </c>
      <c r="J121">
        <v>92000000</v>
      </c>
      <c r="P121" s="77">
        <f t="shared" si="7"/>
        <v>1913</v>
      </c>
      <c r="Q121" s="78">
        <f t="shared" si="8"/>
        <v>282.77333333333331</v>
      </c>
      <c r="R121" s="78">
        <f t="shared" si="9"/>
        <v>17.547607421875</v>
      </c>
      <c r="S121" s="78">
        <f t="shared" si="10"/>
        <v>19</v>
      </c>
      <c r="T121" s="78">
        <f t="shared" si="11"/>
        <v>65.980444444444444</v>
      </c>
      <c r="U121" s="78" t="str">
        <f t="shared" si="12"/>
        <v>61-90</v>
      </c>
      <c r="V121" s="78" t="str">
        <f t="shared" si="13"/>
        <v>10-20 Гб</v>
      </c>
    </row>
    <row r="122" spans="1:22" x14ac:dyDescent="0.25">
      <c r="A122" t="s">
        <v>947</v>
      </c>
      <c r="B122" s="43">
        <v>37693</v>
      </c>
      <c r="C122" t="s">
        <v>50</v>
      </c>
      <c r="D122" t="s">
        <v>51</v>
      </c>
      <c r="E122" t="s">
        <v>52</v>
      </c>
      <c r="F122" t="s">
        <v>63</v>
      </c>
      <c r="G122" s="43">
        <v>43583</v>
      </c>
      <c r="H122">
        <v>5</v>
      </c>
      <c r="I122">
        <v>33180</v>
      </c>
      <c r="J122">
        <v>152000000</v>
      </c>
      <c r="K122">
        <v>1</v>
      </c>
      <c r="P122" s="77">
        <f t="shared" si="7"/>
        <v>1099</v>
      </c>
      <c r="Q122" s="78">
        <f t="shared" si="8"/>
        <v>110.6</v>
      </c>
      <c r="R122" s="78">
        <f t="shared" si="9"/>
        <v>28.99169921875</v>
      </c>
      <c r="S122" s="78">
        <f t="shared" si="10"/>
        <v>19</v>
      </c>
      <c r="T122" s="78">
        <f t="shared" si="11"/>
        <v>25.806666666666665</v>
      </c>
      <c r="U122" s="78" t="str">
        <f t="shared" si="12"/>
        <v>&lt;35</v>
      </c>
      <c r="V122" s="78" t="str">
        <f t="shared" si="13"/>
        <v>21-30 Гб</v>
      </c>
    </row>
    <row r="123" spans="1:22" x14ac:dyDescent="0.25">
      <c r="A123" t="s">
        <v>1196</v>
      </c>
      <c r="B123" s="43">
        <v>37691</v>
      </c>
      <c r="C123" t="s">
        <v>50</v>
      </c>
      <c r="D123" t="s">
        <v>51</v>
      </c>
      <c r="E123" t="s">
        <v>52</v>
      </c>
      <c r="F123" t="s">
        <v>69</v>
      </c>
      <c r="G123" s="43">
        <v>43438</v>
      </c>
      <c r="H123">
        <v>5</v>
      </c>
      <c r="I123">
        <v>44220</v>
      </c>
      <c r="J123">
        <v>20000000</v>
      </c>
      <c r="P123" s="77">
        <f t="shared" si="7"/>
        <v>1244</v>
      </c>
      <c r="Q123" s="78">
        <f t="shared" si="8"/>
        <v>147.4</v>
      </c>
      <c r="R123" s="78">
        <f t="shared" si="9"/>
        <v>3.814697265625</v>
      </c>
      <c r="S123" s="78">
        <f t="shared" si="10"/>
        <v>19</v>
      </c>
      <c r="T123" s="78">
        <f t="shared" si="11"/>
        <v>34.393333333333331</v>
      </c>
      <c r="U123" s="78" t="str">
        <f t="shared" si="12"/>
        <v>&lt;35</v>
      </c>
      <c r="V123" s="78" t="str">
        <f t="shared" si="13"/>
        <v>&lt;10 Гб</v>
      </c>
    </row>
    <row r="124" spans="1:22" x14ac:dyDescent="0.25">
      <c r="A124" t="s">
        <v>386</v>
      </c>
      <c r="B124" s="43">
        <v>37685</v>
      </c>
      <c r="C124" t="s">
        <v>50</v>
      </c>
      <c r="D124" t="s">
        <v>51</v>
      </c>
      <c r="E124" t="s">
        <v>52</v>
      </c>
      <c r="F124" t="s">
        <v>56</v>
      </c>
      <c r="G124" s="43">
        <v>43515</v>
      </c>
      <c r="H124">
        <v>5</v>
      </c>
      <c r="I124">
        <v>87664</v>
      </c>
      <c r="J124">
        <v>52000000</v>
      </c>
      <c r="K124">
        <v>1</v>
      </c>
      <c r="L124">
        <v>1</v>
      </c>
      <c r="O124">
        <v>1</v>
      </c>
      <c r="P124" s="77">
        <f t="shared" si="7"/>
        <v>1167</v>
      </c>
      <c r="Q124" s="78">
        <f t="shared" si="8"/>
        <v>292.21333333333331</v>
      </c>
      <c r="R124" s="78">
        <f t="shared" si="9"/>
        <v>9.918212890625</v>
      </c>
      <c r="S124" s="78">
        <f t="shared" si="10"/>
        <v>19</v>
      </c>
      <c r="T124" s="78">
        <f t="shared" si="11"/>
        <v>68.183111111111103</v>
      </c>
      <c r="U124" s="78" t="str">
        <f t="shared" si="12"/>
        <v>61-90</v>
      </c>
      <c r="V124" s="78" t="str">
        <f t="shared" si="13"/>
        <v>&lt;10 Гб</v>
      </c>
    </row>
    <row r="125" spans="1:22" x14ac:dyDescent="0.25">
      <c r="A125" t="s">
        <v>1114</v>
      </c>
      <c r="B125" s="43">
        <v>37685</v>
      </c>
      <c r="C125" t="s">
        <v>58</v>
      </c>
      <c r="D125" t="s">
        <v>51</v>
      </c>
      <c r="E125" t="s">
        <v>52</v>
      </c>
      <c r="F125" t="s">
        <v>69</v>
      </c>
      <c r="G125" s="43">
        <v>43176</v>
      </c>
      <c r="H125">
        <v>5</v>
      </c>
      <c r="I125">
        <v>36652</v>
      </c>
      <c r="J125">
        <v>12000000</v>
      </c>
      <c r="P125" s="77">
        <f t="shared" si="7"/>
        <v>1506</v>
      </c>
      <c r="Q125" s="78">
        <f t="shared" si="8"/>
        <v>122.17333333333333</v>
      </c>
      <c r="R125" s="78">
        <f t="shared" si="9"/>
        <v>2.288818359375</v>
      </c>
      <c r="S125" s="78">
        <f t="shared" si="10"/>
        <v>19</v>
      </c>
      <c r="T125" s="78">
        <f t="shared" si="11"/>
        <v>28.507111111111112</v>
      </c>
      <c r="U125" s="78" t="str">
        <f t="shared" si="12"/>
        <v>&lt;35</v>
      </c>
      <c r="V125" s="78" t="str">
        <f t="shared" si="13"/>
        <v>&lt;10 Гб</v>
      </c>
    </row>
    <row r="126" spans="1:22" x14ac:dyDescent="0.25">
      <c r="A126" t="s">
        <v>918</v>
      </c>
      <c r="B126" s="43">
        <v>37683</v>
      </c>
      <c r="C126" t="s">
        <v>58</v>
      </c>
      <c r="D126" t="s">
        <v>51</v>
      </c>
      <c r="E126" t="s">
        <v>52</v>
      </c>
      <c r="F126" t="s">
        <v>63</v>
      </c>
      <c r="G126" s="43">
        <v>44407</v>
      </c>
      <c r="H126">
        <v>5</v>
      </c>
      <c r="I126">
        <v>24136</v>
      </c>
      <c r="J126">
        <v>56000000</v>
      </c>
      <c r="P126" s="77">
        <f t="shared" si="7"/>
        <v>275</v>
      </c>
      <c r="Q126" s="78">
        <f t="shared" si="8"/>
        <v>80.453333333333333</v>
      </c>
      <c r="R126" s="78">
        <f t="shared" si="9"/>
        <v>10.68115234375</v>
      </c>
      <c r="S126" s="78">
        <f t="shared" si="10"/>
        <v>19</v>
      </c>
      <c r="T126" s="78">
        <f t="shared" si="11"/>
        <v>18.772444444444442</v>
      </c>
      <c r="U126" s="78" t="str">
        <f t="shared" si="12"/>
        <v>&lt;35</v>
      </c>
      <c r="V126" s="78" t="str">
        <f t="shared" si="13"/>
        <v>10-20 Гб</v>
      </c>
    </row>
    <row r="127" spans="1:22" x14ac:dyDescent="0.25">
      <c r="A127" t="s">
        <v>962</v>
      </c>
      <c r="B127" s="43">
        <v>37679</v>
      </c>
      <c r="C127" t="s">
        <v>50</v>
      </c>
      <c r="D127" t="s">
        <v>51</v>
      </c>
      <c r="E127" t="s">
        <v>54</v>
      </c>
      <c r="F127" t="s">
        <v>63</v>
      </c>
      <c r="G127" s="43">
        <v>43326</v>
      </c>
      <c r="H127">
        <v>5</v>
      </c>
      <c r="I127">
        <v>28344</v>
      </c>
      <c r="J127">
        <v>152000000</v>
      </c>
      <c r="K127">
        <v>1</v>
      </c>
      <c r="P127" s="77">
        <f t="shared" si="7"/>
        <v>1356</v>
      </c>
      <c r="Q127" s="78">
        <f t="shared" si="8"/>
        <v>94.48</v>
      </c>
      <c r="R127" s="78">
        <f t="shared" si="9"/>
        <v>28.99169921875</v>
      </c>
      <c r="S127" s="78">
        <f t="shared" si="10"/>
        <v>19</v>
      </c>
      <c r="T127" s="78">
        <f t="shared" si="11"/>
        <v>22.045333333333335</v>
      </c>
      <c r="U127" s="78" t="str">
        <f t="shared" si="12"/>
        <v>&lt;35</v>
      </c>
      <c r="V127" s="78" t="str">
        <f t="shared" si="13"/>
        <v>21-30 Гб</v>
      </c>
    </row>
    <row r="128" spans="1:22" x14ac:dyDescent="0.25">
      <c r="A128" t="s">
        <v>580</v>
      </c>
      <c r="B128" s="43">
        <v>37670</v>
      </c>
      <c r="C128" t="s">
        <v>50</v>
      </c>
      <c r="D128" t="s">
        <v>51</v>
      </c>
      <c r="E128" t="s">
        <v>54</v>
      </c>
      <c r="F128" t="s">
        <v>57</v>
      </c>
      <c r="G128" s="43">
        <v>44223</v>
      </c>
      <c r="H128">
        <v>5</v>
      </c>
      <c r="I128">
        <v>17512</v>
      </c>
      <c r="J128">
        <v>88000000</v>
      </c>
      <c r="P128" s="77">
        <f t="shared" ref="P128:P191" si="14">DATEDIF(G128,$C$2,"D")</f>
        <v>459</v>
      </c>
      <c r="Q128" s="78">
        <f t="shared" ref="Q128:Q191" si="15">IF(P128&lt;DATEDIF($C$3,$C$2,"D"),I128/(60*(P128/30)),I128/(60*5))</f>
        <v>58.373333333333335</v>
      </c>
      <c r="R128" s="78">
        <f t="shared" ref="R128:R191" si="16">IF(P128&lt;DATEDIF($C$3,$C$2,"D"),J128/(1048576*(P128/30)),J128/(1048576*5))</f>
        <v>16.78466796875</v>
      </c>
      <c r="S128" s="78">
        <f t="shared" ref="S128:S191" si="17">DATEDIF(B128,$C$2,"Y")</f>
        <v>19</v>
      </c>
      <c r="T128" s="78">
        <f t="shared" si="11"/>
        <v>13.620444444444445</v>
      </c>
      <c r="U128" s="78" t="str">
        <f t="shared" si="12"/>
        <v>&lt;35</v>
      </c>
      <c r="V128" s="78" t="str">
        <f t="shared" si="13"/>
        <v>10-20 Гб</v>
      </c>
    </row>
    <row r="129" spans="1:22" x14ac:dyDescent="0.25">
      <c r="A129" t="s">
        <v>654</v>
      </c>
      <c r="B129" s="43">
        <v>37668</v>
      </c>
      <c r="C129" t="s">
        <v>58</v>
      </c>
      <c r="D129" t="s">
        <v>51</v>
      </c>
      <c r="E129" t="s">
        <v>52</v>
      </c>
      <c r="F129" t="s">
        <v>57</v>
      </c>
      <c r="G129" s="43">
        <v>43401</v>
      </c>
      <c r="H129">
        <v>5</v>
      </c>
      <c r="I129">
        <v>46436</v>
      </c>
      <c r="J129">
        <v>100000000</v>
      </c>
      <c r="N129">
        <v>1</v>
      </c>
      <c r="P129" s="77">
        <f t="shared" si="14"/>
        <v>1281</v>
      </c>
      <c r="Q129" s="78">
        <f t="shared" si="15"/>
        <v>154.78666666666666</v>
      </c>
      <c r="R129" s="78">
        <f t="shared" si="16"/>
        <v>19.073486328125</v>
      </c>
      <c r="S129" s="78">
        <f t="shared" si="17"/>
        <v>19</v>
      </c>
      <c r="T129" s="78">
        <f t="shared" si="11"/>
        <v>36.116888888888887</v>
      </c>
      <c r="U129" s="78" t="str">
        <f t="shared" si="12"/>
        <v>35-60</v>
      </c>
      <c r="V129" s="78" t="str">
        <f t="shared" si="13"/>
        <v>10-20 Гб</v>
      </c>
    </row>
    <row r="130" spans="1:22" x14ac:dyDescent="0.25">
      <c r="A130" t="s">
        <v>88</v>
      </c>
      <c r="B130" s="43">
        <v>37660</v>
      </c>
      <c r="C130" t="s">
        <v>50</v>
      </c>
      <c r="D130" t="s">
        <v>51</v>
      </c>
      <c r="E130" t="s">
        <v>52</v>
      </c>
      <c r="F130" t="s">
        <v>63</v>
      </c>
      <c r="G130" s="43">
        <v>44643</v>
      </c>
      <c r="H130">
        <v>1</v>
      </c>
      <c r="I130">
        <v>3688</v>
      </c>
      <c r="J130">
        <v>44200000</v>
      </c>
      <c r="P130" s="77">
        <f t="shared" si="14"/>
        <v>39</v>
      </c>
      <c r="Q130" s="78">
        <f t="shared" si="15"/>
        <v>47.282051282051285</v>
      </c>
      <c r="R130" s="78">
        <f t="shared" si="16"/>
        <v>32.4249267578125</v>
      </c>
      <c r="S130" s="78">
        <f t="shared" si="17"/>
        <v>19</v>
      </c>
      <c r="T130" s="78">
        <f t="shared" si="11"/>
        <v>11.032478632478634</v>
      </c>
      <c r="U130" s="78" t="str">
        <f t="shared" si="12"/>
        <v>&lt;35</v>
      </c>
      <c r="V130" s="78" t="str">
        <f t="shared" si="13"/>
        <v>31-40 Гб</v>
      </c>
    </row>
    <row r="131" spans="1:22" x14ac:dyDescent="0.25">
      <c r="A131" t="s">
        <v>763</v>
      </c>
      <c r="B131" s="43">
        <v>37660</v>
      </c>
      <c r="C131" t="s">
        <v>50</v>
      </c>
      <c r="D131" t="s">
        <v>51</v>
      </c>
      <c r="E131" t="s">
        <v>54</v>
      </c>
      <c r="F131" t="s">
        <v>57</v>
      </c>
      <c r="G131" s="43">
        <v>44530</v>
      </c>
      <c r="H131">
        <v>5</v>
      </c>
      <c r="I131">
        <v>80564</v>
      </c>
      <c r="J131">
        <v>36000000</v>
      </c>
      <c r="P131" s="77">
        <f t="shared" si="14"/>
        <v>152</v>
      </c>
      <c r="Q131" s="78">
        <f t="shared" si="15"/>
        <v>268.54666666666668</v>
      </c>
      <c r="R131" s="78">
        <f t="shared" si="16"/>
        <v>6.866455078125</v>
      </c>
      <c r="S131" s="78">
        <f t="shared" si="17"/>
        <v>19</v>
      </c>
      <c r="T131" s="78">
        <f t="shared" si="11"/>
        <v>62.660888888888891</v>
      </c>
      <c r="U131" s="78" t="str">
        <f t="shared" si="12"/>
        <v>61-90</v>
      </c>
      <c r="V131" s="78" t="str">
        <f t="shared" si="13"/>
        <v>&lt;10 Гб</v>
      </c>
    </row>
    <row r="132" spans="1:22" x14ac:dyDescent="0.25">
      <c r="A132" t="s">
        <v>886</v>
      </c>
      <c r="B132" s="43">
        <v>37646</v>
      </c>
      <c r="C132" t="s">
        <v>58</v>
      </c>
      <c r="D132" t="s">
        <v>51</v>
      </c>
      <c r="E132" t="s">
        <v>52</v>
      </c>
      <c r="F132" t="s">
        <v>63</v>
      </c>
      <c r="G132" s="43">
        <v>43428</v>
      </c>
      <c r="H132">
        <v>5</v>
      </c>
      <c r="I132">
        <v>23332</v>
      </c>
      <c r="J132">
        <v>36000000</v>
      </c>
      <c r="P132" s="77">
        <f t="shared" si="14"/>
        <v>1254</v>
      </c>
      <c r="Q132" s="78">
        <f t="shared" si="15"/>
        <v>77.773333333333326</v>
      </c>
      <c r="R132" s="78">
        <f t="shared" si="16"/>
        <v>6.866455078125</v>
      </c>
      <c r="S132" s="78">
        <f t="shared" si="17"/>
        <v>19</v>
      </c>
      <c r="T132" s="78">
        <f t="shared" si="11"/>
        <v>18.147111111111109</v>
      </c>
      <c r="U132" s="78" t="str">
        <f t="shared" si="12"/>
        <v>&lt;35</v>
      </c>
      <c r="V132" s="78" t="str">
        <f t="shared" si="13"/>
        <v>&lt;10 Гб</v>
      </c>
    </row>
    <row r="133" spans="1:22" x14ac:dyDescent="0.25">
      <c r="A133" t="s">
        <v>477</v>
      </c>
      <c r="B133" s="43">
        <v>37644</v>
      </c>
      <c r="C133" t="s">
        <v>58</v>
      </c>
      <c r="D133" t="s">
        <v>51</v>
      </c>
      <c r="E133" t="s">
        <v>54</v>
      </c>
      <c r="F133" t="s">
        <v>57</v>
      </c>
      <c r="G133" s="43">
        <v>44151</v>
      </c>
      <c r="H133">
        <v>5</v>
      </c>
      <c r="I133">
        <v>56448</v>
      </c>
      <c r="J133">
        <v>88000000</v>
      </c>
      <c r="K133">
        <v>1</v>
      </c>
      <c r="L133">
        <v>1</v>
      </c>
      <c r="O133">
        <v>1</v>
      </c>
      <c r="P133" s="77">
        <f t="shared" si="14"/>
        <v>531</v>
      </c>
      <c r="Q133" s="78">
        <f t="shared" si="15"/>
        <v>188.16</v>
      </c>
      <c r="R133" s="78">
        <f t="shared" si="16"/>
        <v>16.78466796875</v>
      </c>
      <c r="S133" s="78">
        <f t="shared" si="17"/>
        <v>19</v>
      </c>
      <c r="T133" s="78">
        <f t="shared" si="11"/>
        <v>43.903999999999996</v>
      </c>
      <c r="U133" s="78" t="str">
        <f t="shared" si="12"/>
        <v>35-60</v>
      </c>
      <c r="V133" s="78" t="str">
        <f t="shared" si="13"/>
        <v>10-20 Гб</v>
      </c>
    </row>
    <row r="134" spans="1:22" x14ac:dyDescent="0.25">
      <c r="A134" t="s">
        <v>735</v>
      </c>
      <c r="B134" s="43">
        <v>37641</v>
      </c>
      <c r="C134" t="s">
        <v>50</v>
      </c>
      <c r="D134" t="s">
        <v>51</v>
      </c>
      <c r="E134" t="s">
        <v>52</v>
      </c>
      <c r="F134" t="s">
        <v>57</v>
      </c>
      <c r="G134" s="43">
        <v>44456</v>
      </c>
      <c r="H134">
        <v>5</v>
      </c>
      <c r="I134">
        <v>95896</v>
      </c>
      <c r="J134">
        <v>88000000</v>
      </c>
      <c r="P134" s="77">
        <f t="shared" si="14"/>
        <v>226</v>
      </c>
      <c r="Q134" s="78">
        <f t="shared" si="15"/>
        <v>319.65333333333331</v>
      </c>
      <c r="R134" s="78">
        <f t="shared" si="16"/>
        <v>16.78466796875</v>
      </c>
      <c r="S134" s="78">
        <f t="shared" si="17"/>
        <v>19</v>
      </c>
      <c r="T134" s="78">
        <f t="shared" si="11"/>
        <v>74.585777777777778</v>
      </c>
      <c r="U134" s="78" t="str">
        <f t="shared" si="12"/>
        <v>61-90</v>
      </c>
      <c r="V134" s="78" t="str">
        <f t="shared" si="13"/>
        <v>10-20 Гб</v>
      </c>
    </row>
    <row r="135" spans="1:22" x14ac:dyDescent="0.25">
      <c r="A135" t="s">
        <v>643</v>
      </c>
      <c r="B135" s="43">
        <v>37640</v>
      </c>
      <c r="C135" t="s">
        <v>50</v>
      </c>
      <c r="D135" t="s">
        <v>51</v>
      </c>
      <c r="E135" t="s">
        <v>54</v>
      </c>
      <c r="F135" t="s">
        <v>57</v>
      </c>
      <c r="G135" s="43">
        <v>42852</v>
      </c>
      <c r="H135">
        <v>5</v>
      </c>
      <c r="I135">
        <v>21880</v>
      </c>
      <c r="J135">
        <v>100000000</v>
      </c>
      <c r="P135" s="77">
        <f t="shared" si="14"/>
        <v>1830</v>
      </c>
      <c r="Q135" s="78">
        <f t="shared" si="15"/>
        <v>72.933333333333337</v>
      </c>
      <c r="R135" s="78">
        <f t="shared" si="16"/>
        <v>19.073486328125</v>
      </c>
      <c r="S135" s="78">
        <f t="shared" si="17"/>
        <v>19</v>
      </c>
      <c r="T135" s="78">
        <f t="shared" ref="T135:T198" si="18">(Q135*7)/30</f>
        <v>17.017777777777777</v>
      </c>
      <c r="U135" s="78" t="str">
        <f t="shared" ref="U135:U198" si="19">IF(T135&gt;120,"120+",IF(T135&gt;90,"91-120",IF(T135&gt;60,"61-90",IF(T135&gt;35,"35-60","&lt;35"))))</f>
        <v>&lt;35</v>
      </c>
      <c r="V135" s="78" t="str">
        <f t="shared" ref="V135:V198" si="20">IF(R135&gt;40,"40+ Гб",IF(R135&gt;30,"31-40 Гб",IF(R135&gt;20,"21-30 Гб",IF(R135&gt;10,"10-20 Гб","&lt;10 Гб"))))</f>
        <v>10-20 Гб</v>
      </c>
    </row>
    <row r="136" spans="1:22" x14ac:dyDescent="0.25">
      <c r="A136" t="s">
        <v>529</v>
      </c>
      <c r="B136" s="43">
        <v>37638</v>
      </c>
      <c r="C136" t="s">
        <v>50</v>
      </c>
      <c r="D136" t="s">
        <v>51</v>
      </c>
      <c r="E136" t="s">
        <v>54</v>
      </c>
      <c r="F136" t="s">
        <v>57</v>
      </c>
      <c r="G136" s="43">
        <v>44140</v>
      </c>
      <c r="H136">
        <v>5</v>
      </c>
      <c r="I136">
        <v>38692</v>
      </c>
      <c r="J136">
        <v>76000000</v>
      </c>
      <c r="P136" s="77">
        <f t="shared" si="14"/>
        <v>542</v>
      </c>
      <c r="Q136" s="78">
        <f t="shared" si="15"/>
        <v>128.97333333333333</v>
      </c>
      <c r="R136" s="78">
        <f t="shared" si="16"/>
        <v>14.495849609375</v>
      </c>
      <c r="S136" s="78">
        <f t="shared" si="17"/>
        <v>19</v>
      </c>
      <c r="T136" s="78">
        <f t="shared" si="18"/>
        <v>30.093777777777778</v>
      </c>
      <c r="U136" s="78" t="str">
        <f t="shared" si="19"/>
        <v>&lt;35</v>
      </c>
      <c r="V136" s="78" t="str">
        <f t="shared" si="20"/>
        <v>10-20 Гб</v>
      </c>
    </row>
    <row r="137" spans="1:22" x14ac:dyDescent="0.25">
      <c r="A137" t="s">
        <v>271</v>
      </c>
      <c r="B137" s="43">
        <v>37633</v>
      </c>
      <c r="C137" t="s">
        <v>50</v>
      </c>
      <c r="D137" t="s">
        <v>51</v>
      </c>
      <c r="E137" t="s">
        <v>52</v>
      </c>
      <c r="F137" t="s">
        <v>56</v>
      </c>
      <c r="G137" s="43">
        <v>42815</v>
      </c>
      <c r="H137">
        <v>5</v>
      </c>
      <c r="I137">
        <v>56292</v>
      </c>
      <c r="J137">
        <v>112000000</v>
      </c>
      <c r="P137" s="77">
        <f t="shared" si="14"/>
        <v>1867</v>
      </c>
      <c r="Q137" s="78">
        <f t="shared" si="15"/>
        <v>187.64</v>
      </c>
      <c r="R137" s="78">
        <f t="shared" si="16"/>
        <v>21.3623046875</v>
      </c>
      <c r="S137" s="78">
        <f t="shared" si="17"/>
        <v>19</v>
      </c>
      <c r="T137" s="78">
        <f t="shared" si="18"/>
        <v>43.782666666666664</v>
      </c>
      <c r="U137" s="78" t="str">
        <f t="shared" si="19"/>
        <v>35-60</v>
      </c>
      <c r="V137" s="78" t="str">
        <f t="shared" si="20"/>
        <v>21-30 Гб</v>
      </c>
    </row>
    <row r="138" spans="1:22" x14ac:dyDescent="0.25">
      <c r="A138" t="s">
        <v>65</v>
      </c>
      <c r="B138" s="43">
        <v>37631</v>
      </c>
      <c r="C138" t="s">
        <v>58</v>
      </c>
      <c r="D138" t="s">
        <v>51</v>
      </c>
      <c r="E138" t="s">
        <v>52</v>
      </c>
      <c r="F138" t="s">
        <v>57</v>
      </c>
      <c r="G138" s="43">
        <v>44676</v>
      </c>
      <c r="H138">
        <v>0</v>
      </c>
      <c r="I138">
        <v>3519</v>
      </c>
      <c r="J138">
        <v>6000000</v>
      </c>
      <c r="P138" s="77">
        <f t="shared" si="14"/>
        <v>6</v>
      </c>
      <c r="Q138" s="78">
        <f t="shared" si="15"/>
        <v>293.25</v>
      </c>
      <c r="R138" s="78">
        <f t="shared" si="16"/>
        <v>28.6102294921875</v>
      </c>
      <c r="S138" s="78">
        <f t="shared" si="17"/>
        <v>19</v>
      </c>
      <c r="T138" s="78">
        <f t="shared" si="18"/>
        <v>68.424999999999997</v>
      </c>
      <c r="U138" s="78" t="str">
        <f t="shared" si="19"/>
        <v>61-90</v>
      </c>
      <c r="V138" s="78" t="str">
        <f t="shared" si="20"/>
        <v>21-30 Гб</v>
      </c>
    </row>
    <row r="139" spans="1:22" x14ac:dyDescent="0.25">
      <c r="A139" t="s">
        <v>602</v>
      </c>
      <c r="B139" s="43">
        <v>37630</v>
      </c>
      <c r="C139" t="s">
        <v>58</v>
      </c>
      <c r="D139" t="s">
        <v>51</v>
      </c>
      <c r="E139" t="s">
        <v>54</v>
      </c>
      <c r="F139" t="s">
        <v>57</v>
      </c>
      <c r="G139" s="43">
        <v>43318</v>
      </c>
      <c r="H139">
        <v>5</v>
      </c>
      <c r="I139">
        <v>78324</v>
      </c>
      <c r="J139">
        <v>56000000</v>
      </c>
      <c r="P139" s="77">
        <f t="shared" si="14"/>
        <v>1364</v>
      </c>
      <c r="Q139" s="78">
        <f t="shared" si="15"/>
        <v>261.08</v>
      </c>
      <c r="R139" s="78">
        <f t="shared" si="16"/>
        <v>10.68115234375</v>
      </c>
      <c r="S139" s="78">
        <f t="shared" si="17"/>
        <v>19</v>
      </c>
      <c r="T139" s="78">
        <f t="shared" si="18"/>
        <v>60.918666666666667</v>
      </c>
      <c r="U139" s="78" t="str">
        <f t="shared" si="19"/>
        <v>61-90</v>
      </c>
      <c r="V139" s="78" t="str">
        <f t="shared" si="20"/>
        <v>10-20 Гб</v>
      </c>
    </row>
    <row r="140" spans="1:22" x14ac:dyDescent="0.25">
      <c r="A140" t="s">
        <v>321</v>
      </c>
      <c r="B140" s="43">
        <v>37629</v>
      </c>
      <c r="C140" t="s">
        <v>58</v>
      </c>
      <c r="D140" t="s">
        <v>51</v>
      </c>
      <c r="E140" t="s">
        <v>54</v>
      </c>
      <c r="F140" t="s">
        <v>56</v>
      </c>
      <c r="G140" s="43">
        <v>43186</v>
      </c>
      <c r="H140">
        <v>5</v>
      </c>
      <c r="I140">
        <v>120036</v>
      </c>
      <c r="J140">
        <v>100000000</v>
      </c>
      <c r="N140">
        <v>1</v>
      </c>
      <c r="P140" s="77">
        <f t="shared" si="14"/>
        <v>1496</v>
      </c>
      <c r="Q140" s="78">
        <f t="shared" si="15"/>
        <v>400.12</v>
      </c>
      <c r="R140" s="78">
        <f t="shared" si="16"/>
        <v>19.073486328125</v>
      </c>
      <c r="S140" s="78">
        <f t="shared" si="17"/>
        <v>19</v>
      </c>
      <c r="T140" s="78">
        <f t="shared" si="18"/>
        <v>93.361333333333334</v>
      </c>
      <c r="U140" s="78" t="str">
        <f t="shared" si="19"/>
        <v>91-120</v>
      </c>
      <c r="V140" s="78" t="str">
        <f t="shared" si="20"/>
        <v>10-20 Гб</v>
      </c>
    </row>
    <row r="141" spans="1:22" x14ac:dyDescent="0.25">
      <c r="A141" t="s">
        <v>508</v>
      </c>
      <c r="B141" s="43">
        <v>37628</v>
      </c>
      <c r="C141" t="s">
        <v>58</v>
      </c>
      <c r="D141" t="s">
        <v>51</v>
      </c>
      <c r="E141" t="s">
        <v>54</v>
      </c>
      <c r="F141" t="s">
        <v>57</v>
      </c>
      <c r="G141" s="43">
        <v>42935</v>
      </c>
      <c r="H141">
        <v>5</v>
      </c>
      <c r="I141">
        <v>61768</v>
      </c>
      <c r="J141">
        <v>112000000</v>
      </c>
      <c r="P141" s="77">
        <f t="shared" si="14"/>
        <v>1747</v>
      </c>
      <c r="Q141" s="78">
        <f t="shared" si="15"/>
        <v>205.89333333333335</v>
      </c>
      <c r="R141" s="78">
        <f t="shared" si="16"/>
        <v>21.3623046875</v>
      </c>
      <c r="S141" s="78">
        <f t="shared" si="17"/>
        <v>19</v>
      </c>
      <c r="T141" s="78">
        <f t="shared" si="18"/>
        <v>48.041777777777774</v>
      </c>
      <c r="U141" s="78" t="str">
        <f t="shared" si="19"/>
        <v>35-60</v>
      </c>
      <c r="V141" s="78" t="str">
        <f t="shared" si="20"/>
        <v>21-30 Гб</v>
      </c>
    </row>
    <row r="142" spans="1:22" x14ac:dyDescent="0.25">
      <c r="A142" t="s">
        <v>452</v>
      </c>
      <c r="B142" s="43">
        <v>37623</v>
      </c>
      <c r="C142" t="s">
        <v>50</v>
      </c>
      <c r="D142" t="s">
        <v>51</v>
      </c>
      <c r="E142" t="s">
        <v>54</v>
      </c>
      <c r="F142" t="s">
        <v>57</v>
      </c>
      <c r="G142" s="43">
        <v>44505</v>
      </c>
      <c r="H142">
        <v>5</v>
      </c>
      <c r="I142">
        <v>31452</v>
      </c>
      <c r="J142">
        <v>76000000</v>
      </c>
      <c r="K142">
        <v>1</v>
      </c>
      <c r="P142" s="77">
        <f t="shared" si="14"/>
        <v>177</v>
      </c>
      <c r="Q142" s="78">
        <f t="shared" si="15"/>
        <v>104.84</v>
      </c>
      <c r="R142" s="78">
        <f t="shared" si="16"/>
        <v>14.495849609375</v>
      </c>
      <c r="S142" s="78">
        <f t="shared" si="17"/>
        <v>19</v>
      </c>
      <c r="T142" s="78">
        <f t="shared" si="18"/>
        <v>24.462666666666667</v>
      </c>
      <c r="U142" s="78" t="str">
        <f t="shared" si="19"/>
        <v>&lt;35</v>
      </c>
      <c r="V142" s="78" t="str">
        <f t="shared" si="20"/>
        <v>10-20 Гб</v>
      </c>
    </row>
    <row r="143" spans="1:22" x14ac:dyDescent="0.25">
      <c r="A143" t="s">
        <v>287</v>
      </c>
      <c r="B143" s="43">
        <v>37622</v>
      </c>
      <c r="C143" t="s">
        <v>50</v>
      </c>
      <c r="D143" t="s">
        <v>51</v>
      </c>
      <c r="E143" t="s">
        <v>52</v>
      </c>
      <c r="F143" t="s">
        <v>56</v>
      </c>
      <c r="G143" s="43">
        <v>43605</v>
      </c>
      <c r="H143">
        <v>5</v>
      </c>
      <c r="I143">
        <v>53180</v>
      </c>
      <c r="J143">
        <v>116000000</v>
      </c>
      <c r="L143">
        <v>1</v>
      </c>
      <c r="P143" s="77">
        <f t="shared" si="14"/>
        <v>1077</v>
      </c>
      <c r="Q143" s="78">
        <f t="shared" si="15"/>
        <v>177.26666666666668</v>
      </c>
      <c r="R143" s="78">
        <f t="shared" si="16"/>
        <v>22.125244140625</v>
      </c>
      <c r="S143" s="78">
        <f t="shared" si="17"/>
        <v>19</v>
      </c>
      <c r="T143" s="78">
        <f t="shared" si="18"/>
        <v>41.362222222222229</v>
      </c>
      <c r="U143" s="78" t="str">
        <f t="shared" si="19"/>
        <v>35-60</v>
      </c>
      <c r="V143" s="78" t="str">
        <f t="shared" si="20"/>
        <v>21-30 Гб</v>
      </c>
    </row>
    <row r="144" spans="1:22" x14ac:dyDescent="0.25">
      <c r="A144" t="s">
        <v>428</v>
      </c>
      <c r="B144" s="43">
        <v>37596</v>
      </c>
      <c r="C144" t="s">
        <v>58</v>
      </c>
      <c r="D144" t="s">
        <v>51</v>
      </c>
      <c r="E144" t="s">
        <v>52</v>
      </c>
      <c r="F144" t="s">
        <v>57</v>
      </c>
      <c r="G144" s="43">
        <v>42943</v>
      </c>
      <c r="H144">
        <v>5</v>
      </c>
      <c r="I144">
        <v>69444</v>
      </c>
      <c r="J144">
        <v>40000000</v>
      </c>
      <c r="L144">
        <v>1</v>
      </c>
      <c r="P144" s="77">
        <f t="shared" si="14"/>
        <v>1739</v>
      </c>
      <c r="Q144" s="78">
        <f t="shared" si="15"/>
        <v>231.48</v>
      </c>
      <c r="R144" s="78">
        <f t="shared" si="16"/>
        <v>7.62939453125</v>
      </c>
      <c r="S144" s="78">
        <f t="shared" si="17"/>
        <v>19</v>
      </c>
      <c r="T144" s="78">
        <f t="shared" si="18"/>
        <v>54.011999999999993</v>
      </c>
      <c r="U144" s="78" t="str">
        <f t="shared" si="19"/>
        <v>35-60</v>
      </c>
      <c r="V144" s="78" t="str">
        <f t="shared" si="20"/>
        <v>&lt;10 Гб</v>
      </c>
    </row>
    <row r="145" spans="1:22" x14ac:dyDescent="0.25">
      <c r="A145" t="s">
        <v>174</v>
      </c>
      <c r="B145" s="43">
        <v>37595</v>
      </c>
      <c r="C145" t="s">
        <v>50</v>
      </c>
      <c r="D145" t="s">
        <v>51</v>
      </c>
      <c r="E145" t="s">
        <v>54</v>
      </c>
      <c r="F145" t="s">
        <v>53</v>
      </c>
      <c r="G145" s="43">
        <v>43193</v>
      </c>
      <c r="H145">
        <v>5</v>
      </c>
      <c r="I145">
        <v>154928</v>
      </c>
      <c r="J145">
        <v>36000000</v>
      </c>
      <c r="P145" s="77">
        <f t="shared" si="14"/>
        <v>1489</v>
      </c>
      <c r="Q145" s="78">
        <f t="shared" si="15"/>
        <v>516.42666666666662</v>
      </c>
      <c r="R145" s="78">
        <f t="shared" si="16"/>
        <v>6.866455078125</v>
      </c>
      <c r="S145" s="78">
        <f t="shared" si="17"/>
        <v>19</v>
      </c>
      <c r="T145" s="78">
        <f t="shared" si="18"/>
        <v>120.49955555555555</v>
      </c>
      <c r="U145" s="78" t="str">
        <f t="shared" si="19"/>
        <v>120+</v>
      </c>
      <c r="V145" s="78" t="str">
        <f t="shared" si="20"/>
        <v>&lt;10 Гб</v>
      </c>
    </row>
    <row r="146" spans="1:22" x14ac:dyDescent="0.25">
      <c r="A146" t="s">
        <v>821</v>
      </c>
      <c r="B146" s="43">
        <v>37589</v>
      </c>
      <c r="C146" t="s">
        <v>50</v>
      </c>
      <c r="D146" t="s">
        <v>51</v>
      </c>
      <c r="E146" t="s">
        <v>52</v>
      </c>
      <c r="F146" t="s">
        <v>63</v>
      </c>
      <c r="G146" s="43">
        <v>43165</v>
      </c>
      <c r="H146">
        <v>5</v>
      </c>
      <c r="I146">
        <v>31800</v>
      </c>
      <c r="J146">
        <v>144000000</v>
      </c>
      <c r="P146" s="77">
        <f t="shared" si="14"/>
        <v>1517</v>
      </c>
      <c r="Q146" s="78">
        <f t="shared" si="15"/>
        <v>106</v>
      </c>
      <c r="R146" s="78">
        <f t="shared" si="16"/>
        <v>27.4658203125</v>
      </c>
      <c r="S146" s="78">
        <f t="shared" si="17"/>
        <v>19</v>
      </c>
      <c r="T146" s="78">
        <f t="shared" si="18"/>
        <v>24.733333333333334</v>
      </c>
      <c r="U146" s="78" t="str">
        <f t="shared" si="19"/>
        <v>&lt;35</v>
      </c>
      <c r="V146" s="78" t="str">
        <f t="shared" si="20"/>
        <v>21-30 Гб</v>
      </c>
    </row>
    <row r="147" spans="1:22" x14ac:dyDescent="0.25">
      <c r="A147" t="s">
        <v>253</v>
      </c>
      <c r="B147" s="43">
        <v>37584</v>
      </c>
      <c r="C147" t="s">
        <v>58</v>
      </c>
      <c r="D147" t="s">
        <v>51</v>
      </c>
      <c r="E147" t="s">
        <v>52</v>
      </c>
      <c r="F147" t="s">
        <v>56</v>
      </c>
      <c r="G147" s="43">
        <v>43181</v>
      </c>
      <c r="H147">
        <v>5</v>
      </c>
      <c r="I147">
        <v>114960</v>
      </c>
      <c r="J147">
        <v>116000000</v>
      </c>
      <c r="P147" s="77">
        <f t="shared" si="14"/>
        <v>1501</v>
      </c>
      <c r="Q147" s="78">
        <f t="shared" si="15"/>
        <v>383.2</v>
      </c>
      <c r="R147" s="78">
        <f t="shared" si="16"/>
        <v>22.125244140625</v>
      </c>
      <c r="S147" s="78">
        <f t="shared" si="17"/>
        <v>19</v>
      </c>
      <c r="T147" s="78">
        <f t="shared" si="18"/>
        <v>89.413333333333341</v>
      </c>
      <c r="U147" s="78" t="str">
        <f t="shared" si="19"/>
        <v>61-90</v>
      </c>
      <c r="V147" s="78" t="str">
        <f t="shared" si="20"/>
        <v>21-30 Гб</v>
      </c>
    </row>
    <row r="148" spans="1:22" x14ac:dyDescent="0.25">
      <c r="A148" t="s">
        <v>733</v>
      </c>
      <c r="B148" s="43">
        <v>37578</v>
      </c>
      <c r="C148" t="s">
        <v>50</v>
      </c>
      <c r="D148" t="s">
        <v>51</v>
      </c>
      <c r="E148" t="s">
        <v>54</v>
      </c>
      <c r="F148" t="s">
        <v>57</v>
      </c>
      <c r="G148" s="43">
        <v>43631</v>
      </c>
      <c r="H148">
        <v>5</v>
      </c>
      <c r="I148">
        <v>19740</v>
      </c>
      <c r="J148">
        <v>48000000</v>
      </c>
      <c r="P148" s="77">
        <f t="shared" si="14"/>
        <v>1051</v>
      </c>
      <c r="Q148" s="78">
        <f t="shared" si="15"/>
        <v>65.8</v>
      </c>
      <c r="R148" s="78">
        <f t="shared" si="16"/>
        <v>9.1552734375</v>
      </c>
      <c r="S148" s="78">
        <f t="shared" si="17"/>
        <v>19</v>
      </c>
      <c r="T148" s="78">
        <f t="shared" si="18"/>
        <v>15.353333333333332</v>
      </c>
      <c r="U148" s="78" t="str">
        <f t="shared" si="19"/>
        <v>&lt;35</v>
      </c>
      <c r="V148" s="78" t="str">
        <f t="shared" si="20"/>
        <v>&lt;10 Гб</v>
      </c>
    </row>
    <row r="149" spans="1:22" x14ac:dyDescent="0.25">
      <c r="A149" t="s">
        <v>270</v>
      </c>
      <c r="B149" s="43">
        <v>37576</v>
      </c>
      <c r="C149" t="s">
        <v>50</v>
      </c>
      <c r="D149" t="s">
        <v>51</v>
      </c>
      <c r="E149" t="s">
        <v>52</v>
      </c>
      <c r="F149" t="s">
        <v>56</v>
      </c>
      <c r="G149" s="43">
        <v>43808</v>
      </c>
      <c r="H149">
        <v>5</v>
      </c>
      <c r="I149">
        <v>71304</v>
      </c>
      <c r="J149">
        <v>140000000</v>
      </c>
      <c r="P149" s="77">
        <f t="shared" si="14"/>
        <v>874</v>
      </c>
      <c r="Q149" s="78">
        <f t="shared" si="15"/>
        <v>237.68</v>
      </c>
      <c r="R149" s="78">
        <f t="shared" si="16"/>
        <v>26.702880859375</v>
      </c>
      <c r="S149" s="78">
        <f t="shared" si="17"/>
        <v>19</v>
      </c>
      <c r="T149" s="78">
        <f t="shared" si="18"/>
        <v>55.458666666666666</v>
      </c>
      <c r="U149" s="78" t="str">
        <f t="shared" si="19"/>
        <v>35-60</v>
      </c>
      <c r="V149" s="78" t="str">
        <f t="shared" si="20"/>
        <v>21-30 Гб</v>
      </c>
    </row>
    <row r="150" spans="1:22" x14ac:dyDescent="0.25">
      <c r="A150" t="s">
        <v>223</v>
      </c>
      <c r="B150" s="43">
        <v>37574</v>
      </c>
      <c r="C150" t="s">
        <v>58</v>
      </c>
      <c r="D150" t="s">
        <v>51</v>
      </c>
      <c r="E150" t="s">
        <v>52</v>
      </c>
      <c r="F150" t="s">
        <v>56</v>
      </c>
      <c r="G150" s="43">
        <v>43448</v>
      </c>
      <c r="H150">
        <v>5</v>
      </c>
      <c r="I150">
        <v>111704</v>
      </c>
      <c r="J150">
        <v>4000000</v>
      </c>
      <c r="P150" s="77">
        <f t="shared" si="14"/>
        <v>1234</v>
      </c>
      <c r="Q150" s="78">
        <f t="shared" si="15"/>
        <v>372.34666666666669</v>
      </c>
      <c r="R150" s="78">
        <f t="shared" si="16"/>
        <v>0.762939453125</v>
      </c>
      <c r="S150" s="78">
        <f t="shared" si="17"/>
        <v>19</v>
      </c>
      <c r="T150" s="78">
        <f t="shared" si="18"/>
        <v>86.88088888888889</v>
      </c>
      <c r="U150" s="78" t="str">
        <f t="shared" si="19"/>
        <v>61-90</v>
      </c>
      <c r="V150" s="78" t="str">
        <f t="shared" si="20"/>
        <v>&lt;10 Гб</v>
      </c>
    </row>
    <row r="151" spans="1:22" x14ac:dyDescent="0.25">
      <c r="A151" t="s">
        <v>609</v>
      </c>
      <c r="B151" s="43">
        <v>37573</v>
      </c>
      <c r="C151" t="s">
        <v>50</v>
      </c>
      <c r="D151" t="s">
        <v>51</v>
      </c>
      <c r="E151" t="s">
        <v>52</v>
      </c>
      <c r="F151" t="s">
        <v>57</v>
      </c>
      <c r="G151" s="43">
        <v>43611</v>
      </c>
      <c r="H151">
        <v>5</v>
      </c>
      <c r="I151">
        <v>17832</v>
      </c>
      <c r="J151">
        <v>120000000</v>
      </c>
      <c r="P151" s="77">
        <f t="shared" si="14"/>
        <v>1071</v>
      </c>
      <c r="Q151" s="78">
        <f t="shared" si="15"/>
        <v>59.44</v>
      </c>
      <c r="R151" s="78">
        <f t="shared" si="16"/>
        <v>22.88818359375</v>
      </c>
      <c r="S151" s="78">
        <f t="shared" si="17"/>
        <v>19</v>
      </c>
      <c r="T151" s="78">
        <f t="shared" si="18"/>
        <v>13.869333333333334</v>
      </c>
      <c r="U151" s="78" t="str">
        <f t="shared" si="19"/>
        <v>&lt;35</v>
      </c>
      <c r="V151" s="78" t="str">
        <f t="shared" si="20"/>
        <v>21-30 Гб</v>
      </c>
    </row>
    <row r="152" spans="1:22" x14ac:dyDescent="0.25">
      <c r="A152" t="s">
        <v>137</v>
      </c>
      <c r="B152" s="43">
        <v>37570</v>
      </c>
      <c r="C152" t="s">
        <v>58</v>
      </c>
      <c r="D152" t="s">
        <v>51</v>
      </c>
      <c r="E152" t="s">
        <v>54</v>
      </c>
      <c r="F152" t="s">
        <v>63</v>
      </c>
      <c r="G152" s="43">
        <v>44582</v>
      </c>
      <c r="H152">
        <v>3</v>
      </c>
      <c r="I152">
        <v>30000</v>
      </c>
      <c r="J152">
        <v>110000000</v>
      </c>
      <c r="P152" s="77">
        <f t="shared" si="14"/>
        <v>100</v>
      </c>
      <c r="Q152" s="78">
        <f t="shared" si="15"/>
        <v>150</v>
      </c>
      <c r="R152" s="78">
        <f t="shared" si="16"/>
        <v>31.47125244140625</v>
      </c>
      <c r="S152" s="78">
        <f t="shared" si="17"/>
        <v>19</v>
      </c>
      <c r="T152" s="78">
        <f t="shared" si="18"/>
        <v>35</v>
      </c>
      <c r="U152" s="78" t="str">
        <f t="shared" si="19"/>
        <v>&lt;35</v>
      </c>
      <c r="V152" s="78" t="str">
        <f t="shared" si="20"/>
        <v>31-40 Гб</v>
      </c>
    </row>
    <row r="153" spans="1:22" x14ac:dyDescent="0.25">
      <c r="A153" t="s">
        <v>800</v>
      </c>
      <c r="B153" s="43">
        <v>37563</v>
      </c>
      <c r="C153" t="s">
        <v>50</v>
      </c>
      <c r="D153" t="s">
        <v>51</v>
      </c>
      <c r="E153" t="s">
        <v>54</v>
      </c>
      <c r="F153" t="s">
        <v>57</v>
      </c>
      <c r="G153" s="43">
        <v>43494</v>
      </c>
      <c r="H153">
        <v>5</v>
      </c>
      <c r="I153">
        <v>50900</v>
      </c>
      <c r="J153">
        <v>116000000</v>
      </c>
      <c r="P153" s="77">
        <f t="shared" si="14"/>
        <v>1188</v>
      </c>
      <c r="Q153" s="78">
        <f t="shared" si="15"/>
        <v>169.66666666666666</v>
      </c>
      <c r="R153" s="78">
        <f t="shared" si="16"/>
        <v>22.125244140625</v>
      </c>
      <c r="S153" s="78">
        <f t="shared" si="17"/>
        <v>19</v>
      </c>
      <c r="T153" s="78">
        <f t="shared" si="18"/>
        <v>39.588888888888881</v>
      </c>
      <c r="U153" s="78" t="str">
        <f t="shared" si="19"/>
        <v>35-60</v>
      </c>
      <c r="V153" s="78" t="str">
        <f t="shared" si="20"/>
        <v>21-30 Гб</v>
      </c>
    </row>
    <row r="154" spans="1:22" x14ac:dyDescent="0.25">
      <c r="A154" t="s">
        <v>331</v>
      </c>
      <c r="B154" s="43">
        <v>37558</v>
      </c>
      <c r="C154" t="s">
        <v>50</v>
      </c>
      <c r="D154" t="s">
        <v>51</v>
      </c>
      <c r="E154" t="s">
        <v>54</v>
      </c>
      <c r="F154" t="s">
        <v>56</v>
      </c>
      <c r="G154" s="43">
        <v>42839</v>
      </c>
      <c r="H154">
        <v>5</v>
      </c>
      <c r="I154">
        <v>115144</v>
      </c>
      <c r="J154">
        <v>124000000</v>
      </c>
      <c r="O154">
        <v>1</v>
      </c>
      <c r="P154" s="77">
        <f t="shared" si="14"/>
        <v>1843</v>
      </c>
      <c r="Q154" s="78">
        <f t="shared" si="15"/>
        <v>383.81333333333333</v>
      </c>
      <c r="R154" s="78">
        <f t="shared" si="16"/>
        <v>23.651123046875</v>
      </c>
      <c r="S154" s="78">
        <f t="shared" si="17"/>
        <v>19</v>
      </c>
      <c r="T154" s="78">
        <f t="shared" si="18"/>
        <v>89.556444444444438</v>
      </c>
      <c r="U154" s="78" t="str">
        <f t="shared" si="19"/>
        <v>61-90</v>
      </c>
      <c r="V154" s="78" t="str">
        <f t="shared" si="20"/>
        <v>21-30 Гб</v>
      </c>
    </row>
    <row r="155" spans="1:22" x14ac:dyDescent="0.25">
      <c r="A155" t="s">
        <v>283</v>
      </c>
      <c r="B155" s="43">
        <v>37554</v>
      </c>
      <c r="C155" t="s">
        <v>58</v>
      </c>
      <c r="D155" t="s">
        <v>51</v>
      </c>
      <c r="E155" t="s">
        <v>52</v>
      </c>
      <c r="F155" t="s">
        <v>56</v>
      </c>
      <c r="G155" s="43">
        <v>44070</v>
      </c>
      <c r="H155">
        <v>5</v>
      </c>
      <c r="I155">
        <v>69792</v>
      </c>
      <c r="J155">
        <v>128000000</v>
      </c>
      <c r="K155">
        <v>1</v>
      </c>
      <c r="L155">
        <v>1</v>
      </c>
      <c r="P155" s="77">
        <f t="shared" si="14"/>
        <v>612</v>
      </c>
      <c r="Q155" s="78">
        <f t="shared" si="15"/>
        <v>232.64</v>
      </c>
      <c r="R155" s="78">
        <f t="shared" si="16"/>
        <v>24.4140625</v>
      </c>
      <c r="S155" s="78">
        <f t="shared" si="17"/>
        <v>19</v>
      </c>
      <c r="T155" s="78">
        <f t="shared" si="18"/>
        <v>54.282666666666664</v>
      </c>
      <c r="U155" s="78" t="str">
        <f t="shared" si="19"/>
        <v>35-60</v>
      </c>
      <c r="V155" s="78" t="str">
        <f t="shared" si="20"/>
        <v>21-30 Гб</v>
      </c>
    </row>
    <row r="156" spans="1:22" x14ac:dyDescent="0.25">
      <c r="A156" t="s">
        <v>1001</v>
      </c>
      <c r="B156" s="43">
        <v>37550</v>
      </c>
      <c r="C156" t="s">
        <v>58</v>
      </c>
      <c r="D156" t="s">
        <v>51</v>
      </c>
      <c r="E156" t="s">
        <v>52</v>
      </c>
      <c r="F156" t="s">
        <v>63</v>
      </c>
      <c r="G156" s="43">
        <v>44133</v>
      </c>
      <c r="H156">
        <v>5</v>
      </c>
      <c r="I156">
        <v>24452</v>
      </c>
      <c r="J156">
        <v>152000000</v>
      </c>
      <c r="P156" s="77">
        <f t="shared" si="14"/>
        <v>549</v>
      </c>
      <c r="Q156" s="78">
        <f t="shared" si="15"/>
        <v>81.506666666666661</v>
      </c>
      <c r="R156" s="78">
        <f t="shared" si="16"/>
        <v>28.99169921875</v>
      </c>
      <c r="S156" s="78">
        <f t="shared" si="17"/>
        <v>19</v>
      </c>
      <c r="T156" s="78">
        <f t="shared" si="18"/>
        <v>19.018222222222221</v>
      </c>
      <c r="U156" s="78" t="str">
        <f t="shared" si="19"/>
        <v>&lt;35</v>
      </c>
      <c r="V156" s="78" t="str">
        <f t="shared" si="20"/>
        <v>21-30 Гб</v>
      </c>
    </row>
    <row r="157" spans="1:22" x14ac:dyDescent="0.25">
      <c r="A157" t="s">
        <v>689</v>
      </c>
      <c r="B157" s="43">
        <v>37546</v>
      </c>
      <c r="C157" t="s">
        <v>50</v>
      </c>
      <c r="D157" t="s">
        <v>51</v>
      </c>
      <c r="E157" t="s">
        <v>54</v>
      </c>
      <c r="F157" t="s">
        <v>57</v>
      </c>
      <c r="G157" s="43">
        <v>43673</v>
      </c>
      <c r="H157">
        <v>5</v>
      </c>
      <c r="I157">
        <v>9164</v>
      </c>
      <c r="J157">
        <v>44000000</v>
      </c>
      <c r="P157" s="77">
        <f t="shared" si="14"/>
        <v>1009</v>
      </c>
      <c r="Q157" s="78">
        <f t="shared" si="15"/>
        <v>30.546666666666667</v>
      </c>
      <c r="R157" s="78">
        <f t="shared" si="16"/>
        <v>8.392333984375</v>
      </c>
      <c r="S157" s="78">
        <f t="shared" si="17"/>
        <v>19</v>
      </c>
      <c r="T157" s="78">
        <f t="shared" si="18"/>
        <v>7.1275555555555554</v>
      </c>
      <c r="U157" s="78" t="str">
        <f t="shared" si="19"/>
        <v>&lt;35</v>
      </c>
      <c r="V157" s="78" t="str">
        <f t="shared" si="20"/>
        <v>&lt;10 Гб</v>
      </c>
    </row>
    <row r="158" spans="1:22" x14ac:dyDescent="0.25">
      <c r="A158" t="s">
        <v>998</v>
      </c>
      <c r="B158" s="43">
        <v>37538</v>
      </c>
      <c r="C158" t="s">
        <v>58</v>
      </c>
      <c r="D158" t="s">
        <v>51</v>
      </c>
      <c r="E158" t="s">
        <v>52</v>
      </c>
      <c r="F158" t="s">
        <v>63</v>
      </c>
      <c r="G158" s="43">
        <v>44064</v>
      </c>
      <c r="H158">
        <v>5</v>
      </c>
      <c r="I158">
        <v>17068</v>
      </c>
      <c r="J158">
        <v>104000000</v>
      </c>
      <c r="P158" s="77">
        <f t="shared" si="14"/>
        <v>618</v>
      </c>
      <c r="Q158" s="78">
        <f t="shared" si="15"/>
        <v>56.893333333333331</v>
      </c>
      <c r="R158" s="78">
        <f t="shared" si="16"/>
        <v>19.83642578125</v>
      </c>
      <c r="S158" s="78">
        <f t="shared" si="17"/>
        <v>19</v>
      </c>
      <c r="T158" s="78">
        <f t="shared" si="18"/>
        <v>13.27511111111111</v>
      </c>
      <c r="U158" s="78" t="str">
        <f t="shared" si="19"/>
        <v>&lt;35</v>
      </c>
      <c r="V158" s="78" t="str">
        <f t="shared" si="20"/>
        <v>10-20 Гб</v>
      </c>
    </row>
    <row r="159" spans="1:22" x14ac:dyDescent="0.25">
      <c r="A159" t="s">
        <v>1152</v>
      </c>
      <c r="B159" s="43">
        <v>37527</v>
      </c>
      <c r="C159" t="s">
        <v>50</v>
      </c>
      <c r="D159" t="s">
        <v>51</v>
      </c>
      <c r="E159" t="s">
        <v>52</v>
      </c>
      <c r="F159" t="s">
        <v>63</v>
      </c>
      <c r="G159" s="43">
        <v>44097</v>
      </c>
      <c r="H159">
        <v>5</v>
      </c>
      <c r="I159">
        <v>27540</v>
      </c>
      <c r="J159">
        <v>136000000</v>
      </c>
      <c r="P159" s="77">
        <f t="shared" si="14"/>
        <v>585</v>
      </c>
      <c r="Q159" s="78">
        <f t="shared" si="15"/>
        <v>91.8</v>
      </c>
      <c r="R159" s="78">
        <f t="shared" si="16"/>
        <v>25.93994140625</v>
      </c>
      <c r="S159" s="78">
        <f t="shared" si="17"/>
        <v>19</v>
      </c>
      <c r="T159" s="78">
        <f t="shared" si="18"/>
        <v>21.42</v>
      </c>
      <c r="U159" s="78" t="str">
        <f t="shared" si="19"/>
        <v>&lt;35</v>
      </c>
      <c r="V159" s="78" t="str">
        <f t="shared" si="20"/>
        <v>21-30 Гб</v>
      </c>
    </row>
    <row r="160" spans="1:22" x14ac:dyDescent="0.25">
      <c r="A160" t="s">
        <v>656</v>
      </c>
      <c r="B160" s="43">
        <v>37523</v>
      </c>
      <c r="C160" t="s">
        <v>58</v>
      </c>
      <c r="D160" t="s">
        <v>51</v>
      </c>
      <c r="E160" t="s">
        <v>54</v>
      </c>
      <c r="F160" t="s">
        <v>57</v>
      </c>
      <c r="G160" s="43">
        <v>43092</v>
      </c>
      <c r="H160">
        <v>5</v>
      </c>
      <c r="I160">
        <v>50128</v>
      </c>
      <c r="J160">
        <v>104000000</v>
      </c>
      <c r="P160" s="77">
        <f t="shared" si="14"/>
        <v>1590</v>
      </c>
      <c r="Q160" s="78">
        <f t="shared" si="15"/>
        <v>167.09333333333333</v>
      </c>
      <c r="R160" s="78">
        <f t="shared" si="16"/>
        <v>19.83642578125</v>
      </c>
      <c r="S160" s="78">
        <f t="shared" si="17"/>
        <v>19</v>
      </c>
      <c r="T160" s="78">
        <f t="shared" si="18"/>
        <v>38.988444444444447</v>
      </c>
      <c r="U160" s="78" t="str">
        <f t="shared" si="19"/>
        <v>35-60</v>
      </c>
      <c r="V160" s="78" t="str">
        <f t="shared" si="20"/>
        <v>10-20 Гб</v>
      </c>
    </row>
    <row r="161" spans="1:22" x14ac:dyDescent="0.25">
      <c r="A161" t="s">
        <v>698</v>
      </c>
      <c r="B161" s="43">
        <v>37520</v>
      </c>
      <c r="C161" t="s">
        <v>58</v>
      </c>
      <c r="D161" t="s">
        <v>51</v>
      </c>
      <c r="E161" t="s">
        <v>54</v>
      </c>
      <c r="F161" t="s">
        <v>57</v>
      </c>
      <c r="G161" s="43">
        <v>42910</v>
      </c>
      <c r="H161">
        <v>5</v>
      </c>
      <c r="I161">
        <v>24884</v>
      </c>
      <c r="J161">
        <v>104000000</v>
      </c>
      <c r="O161">
        <v>1</v>
      </c>
      <c r="P161" s="77">
        <f t="shared" si="14"/>
        <v>1772</v>
      </c>
      <c r="Q161" s="78">
        <f t="shared" si="15"/>
        <v>82.946666666666673</v>
      </c>
      <c r="R161" s="78">
        <f t="shared" si="16"/>
        <v>19.83642578125</v>
      </c>
      <c r="S161" s="78">
        <f t="shared" si="17"/>
        <v>19</v>
      </c>
      <c r="T161" s="78">
        <f t="shared" si="18"/>
        <v>19.354222222222223</v>
      </c>
      <c r="U161" s="78" t="str">
        <f t="shared" si="19"/>
        <v>&lt;35</v>
      </c>
      <c r="V161" s="78" t="str">
        <f t="shared" si="20"/>
        <v>10-20 Гб</v>
      </c>
    </row>
    <row r="162" spans="1:22" x14ac:dyDescent="0.25">
      <c r="A162" t="s">
        <v>500</v>
      </c>
      <c r="B162" s="43">
        <v>37518</v>
      </c>
      <c r="C162" t="s">
        <v>50</v>
      </c>
      <c r="D162" t="s">
        <v>51</v>
      </c>
      <c r="E162" t="s">
        <v>54</v>
      </c>
      <c r="F162" t="s">
        <v>57</v>
      </c>
      <c r="G162" s="43">
        <v>42801</v>
      </c>
      <c r="H162">
        <v>5</v>
      </c>
      <c r="I162">
        <v>47116</v>
      </c>
      <c r="J162">
        <v>108000000</v>
      </c>
      <c r="L162">
        <v>1</v>
      </c>
      <c r="P162" s="77">
        <f t="shared" si="14"/>
        <v>1881</v>
      </c>
      <c r="Q162" s="78">
        <f t="shared" si="15"/>
        <v>157.05333333333334</v>
      </c>
      <c r="R162" s="78">
        <f t="shared" si="16"/>
        <v>20.599365234375</v>
      </c>
      <c r="S162" s="78">
        <f t="shared" si="17"/>
        <v>19</v>
      </c>
      <c r="T162" s="78">
        <f t="shared" si="18"/>
        <v>36.645777777777781</v>
      </c>
      <c r="U162" s="78" t="str">
        <f t="shared" si="19"/>
        <v>35-60</v>
      </c>
      <c r="V162" s="78" t="str">
        <f t="shared" si="20"/>
        <v>21-30 Гб</v>
      </c>
    </row>
    <row r="163" spans="1:22" x14ac:dyDescent="0.25">
      <c r="A163" t="s">
        <v>1150</v>
      </c>
      <c r="B163" s="43">
        <v>37517</v>
      </c>
      <c r="C163" t="s">
        <v>50</v>
      </c>
      <c r="D163" t="s">
        <v>51</v>
      </c>
      <c r="E163" t="s">
        <v>52</v>
      </c>
      <c r="F163" t="s">
        <v>69</v>
      </c>
      <c r="G163" s="43">
        <v>42962</v>
      </c>
      <c r="H163">
        <v>5</v>
      </c>
      <c r="I163">
        <v>6136</v>
      </c>
      <c r="J163">
        <v>16000000</v>
      </c>
      <c r="P163" s="77">
        <f t="shared" si="14"/>
        <v>1720</v>
      </c>
      <c r="Q163" s="78">
        <f t="shared" si="15"/>
        <v>20.453333333333333</v>
      </c>
      <c r="R163" s="78">
        <f t="shared" si="16"/>
        <v>3.0517578125</v>
      </c>
      <c r="S163" s="78">
        <f t="shared" si="17"/>
        <v>19</v>
      </c>
      <c r="T163" s="78">
        <f t="shared" si="18"/>
        <v>4.7724444444444449</v>
      </c>
      <c r="U163" s="78" t="str">
        <f t="shared" si="19"/>
        <v>&lt;35</v>
      </c>
      <c r="V163" s="78" t="str">
        <f t="shared" si="20"/>
        <v>&lt;10 Гб</v>
      </c>
    </row>
    <row r="164" spans="1:22" x14ac:dyDescent="0.25">
      <c r="A164" t="s">
        <v>855</v>
      </c>
      <c r="B164" s="43">
        <v>37515</v>
      </c>
      <c r="C164" t="s">
        <v>50</v>
      </c>
      <c r="D164" t="s">
        <v>51</v>
      </c>
      <c r="E164" t="s">
        <v>54</v>
      </c>
      <c r="F164" t="s">
        <v>63</v>
      </c>
      <c r="G164" s="43">
        <v>43422</v>
      </c>
      <c r="H164">
        <v>5</v>
      </c>
      <c r="I164">
        <v>9512</v>
      </c>
      <c r="J164">
        <v>156000000</v>
      </c>
      <c r="L164">
        <v>1</v>
      </c>
      <c r="P164" s="77">
        <f t="shared" si="14"/>
        <v>1260</v>
      </c>
      <c r="Q164" s="78">
        <f t="shared" si="15"/>
        <v>31.706666666666667</v>
      </c>
      <c r="R164" s="78">
        <f t="shared" si="16"/>
        <v>29.754638671875</v>
      </c>
      <c r="S164" s="78">
        <f t="shared" si="17"/>
        <v>19</v>
      </c>
      <c r="T164" s="78">
        <f t="shared" si="18"/>
        <v>7.3982222222222216</v>
      </c>
      <c r="U164" s="78" t="str">
        <f t="shared" si="19"/>
        <v>&lt;35</v>
      </c>
      <c r="V164" s="78" t="str">
        <f t="shared" si="20"/>
        <v>21-30 Гб</v>
      </c>
    </row>
    <row r="165" spans="1:22" x14ac:dyDescent="0.25">
      <c r="A165" t="s">
        <v>1144</v>
      </c>
      <c r="B165" s="43">
        <v>37514</v>
      </c>
      <c r="C165" t="s">
        <v>50</v>
      </c>
      <c r="D165" t="s">
        <v>51</v>
      </c>
      <c r="E165" t="s">
        <v>54</v>
      </c>
      <c r="F165" t="s">
        <v>69</v>
      </c>
      <c r="G165" s="43">
        <v>44474</v>
      </c>
      <c r="H165">
        <v>5</v>
      </c>
      <c r="I165">
        <v>47096</v>
      </c>
      <c r="J165">
        <v>12000000</v>
      </c>
      <c r="L165">
        <v>1</v>
      </c>
      <c r="P165" s="77">
        <f t="shared" si="14"/>
        <v>208</v>
      </c>
      <c r="Q165" s="78">
        <f t="shared" si="15"/>
        <v>156.98666666666668</v>
      </c>
      <c r="R165" s="78">
        <f t="shared" si="16"/>
        <v>2.288818359375</v>
      </c>
      <c r="S165" s="78">
        <f t="shared" si="17"/>
        <v>19</v>
      </c>
      <c r="T165" s="78">
        <f t="shared" si="18"/>
        <v>36.630222222222223</v>
      </c>
      <c r="U165" s="78" t="str">
        <f t="shared" si="19"/>
        <v>35-60</v>
      </c>
      <c r="V165" s="78" t="str">
        <f t="shared" si="20"/>
        <v>&lt;10 Гб</v>
      </c>
    </row>
    <row r="166" spans="1:22" x14ac:dyDescent="0.25">
      <c r="A166" t="s">
        <v>418</v>
      </c>
      <c r="B166" s="43">
        <v>37511</v>
      </c>
      <c r="C166" t="s">
        <v>58</v>
      </c>
      <c r="D166" t="s">
        <v>51</v>
      </c>
      <c r="E166" t="s">
        <v>52</v>
      </c>
      <c r="F166" t="s">
        <v>56</v>
      </c>
      <c r="G166" s="43">
        <v>44284</v>
      </c>
      <c r="H166">
        <v>5</v>
      </c>
      <c r="I166">
        <v>60676</v>
      </c>
      <c r="J166">
        <v>112000000</v>
      </c>
      <c r="M166">
        <v>1</v>
      </c>
      <c r="P166" s="77">
        <f t="shared" si="14"/>
        <v>398</v>
      </c>
      <c r="Q166" s="78">
        <f t="shared" si="15"/>
        <v>202.25333333333333</v>
      </c>
      <c r="R166" s="78">
        <f t="shared" si="16"/>
        <v>21.3623046875</v>
      </c>
      <c r="S166" s="78">
        <f t="shared" si="17"/>
        <v>19</v>
      </c>
      <c r="T166" s="78">
        <f t="shared" si="18"/>
        <v>47.19244444444444</v>
      </c>
      <c r="U166" s="78" t="str">
        <f t="shared" si="19"/>
        <v>35-60</v>
      </c>
      <c r="V166" s="78" t="str">
        <f t="shared" si="20"/>
        <v>21-30 Гб</v>
      </c>
    </row>
    <row r="167" spans="1:22" x14ac:dyDescent="0.25">
      <c r="A167" t="s">
        <v>1055</v>
      </c>
      <c r="B167" s="43">
        <v>37509</v>
      </c>
      <c r="C167" t="s">
        <v>58</v>
      </c>
      <c r="D167" t="s">
        <v>51</v>
      </c>
      <c r="E167" t="s">
        <v>52</v>
      </c>
      <c r="F167" t="s">
        <v>63</v>
      </c>
      <c r="G167" s="43">
        <v>44280</v>
      </c>
      <c r="H167">
        <v>5</v>
      </c>
      <c r="I167">
        <v>18568</v>
      </c>
      <c r="J167">
        <v>52000000</v>
      </c>
      <c r="P167" s="77">
        <f t="shared" si="14"/>
        <v>402</v>
      </c>
      <c r="Q167" s="78">
        <f t="shared" si="15"/>
        <v>61.893333333333331</v>
      </c>
      <c r="R167" s="78">
        <f t="shared" si="16"/>
        <v>9.918212890625</v>
      </c>
      <c r="S167" s="78">
        <f t="shared" si="17"/>
        <v>19</v>
      </c>
      <c r="T167" s="78">
        <f t="shared" si="18"/>
        <v>14.441777777777778</v>
      </c>
      <c r="U167" s="78" t="str">
        <f t="shared" si="19"/>
        <v>&lt;35</v>
      </c>
      <c r="V167" s="78" t="str">
        <f t="shared" si="20"/>
        <v>&lt;10 Гб</v>
      </c>
    </row>
    <row r="168" spans="1:22" x14ac:dyDescent="0.25">
      <c r="A168" t="s">
        <v>725</v>
      </c>
      <c r="B168" s="43">
        <v>37508</v>
      </c>
      <c r="C168" t="s">
        <v>50</v>
      </c>
      <c r="D168" t="s">
        <v>51</v>
      </c>
      <c r="E168" t="s">
        <v>52</v>
      </c>
      <c r="F168" t="s">
        <v>57</v>
      </c>
      <c r="G168" s="43">
        <v>42865</v>
      </c>
      <c r="H168">
        <v>5</v>
      </c>
      <c r="I168">
        <v>42720</v>
      </c>
      <c r="J168">
        <v>48000000</v>
      </c>
      <c r="P168" s="77">
        <f t="shared" si="14"/>
        <v>1817</v>
      </c>
      <c r="Q168" s="78">
        <f t="shared" si="15"/>
        <v>142.4</v>
      </c>
      <c r="R168" s="78">
        <f t="shared" si="16"/>
        <v>9.1552734375</v>
      </c>
      <c r="S168" s="78">
        <f t="shared" si="17"/>
        <v>19</v>
      </c>
      <c r="T168" s="78">
        <f t="shared" si="18"/>
        <v>33.226666666666667</v>
      </c>
      <c r="U168" s="78" t="str">
        <f t="shared" si="19"/>
        <v>&lt;35</v>
      </c>
      <c r="V168" s="78" t="str">
        <f t="shared" si="20"/>
        <v>&lt;10 Гб</v>
      </c>
    </row>
    <row r="169" spans="1:22" x14ac:dyDescent="0.25">
      <c r="A169" t="s">
        <v>134</v>
      </c>
      <c r="B169" s="43">
        <v>37506</v>
      </c>
      <c r="C169" t="s">
        <v>50</v>
      </c>
      <c r="D169" t="s">
        <v>51</v>
      </c>
      <c r="E169" t="s">
        <v>52</v>
      </c>
      <c r="F169" t="s">
        <v>63</v>
      </c>
      <c r="G169" s="43">
        <v>44591</v>
      </c>
      <c r="H169">
        <v>3</v>
      </c>
      <c r="I169">
        <v>27300</v>
      </c>
      <c r="J169">
        <v>33366667</v>
      </c>
      <c r="P169" s="77">
        <f t="shared" si="14"/>
        <v>91</v>
      </c>
      <c r="Q169" s="78">
        <f t="shared" si="15"/>
        <v>150</v>
      </c>
      <c r="R169" s="78">
        <f t="shared" si="16"/>
        <v>10.490417585268126</v>
      </c>
      <c r="S169" s="78">
        <f t="shared" si="17"/>
        <v>19</v>
      </c>
      <c r="T169" s="78">
        <f t="shared" si="18"/>
        <v>35</v>
      </c>
      <c r="U169" s="78" t="str">
        <f t="shared" si="19"/>
        <v>&lt;35</v>
      </c>
      <c r="V169" s="78" t="str">
        <f t="shared" si="20"/>
        <v>10-20 Гб</v>
      </c>
    </row>
    <row r="170" spans="1:22" x14ac:dyDescent="0.25">
      <c r="A170" t="s">
        <v>473</v>
      </c>
      <c r="B170" s="43">
        <v>37506</v>
      </c>
      <c r="C170" t="s">
        <v>50</v>
      </c>
      <c r="D170" t="s">
        <v>51</v>
      </c>
      <c r="E170" t="s">
        <v>52</v>
      </c>
      <c r="F170" t="s">
        <v>57</v>
      </c>
      <c r="G170" s="43">
        <v>44213</v>
      </c>
      <c r="H170">
        <v>5</v>
      </c>
      <c r="I170">
        <v>17584</v>
      </c>
      <c r="J170">
        <v>64000000</v>
      </c>
      <c r="P170" s="77">
        <f t="shared" si="14"/>
        <v>469</v>
      </c>
      <c r="Q170" s="78">
        <f t="shared" si="15"/>
        <v>58.613333333333337</v>
      </c>
      <c r="R170" s="78">
        <f t="shared" si="16"/>
        <v>12.20703125</v>
      </c>
      <c r="S170" s="78">
        <f t="shared" si="17"/>
        <v>19</v>
      </c>
      <c r="T170" s="78">
        <f t="shared" si="18"/>
        <v>13.676444444444446</v>
      </c>
      <c r="U170" s="78" t="str">
        <f t="shared" si="19"/>
        <v>&lt;35</v>
      </c>
      <c r="V170" s="78" t="str">
        <f t="shared" si="20"/>
        <v>10-20 Гб</v>
      </c>
    </row>
    <row r="171" spans="1:22" x14ac:dyDescent="0.25">
      <c r="A171" t="s">
        <v>748</v>
      </c>
      <c r="B171" s="43">
        <v>37505</v>
      </c>
      <c r="C171" t="s">
        <v>58</v>
      </c>
      <c r="D171" t="s">
        <v>51</v>
      </c>
      <c r="E171" t="s">
        <v>52</v>
      </c>
      <c r="F171" t="s">
        <v>57</v>
      </c>
      <c r="G171" s="43">
        <v>44400</v>
      </c>
      <c r="H171">
        <v>5</v>
      </c>
      <c r="I171">
        <v>77360</v>
      </c>
      <c r="J171">
        <v>16000000</v>
      </c>
      <c r="P171" s="77">
        <f t="shared" si="14"/>
        <v>282</v>
      </c>
      <c r="Q171" s="78">
        <f t="shared" si="15"/>
        <v>257.86666666666667</v>
      </c>
      <c r="R171" s="78">
        <f t="shared" si="16"/>
        <v>3.0517578125</v>
      </c>
      <c r="S171" s="78">
        <f t="shared" si="17"/>
        <v>19</v>
      </c>
      <c r="T171" s="78">
        <f t="shared" si="18"/>
        <v>60.168888888888887</v>
      </c>
      <c r="U171" s="78" t="str">
        <f t="shared" si="19"/>
        <v>61-90</v>
      </c>
      <c r="V171" s="78" t="str">
        <f t="shared" si="20"/>
        <v>&lt;10 Гб</v>
      </c>
    </row>
    <row r="172" spans="1:22" x14ac:dyDescent="0.25">
      <c r="A172" t="s">
        <v>1086</v>
      </c>
      <c r="B172" s="43">
        <v>37505</v>
      </c>
      <c r="C172" t="s">
        <v>58</v>
      </c>
      <c r="D172" t="s">
        <v>51</v>
      </c>
      <c r="E172" t="s">
        <v>54</v>
      </c>
      <c r="F172" t="s">
        <v>63</v>
      </c>
      <c r="G172" s="43">
        <v>43607</v>
      </c>
      <c r="H172">
        <v>5</v>
      </c>
      <c r="I172">
        <v>16384</v>
      </c>
      <c r="J172">
        <v>152000000</v>
      </c>
      <c r="K172">
        <v>1</v>
      </c>
      <c r="N172">
        <v>1</v>
      </c>
      <c r="P172" s="77">
        <f t="shared" si="14"/>
        <v>1075</v>
      </c>
      <c r="Q172" s="78">
        <f t="shared" si="15"/>
        <v>54.613333333333337</v>
      </c>
      <c r="R172" s="78">
        <f t="shared" si="16"/>
        <v>28.99169921875</v>
      </c>
      <c r="S172" s="78">
        <f t="shared" si="17"/>
        <v>19</v>
      </c>
      <c r="T172" s="78">
        <f t="shared" si="18"/>
        <v>12.743111111111112</v>
      </c>
      <c r="U172" s="78" t="str">
        <f t="shared" si="19"/>
        <v>&lt;35</v>
      </c>
      <c r="V172" s="78" t="str">
        <f t="shared" si="20"/>
        <v>21-30 Гб</v>
      </c>
    </row>
    <row r="173" spans="1:22" x14ac:dyDescent="0.25">
      <c r="A173" t="s">
        <v>900</v>
      </c>
      <c r="B173" s="43">
        <v>37501</v>
      </c>
      <c r="C173" t="s">
        <v>58</v>
      </c>
      <c r="D173" t="s">
        <v>51</v>
      </c>
      <c r="E173" t="s">
        <v>54</v>
      </c>
      <c r="F173" t="s">
        <v>63</v>
      </c>
      <c r="G173" s="43">
        <v>43141</v>
      </c>
      <c r="H173">
        <v>5</v>
      </c>
      <c r="I173">
        <v>11796</v>
      </c>
      <c r="J173">
        <v>64000000</v>
      </c>
      <c r="N173">
        <v>1</v>
      </c>
      <c r="P173" s="77">
        <f t="shared" si="14"/>
        <v>1541</v>
      </c>
      <c r="Q173" s="78">
        <f t="shared" si="15"/>
        <v>39.32</v>
      </c>
      <c r="R173" s="78">
        <f t="shared" si="16"/>
        <v>12.20703125</v>
      </c>
      <c r="S173" s="78">
        <f t="shared" si="17"/>
        <v>19</v>
      </c>
      <c r="T173" s="78">
        <f t="shared" si="18"/>
        <v>9.174666666666667</v>
      </c>
      <c r="U173" s="78" t="str">
        <f t="shared" si="19"/>
        <v>&lt;35</v>
      </c>
      <c r="V173" s="78" t="str">
        <f t="shared" si="20"/>
        <v>10-20 Гб</v>
      </c>
    </row>
    <row r="174" spans="1:22" x14ac:dyDescent="0.25">
      <c r="A174" t="s">
        <v>1145</v>
      </c>
      <c r="B174" s="43">
        <v>37491</v>
      </c>
      <c r="C174" t="s">
        <v>58</v>
      </c>
      <c r="D174" t="s">
        <v>51</v>
      </c>
      <c r="E174" t="s">
        <v>52</v>
      </c>
      <c r="F174" t="s">
        <v>69</v>
      </c>
      <c r="G174" s="43">
        <v>43283</v>
      </c>
      <c r="H174">
        <v>5</v>
      </c>
      <c r="I174">
        <v>24316</v>
      </c>
      <c r="J174">
        <v>8000000</v>
      </c>
      <c r="P174" s="77">
        <f t="shared" si="14"/>
        <v>1399</v>
      </c>
      <c r="Q174" s="78">
        <f t="shared" si="15"/>
        <v>81.053333333333327</v>
      </c>
      <c r="R174" s="78">
        <f t="shared" si="16"/>
        <v>1.52587890625</v>
      </c>
      <c r="S174" s="78">
        <f t="shared" si="17"/>
        <v>19</v>
      </c>
      <c r="T174" s="78">
        <f t="shared" si="18"/>
        <v>18.912444444444443</v>
      </c>
      <c r="U174" s="78" t="str">
        <f t="shared" si="19"/>
        <v>&lt;35</v>
      </c>
      <c r="V174" s="78" t="str">
        <f t="shared" si="20"/>
        <v>&lt;10 Гб</v>
      </c>
    </row>
    <row r="175" spans="1:22" x14ac:dyDescent="0.25">
      <c r="A175" t="s">
        <v>341</v>
      </c>
      <c r="B175" s="43">
        <v>37490</v>
      </c>
      <c r="C175" t="s">
        <v>58</v>
      </c>
      <c r="D175" t="s">
        <v>51</v>
      </c>
      <c r="E175" t="s">
        <v>54</v>
      </c>
      <c r="F175" t="s">
        <v>56</v>
      </c>
      <c r="G175" s="43">
        <v>43259</v>
      </c>
      <c r="H175">
        <v>5</v>
      </c>
      <c r="I175">
        <v>9572</v>
      </c>
      <c r="J175">
        <v>116000000</v>
      </c>
      <c r="K175">
        <v>1</v>
      </c>
      <c r="L175">
        <v>1</v>
      </c>
      <c r="M175">
        <v>1</v>
      </c>
      <c r="P175" s="77">
        <f t="shared" si="14"/>
        <v>1423</v>
      </c>
      <c r="Q175" s="78">
        <f t="shared" si="15"/>
        <v>31.906666666666666</v>
      </c>
      <c r="R175" s="78">
        <f t="shared" si="16"/>
        <v>22.125244140625</v>
      </c>
      <c r="S175" s="78">
        <f t="shared" si="17"/>
        <v>19</v>
      </c>
      <c r="T175" s="78">
        <f t="shared" si="18"/>
        <v>7.4448888888888884</v>
      </c>
      <c r="U175" s="78" t="str">
        <f t="shared" si="19"/>
        <v>&lt;35</v>
      </c>
      <c r="V175" s="78" t="str">
        <f t="shared" si="20"/>
        <v>21-30 Гб</v>
      </c>
    </row>
    <row r="176" spans="1:22" x14ac:dyDescent="0.25">
      <c r="A176" t="s">
        <v>651</v>
      </c>
      <c r="B176" s="43">
        <v>37480</v>
      </c>
      <c r="C176" t="s">
        <v>50</v>
      </c>
      <c r="D176" t="s">
        <v>51</v>
      </c>
      <c r="E176" t="s">
        <v>52</v>
      </c>
      <c r="F176" t="s">
        <v>57</v>
      </c>
      <c r="G176" s="43">
        <v>44191</v>
      </c>
      <c r="H176">
        <v>5</v>
      </c>
      <c r="I176">
        <v>69300</v>
      </c>
      <c r="J176">
        <v>112000000</v>
      </c>
      <c r="P176" s="77">
        <f t="shared" si="14"/>
        <v>491</v>
      </c>
      <c r="Q176" s="78">
        <f t="shared" si="15"/>
        <v>231</v>
      </c>
      <c r="R176" s="78">
        <f t="shared" si="16"/>
        <v>21.3623046875</v>
      </c>
      <c r="S176" s="78">
        <f t="shared" si="17"/>
        <v>19</v>
      </c>
      <c r="T176" s="78">
        <f t="shared" si="18"/>
        <v>53.9</v>
      </c>
      <c r="U176" s="78" t="str">
        <f t="shared" si="19"/>
        <v>35-60</v>
      </c>
      <c r="V176" s="78" t="str">
        <f t="shared" si="20"/>
        <v>21-30 Гб</v>
      </c>
    </row>
    <row r="177" spans="1:22" x14ac:dyDescent="0.25">
      <c r="A177" t="s">
        <v>333</v>
      </c>
      <c r="B177" s="43">
        <v>37479</v>
      </c>
      <c r="C177" t="s">
        <v>50</v>
      </c>
      <c r="D177" t="s">
        <v>51</v>
      </c>
      <c r="E177" t="s">
        <v>52</v>
      </c>
      <c r="F177" t="s">
        <v>56</v>
      </c>
      <c r="G177" s="43">
        <v>44497</v>
      </c>
      <c r="H177">
        <v>5</v>
      </c>
      <c r="I177">
        <v>79836</v>
      </c>
      <c r="J177">
        <v>120000000</v>
      </c>
      <c r="P177" s="77">
        <f t="shared" si="14"/>
        <v>185</v>
      </c>
      <c r="Q177" s="78">
        <f t="shared" si="15"/>
        <v>266.12</v>
      </c>
      <c r="R177" s="78">
        <f t="shared" si="16"/>
        <v>22.88818359375</v>
      </c>
      <c r="S177" s="78">
        <f t="shared" si="17"/>
        <v>19</v>
      </c>
      <c r="T177" s="78">
        <f t="shared" si="18"/>
        <v>62.094666666666669</v>
      </c>
      <c r="U177" s="78" t="str">
        <f t="shared" si="19"/>
        <v>61-90</v>
      </c>
      <c r="V177" s="78" t="str">
        <f t="shared" si="20"/>
        <v>21-30 Гб</v>
      </c>
    </row>
    <row r="178" spans="1:22" x14ac:dyDescent="0.25">
      <c r="A178" t="s">
        <v>935</v>
      </c>
      <c r="B178" s="43">
        <v>37476</v>
      </c>
      <c r="C178" t="s">
        <v>50</v>
      </c>
      <c r="D178" t="s">
        <v>51</v>
      </c>
      <c r="E178" t="s">
        <v>54</v>
      </c>
      <c r="F178" t="s">
        <v>63</v>
      </c>
      <c r="G178" s="43">
        <v>44441</v>
      </c>
      <c r="H178">
        <v>5</v>
      </c>
      <c r="I178">
        <v>31452</v>
      </c>
      <c r="J178">
        <v>144000000</v>
      </c>
      <c r="P178" s="77">
        <f t="shared" si="14"/>
        <v>241</v>
      </c>
      <c r="Q178" s="78">
        <f t="shared" si="15"/>
        <v>104.84</v>
      </c>
      <c r="R178" s="78">
        <f t="shared" si="16"/>
        <v>27.4658203125</v>
      </c>
      <c r="S178" s="78">
        <f t="shared" si="17"/>
        <v>19</v>
      </c>
      <c r="T178" s="78">
        <f t="shared" si="18"/>
        <v>24.462666666666667</v>
      </c>
      <c r="U178" s="78" t="str">
        <f t="shared" si="19"/>
        <v>&lt;35</v>
      </c>
      <c r="V178" s="78" t="str">
        <f t="shared" si="20"/>
        <v>21-30 Гб</v>
      </c>
    </row>
    <row r="179" spans="1:22" x14ac:dyDescent="0.25">
      <c r="A179" t="s">
        <v>430</v>
      </c>
      <c r="B179" s="43">
        <v>37474</v>
      </c>
      <c r="C179" t="s">
        <v>50</v>
      </c>
      <c r="D179" t="s">
        <v>51</v>
      </c>
      <c r="E179" t="s">
        <v>54</v>
      </c>
      <c r="F179" t="s">
        <v>57</v>
      </c>
      <c r="G179" s="43">
        <v>43832</v>
      </c>
      <c r="H179">
        <v>5</v>
      </c>
      <c r="I179">
        <v>36068</v>
      </c>
      <c r="J179">
        <v>104000000</v>
      </c>
      <c r="P179" s="77">
        <f t="shared" si="14"/>
        <v>850</v>
      </c>
      <c r="Q179" s="78">
        <f t="shared" si="15"/>
        <v>120.22666666666667</v>
      </c>
      <c r="R179" s="78">
        <f t="shared" si="16"/>
        <v>19.83642578125</v>
      </c>
      <c r="S179" s="78">
        <f t="shared" si="17"/>
        <v>19</v>
      </c>
      <c r="T179" s="78">
        <f t="shared" si="18"/>
        <v>28.052888888888891</v>
      </c>
      <c r="U179" s="78" t="str">
        <f t="shared" si="19"/>
        <v>&lt;35</v>
      </c>
      <c r="V179" s="78" t="str">
        <f t="shared" si="20"/>
        <v>10-20 Гб</v>
      </c>
    </row>
    <row r="180" spans="1:22" x14ac:dyDescent="0.25">
      <c r="A180" t="s">
        <v>979</v>
      </c>
      <c r="B180" s="43">
        <v>37470</v>
      </c>
      <c r="C180" t="s">
        <v>58</v>
      </c>
      <c r="D180" t="s">
        <v>51</v>
      </c>
      <c r="E180" t="s">
        <v>52</v>
      </c>
      <c r="F180" t="s">
        <v>63</v>
      </c>
      <c r="G180" s="43">
        <v>43489</v>
      </c>
      <c r="H180">
        <v>5</v>
      </c>
      <c r="I180">
        <v>9888</v>
      </c>
      <c r="J180">
        <v>152000000</v>
      </c>
      <c r="P180" s="77">
        <f t="shared" si="14"/>
        <v>1193</v>
      </c>
      <c r="Q180" s="78">
        <f t="shared" si="15"/>
        <v>32.96</v>
      </c>
      <c r="R180" s="78">
        <f t="shared" si="16"/>
        <v>28.99169921875</v>
      </c>
      <c r="S180" s="78">
        <f t="shared" si="17"/>
        <v>19</v>
      </c>
      <c r="T180" s="78">
        <f t="shared" si="18"/>
        <v>7.690666666666667</v>
      </c>
      <c r="U180" s="78" t="str">
        <f t="shared" si="19"/>
        <v>&lt;35</v>
      </c>
      <c r="V180" s="78" t="str">
        <f t="shared" si="20"/>
        <v>21-30 Гб</v>
      </c>
    </row>
    <row r="181" spans="1:22" x14ac:dyDescent="0.25">
      <c r="A181" t="s">
        <v>1119</v>
      </c>
      <c r="B181" s="43">
        <v>37464</v>
      </c>
      <c r="C181" t="s">
        <v>50</v>
      </c>
      <c r="D181" t="s">
        <v>51</v>
      </c>
      <c r="E181" t="s">
        <v>52</v>
      </c>
      <c r="F181" t="s">
        <v>69</v>
      </c>
      <c r="G181" s="43">
        <v>44500</v>
      </c>
      <c r="H181">
        <v>5</v>
      </c>
      <c r="I181">
        <v>45160</v>
      </c>
      <c r="J181">
        <v>16000000</v>
      </c>
      <c r="P181" s="77">
        <f t="shared" si="14"/>
        <v>182</v>
      </c>
      <c r="Q181" s="78">
        <f t="shared" si="15"/>
        <v>150.53333333333333</v>
      </c>
      <c r="R181" s="78">
        <f t="shared" si="16"/>
        <v>3.0517578125</v>
      </c>
      <c r="S181" s="78">
        <f t="shared" si="17"/>
        <v>19</v>
      </c>
      <c r="T181" s="78">
        <f t="shared" si="18"/>
        <v>35.124444444444443</v>
      </c>
      <c r="U181" s="78" t="str">
        <f t="shared" si="19"/>
        <v>35-60</v>
      </c>
      <c r="V181" s="78" t="str">
        <f t="shared" si="20"/>
        <v>&lt;10 Гб</v>
      </c>
    </row>
    <row r="182" spans="1:22" x14ac:dyDescent="0.25">
      <c r="A182" t="s">
        <v>503</v>
      </c>
      <c r="B182" s="43">
        <v>37459</v>
      </c>
      <c r="C182" t="s">
        <v>50</v>
      </c>
      <c r="D182" t="s">
        <v>51</v>
      </c>
      <c r="E182" t="s">
        <v>54</v>
      </c>
      <c r="F182" t="s">
        <v>57</v>
      </c>
      <c r="G182" s="43">
        <v>43258</v>
      </c>
      <c r="H182">
        <v>5</v>
      </c>
      <c r="I182">
        <v>25468</v>
      </c>
      <c r="J182">
        <v>84000000</v>
      </c>
      <c r="M182">
        <v>1</v>
      </c>
      <c r="P182" s="77">
        <f t="shared" si="14"/>
        <v>1424</v>
      </c>
      <c r="Q182" s="78">
        <f t="shared" si="15"/>
        <v>84.893333333333331</v>
      </c>
      <c r="R182" s="78">
        <f t="shared" si="16"/>
        <v>16.021728515625</v>
      </c>
      <c r="S182" s="78">
        <f t="shared" si="17"/>
        <v>19</v>
      </c>
      <c r="T182" s="78">
        <f t="shared" si="18"/>
        <v>19.808444444444444</v>
      </c>
      <c r="U182" s="78" t="str">
        <f t="shared" si="19"/>
        <v>&lt;35</v>
      </c>
      <c r="V182" s="78" t="str">
        <f t="shared" si="20"/>
        <v>10-20 Гб</v>
      </c>
    </row>
    <row r="183" spans="1:22" x14ac:dyDescent="0.25">
      <c r="A183" t="s">
        <v>1051</v>
      </c>
      <c r="B183" s="43">
        <v>37457</v>
      </c>
      <c r="C183" t="s">
        <v>50</v>
      </c>
      <c r="D183" t="s">
        <v>51</v>
      </c>
      <c r="E183" t="s">
        <v>54</v>
      </c>
      <c r="F183" t="s">
        <v>63</v>
      </c>
      <c r="G183" s="43">
        <v>43770</v>
      </c>
      <c r="H183">
        <v>5</v>
      </c>
      <c r="I183">
        <v>7204</v>
      </c>
      <c r="J183">
        <v>140000000</v>
      </c>
      <c r="P183" s="77">
        <f t="shared" si="14"/>
        <v>912</v>
      </c>
      <c r="Q183" s="78">
        <f t="shared" si="15"/>
        <v>24.013333333333332</v>
      </c>
      <c r="R183" s="78">
        <f t="shared" si="16"/>
        <v>26.702880859375</v>
      </c>
      <c r="S183" s="78">
        <f t="shared" si="17"/>
        <v>19</v>
      </c>
      <c r="T183" s="78">
        <f t="shared" si="18"/>
        <v>5.6031111111111107</v>
      </c>
      <c r="U183" s="78" t="str">
        <f t="shared" si="19"/>
        <v>&lt;35</v>
      </c>
      <c r="V183" s="78" t="str">
        <f t="shared" si="20"/>
        <v>21-30 Гб</v>
      </c>
    </row>
    <row r="184" spans="1:22" x14ac:dyDescent="0.25">
      <c r="A184" t="s">
        <v>1127</v>
      </c>
      <c r="B184" s="43">
        <v>37450</v>
      </c>
      <c r="C184" t="s">
        <v>50</v>
      </c>
      <c r="D184" t="s">
        <v>51</v>
      </c>
      <c r="E184" t="s">
        <v>52</v>
      </c>
      <c r="F184" t="s">
        <v>69</v>
      </c>
      <c r="G184" s="43">
        <v>44220</v>
      </c>
      <c r="H184">
        <v>5</v>
      </c>
      <c r="I184">
        <v>33176</v>
      </c>
      <c r="J184">
        <v>4000000</v>
      </c>
      <c r="P184" s="77">
        <f t="shared" si="14"/>
        <v>462</v>
      </c>
      <c r="Q184" s="78">
        <f t="shared" si="15"/>
        <v>110.58666666666667</v>
      </c>
      <c r="R184" s="78">
        <f t="shared" si="16"/>
        <v>0.762939453125</v>
      </c>
      <c r="S184" s="78">
        <f t="shared" si="17"/>
        <v>19</v>
      </c>
      <c r="T184" s="78">
        <f t="shared" si="18"/>
        <v>25.803555555555555</v>
      </c>
      <c r="U184" s="78" t="str">
        <f t="shared" si="19"/>
        <v>&lt;35</v>
      </c>
      <c r="V184" s="78" t="str">
        <f t="shared" si="20"/>
        <v>&lt;10 Гб</v>
      </c>
    </row>
    <row r="185" spans="1:22" x14ac:dyDescent="0.25">
      <c r="A185" t="s">
        <v>431</v>
      </c>
      <c r="B185" s="43">
        <v>37443</v>
      </c>
      <c r="C185" t="s">
        <v>50</v>
      </c>
      <c r="D185" t="s">
        <v>51</v>
      </c>
      <c r="E185" t="s">
        <v>54</v>
      </c>
      <c r="F185" t="s">
        <v>57</v>
      </c>
      <c r="G185" s="43">
        <v>44487</v>
      </c>
      <c r="H185">
        <v>5</v>
      </c>
      <c r="I185">
        <v>55784</v>
      </c>
      <c r="J185">
        <v>8000000</v>
      </c>
      <c r="P185" s="77">
        <f t="shared" si="14"/>
        <v>195</v>
      </c>
      <c r="Q185" s="78">
        <f t="shared" si="15"/>
        <v>185.94666666666666</v>
      </c>
      <c r="R185" s="78">
        <f t="shared" si="16"/>
        <v>1.52587890625</v>
      </c>
      <c r="S185" s="78">
        <f t="shared" si="17"/>
        <v>19</v>
      </c>
      <c r="T185" s="78">
        <f t="shared" si="18"/>
        <v>43.387555555555551</v>
      </c>
      <c r="U185" s="78" t="str">
        <f t="shared" si="19"/>
        <v>35-60</v>
      </c>
      <c r="V185" s="78" t="str">
        <f t="shared" si="20"/>
        <v>&lt;10 Гб</v>
      </c>
    </row>
    <row r="186" spans="1:22" x14ac:dyDescent="0.25">
      <c r="A186" t="s">
        <v>1085</v>
      </c>
      <c r="B186" s="43">
        <v>37443</v>
      </c>
      <c r="C186" t="s">
        <v>50</v>
      </c>
      <c r="D186" t="s">
        <v>51</v>
      </c>
      <c r="E186" t="s">
        <v>52</v>
      </c>
      <c r="F186" t="s">
        <v>63</v>
      </c>
      <c r="G186" s="43">
        <v>43230</v>
      </c>
      <c r="H186">
        <v>5</v>
      </c>
      <c r="I186">
        <v>3940</v>
      </c>
      <c r="J186">
        <v>120000000</v>
      </c>
      <c r="P186" s="77">
        <f t="shared" si="14"/>
        <v>1452</v>
      </c>
      <c r="Q186" s="78">
        <f t="shared" si="15"/>
        <v>13.133333333333333</v>
      </c>
      <c r="R186" s="78">
        <f t="shared" si="16"/>
        <v>22.88818359375</v>
      </c>
      <c r="S186" s="78">
        <f t="shared" si="17"/>
        <v>19</v>
      </c>
      <c r="T186" s="78">
        <f t="shared" si="18"/>
        <v>3.0644444444444447</v>
      </c>
      <c r="U186" s="78" t="str">
        <f t="shared" si="19"/>
        <v>&lt;35</v>
      </c>
      <c r="V186" s="78" t="str">
        <f t="shared" si="20"/>
        <v>21-30 Гб</v>
      </c>
    </row>
    <row r="187" spans="1:22" x14ac:dyDescent="0.25">
      <c r="A187" t="s">
        <v>1156</v>
      </c>
      <c r="B187" s="43">
        <v>37441</v>
      </c>
      <c r="C187" t="s">
        <v>58</v>
      </c>
      <c r="D187" t="s">
        <v>51</v>
      </c>
      <c r="E187" t="s">
        <v>52</v>
      </c>
      <c r="F187" t="s">
        <v>63</v>
      </c>
      <c r="G187" s="43">
        <v>43780</v>
      </c>
      <c r="H187">
        <v>5</v>
      </c>
      <c r="I187">
        <v>21064</v>
      </c>
      <c r="J187">
        <v>132000000</v>
      </c>
      <c r="P187" s="77">
        <f t="shared" si="14"/>
        <v>902</v>
      </c>
      <c r="Q187" s="78">
        <f t="shared" si="15"/>
        <v>70.213333333333338</v>
      </c>
      <c r="R187" s="78">
        <f t="shared" si="16"/>
        <v>25.177001953125</v>
      </c>
      <c r="S187" s="78">
        <f t="shared" si="17"/>
        <v>19</v>
      </c>
      <c r="T187" s="78">
        <f t="shared" si="18"/>
        <v>16.383111111111113</v>
      </c>
      <c r="U187" s="78" t="str">
        <f t="shared" si="19"/>
        <v>&lt;35</v>
      </c>
      <c r="V187" s="78" t="str">
        <f t="shared" si="20"/>
        <v>21-30 Гб</v>
      </c>
    </row>
    <row r="188" spans="1:22" x14ac:dyDescent="0.25">
      <c r="A188" t="s">
        <v>487</v>
      </c>
      <c r="B188" s="43">
        <v>37439</v>
      </c>
      <c r="C188" t="s">
        <v>50</v>
      </c>
      <c r="D188" t="s">
        <v>51</v>
      </c>
      <c r="E188" t="s">
        <v>52</v>
      </c>
      <c r="F188" t="s">
        <v>57</v>
      </c>
      <c r="G188" s="43">
        <v>43937</v>
      </c>
      <c r="H188">
        <v>5</v>
      </c>
      <c r="I188">
        <v>95564</v>
      </c>
      <c r="J188">
        <v>84000000</v>
      </c>
      <c r="M188">
        <v>1</v>
      </c>
      <c r="P188" s="77">
        <f t="shared" si="14"/>
        <v>745</v>
      </c>
      <c r="Q188" s="78">
        <f t="shared" si="15"/>
        <v>318.54666666666668</v>
      </c>
      <c r="R188" s="78">
        <f t="shared" si="16"/>
        <v>16.021728515625</v>
      </c>
      <c r="S188" s="78">
        <f t="shared" si="17"/>
        <v>19</v>
      </c>
      <c r="T188" s="78">
        <f t="shared" si="18"/>
        <v>74.327555555555563</v>
      </c>
      <c r="U188" s="78" t="str">
        <f t="shared" si="19"/>
        <v>61-90</v>
      </c>
      <c r="V188" s="78" t="str">
        <f t="shared" si="20"/>
        <v>10-20 Гб</v>
      </c>
    </row>
    <row r="189" spans="1:22" x14ac:dyDescent="0.25">
      <c r="A189" t="s">
        <v>161</v>
      </c>
      <c r="B189" s="43">
        <v>37435</v>
      </c>
      <c r="C189" t="s">
        <v>58</v>
      </c>
      <c r="D189" t="s">
        <v>51</v>
      </c>
      <c r="E189" t="s">
        <v>52</v>
      </c>
      <c r="F189" t="s">
        <v>53</v>
      </c>
      <c r="G189" s="43">
        <v>43793</v>
      </c>
      <c r="H189">
        <v>5</v>
      </c>
      <c r="I189">
        <v>131904</v>
      </c>
      <c r="J189">
        <v>112000000</v>
      </c>
      <c r="P189" s="77">
        <f t="shared" si="14"/>
        <v>889</v>
      </c>
      <c r="Q189" s="78">
        <f t="shared" si="15"/>
        <v>439.68</v>
      </c>
      <c r="R189" s="78">
        <f t="shared" si="16"/>
        <v>21.3623046875</v>
      </c>
      <c r="S189" s="78">
        <f t="shared" si="17"/>
        <v>19</v>
      </c>
      <c r="T189" s="78">
        <f t="shared" si="18"/>
        <v>102.59200000000001</v>
      </c>
      <c r="U189" s="78" t="str">
        <f t="shared" si="19"/>
        <v>91-120</v>
      </c>
      <c r="V189" s="78" t="str">
        <f t="shared" si="20"/>
        <v>21-30 Гб</v>
      </c>
    </row>
    <row r="190" spans="1:22" x14ac:dyDescent="0.25">
      <c r="A190" t="s">
        <v>520</v>
      </c>
      <c r="B190" s="43">
        <v>37432</v>
      </c>
      <c r="C190" t="s">
        <v>58</v>
      </c>
      <c r="D190" t="s">
        <v>51</v>
      </c>
      <c r="E190" t="s">
        <v>54</v>
      </c>
      <c r="F190" t="s">
        <v>57</v>
      </c>
      <c r="G190" s="43">
        <v>43357</v>
      </c>
      <c r="H190">
        <v>5</v>
      </c>
      <c r="I190">
        <v>94644</v>
      </c>
      <c r="J190">
        <v>92000000</v>
      </c>
      <c r="K190">
        <v>1</v>
      </c>
      <c r="P190" s="77">
        <f t="shared" si="14"/>
        <v>1325</v>
      </c>
      <c r="Q190" s="78">
        <f t="shared" si="15"/>
        <v>315.48</v>
      </c>
      <c r="R190" s="78">
        <f t="shared" si="16"/>
        <v>17.547607421875</v>
      </c>
      <c r="S190" s="78">
        <f t="shared" si="17"/>
        <v>19</v>
      </c>
      <c r="T190" s="78">
        <f t="shared" si="18"/>
        <v>73.612000000000009</v>
      </c>
      <c r="U190" s="78" t="str">
        <f t="shared" si="19"/>
        <v>61-90</v>
      </c>
      <c r="V190" s="78" t="str">
        <f t="shared" si="20"/>
        <v>10-20 Гб</v>
      </c>
    </row>
    <row r="191" spans="1:22" x14ac:dyDescent="0.25">
      <c r="A191" t="s">
        <v>419</v>
      </c>
      <c r="B191" s="43">
        <v>37422</v>
      </c>
      <c r="C191" t="s">
        <v>58</v>
      </c>
      <c r="D191" t="s">
        <v>51</v>
      </c>
      <c r="E191" t="s">
        <v>52</v>
      </c>
      <c r="F191" t="s">
        <v>56</v>
      </c>
      <c r="G191" s="43">
        <v>43443</v>
      </c>
      <c r="H191">
        <v>5</v>
      </c>
      <c r="I191">
        <v>75280</v>
      </c>
      <c r="J191">
        <v>112000000</v>
      </c>
      <c r="K191">
        <v>1</v>
      </c>
      <c r="P191" s="77">
        <f t="shared" si="14"/>
        <v>1239</v>
      </c>
      <c r="Q191" s="78">
        <f t="shared" si="15"/>
        <v>250.93333333333334</v>
      </c>
      <c r="R191" s="78">
        <f t="shared" si="16"/>
        <v>21.3623046875</v>
      </c>
      <c r="S191" s="78">
        <f t="shared" si="17"/>
        <v>19</v>
      </c>
      <c r="T191" s="78">
        <f t="shared" si="18"/>
        <v>58.551111111111112</v>
      </c>
      <c r="U191" s="78" t="str">
        <f t="shared" si="19"/>
        <v>35-60</v>
      </c>
      <c r="V191" s="78" t="str">
        <f t="shared" si="20"/>
        <v>21-30 Гб</v>
      </c>
    </row>
    <row r="192" spans="1:22" x14ac:dyDescent="0.25">
      <c r="A192" t="s">
        <v>238</v>
      </c>
      <c r="B192" s="43">
        <v>37419</v>
      </c>
      <c r="C192" t="s">
        <v>58</v>
      </c>
      <c r="D192" t="s">
        <v>51</v>
      </c>
      <c r="E192" t="s">
        <v>52</v>
      </c>
      <c r="F192" t="s">
        <v>56</v>
      </c>
      <c r="G192" s="43">
        <v>44060</v>
      </c>
      <c r="H192">
        <v>5</v>
      </c>
      <c r="I192">
        <v>61700</v>
      </c>
      <c r="J192">
        <v>120000000</v>
      </c>
      <c r="P192" s="77">
        <f t="shared" ref="P192:P255" si="21">DATEDIF(G192,$C$2,"D")</f>
        <v>622</v>
      </c>
      <c r="Q192" s="78">
        <f t="shared" ref="Q192:Q255" si="22">IF(P192&lt;DATEDIF($C$3,$C$2,"D"),I192/(60*(P192/30)),I192/(60*5))</f>
        <v>205.66666666666666</v>
      </c>
      <c r="R192" s="78">
        <f t="shared" ref="R192:R255" si="23">IF(P192&lt;DATEDIF($C$3,$C$2,"D"),J192/(1048576*(P192/30)),J192/(1048576*5))</f>
        <v>22.88818359375</v>
      </c>
      <c r="S192" s="78">
        <f t="shared" ref="S192:S255" si="24">DATEDIF(B192,$C$2,"Y")</f>
        <v>19</v>
      </c>
      <c r="T192" s="78">
        <f t="shared" si="18"/>
        <v>47.988888888888887</v>
      </c>
      <c r="U192" s="78" t="str">
        <f t="shared" si="19"/>
        <v>35-60</v>
      </c>
      <c r="V192" s="78" t="str">
        <f t="shared" si="20"/>
        <v>21-30 Гб</v>
      </c>
    </row>
    <row r="193" spans="1:22" x14ac:dyDescent="0.25">
      <c r="A193" t="s">
        <v>394</v>
      </c>
      <c r="B193" s="43">
        <v>37417</v>
      </c>
      <c r="C193" t="s">
        <v>58</v>
      </c>
      <c r="D193" t="s">
        <v>51</v>
      </c>
      <c r="E193" t="s">
        <v>54</v>
      </c>
      <c r="F193" t="s">
        <v>56</v>
      </c>
      <c r="G193" s="43">
        <v>42995</v>
      </c>
      <c r="H193">
        <v>5</v>
      </c>
      <c r="I193">
        <v>24964</v>
      </c>
      <c r="J193">
        <v>48000000</v>
      </c>
      <c r="P193" s="77">
        <f t="shared" si="21"/>
        <v>1687</v>
      </c>
      <c r="Q193" s="78">
        <f t="shared" si="22"/>
        <v>83.213333333333338</v>
      </c>
      <c r="R193" s="78">
        <f t="shared" si="23"/>
        <v>9.1552734375</v>
      </c>
      <c r="S193" s="78">
        <f t="shared" si="24"/>
        <v>19</v>
      </c>
      <c r="T193" s="78">
        <f t="shared" si="18"/>
        <v>19.416444444444444</v>
      </c>
      <c r="U193" s="78" t="str">
        <f t="shared" si="19"/>
        <v>&lt;35</v>
      </c>
      <c r="V193" s="78" t="str">
        <f t="shared" si="20"/>
        <v>&lt;10 Гб</v>
      </c>
    </row>
    <row r="194" spans="1:22" x14ac:dyDescent="0.25">
      <c r="A194" t="s">
        <v>985</v>
      </c>
      <c r="B194" s="43">
        <v>37416</v>
      </c>
      <c r="C194" t="s">
        <v>50</v>
      </c>
      <c r="D194" t="s">
        <v>51</v>
      </c>
      <c r="E194" t="s">
        <v>52</v>
      </c>
      <c r="F194" t="s">
        <v>63</v>
      </c>
      <c r="G194" s="43">
        <v>44042</v>
      </c>
      <c r="H194">
        <v>5</v>
      </c>
      <c r="I194">
        <v>2768</v>
      </c>
      <c r="J194">
        <v>160000000</v>
      </c>
      <c r="P194" s="77">
        <f t="shared" si="21"/>
        <v>640</v>
      </c>
      <c r="Q194" s="78">
        <f t="shared" si="22"/>
        <v>9.2266666666666666</v>
      </c>
      <c r="R194" s="78">
        <f t="shared" si="23"/>
        <v>30.517578125</v>
      </c>
      <c r="S194" s="78">
        <f t="shared" si="24"/>
        <v>19</v>
      </c>
      <c r="T194" s="78">
        <f t="shared" si="18"/>
        <v>2.1528888888888891</v>
      </c>
      <c r="U194" s="78" t="str">
        <f t="shared" si="19"/>
        <v>&lt;35</v>
      </c>
      <c r="V194" s="78" t="str">
        <f t="shared" si="20"/>
        <v>31-40 Гб</v>
      </c>
    </row>
    <row r="195" spans="1:22" x14ac:dyDescent="0.25">
      <c r="A195" t="s">
        <v>951</v>
      </c>
      <c r="B195" s="43">
        <v>37407</v>
      </c>
      <c r="C195" t="s">
        <v>58</v>
      </c>
      <c r="D195" t="s">
        <v>51</v>
      </c>
      <c r="E195" t="s">
        <v>52</v>
      </c>
      <c r="F195" t="s">
        <v>63</v>
      </c>
      <c r="G195" s="43">
        <v>44431</v>
      </c>
      <c r="H195">
        <v>5</v>
      </c>
      <c r="I195">
        <v>13476</v>
      </c>
      <c r="J195">
        <v>156000000</v>
      </c>
      <c r="P195" s="77">
        <f t="shared" si="21"/>
        <v>251</v>
      </c>
      <c r="Q195" s="78">
        <f t="shared" si="22"/>
        <v>44.92</v>
      </c>
      <c r="R195" s="78">
        <f t="shared" si="23"/>
        <v>29.754638671875</v>
      </c>
      <c r="S195" s="78">
        <f t="shared" si="24"/>
        <v>19</v>
      </c>
      <c r="T195" s="78">
        <f t="shared" si="18"/>
        <v>10.481333333333334</v>
      </c>
      <c r="U195" s="78" t="str">
        <f t="shared" si="19"/>
        <v>&lt;35</v>
      </c>
      <c r="V195" s="78" t="str">
        <f t="shared" si="20"/>
        <v>21-30 Гб</v>
      </c>
    </row>
    <row r="196" spans="1:22" x14ac:dyDescent="0.25">
      <c r="A196" t="s">
        <v>1026</v>
      </c>
      <c r="B196" s="43">
        <v>37406</v>
      </c>
      <c r="C196" t="s">
        <v>50</v>
      </c>
      <c r="D196" t="s">
        <v>51</v>
      </c>
      <c r="E196" t="s">
        <v>54</v>
      </c>
      <c r="F196" t="s">
        <v>63</v>
      </c>
      <c r="G196" s="43">
        <v>43564</v>
      </c>
      <c r="H196">
        <v>5</v>
      </c>
      <c r="I196">
        <v>26608</v>
      </c>
      <c r="J196">
        <v>156000000</v>
      </c>
      <c r="K196">
        <v>1</v>
      </c>
      <c r="L196">
        <v>1</v>
      </c>
      <c r="P196" s="77">
        <f t="shared" si="21"/>
        <v>1118</v>
      </c>
      <c r="Q196" s="78">
        <f t="shared" si="22"/>
        <v>88.693333333333328</v>
      </c>
      <c r="R196" s="78">
        <f t="shared" si="23"/>
        <v>29.754638671875</v>
      </c>
      <c r="S196" s="78">
        <f t="shared" si="24"/>
        <v>19</v>
      </c>
      <c r="T196" s="78">
        <f t="shared" si="18"/>
        <v>20.695111111111107</v>
      </c>
      <c r="U196" s="78" t="str">
        <f t="shared" si="19"/>
        <v>&lt;35</v>
      </c>
      <c r="V196" s="78" t="str">
        <f t="shared" si="20"/>
        <v>21-30 Гб</v>
      </c>
    </row>
    <row r="197" spans="1:22" x14ac:dyDescent="0.25">
      <c r="A197" t="s">
        <v>113</v>
      </c>
      <c r="B197" s="43">
        <v>37403</v>
      </c>
      <c r="C197" t="s">
        <v>50</v>
      </c>
      <c r="D197" t="s">
        <v>51</v>
      </c>
      <c r="E197" t="s">
        <v>54</v>
      </c>
      <c r="F197" t="s">
        <v>53</v>
      </c>
      <c r="G197" s="43">
        <v>44592</v>
      </c>
      <c r="H197">
        <v>3</v>
      </c>
      <c r="I197">
        <v>126000</v>
      </c>
      <c r="J197">
        <v>135000000</v>
      </c>
      <c r="P197" s="77">
        <f t="shared" si="21"/>
        <v>90</v>
      </c>
      <c r="Q197" s="78">
        <f t="shared" si="22"/>
        <v>700</v>
      </c>
      <c r="R197" s="78">
        <f t="shared" si="23"/>
        <v>42.91534423828125</v>
      </c>
      <c r="S197" s="78">
        <f t="shared" si="24"/>
        <v>19</v>
      </c>
      <c r="T197" s="78">
        <f t="shared" si="18"/>
        <v>163.33333333333334</v>
      </c>
      <c r="U197" s="78" t="str">
        <f t="shared" si="19"/>
        <v>120+</v>
      </c>
      <c r="V197" s="78" t="str">
        <f t="shared" si="20"/>
        <v>40+ Гб</v>
      </c>
    </row>
    <row r="198" spans="1:22" x14ac:dyDescent="0.25">
      <c r="A198" t="s">
        <v>1042</v>
      </c>
      <c r="B198" s="43">
        <v>37395</v>
      </c>
      <c r="C198" t="s">
        <v>58</v>
      </c>
      <c r="D198" t="s">
        <v>51</v>
      </c>
      <c r="E198" t="s">
        <v>52</v>
      </c>
      <c r="F198" t="s">
        <v>63</v>
      </c>
      <c r="G198" s="43">
        <v>43183</v>
      </c>
      <c r="H198">
        <v>5</v>
      </c>
      <c r="I198">
        <v>23984</v>
      </c>
      <c r="J198">
        <v>124000000</v>
      </c>
      <c r="P198" s="77">
        <f t="shared" si="21"/>
        <v>1499</v>
      </c>
      <c r="Q198" s="78">
        <f t="shared" si="22"/>
        <v>79.946666666666673</v>
      </c>
      <c r="R198" s="78">
        <f t="shared" si="23"/>
        <v>23.651123046875</v>
      </c>
      <c r="S198" s="78">
        <f t="shared" si="24"/>
        <v>19</v>
      </c>
      <c r="T198" s="78">
        <f t="shared" si="18"/>
        <v>18.654222222222224</v>
      </c>
      <c r="U198" s="78" t="str">
        <f t="shared" si="19"/>
        <v>&lt;35</v>
      </c>
      <c r="V198" s="78" t="str">
        <f t="shared" si="20"/>
        <v>21-30 Гб</v>
      </c>
    </row>
    <row r="199" spans="1:22" x14ac:dyDescent="0.25">
      <c r="A199" t="s">
        <v>234</v>
      </c>
      <c r="B199" s="43">
        <v>37392</v>
      </c>
      <c r="C199" t="s">
        <v>58</v>
      </c>
      <c r="D199" t="s">
        <v>51</v>
      </c>
      <c r="E199" t="s">
        <v>52</v>
      </c>
      <c r="F199" t="s">
        <v>56</v>
      </c>
      <c r="G199" s="43">
        <v>44045</v>
      </c>
      <c r="H199">
        <v>5</v>
      </c>
      <c r="I199">
        <v>35272</v>
      </c>
      <c r="J199">
        <v>120000000</v>
      </c>
      <c r="L199">
        <v>1</v>
      </c>
      <c r="P199" s="77">
        <f t="shared" si="21"/>
        <v>637</v>
      </c>
      <c r="Q199" s="78">
        <f t="shared" si="22"/>
        <v>117.57333333333334</v>
      </c>
      <c r="R199" s="78">
        <f t="shared" si="23"/>
        <v>22.88818359375</v>
      </c>
      <c r="S199" s="78">
        <f t="shared" si="24"/>
        <v>19</v>
      </c>
      <c r="T199" s="78">
        <f t="shared" ref="T199:T262" si="25">(Q199*7)/30</f>
        <v>27.433777777777777</v>
      </c>
      <c r="U199" s="78" t="str">
        <f t="shared" ref="U199:U262" si="26">IF(T199&gt;120,"120+",IF(T199&gt;90,"91-120",IF(T199&gt;60,"61-90",IF(T199&gt;35,"35-60","&lt;35"))))</f>
        <v>&lt;35</v>
      </c>
      <c r="V199" s="78" t="str">
        <f t="shared" ref="V199:V262" si="27">IF(R199&gt;40,"40+ Гб",IF(R199&gt;30,"31-40 Гб",IF(R199&gt;20,"21-30 Гб",IF(R199&gt;10,"10-20 Гб","&lt;10 Гб"))))</f>
        <v>21-30 Гб</v>
      </c>
    </row>
    <row r="200" spans="1:22" x14ac:dyDescent="0.25">
      <c r="A200" t="s">
        <v>299</v>
      </c>
      <c r="B200" s="43">
        <v>37391</v>
      </c>
      <c r="C200" t="s">
        <v>50</v>
      </c>
      <c r="D200" t="s">
        <v>51</v>
      </c>
      <c r="E200" t="s">
        <v>54</v>
      </c>
      <c r="F200" t="s">
        <v>56</v>
      </c>
      <c r="G200" s="43">
        <v>43328</v>
      </c>
      <c r="H200">
        <v>5</v>
      </c>
      <c r="I200">
        <v>72196</v>
      </c>
      <c r="J200">
        <v>48000000</v>
      </c>
      <c r="P200" s="77">
        <f t="shared" si="21"/>
        <v>1354</v>
      </c>
      <c r="Q200" s="78">
        <f t="shared" si="22"/>
        <v>240.65333333333334</v>
      </c>
      <c r="R200" s="78">
        <f t="shared" si="23"/>
        <v>9.1552734375</v>
      </c>
      <c r="S200" s="78">
        <f t="shared" si="24"/>
        <v>19</v>
      </c>
      <c r="T200" s="78">
        <f t="shared" si="25"/>
        <v>56.152444444444441</v>
      </c>
      <c r="U200" s="78" t="str">
        <f t="shared" si="26"/>
        <v>35-60</v>
      </c>
      <c r="V200" s="78" t="str">
        <f t="shared" si="27"/>
        <v>&lt;10 Гб</v>
      </c>
    </row>
    <row r="201" spans="1:22" x14ac:dyDescent="0.25">
      <c r="A201" t="s">
        <v>360</v>
      </c>
      <c r="B201" s="43">
        <v>37390</v>
      </c>
      <c r="C201" t="s">
        <v>50</v>
      </c>
      <c r="D201" t="s">
        <v>51</v>
      </c>
      <c r="E201" t="s">
        <v>54</v>
      </c>
      <c r="F201" t="s">
        <v>56</v>
      </c>
      <c r="G201" s="43">
        <v>44400</v>
      </c>
      <c r="H201">
        <v>5</v>
      </c>
      <c r="I201">
        <v>115388</v>
      </c>
      <c r="J201">
        <v>132000000</v>
      </c>
      <c r="L201">
        <v>1</v>
      </c>
      <c r="P201" s="77">
        <f t="shared" si="21"/>
        <v>282</v>
      </c>
      <c r="Q201" s="78">
        <f t="shared" si="22"/>
        <v>384.62666666666667</v>
      </c>
      <c r="R201" s="78">
        <f t="shared" si="23"/>
        <v>25.177001953125</v>
      </c>
      <c r="S201" s="78">
        <f t="shared" si="24"/>
        <v>19</v>
      </c>
      <c r="T201" s="78">
        <f t="shared" si="25"/>
        <v>89.746222222222229</v>
      </c>
      <c r="U201" s="78" t="str">
        <f t="shared" si="26"/>
        <v>61-90</v>
      </c>
      <c r="V201" s="78" t="str">
        <f t="shared" si="27"/>
        <v>21-30 Гб</v>
      </c>
    </row>
    <row r="202" spans="1:22" x14ac:dyDescent="0.25">
      <c r="A202" t="s">
        <v>531</v>
      </c>
      <c r="B202" s="43">
        <v>37390</v>
      </c>
      <c r="C202" t="s">
        <v>50</v>
      </c>
      <c r="D202" t="s">
        <v>51</v>
      </c>
      <c r="E202" t="s">
        <v>54</v>
      </c>
      <c r="F202" t="s">
        <v>57</v>
      </c>
      <c r="G202" s="43">
        <v>44364</v>
      </c>
      <c r="H202">
        <v>5</v>
      </c>
      <c r="I202">
        <v>14664</v>
      </c>
      <c r="J202">
        <v>104000000</v>
      </c>
      <c r="P202" s="77">
        <f t="shared" si="21"/>
        <v>318</v>
      </c>
      <c r="Q202" s="78">
        <f t="shared" si="22"/>
        <v>48.88</v>
      </c>
      <c r="R202" s="78">
        <f t="shared" si="23"/>
        <v>19.83642578125</v>
      </c>
      <c r="S202" s="78">
        <f t="shared" si="24"/>
        <v>19</v>
      </c>
      <c r="T202" s="78">
        <f t="shared" si="25"/>
        <v>11.405333333333335</v>
      </c>
      <c r="U202" s="78" t="str">
        <f t="shared" si="26"/>
        <v>&lt;35</v>
      </c>
      <c r="V202" s="78" t="str">
        <f t="shared" si="27"/>
        <v>10-20 Гб</v>
      </c>
    </row>
    <row r="203" spans="1:22" x14ac:dyDescent="0.25">
      <c r="A203" t="s">
        <v>1165</v>
      </c>
      <c r="B203" s="43">
        <v>37386</v>
      </c>
      <c r="C203" t="s">
        <v>50</v>
      </c>
      <c r="D203" t="s">
        <v>51</v>
      </c>
      <c r="E203" t="s">
        <v>52</v>
      </c>
      <c r="F203" t="s">
        <v>63</v>
      </c>
      <c r="G203" s="43">
        <v>43528</v>
      </c>
      <c r="H203">
        <v>5</v>
      </c>
      <c r="I203">
        <v>24124</v>
      </c>
      <c r="J203">
        <v>132000000</v>
      </c>
      <c r="P203" s="77">
        <f t="shared" si="21"/>
        <v>1154</v>
      </c>
      <c r="Q203" s="78">
        <f t="shared" si="22"/>
        <v>80.413333333333327</v>
      </c>
      <c r="R203" s="78">
        <f t="shared" si="23"/>
        <v>25.177001953125</v>
      </c>
      <c r="S203" s="78">
        <f t="shared" si="24"/>
        <v>19</v>
      </c>
      <c r="T203" s="78">
        <f t="shared" si="25"/>
        <v>18.763111111111112</v>
      </c>
      <c r="U203" s="78" t="str">
        <f t="shared" si="26"/>
        <v>&lt;35</v>
      </c>
      <c r="V203" s="78" t="str">
        <f t="shared" si="27"/>
        <v>21-30 Гб</v>
      </c>
    </row>
    <row r="204" spans="1:22" x14ac:dyDescent="0.25">
      <c r="A204" t="s">
        <v>131</v>
      </c>
      <c r="B204" s="43">
        <v>37385</v>
      </c>
      <c r="C204" t="s">
        <v>58</v>
      </c>
      <c r="D204" t="s">
        <v>51</v>
      </c>
      <c r="E204" t="s">
        <v>52</v>
      </c>
      <c r="F204" t="s">
        <v>63</v>
      </c>
      <c r="G204" s="43">
        <v>44565</v>
      </c>
      <c r="H204">
        <v>3</v>
      </c>
      <c r="I204">
        <v>5105</v>
      </c>
      <c r="J204">
        <v>128700000</v>
      </c>
      <c r="P204" s="77">
        <f t="shared" si="21"/>
        <v>117</v>
      </c>
      <c r="Q204" s="78">
        <f t="shared" si="22"/>
        <v>21.816239316239315</v>
      </c>
      <c r="R204" s="78">
        <f t="shared" si="23"/>
        <v>31.47125244140625</v>
      </c>
      <c r="S204" s="78">
        <f t="shared" si="24"/>
        <v>19</v>
      </c>
      <c r="T204" s="78">
        <f t="shared" si="25"/>
        <v>5.0904558404558404</v>
      </c>
      <c r="U204" s="78" t="str">
        <f t="shared" si="26"/>
        <v>&lt;35</v>
      </c>
      <c r="V204" s="78" t="str">
        <f t="shared" si="27"/>
        <v>31-40 Гб</v>
      </c>
    </row>
    <row r="205" spans="1:22" x14ac:dyDescent="0.25">
      <c r="A205" t="s">
        <v>74</v>
      </c>
      <c r="B205" s="43">
        <v>37381</v>
      </c>
      <c r="C205" t="s">
        <v>50</v>
      </c>
      <c r="D205" t="s">
        <v>51</v>
      </c>
      <c r="E205" t="s">
        <v>54</v>
      </c>
      <c r="F205" t="s">
        <v>63</v>
      </c>
      <c r="G205" s="43">
        <v>44671</v>
      </c>
      <c r="H205">
        <v>0</v>
      </c>
      <c r="I205">
        <v>2091</v>
      </c>
      <c r="J205">
        <v>13200000</v>
      </c>
      <c r="L205">
        <v>1</v>
      </c>
      <c r="N205">
        <v>1</v>
      </c>
      <c r="P205" s="77">
        <f t="shared" si="21"/>
        <v>11</v>
      </c>
      <c r="Q205" s="78">
        <f t="shared" si="22"/>
        <v>95.045454545454547</v>
      </c>
      <c r="R205" s="78">
        <f t="shared" si="23"/>
        <v>34.332275390625</v>
      </c>
      <c r="S205" s="78">
        <f t="shared" si="24"/>
        <v>19</v>
      </c>
      <c r="T205" s="78">
        <f t="shared" si="25"/>
        <v>22.177272727272729</v>
      </c>
      <c r="U205" s="78" t="str">
        <f t="shared" si="26"/>
        <v>&lt;35</v>
      </c>
      <c r="V205" s="78" t="str">
        <f t="shared" si="27"/>
        <v>31-40 Гб</v>
      </c>
    </row>
    <row r="206" spans="1:22" x14ac:dyDescent="0.25">
      <c r="A206" t="s">
        <v>369</v>
      </c>
      <c r="B206" s="43">
        <v>37380</v>
      </c>
      <c r="C206" t="s">
        <v>58</v>
      </c>
      <c r="D206" t="s">
        <v>51</v>
      </c>
      <c r="E206" t="s">
        <v>54</v>
      </c>
      <c r="F206" t="s">
        <v>56</v>
      </c>
      <c r="G206" s="43">
        <v>42802</v>
      </c>
      <c r="H206">
        <v>5</v>
      </c>
      <c r="I206">
        <v>116016</v>
      </c>
      <c r="J206">
        <v>116000000</v>
      </c>
      <c r="K206">
        <v>1</v>
      </c>
      <c r="P206" s="77">
        <f t="shared" si="21"/>
        <v>1880</v>
      </c>
      <c r="Q206" s="78">
        <f t="shared" si="22"/>
        <v>386.72</v>
      </c>
      <c r="R206" s="78">
        <f t="shared" si="23"/>
        <v>22.125244140625</v>
      </c>
      <c r="S206" s="78">
        <f t="shared" si="24"/>
        <v>19</v>
      </c>
      <c r="T206" s="78">
        <f t="shared" si="25"/>
        <v>90.234666666666669</v>
      </c>
      <c r="U206" s="78" t="str">
        <f t="shared" si="26"/>
        <v>91-120</v>
      </c>
      <c r="V206" s="78" t="str">
        <f t="shared" si="27"/>
        <v>21-30 Гб</v>
      </c>
    </row>
    <row r="207" spans="1:22" x14ac:dyDescent="0.25">
      <c r="A207" t="s">
        <v>1000</v>
      </c>
      <c r="B207" s="43">
        <v>37380</v>
      </c>
      <c r="C207" t="s">
        <v>58</v>
      </c>
      <c r="D207" t="s">
        <v>51</v>
      </c>
      <c r="E207" t="s">
        <v>52</v>
      </c>
      <c r="F207" t="s">
        <v>63</v>
      </c>
      <c r="G207" s="43">
        <v>43207</v>
      </c>
      <c r="H207">
        <v>5</v>
      </c>
      <c r="I207">
        <v>20160</v>
      </c>
      <c r="J207">
        <v>32000000</v>
      </c>
      <c r="P207" s="77">
        <f t="shared" si="21"/>
        <v>1475</v>
      </c>
      <c r="Q207" s="78">
        <f t="shared" si="22"/>
        <v>67.2</v>
      </c>
      <c r="R207" s="78">
        <f t="shared" si="23"/>
        <v>6.103515625</v>
      </c>
      <c r="S207" s="78">
        <f t="shared" si="24"/>
        <v>19</v>
      </c>
      <c r="T207" s="78">
        <f t="shared" si="25"/>
        <v>15.680000000000001</v>
      </c>
      <c r="U207" s="78" t="str">
        <f t="shared" si="26"/>
        <v>&lt;35</v>
      </c>
      <c r="V207" s="78" t="str">
        <f t="shared" si="27"/>
        <v>&lt;10 Гб</v>
      </c>
    </row>
    <row r="208" spans="1:22" x14ac:dyDescent="0.25">
      <c r="A208" t="s">
        <v>837</v>
      </c>
      <c r="B208" s="43">
        <v>37379</v>
      </c>
      <c r="C208" t="s">
        <v>58</v>
      </c>
      <c r="D208" t="s">
        <v>51</v>
      </c>
      <c r="E208" t="s">
        <v>52</v>
      </c>
      <c r="F208" t="s">
        <v>63</v>
      </c>
      <c r="G208" s="43">
        <v>43416</v>
      </c>
      <c r="H208">
        <v>5</v>
      </c>
      <c r="I208">
        <v>35740</v>
      </c>
      <c r="J208">
        <v>144000000</v>
      </c>
      <c r="L208">
        <v>1</v>
      </c>
      <c r="P208" s="77">
        <f t="shared" si="21"/>
        <v>1266</v>
      </c>
      <c r="Q208" s="78">
        <f t="shared" si="22"/>
        <v>119.13333333333334</v>
      </c>
      <c r="R208" s="78">
        <f t="shared" si="23"/>
        <v>27.4658203125</v>
      </c>
      <c r="S208" s="78">
        <f t="shared" si="24"/>
        <v>19</v>
      </c>
      <c r="T208" s="78">
        <f t="shared" si="25"/>
        <v>27.797777777777778</v>
      </c>
      <c r="U208" s="78" t="str">
        <f t="shared" si="26"/>
        <v>&lt;35</v>
      </c>
      <c r="V208" s="78" t="str">
        <f t="shared" si="27"/>
        <v>21-30 Гб</v>
      </c>
    </row>
    <row r="209" spans="1:22" x14ac:dyDescent="0.25">
      <c r="A209" t="s">
        <v>1078</v>
      </c>
      <c r="B209" s="43">
        <v>37372</v>
      </c>
      <c r="C209" t="s">
        <v>58</v>
      </c>
      <c r="D209" t="s">
        <v>51</v>
      </c>
      <c r="E209" t="s">
        <v>54</v>
      </c>
      <c r="F209" t="s">
        <v>63</v>
      </c>
      <c r="G209" s="43">
        <v>44452</v>
      </c>
      <c r="H209">
        <v>5</v>
      </c>
      <c r="I209">
        <v>15580</v>
      </c>
      <c r="J209">
        <v>120000000</v>
      </c>
      <c r="P209" s="77">
        <f t="shared" si="21"/>
        <v>230</v>
      </c>
      <c r="Q209" s="78">
        <f t="shared" si="22"/>
        <v>51.93333333333333</v>
      </c>
      <c r="R209" s="78">
        <f t="shared" si="23"/>
        <v>22.88818359375</v>
      </c>
      <c r="S209" s="78">
        <f t="shared" si="24"/>
        <v>20</v>
      </c>
      <c r="T209" s="78">
        <f t="shared" si="25"/>
        <v>12.117777777777777</v>
      </c>
      <c r="U209" s="78" t="str">
        <f t="shared" si="26"/>
        <v>&lt;35</v>
      </c>
      <c r="V209" s="78" t="str">
        <f t="shared" si="27"/>
        <v>21-30 Гб</v>
      </c>
    </row>
    <row r="210" spans="1:22" x14ac:dyDescent="0.25">
      <c r="A210" t="s">
        <v>1154</v>
      </c>
      <c r="B210" s="43">
        <v>37372</v>
      </c>
      <c r="C210" t="s">
        <v>58</v>
      </c>
      <c r="D210" t="s">
        <v>51</v>
      </c>
      <c r="E210" t="s">
        <v>52</v>
      </c>
      <c r="F210" t="s">
        <v>63</v>
      </c>
      <c r="G210" s="43">
        <v>42760</v>
      </c>
      <c r="H210">
        <v>5</v>
      </c>
      <c r="I210">
        <v>2668</v>
      </c>
      <c r="J210">
        <v>148000000</v>
      </c>
      <c r="O210">
        <v>1</v>
      </c>
      <c r="P210" s="77">
        <f t="shared" si="21"/>
        <v>1922</v>
      </c>
      <c r="Q210" s="78">
        <f t="shared" si="22"/>
        <v>8.8933333333333326</v>
      </c>
      <c r="R210" s="78">
        <f t="shared" si="23"/>
        <v>28.228759765625</v>
      </c>
      <c r="S210" s="78">
        <f t="shared" si="24"/>
        <v>20</v>
      </c>
      <c r="T210" s="78">
        <f t="shared" si="25"/>
        <v>2.0751111111111111</v>
      </c>
      <c r="U210" s="78" t="str">
        <f t="shared" si="26"/>
        <v>&lt;35</v>
      </c>
      <c r="V210" s="78" t="str">
        <f t="shared" si="27"/>
        <v>21-30 Гб</v>
      </c>
    </row>
    <row r="211" spans="1:22" x14ac:dyDescent="0.25">
      <c r="A211" t="s">
        <v>193</v>
      </c>
      <c r="B211" s="43">
        <v>37369</v>
      </c>
      <c r="C211" t="s">
        <v>50</v>
      </c>
      <c r="D211" t="s">
        <v>51</v>
      </c>
      <c r="E211" t="s">
        <v>52</v>
      </c>
      <c r="F211" t="s">
        <v>53</v>
      </c>
      <c r="G211" s="43">
        <v>43997</v>
      </c>
      <c r="H211">
        <v>5</v>
      </c>
      <c r="I211">
        <v>112440</v>
      </c>
      <c r="J211">
        <v>72000000</v>
      </c>
      <c r="M211">
        <v>1</v>
      </c>
      <c r="P211" s="77">
        <f t="shared" si="21"/>
        <v>685</v>
      </c>
      <c r="Q211" s="78">
        <f t="shared" si="22"/>
        <v>374.8</v>
      </c>
      <c r="R211" s="78">
        <f t="shared" si="23"/>
        <v>13.73291015625</v>
      </c>
      <c r="S211" s="78">
        <f t="shared" si="24"/>
        <v>20</v>
      </c>
      <c r="T211" s="78">
        <f t="shared" si="25"/>
        <v>87.453333333333333</v>
      </c>
      <c r="U211" s="78" t="str">
        <f t="shared" si="26"/>
        <v>61-90</v>
      </c>
      <c r="V211" s="78" t="str">
        <f t="shared" si="27"/>
        <v>10-20 Гб</v>
      </c>
    </row>
    <row r="212" spans="1:22" x14ac:dyDescent="0.25">
      <c r="A212" t="s">
        <v>1062</v>
      </c>
      <c r="B212" s="43">
        <v>37368</v>
      </c>
      <c r="C212" t="s">
        <v>58</v>
      </c>
      <c r="D212" t="s">
        <v>51</v>
      </c>
      <c r="E212" t="s">
        <v>52</v>
      </c>
      <c r="F212" t="s">
        <v>63</v>
      </c>
      <c r="G212" s="43">
        <v>43469</v>
      </c>
      <c r="H212">
        <v>5</v>
      </c>
      <c r="I212">
        <v>16904</v>
      </c>
      <c r="J212">
        <v>44000000</v>
      </c>
      <c r="M212">
        <v>1</v>
      </c>
      <c r="P212" s="77">
        <f t="shared" si="21"/>
        <v>1213</v>
      </c>
      <c r="Q212" s="78">
        <f t="shared" si="22"/>
        <v>56.346666666666664</v>
      </c>
      <c r="R212" s="78">
        <f t="shared" si="23"/>
        <v>8.392333984375</v>
      </c>
      <c r="S212" s="78">
        <f t="shared" si="24"/>
        <v>20</v>
      </c>
      <c r="T212" s="78">
        <f t="shared" si="25"/>
        <v>13.147555555555554</v>
      </c>
      <c r="U212" s="78" t="str">
        <f t="shared" si="26"/>
        <v>&lt;35</v>
      </c>
      <c r="V212" s="78" t="str">
        <f t="shared" si="27"/>
        <v>&lt;10 Гб</v>
      </c>
    </row>
    <row r="213" spans="1:22" x14ac:dyDescent="0.25">
      <c r="A213" t="s">
        <v>908</v>
      </c>
      <c r="B213" s="43">
        <v>37364</v>
      </c>
      <c r="C213" t="s">
        <v>58</v>
      </c>
      <c r="D213" t="s">
        <v>51</v>
      </c>
      <c r="E213" t="s">
        <v>54</v>
      </c>
      <c r="F213" t="s">
        <v>63</v>
      </c>
      <c r="G213" s="43">
        <v>43635</v>
      </c>
      <c r="H213">
        <v>5</v>
      </c>
      <c r="I213">
        <v>8144</v>
      </c>
      <c r="J213">
        <v>24000000</v>
      </c>
      <c r="P213" s="77">
        <f t="shared" si="21"/>
        <v>1047</v>
      </c>
      <c r="Q213" s="78">
        <f t="shared" si="22"/>
        <v>27.146666666666668</v>
      </c>
      <c r="R213" s="78">
        <f t="shared" si="23"/>
        <v>4.57763671875</v>
      </c>
      <c r="S213" s="78">
        <f t="shared" si="24"/>
        <v>20</v>
      </c>
      <c r="T213" s="78">
        <f t="shared" si="25"/>
        <v>6.3342222222222224</v>
      </c>
      <c r="U213" s="78" t="str">
        <f t="shared" si="26"/>
        <v>&lt;35</v>
      </c>
      <c r="V213" s="78" t="str">
        <f t="shared" si="27"/>
        <v>&lt;10 Гб</v>
      </c>
    </row>
    <row r="214" spans="1:22" x14ac:dyDescent="0.25">
      <c r="A214" t="s">
        <v>745</v>
      </c>
      <c r="B214" s="43">
        <v>37363</v>
      </c>
      <c r="C214" t="s">
        <v>58</v>
      </c>
      <c r="D214" t="s">
        <v>51</v>
      </c>
      <c r="E214" t="s">
        <v>52</v>
      </c>
      <c r="F214" t="s">
        <v>57</v>
      </c>
      <c r="G214" s="43">
        <v>42925</v>
      </c>
      <c r="H214">
        <v>5</v>
      </c>
      <c r="I214">
        <v>82064</v>
      </c>
      <c r="J214">
        <v>100000000</v>
      </c>
      <c r="P214" s="77">
        <f t="shared" si="21"/>
        <v>1757</v>
      </c>
      <c r="Q214" s="78">
        <f t="shared" si="22"/>
        <v>273.54666666666668</v>
      </c>
      <c r="R214" s="78">
        <f t="shared" si="23"/>
        <v>19.073486328125</v>
      </c>
      <c r="S214" s="78">
        <f t="shared" si="24"/>
        <v>20</v>
      </c>
      <c r="T214" s="78">
        <f t="shared" si="25"/>
        <v>63.827555555555563</v>
      </c>
      <c r="U214" s="78" t="str">
        <f t="shared" si="26"/>
        <v>61-90</v>
      </c>
      <c r="V214" s="78" t="str">
        <f t="shared" si="27"/>
        <v>10-20 Гб</v>
      </c>
    </row>
    <row r="215" spans="1:22" x14ac:dyDescent="0.25">
      <c r="A215" t="s">
        <v>920</v>
      </c>
      <c r="B215" s="43">
        <v>37359</v>
      </c>
      <c r="C215" t="s">
        <v>58</v>
      </c>
      <c r="D215" t="s">
        <v>51</v>
      </c>
      <c r="E215" t="s">
        <v>54</v>
      </c>
      <c r="F215" t="s">
        <v>63</v>
      </c>
      <c r="G215" s="43">
        <v>44393</v>
      </c>
      <c r="H215">
        <v>5</v>
      </c>
      <c r="I215">
        <v>32788</v>
      </c>
      <c r="J215">
        <v>52000000</v>
      </c>
      <c r="L215">
        <v>1</v>
      </c>
      <c r="P215" s="77">
        <f t="shared" si="21"/>
        <v>289</v>
      </c>
      <c r="Q215" s="78">
        <f t="shared" si="22"/>
        <v>109.29333333333334</v>
      </c>
      <c r="R215" s="78">
        <f t="shared" si="23"/>
        <v>9.918212890625</v>
      </c>
      <c r="S215" s="78">
        <f t="shared" si="24"/>
        <v>20</v>
      </c>
      <c r="T215" s="78">
        <f t="shared" si="25"/>
        <v>25.501777777777779</v>
      </c>
      <c r="U215" s="78" t="str">
        <f t="shared" si="26"/>
        <v>&lt;35</v>
      </c>
      <c r="V215" s="78" t="str">
        <f t="shared" si="27"/>
        <v>&lt;10 Гб</v>
      </c>
    </row>
    <row r="216" spans="1:22" x14ac:dyDescent="0.25">
      <c r="A216" t="s">
        <v>93</v>
      </c>
      <c r="B216" s="43">
        <v>37358</v>
      </c>
      <c r="C216" t="s">
        <v>50</v>
      </c>
      <c r="D216" t="s">
        <v>51</v>
      </c>
      <c r="E216" t="s">
        <v>54</v>
      </c>
      <c r="F216" t="s">
        <v>63</v>
      </c>
      <c r="G216" s="43">
        <v>44646</v>
      </c>
      <c r="H216">
        <v>1</v>
      </c>
      <c r="I216">
        <v>3704</v>
      </c>
      <c r="J216">
        <v>36000000</v>
      </c>
      <c r="P216" s="77">
        <f t="shared" si="21"/>
        <v>36</v>
      </c>
      <c r="Q216" s="78">
        <f t="shared" si="22"/>
        <v>51.444444444444443</v>
      </c>
      <c r="R216" s="78">
        <f t="shared" si="23"/>
        <v>28.6102294921875</v>
      </c>
      <c r="S216" s="78">
        <f t="shared" si="24"/>
        <v>20</v>
      </c>
      <c r="T216" s="78">
        <f t="shared" si="25"/>
        <v>12.003703703703703</v>
      </c>
      <c r="U216" s="78" t="str">
        <f t="shared" si="26"/>
        <v>&lt;35</v>
      </c>
      <c r="V216" s="78" t="str">
        <f t="shared" si="27"/>
        <v>21-30 Гб</v>
      </c>
    </row>
    <row r="217" spans="1:22" x14ac:dyDescent="0.25">
      <c r="A217" t="s">
        <v>263</v>
      </c>
      <c r="B217" s="43">
        <v>37352</v>
      </c>
      <c r="C217" t="s">
        <v>58</v>
      </c>
      <c r="D217" t="s">
        <v>51</v>
      </c>
      <c r="E217" t="s">
        <v>52</v>
      </c>
      <c r="F217" t="s">
        <v>56</v>
      </c>
      <c r="G217" s="43">
        <v>43874</v>
      </c>
      <c r="H217">
        <v>5</v>
      </c>
      <c r="I217">
        <v>93200</v>
      </c>
      <c r="J217">
        <v>128000000</v>
      </c>
      <c r="P217" s="77">
        <f t="shared" si="21"/>
        <v>808</v>
      </c>
      <c r="Q217" s="78">
        <f t="shared" si="22"/>
        <v>310.66666666666669</v>
      </c>
      <c r="R217" s="78">
        <f t="shared" si="23"/>
        <v>24.4140625</v>
      </c>
      <c r="S217" s="78">
        <f t="shared" si="24"/>
        <v>20</v>
      </c>
      <c r="T217" s="78">
        <f t="shared" si="25"/>
        <v>72.488888888888894</v>
      </c>
      <c r="U217" s="78" t="str">
        <f t="shared" si="26"/>
        <v>61-90</v>
      </c>
      <c r="V217" s="78" t="str">
        <f t="shared" si="27"/>
        <v>21-30 Гб</v>
      </c>
    </row>
    <row r="218" spans="1:22" x14ac:dyDescent="0.25">
      <c r="A218" t="s">
        <v>893</v>
      </c>
      <c r="B218" s="43">
        <v>37351</v>
      </c>
      <c r="C218" t="s">
        <v>50</v>
      </c>
      <c r="D218" t="s">
        <v>51</v>
      </c>
      <c r="E218" t="s">
        <v>54</v>
      </c>
      <c r="F218" t="s">
        <v>63</v>
      </c>
      <c r="G218" s="43">
        <v>42938</v>
      </c>
      <c r="H218">
        <v>5</v>
      </c>
      <c r="I218">
        <v>33896</v>
      </c>
      <c r="J218">
        <v>24000000</v>
      </c>
      <c r="N218">
        <v>1</v>
      </c>
      <c r="P218" s="77">
        <f t="shared" si="21"/>
        <v>1744</v>
      </c>
      <c r="Q218" s="78">
        <f t="shared" si="22"/>
        <v>112.98666666666666</v>
      </c>
      <c r="R218" s="78">
        <f t="shared" si="23"/>
        <v>4.57763671875</v>
      </c>
      <c r="S218" s="78">
        <f t="shared" si="24"/>
        <v>20</v>
      </c>
      <c r="T218" s="78">
        <f t="shared" si="25"/>
        <v>26.363555555555553</v>
      </c>
      <c r="U218" s="78" t="str">
        <f t="shared" si="26"/>
        <v>&lt;35</v>
      </c>
      <c r="V218" s="78" t="str">
        <f t="shared" si="27"/>
        <v>&lt;10 Гб</v>
      </c>
    </row>
    <row r="219" spans="1:22" x14ac:dyDescent="0.25">
      <c r="A219" t="s">
        <v>986</v>
      </c>
      <c r="B219" s="43">
        <v>37351</v>
      </c>
      <c r="C219" t="s">
        <v>58</v>
      </c>
      <c r="D219" t="s">
        <v>51</v>
      </c>
      <c r="E219" t="s">
        <v>54</v>
      </c>
      <c r="F219" t="s">
        <v>63</v>
      </c>
      <c r="G219" s="43">
        <v>43892</v>
      </c>
      <c r="H219">
        <v>5</v>
      </c>
      <c r="I219">
        <v>812</v>
      </c>
      <c r="J219">
        <v>140000000</v>
      </c>
      <c r="K219">
        <v>1</v>
      </c>
      <c r="L219">
        <v>1</v>
      </c>
      <c r="P219" s="77">
        <f t="shared" si="21"/>
        <v>790</v>
      </c>
      <c r="Q219" s="78">
        <f t="shared" si="22"/>
        <v>2.7066666666666666</v>
      </c>
      <c r="R219" s="78">
        <f t="shared" si="23"/>
        <v>26.702880859375</v>
      </c>
      <c r="S219" s="78">
        <f t="shared" si="24"/>
        <v>20</v>
      </c>
      <c r="T219" s="78">
        <f t="shared" si="25"/>
        <v>0.63155555555555554</v>
      </c>
      <c r="U219" s="78" t="str">
        <f t="shared" si="26"/>
        <v>&lt;35</v>
      </c>
      <c r="V219" s="78" t="str">
        <f t="shared" si="27"/>
        <v>21-30 Гб</v>
      </c>
    </row>
    <row r="220" spans="1:22" x14ac:dyDescent="0.25">
      <c r="A220" t="s">
        <v>873</v>
      </c>
      <c r="B220" s="43">
        <v>37350</v>
      </c>
      <c r="C220" t="s">
        <v>50</v>
      </c>
      <c r="D220" t="s">
        <v>51</v>
      </c>
      <c r="E220" t="s">
        <v>52</v>
      </c>
      <c r="F220" t="s">
        <v>63</v>
      </c>
      <c r="G220" s="43">
        <v>43664</v>
      </c>
      <c r="H220">
        <v>5</v>
      </c>
      <c r="I220">
        <v>20076</v>
      </c>
      <c r="J220">
        <v>116000000</v>
      </c>
      <c r="P220" s="77">
        <f t="shared" si="21"/>
        <v>1018</v>
      </c>
      <c r="Q220" s="78">
        <f t="shared" si="22"/>
        <v>66.92</v>
      </c>
      <c r="R220" s="78">
        <f t="shared" si="23"/>
        <v>22.125244140625</v>
      </c>
      <c r="S220" s="78">
        <f t="shared" si="24"/>
        <v>20</v>
      </c>
      <c r="T220" s="78">
        <f t="shared" si="25"/>
        <v>15.614666666666666</v>
      </c>
      <c r="U220" s="78" t="str">
        <f t="shared" si="26"/>
        <v>&lt;35</v>
      </c>
      <c r="V220" s="78" t="str">
        <f t="shared" si="27"/>
        <v>21-30 Гб</v>
      </c>
    </row>
    <row r="221" spans="1:22" x14ac:dyDescent="0.25">
      <c r="A221" t="s">
        <v>106</v>
      </c>
      <c r="B221" s="43">
        <v>37347</v>
      </c>
      <c r="C221" t="s">
        <v>50</v>
      </c>
      <c r="D221" t="s">
        <v>51</v>
      </c>
      <c r="E221" t="s">
        <v>52</v>
      </c>
      <c r="F221" t="s">
        <v>57</v>
      </c>
      <c r="G221" s="43">
        <v>44596</v>
      </c>
      <c r="H221">
        <v>2</v>
      </c>
      <c r="I221">
        <v>68800</v>
      </c>
      <c r="J221">
        <v>74533333</v>
      </c>
      <c r="P221" s="77">
        <f t="shared" si="21"/>
        <v>86</v>
      </c>
      <c r="Q221" s="78">
        <f t="shared" si="22"/>
        <v>400</v>
      </c>
      <c r="R221" s="78">
        <f t="shared" si="23"/>
        <v>24.795532115670138</v>
      </c>
      <c r="S221" s="78">
        <f t="shared" si="24"/>
        <v>20</v>
      </c>
      <c r="T221" s="78">
        <f t="shared" si="25"/>
        <v>93.333333333333329</v>
      </c>
      <c r="U221" s="78" t="str">
        <f t="shared" si="26"/>
        <v>91-120</v>
      </c>
      <c r="V221" s="78" t="str">
        <f t="shared" si="27"/>
        <v>21-30 Гб</v>
      </c>
    </row>
    <row r="222" spans="1:22" x14ac:dyDescent="0.25">
      <c r="A222" t="s">
        <v>826</v>
      </c>
      <c r="B222" s="43">
        <v>37347</v>
      </c>
      <c r="C222" t="s">
        <v>50</v>
      </c>
      <c r="D222" t="s">
        <v>51</v>
      </c>
      <c r="E222" t="s">
        <v>52</v>
      </c>
      <c r="F222" t="s">
        <v>63</v>
      </c>
      <c r="G222" s="43">
        <v>42889</v>
      </c>
      <c r="H222">
        <v>5</v>
      </c>
      <c r="I222">
        <v>11944</v>
      </c>
      <c r="J222">
        <v>144000000</v>
      </c>
      <c r="P222" s="77">
        <f t="shared" si="21"/>
        <v>1793</v>
      </c>
      <c r="Q222" s="78">
        <f t="shared" si="22"/>
        <v>39.813333333333333</v>
      </c>
      <c r="R222" s="78">
        <f t="shared" si="23"/>
        <v>27.4658203125</v>
      </c>
      <c r="S222" s="78">
        <f t="shared" si="24"/>
        <v>20</v>
      </c>
      <c r="T222" s="78">
        <f t="shared" si="25"/>
        <v>9.2897777777777772</v>
      </c>
      <c r="U222" s="78" t="str">
        <f t="shared" si="26"/>
        <v>&lt;35</v>
      </c>
      <c r="V222" s="78" t="str">
        <f t="shared" si="27"/>
        <v>21-30 Гб</v>
      </c>
    </row>
    <row r="223" spans="1:22" x14ac:dyDescent="0.25">
      <c r="A223" t="s">
        <v>560</v>
      </c>
      <c r="B223" s="43">
        <v>37346</v>
      </c>
      <c r="C223" t="s">
        <v>50</v>
      </c>
      <c r="D223" t="s">
        <v>51</v>
      </c>
      <c r="E223" t="s">
        <v>52</v>
      </c>
      <c r="F223" t="s">
        <v>57</v>
      </c>
      <c r="G223" s="43">
        <v>43476</v>
      </c>
      <c r="H223">
        <v>5</v>
      </c>
      <c r="I223">
        <v>37924</v>
      </c>
      <c r="J223">
        <v>60000000</v>
      </c>
      <c r="L223">
        <v>1</v>
      </c>
      <c r="N223">
        <v>1</v>
      </c>
      <c r="P223" s="77">
        <f t="shared" si="21"/>
        <v>1206</v>
      </c>
      <c r="Q223" s="78">
        <f t="shared" si="22"/>
        <v>126.41333333333333</v>
      </c>
      <c r="R223" s="78">
        <f t="shared" si="23"/>
        <v>11.444091796875</v>
      </c>
      <c r="S223" s="78">
        <f t="shared" si="24"/>
        <v>20</v>
      </c>
      <c r="T223" s="78">
        <f t="shared" si="25"/>
        <v>29.496444444444442</v>
      </c>
      <c r="U223" s="78" t="str">
        <f t="shared" si="26"/>
        <v>&lt;35</v>
      </c>
      <c r="V223" s="78" t="str">
        <f t="shared" si="27"/>
        <v>10-20 Гб</v>
      </c>
    </row>
    <row r="224" spans="1:22" x14ac:dyDescent="0.25">
      <c r="A224" t="s">
        <v>265</v>
      </c>
      <c r="B224" s="43">
        <v>37345</v>
      </c>
      <c r="C224" t="s">
        <v>58</v>
      </c>
      <c r="D224" t="s">
        <v>51</v>
      </c>
      <c r="E224" t="s">
        <v>54</v>
      </c>
      <c r="F224" t="s">
        <v>56</v>
      </c>
      <c r="G224" s="43">
        <v>44285</v>
      </c>
      <c r="H224">
        <v>5</v>
      </c>
      <c r="I224">
        <v>89824</v>
      </c>
      <c r="J224">
        <v>136000000</v>
      </c>
      <c r="P224" s="77">
        <f t="shared" si="21"/>
        <v>397</v>
      </c>
      <c r="Q224" s="78">
        <f t="shared" si="22"/>
        <v>299.41333333333336</v>
      </c>
      <c r="R224" s="78">
        <f t="shared" si="23"/>
        <v>25.93994140625</v>
      </c>
      <c r="S224" s="78">
        <f t="shared" si="24"/>
        <v>20</v>
      </c>
      <c r="T224" s="78">
        <f t="shared" si="25"/>
        <v>69.86311111111111</v>
      </c>
      <c r="U224" s="78" t="str">
        <f t="shared" si="26"/>
        <v>61-90</v>
      </c>
      <c r="V224" s="78" t="str">
        <f t="shared" si="27"/>
        <v>21-30 Гб</v>
      </c>
    </row>
    <row r="225" spans="1:22" x14ac:dyDescent="0.25">
      <c r="A225" t="s">
        <v>1167</v>
      </c>
      <c r="B225" s="43">
        <v>37345</v>
      </c>
      <c r="C225" t="s">
        <v>58</v>
      </c>
      <c r="D225" t="s">
        <v>51</v>
      </c>
      <c r="E225" t="s">
        <v>54</v>
      </c>
      <c r="F225" t="s">
        <v>63</v>
      </c>
      <c r="G225" s="43">
        <v>44383</v>
      </c>
      <c r="H225">
        <v>5</v>
      </c>
      <c r="I225">
        <v>10216</v>
      </c>
      <c r="J225">
        <v>144000000</v>
      </c>
      <c r="N225">
        <v>1</v>
      </c>
      <c r="P225" s="77">
        <f t="shared" si="21"/>
        <v>299</v>
      </c>
      <c r="Q225" s="78">
        <f t="shared" si="22"/>
        <v>34.053333333333335</v>
      </c>
      <c r="R225" s="78">
        <f t="shared" si="23"/>
        <v>27.4658203125</v>
      </c>
      <c r="S225" s="78">
        <f t="shared" si="24"/>
        <v>20</v>
      </c>
      <c r="T225" s="78">
        <f t="shared" si="25"/>
        <v>7.9457777777777778</v>
      </c>
      <c r="U225" s="78" t="str">
        <f t="shared" si="26"/>
        <v>&lt;35</v>
      </c>
      <c r="V225" s="78" t="str">
        <f t="shared" si="27"/>
        <v>21-30 Гб</v>
      </c>
    </row>
    <row r="226" spans="1:22" x14ac:dyDescent="0.25">
      <c r="A226" t="s">
        <v>247</v>
      </c>
      <c r="B226" s="43">
        <v>37343</v>
      </c>
      <c r="C226" t="s">
        <v>58</v>
      </c>
      <c r="D226" t="s">
        <v>51</v>
      </c>
      <c r="E226" t="s">
        <v>52</v>
      </c>
      <c r="F226" t="s">
        <v>56</v>
      </c>
      <c r="G226" s="43">
        <v>43188</v>
      </c>
      <c r="H226">
        <v>5</v>
      </c>
      <c r="I226">
        <v>98048</v>
      </c>
      <c r="J226">
        <v>120000000</v>
      </c>
      <c r="P226" s="77">
        <f t="shared" si="21"/>
        <v>1494</v>
      </c>
      <c r="Q226" s="78">
        <f t="shared" si="22"/>
        <v>326.82666666666665</v>
      </c>
      <c r="R226" s="78">
        <f t="shared" si="23"/>
        <v>22.88818359375</v>
      </c>
      <c r="S226" s="78">
        <f t="shared" si="24"/>
        <v>20</v>
      </c>
      <c r="T226" s="78">
        <f t="shared" si="25"/>
        <v>76.259555555555551</v>
      </c>
      <c r="U226" s="78" t="str">
        <f t="shared" si="26"/>
        <v>61-90</v>
      </c>
      <c r="V226" s="78" t="str">
        <f t="shared" si="27"/>
        <v>21-30 Гб</v>
      </c>
    </row>
    <row r="227" spans="1:22" x14ac:dyDescent="0.25">
      <c r="A227" t="s">
        <v>856</v>
      </c>
      <c r="B227" s="43">
        <v>37343</v>
      </c>
      <c r="C227" t="s">
        <v>58</v>
      </c>
      <c r="D227" t="s">
        <v>51</v>
      </c>
      <c r="E227" t="s">
        <v>52</v>
      </c>
      <c r="F227" t="s">
        <v>63</v>
      </c>
      <c r="G227" s="43">
        <v>43017</v>
      </c>
      <c r="H227">
        <v>5</v>
      </c>
      <c r="I227">
        <v>23276</v>
      </c>
      <c r="J227">
        <v>48000000</v>
      </c>
      <c r="P227" s="77">
        <f t="shared" si="21"/>
        <v>1665</v>
      </c>
      <c r="Q227" s="78">
        <f t="shared" si="22"/>
        <v>77.586666666666673</v>
      </c>
      <c r="R227" s="78">
        <f t="shared" si="23"/>
        <v>9.1552734375</v>
      </c>
      <c r="S227" s="78">
        <f t="shared" si="24"/>
        <v>20</v>
      </c>
      <c r="T227" s="78">
        <f t="shared" si="25"/>
        <v>18.103555555555555</v>
      </c>
      <c r="U227" s="78" t="str">
        <f t="shared" si="26"/>
        <v>&lt;35</v>
      </c>
      <c r="V227" s="78" t="str">
        <f t="shared" si="27"/>
        <v>&lt;10 Гб</v>
      </c>
    </row>
    <row r="228" spans="1:22" x14ac:dyDescent="0.25">
      <c r="A228" t="s">
        <v>400</v>
      </c>
      <c r="B228" s="43">
        <v>37342</v>
      </c>
      <c r="C228" t="s">
        <v>58</v>
      </c>
      <c r="D228" t="s">
        <v>51</v>
      </c>
      <c r="E228" t="s">
        <v>52</v>
      </c>
      <c r="F228" t="s">
        <v>56</v>
      </c>
      <c r="G228" s="43">
        <v>42791</v>
      </c>
      <c r="H228">
        <v>5</v>
      </c>
      <c r="I228">
        <v>108472</v>
      </c>
      <c r="J228">
        <v>28000000</v>
      </c>
      <c r="M228">
        <v>1</v>
      </c>
      <c r="P228" s="77">
        <f t="shared" si="21"/>
        <v>1891</v>
      </c>
      <c r="Q228" s="78">
        <f t="shared" si="22"/>
        <v>361.57333333333332</v>
      </c>
      <c r="R228" s="78">
        <f t="shared" si="23"/>
        <v>5.340576171875</v>
      </c>
      <c r="S228" s="78">
        <f t="shared" si="24"/>
        <v>20</v>
      </c>
      <c r="T228" s="78">
        <f t="shared" si="25"/>
        <v>84.367111111111114</v>
      </c>
      <c r="U228" s="78" t="str">
        <f t="shared" si="26"/>
        <v>61-90</v>
      </c>
      <c r="V228" s="78" t="str">
        <f t="shared" si="27"/>
        <v>&lt;10 Гб</v>
      </c>
    </row>
    <row r="229" spans="1:22" x14ac:dyDescent="0.25">
      <c r="A229" t="s">
        <v>865</v>
      </c>
      <c r="B229" s="43">
        <v>37342</v>
      </c>
      <c r="C229" t="s">
        <v>50</v>
      </c>
      <c r="D229" t="s">
        <v>51</v>
      </c>
      <c r="E229" t="s">
        <v>52</v>
      </c>
      <c r="F229" t="s">
        <v>63</v>
      </c>
      <c r="G229" s="43">
        <v>44313</v>
      </c>
      <c r="H229">
        <v>5</v>
      </c>
      <c r="I229">
        <v>24824</v>
      </c>
      <c r="J229">
        <v>144000000</v>
      </c>
      <c r="L229">
        <v>1</v>
      </c>
      <c r="P229" s="77">
        <f t="shared" si="21"/>
        <v>369</v>
      </c>
      <c r="Q229" s="78">
        <f t="shared" si="22"/>
        <v>82.74666666666667</v>
      </c>
      <c r="R229" s="78">
        <f t="shared" si="23"/>
        <v>27.4658203125</v>
      </c>
      <c r="S229" s="78">
        <f t="shared" si="24"/>
        <v>20</v>
      </c>
      <c r="T229" s="78">
        <f t="shared" si="25"/>
        <v>19.307555555555556</v>
      </c>
      <c r="U229" s="78" t="str">
        <f t="shared" si="26"/>
        <v>&lt;35</v>
      </c>
      <c r="V229" s="78" t="str">
        <f t="shared" si="27"/>
        <v>21-30 Гб</v>
      </c>
    </row>
    <row r="230" spans="1:22" x14ac:dyDescent="0.25">
      <c r="A230" t="s">
        <v>751</v>
      </c>
      <c r="B230" s="43">
        <v>37340</v>
      </c>
      <c r="C230" t="s">
        <v>50</v>
      </c>
      <c r="D230" t="s">
        <v>51</v>
      </c>
      <c r="E230" t="s">
        <v>54</v>
      </c>
      <c r="F230" t="s">
        <v>57</v>
      </c>
      <c r="G230" s="43">
        <v>43787</v>
      </c>
      <c r="H230">
        <v>5</v>
      </c>
      <c r="I230">
        <v>48884</v>
      </c>
      <c r="J230">
        <v>68000000</v>
      </c>
      <c r="P230" s="77">
        <f t="shared" si="21"/>
        <v>895</v>
      </c>
      <c r="Q230" s="78">
        <f t="shared" si="22"/>
        <v>162.94666666666666</v>
      </c>
      <c r="R230" s="78">
        <f t="shared" si="23"/>
        <v>12.969970703125</v>
      </c>
      <c r="S230" s="78">
        <f t="shared" si="24"/>
        <v>20</v>
      </c>
      <c r="T230" s="78">
        <f t="shared" si="25"/>
        <v>38.020888888888884</v>
      </c>
      <c r="U230" s="78" t="str">
        <f t="shared" si="26"/>
        <v>35-60</v>
      </c>
      <c r="V230" s="78" t="str">
        <f t="shared" si="27"/>
        <v>10-20 Гб</v>
      </c>
    </row>
    <row r="231" spans="1:22" x14ac:dyDescent="0.25">
      <c r="A231" t="s">
        <v>1166</v>
      </c>
      <c r="B231" s="43">
        <v>37338</v>
      </c>
      <c r="C231" t="s">
        <v>58</v>
      </c>
      <c r="D231" t="s">
        <v>51</v>
      </c>
      <c r="E231" t="s">
        <v>54</v>
      </c>
      <c r="F231" t="s">
        <v>63</v>
      </c>
      <c r="G231" s="43">
        <v>43115</v>
      </c>
      <c r="H231">
        <v>5</v>
      </c>
      <c r="I231">
        <v>8828</v>
      </c>
      <c r="J231">
        <v>124000000</v>
      </c>
      <c r="P231" s="77">
        <f t="shared" si="21"/>
        <v>1567</v>
      </c>
      <c r="Q231" s="78">
        <f t="shared" si="22"/>
        <v>29.426666666666666</v>
      </c>
      <c r="R231" s="78">
        <f t="shared" si="23"/>
        <v>23.651123046875</v>
      </c>
      <c r="S231" s="78">
        <f t="shared" si="24"/>
        <v>20</v>
      </c>
      <c r="T231" s="78">
        <f t="shared" si="25"/>
        <v>6.8662222222222216</v>
      </c>
      <c r="U231" s="78" t="str">
        <f t="shared" si="26"/>
        <v>&lt;35</v>
      </c>
      <c r="V231" s="78" t="str">
        <f t="shared" si="27"/>
        <v>21-30 Гб</v>
      </c>
    </row>
    <row r="232" spans="1:22" x14ac:dyDescent="0.25">
      <c r="A232" t="s">
        <v>281</v>
      </c>
      <c r="B232" s="43">
        <v>37337</v>
      </c>
      <c r="C232" t="s">
        <v>50</v>
      </c>
      <c r="D232" t="s">
        <v>51</v>
      </c>
      <c r="E232" t="s">
        <v>54</v>
      </c>
      <c r="F232" t="s">
        <v>56</v>
      </c>
      <c r="G232" s="43">
        <v>44409</v>
      </c>
      <c r="H232">
        <v>5</v>
      </c>
      <c r="I232">
        <v>60100</v>
      </c>
      <c r="J232">
        <v>28000000</v>
      </c>
      <c r="L232">
        <v>1</v>
      </c>
      <c r="P232" s="77">
        <f t="shared" si="21"/>
        <v>273</v>
      </c>
      <c r="Q232" s="78">
        <f t="shared" si="22"/>
        <v>200.33333333333334</v>
      </c>
      <c r="R232" s="78">
        <f t="shared" si="23"/>
        <v>5.340576171875</v>
      </c>
      <c r="S232" s="78">
        <f t="shared" si="24"/>
        <v>20</v>
      </c>
      <c r="T232" s="78">
        <f t="shared" si="25"/>
        <v>46.744444444444447</v>
      </c>
      <c r="U232" s="78" t="str">
        <f t="shared" si="26"/>
        <v>35-60</v>
      </c>
      <c r="V232" s="78" t="str">
        <f t="shared" si="27"/>
        <v>&lt;10 Гб</v>
      </c>
    </row>
    <row r="233" spans="1:22" x14ac:dyDescent="0.25">
      <c r="A233" t="s">
        <v>652</v>
      </c>
      <c r="B233" s="43">
        <v>37336</v>
      </c>
      <c r="C233" t="s">
        <v>58</v>
      </c>
      <c r="D233" t="s">
        <v>51</v>
      </c>
      <c r="E233" t="s">
        <v>52</v>
      </c>
      <c r="F233" t="s">
        <v>57</v>
      </c>
      <c r="G233" s="43">
        <v>43851</v>
      </c>
      <c r="H233">
        <v>5</v>
      </c>
      <c r="I233">
        <v>48332</v>
      </c>
      <c r="J233">
        <v>80000000</v>
      </c>
      <c r="P233" s="77">
        <f t="shared" si="21"/>
        <v>831</v>
      </c>
      <c r="Q233" s="78">
        <f t="shared" si="22"/>
        <v>161.10666666666665</v>
      </c>
      <c r="R233" s="78">
        <f t="shared" si="23"/>
        <v>15.2587890625</v>
      </c>
      <c r="S233" s="78">
        <f t="shared" si="24"/>
        <v>20</v>
      </c>
      <c r="T233" s="78">
        <f t="shared" si="25"/>
        <v>37.591555555555558</v>
      </c>
      <c r="U233" s="78" t="str">
        <f t="shared" si="26"/>
        <v>35-60</v>
      </c>
      <c r="V233" s="78" t="str">
        <f t="shared" si="27"/>
        <v>10-20 Гб</v>
      </c>
    </row>
    <row r="234" spans="1:22" x14ac:dyDescent="0.25">
      <c r="A234" t="s">
        <v>339</v>
      </c>
      <c r="B234" s="43">
        <v>37335</v>
      </c>
      <c r="C234" t="s">
        <v>58</v>
      </c>
      <c r="D234" t="s">
        <v>51</v>
      </c>
      <c r="E234" t="s">
        <v>54</v>
      </c>
      <c r="F234" t="s">
        <v>56</v>
      </c>
      <c r="G234" s="43">
        <v>44458</v>
      </c>
      <c r="H234">
        <v>5</v>
      </c>
      <c r="I234">
        <v>87992</v>
      </c>
      <c r="J234">
        <v>108000000</v>
      </c>
      <c r="P234" s="77">
        <f t="shared" si="21"/>
        <v>224</v>
      </c>
      <c r="Q234" s="78">
        <f t="shared" si="22"/>
        <v>293.30666666666667</v>
      </c>
      <c r="R234" s="78">
        <f t="shared" si="23"/>
        <v>20.599365234375</v>
      </c>
      <c r="S234" s="78">
        <f t="shared" si="24"/>
        <v>20</v>
      </c>
      <c r="T234" s="78">
        <f t="shared" si="25"/>
        <v>68.438222222222223</v>
      </c>
      <c r="U234" s="78" t="str">
        <f t="shared" si="26"/>
        <v>61-90</v>
      </c>
      <c r="V234" s="78" t="str">
        <f t="shared" si="27"/>
        <v>21-30 Гб</v>
      </c>
    </row>
    <row r="235" spans="1:22" x14ac:dyDescent="0.25">
      <c r="A235" t="s">
        <v>549</v>
      </c>
      <c r="B235" s="43">
        <v>37330</v>
      </c>
      <c r="C235" t="s">
        <v>50</v>
      </c>
      <c r="D235" t="s">
        <v>51</v>
      </c>
      <c r="E235" t="s">
        <v>52</v>
      </c>
      <c r="F235" t="s">
        <v>57</v>
      </c>
      <c r="G235" s="43">
        <v>44127</v>
      </c>
      <c r="H235">
        <v>5</v>
      </c>
      <c r="I235">
        <v>38112</v>
      </c>
      <c r="J235">
        <v>52000000</v>
      </c>
      <c r="P235" s="77">
        <f t="shared" si="21"/>
        <v>555</v>
      </c>
      <c r="Q235" s="78">
        <f t="shared" si="22"/>
        <v>127.04</v>
      </c>
      <c r="R235" s="78">
        <f t="shared" si="23"/>
        <v>9.918212890625</v>
      </c>
      <c r="S235" s="78">
        <f t="shared" si="24"/>
        <v>20</v>
      </c>
      <c r="T235" s="78">
        <f t="shared" si="25"/>
        <v>29.64266666666667</v>
      </c>
      <c r="U235" s="78" t="str">
        <f t="shared" si="26"/>
        <v>&lt;35</v>
      </c>
      <c r="V235" s="78" t="str">
        <f t="shared" si="27"/>
        <v>&lt;10 Гб</v>
      </c>
    </row>
    <row r="236" spans="1:22" x14ac:dyDescent="0.25">
      <c r="A236" t="s">
        <v>628</v>
      </c>
      <c r="B236" s="43">
        <v>37330</v>
      </c>
      <c r="C236" t="s">
        <v>58</v>
      </c>
      <c r="D236" t="s">
        <v>51</v>
      </c>
      <c r="E236" t="s">
        <v>52</v>
      </c>
      <c r="F236" t="s">
        <v>57</v>
      </c>
      <c r="G236" s="43">
        <v>43926</v>
      </c>
      <c r="H236">
        <v>5</v>
      </c>
      <c r="I236">
        <v>61508</v>
      </c>
      <c r="J236">
        <v>100000000</v>
      </c>
      <c r="K236">
        <v>1</v>
      </c>
      <c r="P236" s="77">
        <f t="shared" si="21"/>
        <v>756</v>
      </c>
      <c r="Q236" s="78">
        <f t="shared" si="22"/>
        <v>205.02666666666667</v>
      </c>
      <c r="R236" s="78">
        <f t="shared" si="23"/>
        <v>19.073486328125</v>
      </c>
      <c r="S236" s="78">
        <f t="shared" si="24"/>
        <v>20</v>
      </c>
      <c r="T236" s="78">
        <f t="shared" si="25"/>
        <v>47.839555555555556</v>
      </c>
      <c r="U236" s="78" t="str">
        <f t="shared" si="26"/>
        <v>35-60</v>
      </c>
      <c r="V236" s="78" t="str">
        <f t="shared" si="27"/>
        <v>10-20 Гб</v>
      </c>
    </row>
    <row r="237" spans="1:22" x14ac:dyDescent="0.25">
      <c r="A237" t="s">
        <v>932</v>
      </c>
      <c r="B237" s="43">
        <v>37330</v>
      </c>
      <c r="C237" t="s">
        <v>58</v>
      </c>
      <c r="D237" t="s">
        <v>51</v>
      </c>
      <c r="E237" t="s">
        <v>54</v>
      </c>
      <c r="F237" t="s">
        <v>63</v>
      </c>
      <c r="G237" s="43">
        <v>43205</v>
      </c>
      <c r="H237">
        <v>5</v>
      </c>
      <c r="I237">
        <v>30108</v>
      </c>
      <c r="J237">
        <v>144000000</v>
      </c>
      <c r="P237" s="77">
        <f t="shared" si="21"/>
        <v>1477</v>
      </c>
      <c r="Q237" s="78">
        <f t="shared" si="22"/>
        <v>100.36</v>
      </c>
      <c r="R237" s="78">
        <f t="shared" si="23"/>
        <v>27.4658203125</v>
      </c>
      <c r="S237" s="78">
        <f t="shared" si="24"/>
        <v>20</v>
      </c>
      <c r="T237" s="78">
        <f t="shared" si="25"/>
        <v>23.417333333333332</v>
      </c>
      <c r="U237" s="78" t="str">
        <f t="shared" si="26"/>
        <v>&lt;35</v>
      </c>
      <c r="V237" s="78" t="str">
        <f t="shared" si="27"/>
        <v>21-30 Гб</v>
      </c>
    </row>
    <row r="238" spans="1:22" x14ac:dyDescent="0.25">
      <c r="A238" t="s">
        <v>660</v>
      </c>
      <c r="B238" s="43">
        <v>37325</v>
      </c>
      <c r="C238" t="s">
        <v>58</v>
      </c>
      <c r="D238" t="s">
        <v>51</v>
      </c>
      <c r="E238" t="s">
        <v>54</v>
      </c>
      <c r="F238" t="s">
        <v>57</v>
      </c>
      <c r="G238" s="43">
        <v>44247</v>
      </c>
      <c r="H238">
        <v>5</v>
      </c>
      <c r="I238">
        <v>28656</v>
      </c>
      <c r="J238">
        <v>64000000</v>
      </c>
      <c r="O238">
        <v>1</v>
      </c>
      <c r="P238" s="77">
        <f t="shared" si="21"/>
        <v>435</v>
      </c>
      <c r="Q238" s="78">
        <f t="shared" si="22"/>
        <v>95.52</v>
      </c>
      <c r="R238" s="78">
        <f t="shared" si="23"/>
        <v>12.20703125</v>
      </c>
      <c r="S238" s="78">
        <f t="shared" si="24"/>
        <v>20</v>
      </c>
      <c r="T238" s="78">
        <f t="shared" si="25"/>
        <v>22.288</v>
      </c>
      <c r="U238" s="78" t="str">
        <f t="shared" si="26"/>
        <v>&lt;35</v>
      </c>
      <c r="V238" s="78" t="str">
        <f t="shared" si="27"/>
        <v>10-20 Гб</v>
      </c>
    </row>
    <row r="239" spans="1:22" x14ac:dyDescent="0.25">
      <c r="A239" t="s">
        <v>475</v>
      </c>
      <c r="B239" s="43">
        <v>37321</v>
      </c>
      <c r="C239" t="s">
        <v>50</v>
      </c>
      <c r="D239" t="s">
        <v>51</v>
      </c>
      <c r="E239" t="s">
        <v>52</v>
      </c>
      <c r="F239" t="s">
        <v>57</v>
      </c>
      <c r="G239" s="43">
        <v>43929</v>
      </c>
      <c r="H239">
        <v>5</v>
      </c>
      <c r="I239">
        <v>82784</v>
      </c>
      <c r="J239">
        <v>116000000</v>
      </c>
      <c r="M239">
        <v>1</v>
      </c>
      <c r="P239" s="77">
        <f t="shared" si="21"/>
        <v>753</v>
      </c>
      <c r="Q239" s="78">
        <f t="shared" si="22"/>
        <v>275.94666666666666</v>
      </c>
      <c r="R239" s="78">
        <f t="shared" si="23"/>
        <v>22.125244140625</v>
      </c>
      <c r="S239" s="78">
        <f t="shared" si="24"/>
        <v>20</v>
      </c>
      <c r="T239" s="78">
        <f t="shared" si="25"/>
        <v>64.387555555555551</v>
      </c>
      <c r="U239" s="78" t="str">
        <f t="shared" si="26"/>
        <v>61-90</v>
      </c>
      <c r="V239" s="78" t="str">
        <f t="shared" si="27"/>
        <v>21-30 Гб</v>
      </c>
    </row>
    <row r="240" spans="1:22" x14ac:dyDescent="0.25">
      <c r="A240" t="s">
        <v>657</v>
      </c>
      <c r="B240" s="43">
        <v>37321</v>
      </c>
      <c r="C240" t="s">
        <v>50</v>
      </c>
      <c r="D240" t="s">
        <v>51</v>
      </c>
      <c r="E240" t="s">
        <v>54</v>
      </c>
      <c r="F240" t="s">
        <v>57</v>
      </c>
      <c r="G240" s="43">
        <v>44241</v>
      </c>
      <c r="H240">
        <v>5</v>
      </c>
      <c r="I240">
        <v>76332</v>
      </c>
      <c r="J240">
        <v>104000000</v>
      </c>
      <c r="P240" s="77">
        <f t="shared" si="21"/>
        <v>441</v>
      </c>
      <c r="Q240" s="78">
        <f t="shared" si="22"/>
        <v>254.44</v>
      </c>
      <c r="R240" s="78">
        <f t="shared" si="23"/>
        <v>19.83642578125</v>
      </c>
      <c r="S240" s="78">
        <f t="shared" si="24"/>
        <v>20</v>
      </c>
      <c r="T240" s="78">
        <f t="shared" si="25"/>
        <v>59.36933333333333</v>
      </c>
      <c r="U240" s="78" t="str">
        <f t="shared" si="26"/>
        <v>35-60</v>
      </c>
      <c r="V240" s="78" t="str">
        <f t="shared" si="27"/>
        <v>10-20 Гб</v>
      </c>
    </row>
    <row r="241" spans="1:22" x14ac:dyDescent="0.25">
      <c r="A241" t="s">
        <v>858</v>
      </c>
      <c r="B241" s="43">
        <v>37320</v>
      </c>
      <c r="C241" t="s">
        <v>50</v>
      </c>
      <c r="D241" t="s">
        <v>51</v>
      </c>
      <c r="E241" t="s">
        <v>54</v>
      </c>
      <c r="F241" t="s">
        <v>63</v>
      </c>
      <c r="G241" s="43">
        <v>44120</v>
      </c>
      <c r="H241">
        <v>5</v>
      </c>
      <c r="I241">
        <v>27052</v>
      </c>
      <c r="J241">
        <v>28000000</v>
      </c>
      <c r="L241">
        <v>1</v>
      </c>
      <c r="N241">
        <v>1</v>
      </c>
      <c r="P241" s="77">
        <f t="shared" si="21"/>
        <v>562</v>
      </c>
      <c r="Q241" s="78">
        <f t="shared" si="22"/>
        <v>90.173333333333332</v>
      </c>
      <c r="R241" s="78">
        <f t="shared" si="23"/>
        <v>5.340576171875</v>
      </c>
      <c r="S241" s="78">
        <f t="shared" si="24"/>
        <v>20</v>
      </c>
      <c r="T241" s="78">
        <f t="shared" si="25"/>
        <v>21.040444444444447</v>
      </c>
      <c r="U241" s="78" t="str">
        <f t="shared" si="26"/>
        <v>&lt;35</v>
      </c>
      <c r="V241" s="78" t="str">
        <f t="shared" si="27"/>
        <v>&lt;10 Гб</v>
      </c>
    </row>
    <row r="242" spans="1:22" x14ac:dyDescent="0.25">
      <c r="A242" t="s">
        <v>206</v>
      </c>
      <c r="B242" s="43">
        <v>37318</v>
      </c>
      <c r="C242" t="s">
        <v>50</v>
      </c>
      <c r="D242" t="s">
        <v>51</v>
      </c>
      <c r="E242" t="s">
        <v>52</v>
      </c>
      <c r="F242" t="s">
        <v>53</v>
      </c>
      <c r="G242" s="43">
        <v>42858</v>
      </c>
      <c r="H242">
        <v>5</v>
      </c>
      <c r="I242">
        <v>73432</v>
      </c>
      <c r="J242">
        <v>124000000</v>
      </c>
      <c r="K242">
        <v>1</v>
      </c>
      <c r="P242" s="77">
        <f t="shared" si="21"/>
        <v>1824</v>
      </c>
      <c r="Q242" s="78">
        <f t="shared" si="22"/>
        <v>244.77333333333334</v>
      </c>
      <c r="R242" s="78">
        <f t="shared" si="23"/>
        <v>23.651123046875</v>
      </c>
      <c r="S242" s="78">
        <f t="shared" si="24"/>
        <v>20</v>
      </c>
      <c r="T242" s="78">
        <f t="shared" si="25"/>
        <v>57.113777777777777</v>
      </c>
      <c r="U242" s="78" t="str">
        <f t="shared" si="26"/>
        <v>35-60</v>
      </c>
      <c r="V242" s="78" t="str">
        <f t="shared" si="27"/>
        <v>21-30 Гб</v>
      </c>
    </row>
    <row r="243" spans="1:22" x14ac:dyDescent="0.25">
      <c r="A243" t="s">
        <v>753</v>
      </c>
      <c r="B243" s="43">
        <v>37316</v>
      </c>
      <c r="C243" t="s">
        <v>50</v>
      </c>
      <c r="D243" t="s">
        <v>51</v>
      </c>
      <c r="E243" t="s">
        <v>52</v>
      </c>
      <c r="F243" t="s">
        <v>57</v>
      </c>
      <c r="G243" s="43">
        <v>43903</v>
      </c>
      <c r="H243">
        <v>5</v>
      </c>
      <c r="I243">
        <v>4340</v>
      </c>
      <c r="J243">
        <v>92000000</v>
      </c>
      <c r="M243">
        <v>1</v>
      </c>
      <c r="P243" s="77">
        <f t="shared" si="21"/>
        <v>779</v>
      </c>
      <c r="Q243" s="78">
        <f t="shared" si="22"/>
        <v>14.466666666666667</v>
      </c>
      <c r="R243" s="78">
        <f t="shared" si="23"/>
        <v>17.547607421875</v>
      </c>
      <c r="S243" s="78">
        <f t="shared" si="24"/>
        <v>20</v>
      </c>
      <c r="T243" s="78">
        <f t="shared" si="25"/>
        <v>3.3755555555555556</v>
      </c>
      <c r="U243" s="78" t="str">
        <f t="shared" si="26"/>
        <v>&lt;35</v>
      </c>
      <c r="V243" s="78" t="str">
        <f t="shared" si="27"/>
        <v>10-20 Гб</v>
      </c>
    </row>
    <row r="244" spans="1:22" x14ac:dyDescent="0.25">
      <c r="A244" t="s">
        <v>863</v>
      </c>
      <c r="B244" s="43">
        <v>37312</v>
      </c>
      <c r="C244" t="s">
        <v>50</v>
      </c>
      <c r="D244" t="s">
        <v>51</v>
      </c>
      <c r="E244" t="s">
        <v>52</v>
      </c>
      <c r="F244" t="s">
        <v>63</v>
      </c>
      <c r="G244" s="43">
        <v>43883</v>
      </c>
      <c r="H244">
        <v>5</v>
      </c>
      <c r="I244">
        <v>26892</v>
      </c>
      <c r="J244">
        <v>136000000</v>
      </c>
      <c r="P244" s="77">
        <f t="shared" si="21"/>
        <v>799</v>
      </c>
      <c r="Q244" s="78">
        <f t="shared" si="22"/>
        <v>89.64</v>
      </c>
      <c r="R244" s="78">
        <f t="shared" si="23"/>
        <v>25.93994140625</v>
      </c>
      <c r="S244" s="78">
        <f t="shared" si="24"/>
        <v>20</v>
      </c>
      <c r="T244" s="78">
        <f t="shared" si="25"/>
        <v>20.916</v>
      </c>
      <c r="U244" s="78" t="str">
        <f t="shared" si="26"/>
        <v>&lt;35</v>
      </c>
      <c r="V244" s="78" t="str">
        <f t="shared" si="27"/>
        <v>21-30 Гб</v>
      </c>
    </row>
    <row r="245" spans="1:22" x14ac:dyDescent="0.25">
      <c r="A245" t="s">
        <v>950</v>
      </c>
      <c r="B245" s="43">
        <v>37311</v>
      </c>
      <c r="C245" t="s">
        <v>58</v>
      </c>
      <c r="D245" t="s">
        <v>51</v>
      </c>
      <c r="E245" t="s">
        <v>52</v>
      </c>
      <c r="F245" t="s">
        <v>63</v>
      </c>
      <c r="G245" s="43">
        <v>43599</v>
      </c>
      <c r="H245">
        <v>5</v>
      </c>
      <c r="I245">
        <v>23828</v>
      </c>
      <c r="J245">
        <v>156000000</v>
      </c>
      <c r="P245" s="77">
        <f t="shared" si="21"/>
        <v>1083</v>
      </c>
      <c r="Q245" s="78">
        <f t="shared" si="22"/>
        <v>79.426666666666662</v>
      </c>
      <c r="R245" s="78">
        <f t="shared" si="23"/>
        <v>29.754638671875</v>
      </c>
      <c r="S245" s="78">
        <f t="shared" si="24"/>
        <v>20</v>
      </c>
      <c r="T245" s="78">
        <f t="shared" si="25"/>
        <v>18.532888888888888</v>
      </c>
      <c r="U245" s="78" t="str">
        <f t="shared" si="26"/>
        <v>&lt;35</v>
      </c>
      <c r="V245" s="78" t="str">
        <f t="shared" si="27"/>
        <v>21-30 Гб</v>
      </c>
    </row>
    <row r="246" spans="1:22" x14ac:dyDescent="0.25">
      <c r="A246" t="s">
        <v>264</v>
      </c>
      <c r="B246" s="43">
        <v>37309</v>
      </c>
      <c r="C246" t="s">
        <v>58</v>
      </c>
      <c r="D246" t="s">
        <v>51</v>
      </c>
      <c r="E246" t="s">
        <v>54</v>
      </c>
      <c r="F246" t="s">
        <v>56</v>
      </c>
      <c r="G246" s="43">
        <v>44415</v>
      </c>
      <c r="H246">
        <v>5</v>
      </c>
      <c r="I246">
        <v>118816</v>
      </c>
      <c r="J246">
        <v>128000000</v>
      </c>
      <c r="P246" s="77">
        <f t="shared" si="21"/>
        <v>267</v>
      </c>
      <c r="Q246" s="78">
        <f t="shared" si="22"/>
        <v>396.05333333333334</v>
      </c>
      <c r="R246" s="78">
        <f t="shared" si="23"/>
        <v>24.4140625</v>
      </c>
      <c r="S246" s="78">
        <f t="shared" si="24"/>
        <v>20</v>
      </c>
      <c r="T246" s="78">
        <f t="shared" si="25"/>
        <v>92.412444444444446</v>
      </c>
      <c r="U246" s="78" t="str">
        <f t="shared" si="26"/>
        <v>91-120</v>
      </c>
      <c r="V246" s="78" t="str">
        <f t="shared" si="27"/>
        <v>21-30 Гб</v>
      </c>
    </row>
    <row r="247" spans="1:22" x14ac:dyDescent="0.25">
      <c r="A247" t="s">
        <v>923</v>
      </c>
      <c r="B247" s="43">
        <v>37307</v>
      </c>
      <c r="C247" t="s">
        <v>50</v>
      </c>
      <c r="D247" t="s">
        <v>51</v>
      </c>
      <c r="E247" t="s">
        <v>52</v>
      </c>
      <c r="F247" t="s">
        <v>63</v>
      </c>
      <c r="G247" s="43">
        <v>43058</v>
      </c>
      <c r="H247">
        <v>5</v>
      </c>
      <c r="I247">
        <v>30244</v>
      </c>
      <c r="J247">
        <v>120000000</v>
      </c>
      <c r="P247" s="77">
        <f t="shared" si="21"/>
        <v>1624</v>
      </c>
      <c r="Q247" s="78">
        <f t="shared" si="22"/>
        <v>100.81333333333333</v>
      </c>
      <c r="R247" s="78">
        <f t="shared" si="23"/>
        <v>22.88818359375</v>
      </c>
      <c r="S247" s="78">
        <f t="shared" si="24"/>
        <v>20</v>
      </c>
      <c r="T247" s="78">
        <f t="shared" si="25"/>
        <v>23.523111111111113</v>
      </c>
      <c r="U247" s="78" t="str">
        <f t="shared" si="26"/>
        <v>&lt;35</v>
      </c>
      <c r="V247" s="78" t="str">
        <f t="shared" si="27"/>
        <v>21-30 Гб</v>
      </c>
    </row>
    <row r="248" spans="1:22" x14ac:dyDescent="0.25">
      <c r="A248" t="s">
        <v>205</v>
      </c>
      <c r="B248" s="43">
        <v>37304</v>
      </c>
      <c r="C248" t="s">
        <v>58</v>
      </c>
      <c r="D248" t="s">
        <v>51</v>
      </c>
      <c r="E248" t="s">
        <v>54</v>
      </c>
      <c r="F248" t="s">
        <v>53</v>
      </c>
      <c r="G248" s="43">
        <v>44131</v>
      </c>
      <c r="H248">
        <v>5</v>
      </c>
      <c r="I248">
        <v>130388</v>
      </c>
      <c r="J248">
        <v>180000000</v>
      </c>
      <c r="O248">
        <v>1</v>
      </c>
      <c r="P248" s="77">
        <f t="shared" si="21"/>
        <v>551</v>
      </c>
      <c r="Q248" s="78">
        <f t="shared" si="22"/>
        <v>434.62666666666667</v>
      </c>
      <c r="R248" s="78">
        <f t="shared" si="23"/>
        <v>34.332275390625</v>
      </c>
      <c r="S248" s="78">
        <f t="shared" si="24"/>
        <v>20</v>
      </c>
      <c r="T248" s="78">
        <f t="shared" si="25"/>
        <v>101.41288888888889</v>
      </c>
      <c r="U248" s="78" t="str">
        <f t="shared" si="26"/>
        <v>91-120</v>
      </c>
      <c r="V248" s="78" t="str">
        <f t="shared" si="27"/>
        <v>31-40 Гб</v>
      </c>
    </row>
    <row r="249" spans="1:22" x14ac:dyDescent="0.25">
      <c r="A249" t="s">
        <v>297</v>
      </c>
      <c r="B249" s="43">
        <v>37301</v>
      </c>
      <c r="C249" t="s">
        <v>50</v>
      </c>
      <c r="D249" t="s">
        <v>51</v>
      </c>
      <c r="E249" t="s">
        <v>52</v>
      </c>
      <c r="F249" t="s">
        <v>56</v>
      </c>
      <c r="G249" s="43">
        <v>42883</v>
      </c>
      <c r="H249">
        <v>5</v>
      </c>
      <c r="I249">
        <v>80092</v>
      </c>
      <c r="J249">
        <v>132000000</v>
      </c>
      <c r="P249" s="77">
        <f t="shared" si="21"/>
        <v>1799</v>
      </c>
      <c r="Q249" s="78">
        <f t="shared" si="22"/>
        <v>266.97333333333336</v>
      </c>
      <c r="R249" s="78">
        <f t="shared" si="23"/>
        <v>25.177001953125</v>
      </c>
      <c r="S249" s="78">
        <f t="shared" si="24"/>
        <v>20</v>
      </c>
      <c r="T249" s="78">
        <f t="shared" si="25"/>
        <v>62.293777777777784</v>
      </c>
      <c r="U249" s="78" t="str">
        <f t="shared" si="26"/>
        <v>61-90</v>
      </c>
      <c r="V249" s="78" t="str">
        <f t="shared" si="27"/>
        <v>21-30 Гб</v>
      </c>
    </row>
    <row r="250" spans="1:22" x14ac:dyDescent="0.25">
      <c r="A250" t="s">
        <v>975</v>
      </c>
      <c r="B250" s="43">
        <v>37298</v>
      </c>
      <c r="C250" t="s">
        <v>50</v>
      </c>
      <c r="D250" t="s">
        <v>51</v>
      </c>
      <c r="E250" t="s">
        <v>52</v>
      </c>
      <c r="F250" t="s">
        <v>63</v>
      </c>
      <c r="G250" s="43">
        <v>44473</v>
      </c>
      <c r="H250">
        <v>5</v>
      </c>
      <c r="I250">
        <v>33352</v>
      </c>
      <c r="J250">
        <v>144000000</v>
      </c>
      <c r="P250" s="77">
        <f t="shared" si="21"/>
        <v>209</v>
      </c>
      <c r="Q250" s="78">
        <f t="shared" si="22"/>
        <v>111.17333333333333</v>
      </c>
      <c r="R250" s="78">
        <f t="shared" si="23"/>
        <v>27.4658203125</v>
      </c>
      <c r="S250" s="78">
        <f t="shared" si="24"/>
        <v>20</v>
      </c>
      <c r="T250" s="78">
        <f t="shared" si="25"/>
        <v>25.940444444444445</v>
      </c>
      <c r="U250" s="78" t="str">
        <f t="shared" si="26"/>
        <v>&lt;35</v>
      </c>
      <c r="V250" s="78" t="str">
        <f t="shared" si="27"/>
        <v>21-30 Гб</v>
      </c>
    </row>
    <row r="251" spans="1:22" x14ac:dyDescent="0.25">
      <c r="A251" t="s">
        <v>231</v>
      </c>
      <c r="B251" s="43">
        <v>37297</v>
      </c>
      <c r="C251" t="s">
        <v>50</v>
      </c>
      <c r="D251" t="s">
        <v>51</v>
      </c>
      <c r="E251" t="s">
        <v>54</v>
      </c>
      <c r="F251" t="s">
        <v>56</v>
      </c>
      <c r="G251" s="43">
        <v>42752</v>
      </c>
      <c r="H251">
        <v>5</v>
      </c>
      <c r="I251">
        <v>112628</v>
      </c>
      <c r="J251">
        <v>132000000</v>
      </c>
      <c r="P251" s="77">
        <f t="shared" si="21"/>
        <v>1930</v>
      </c>
      <c r="Q251" s="78">
        <f t="shared" si="22"/>
        <v>375.42666666666668</v>
      </c>
      <c r="R251" s="78">
        <f t="shared" si="23"/>
        <v>25.177001953125</v>
      </c>
      <c r="S251" s="78">
        <f t="shared" si="24"/>
        <v>20</v>
      </c>
      <c r="T251" s="78">
        <f t="shared" si="25"/>
        <v>87.599555555555554</v>
      </c>
      <c r="U251" s="78" t="str">
        <f t="shared" si="26"/>
        <v>61-90</v>
      </c>
      <c r="V251" s="78" t="str">
        <f t="shared" si="27"/>
        <v>21-30 Гб</v>
      </c>
    </row>
    <row r="252" spans="1:22" x14ac:dyDescent="0.25">
      <c r="A252" t="s">
        <v>437</v>
      </c>
      <c r="B252" s="43">
        <v>37295</v>
      </c>
      <c r="C252" t="s">
        <v>50</v>
      </c>
      <c r="D252" t="s">
        <v>51</v>
      </c>
      <c r="E252" t="s">
        <v>52</v>
      </c>
      <c r="F252" t="s">
        <v>57</v>
      </c>
      <c r="G252" s="43">
        <v>44477</v>
      </c>
      <c r="H252">
        <v>5</v>
      </c>
      <c r="I252">
        <v>10868</v>
      </c>
      <c r="J252">
        <v>60000000</v>
      </c>
      <c r="P252" s="77">
        <f t="shared" si="21"/>
        <v>205</v>
      </c>
      <c r="Q252" s="78">
        <f t="shared" si="22"/>
        <v>36.226666666666667</v>
      </c>
      <c r="R252" s="78">
        <f t="shared" si="23"/>
        <v>11.444091796875</v>
      </c>
      <c r="S252" s="78">
        <f t="shared" si="24"/>
        <v>20</v>
      </c>
      <c r="T252" s="78">
        <f t="shared" si="25"/>
        <v>8.4528888888888893</v>
      </c>
      <c r="U252" s="78" t="str">
        <f t="shared" si="26"/>
        <v>&lt;35</v>
      </c>
      <c r="V252" s="78" t="str">
        <f t="shared" si="27"/>
        <v>10-20 Гб</v>
      </c>
    </row>
    <row r="253" spans="1:22" x14ac:dyDescent="0.25">
      <c r="A253" t="s">
        <v>960</v>
      </c>
      <c r="B253" s="43">
        <v>37295</v>
      </c>
      <c r="C253" t="s">
        <v>58</v>
      </c>
      <c r="D253" t="s">
        <v>51</v>
      </c>
      <c r="E253" t="s">
        <v>52</v>
      </c>
      <c r="F253" t="s">
        <v>63</v>
      </c>
      <c r="G253" s="43">
        <v>42815</v>
      </c>
      <c r="H253">
        <v>5</v>
      </c>
      <c r="I253">
        <v>10724</v>
      </c>
      <c r="J253">
        <v>148000000</v>
      </c>
      <c r="L253">
        <v>1</v>
      </c>
      <c r="N253">
        <v>1</v>
      </c>
      <c r="P253" s="77">
        <f t="shared" si="21"/>
        <v>1867</v>
      </c>
      <c r="Q253" s="78">
        <f t="shared" si="22"/>
        <v>35.74666666666667</v>
      </c>
      <c r="R253" s="78">
        <f t="shared" si="23"/>
        <v>28.228759765625</v>
      </c>
      <c r="S253" s="78">
        <f t="shared" si="24"/>
        <v>20</v>
      </c>
      <c r="T253" s="78">
        <f t="shared" si="25"/>
        <v>8.3408888888888892</v>
      </c>
      <c r="U253" s="78" t="str">
        <f t="shared" si="26"/>
        <v>&lt;35</v>
      </c>
      <c r="V253" s="78" t="str">
        <f t="shared" si="27"/>
        <v>21-30 Гб</v>
      </c>
    </row>
    <row r="254" spans="1:22" x14ac:dyDescent="0.25">
      <c r="A254" t="s">
        <v>700</v>
      </c>
      <c r="B254" s="43">
        <v>37292</v>
      </c>
      <c r="C254" t="s">
        <v>50</v>
      </c>
      <c r="D254" t="s">
        <v>51</v>
      </c>
      <c r="E254" t="s">
        <v>52</v>
      </c>
      <c r="F254" t="s">
        <v>57</v>
      </c>
      <c r="G254" s="43">
        <v>43766</v>
      </c>
      <c r="H254">
        <v>5</v>
      </c>
      <c r="I254">
        <v>92664</v>
      </c>
      <c r="J254">
        <v>28000000</v>
      </c>
      <c r="P254" s="77">
        <f t="shared" si="21"/>
        <v>916</v>
      </c>
      <c r="Q254" s="78">
        <f t="shared" si="22"/>
        <v>308.88</v>
      </c>
      <c r="R254" s="78">
        <f t="shared" si="23"/>
        <v>5.340576171875</v>
      </c>
      <c r="S254" s="78">
        <f t="shared" si="24"/>
        <v>20</v>
      </c>
      <c r="T254" s="78">
        <f t="shared" si="25"/>
        <v>72.071999999999989</v>
      </c>
      <c r="U254" s="78" t="str">
        <f t="shared" si="26"/>
        <v>61-90</v>
      </c>
      <c r="V254" s="78" t="str">
        <f t="shared" si="27"/>
        <v>&lt;10 Гб</v>
      </c>
    </row>
    <row r="255" spans="1:22" x14ac:dyDescent="0.25">
      <c r="A255" t="s">
        <v>637</v>
      </c>
      <c r="B255" s="43">
        <v>37291</v>
      </c>
      <c r="C255" t="s">
        <v>58</v>
      </c>
      <c r="D255" t="s">
        <v>51</v>
      </c>
      <c r="E255" t="s">
        <v>52</v>
      </c>
      <c r="F255" t="s">
        <v>57</v>
      </c>
      <c r="G255" s="43">
        <v>42740</v>
      </c>
      <c r="H255">
        <v>5</v>
      </c>
      <c r="I255">
        <v>45296</v>
      </c>
      <c r="J255">
        <v>0</v>
      </c>
      <c r="L255">
        <v>1</v>
      </c>
      <c r="P255" s="77">
        <f t="shared" si="21"/>
        <v>1942</v>
      </c>
      <c r="Q255" s="78">
        <f t="shared" si="22"/>
        <v>150.98666666666668</v>
      </c>
      <c r="R255" s="78">
        <f t="shared" si="23"/>
        <v>0</v>
      </c>
      <c r="S255" s="78">
        <f t="shared" si="24"/>
        <v>20</v>
      </c>
      <c r="T255" s="78">
        <f t="shared" si="25"/>
        <v>35.230222222222224</v>
      </c>
      <c r="U255" s="78" t="str">
        <f t="shared" si="26"/>
        <v>35-60</v>
      </c>
      <c r="V255" s="78" t="str">
        <f t="shared" si="27"/>
        <v>&lt;10 Гб</v>
      </c>
    </row>
    <row r="256" spans="1:22" x14ac:dyDescent="0.25">
      <c r="A256" t="s">
        <v>829</v>
      </c>
      <c r="B256" s="43">
        <v>37289</v>
      </c>
      <c r="C256" t="s">
        <v>58</v>
      </c>
      <c r="D256" t="s">
        <v>51</v>
      </c>
      <c r="E256" t="s">
        <v>52</v>
      </c>
      <c r="F256" t="s">
        <v>63</v>
      </c>
      <c r="G256" s="43">
        <v>43833</v>
      </c>
      <c r="H256">
        <v>5</v>
      </c>
      <c r="I256">
        <v>17192</v>
      </c>
      <c r="J256">
        <v>88000000</v>
      </c>
      <c r="P256" s="77">
        <f t="shared" ref="P256:P319" si="28">DATEDIF(G256,$C$2,"D")</f>
        <v>849</v>
      </c>
      <c r="Q256" s="78">
        <f t="shared" ref="Q256:Q319" si="29">IF(P256&lt;DATEDIF($C$3,$C$2,"D"),I256/(60*(P256/30)),I256/(60*5))</f>
        <v>57.306666666666665</v>
      </c>
      <c r="R256" s="78">
        <f t="shared" ref="R256:R319" si="30">IF(P256&lt;DATEDIF($C$3,$C$2,"D"),J256/(1048576*(P256/30)),J256/(1048576*5))</f>
        <v>16.78466796875</v>
      </c>
      <c r="S256" s="78">
        <f t="shared" ref="S256:S319" si="31">DATEDIF(B256,$C$2,"Y")</f>
        <v>20</v>
      </c>
      <c r="T256" s="78">
        <f t="shared" si="25"/>
        <v>13.371555555555554</v>
      </c>
      <c r="U256" s="78" t="str">
        <f t="shared" si="26"/>
        <v>&lt;35</v>
      </c>
      <c r="V256" s="78" t="str">
        <f t="shared" si="27"/>
        <v>10-20 Гб</v>
      </c>
    </row>
    <row r="257" spans="1:22" x14ac:dyDescent="0.25">
      <c r="A257" t="s">
        <v>1074</v>
      </c>
      <c r="B257" s="43">
        <v>37287</v>
      </c>
      <c r="C257" t="s">
        <v>58</v>
      </c>
      <c r="D257" t="s">
        <v>51</v>
      </c>
      <c r="E257" t="s">
        <v>54</v>
      </c>
      <c r="F257" t="s">
        <v>63</v>
      </c>
      <c r="G257" s="43">
        <v>43696</v>
      </c>
      <c r="H257">
        <v>5</v>
      </c>
      <c r="I257">
        <v>3480</v>
      </c>
      <c r="J257">
        <v>156000000</v>
      </c>
      <c r="P257" s="77">
        <f t="shared" si="28"/>
        <v>986</v>
      </c>
      <c r="Q257" s="78">
        <f t="shared" si="29"/>
        <v>11.6</v>
      </c>
      <c r="R257" s="78">
        <f t="shared" si="30"/>
        <v>29.754638671875</v>
      </c>
      <c r="S257" s="78">
        <f t="shared" si="31"/>
        <v>20</v>
      </c>
      <c r="T257" s="78">
        <f t="shared" si="25"/>
        <v>2.7066666666666666</v>
      </c>
      <c r="U257" s="78" t="str">
        <f t="shared" si="26"/>
        <v>&lt;35</v>
      </c>
      <c r="V257" s="78" t="str">
        <f t="shared" si="27"/>
        <v>21-30 Гб</v>
      </c>
    </row>
    <row r="258" spans="1:22" x14ac:dyDescent="0.25">
      <c r="A258" t="s">
        <v>519</v>
      </c>
      <c r="B258" s="43">
        <v>37284</v>
      </c>
      <c r="C258" t="s">
        <v>50</v>
      </c>
      <c r="D258" t="s">
        <v>51</v>
      </c>
      <c r="E258" t="s">
        <v>54</v>
      </c>
      <c r="F258" t="s">
        <v>57</v>
      </c>
      <c r="G258" s="43">
        <v>43098</v>
      </c>
      <c r="H258">
        <v>5</v>
      </c>
      <c r="I258">
        <v>59120</v>
      </c>
      <c r="J258">
        <v>116000000</v>
      </c>
      <c r="P258" s="77">
        <f t="shared" si="28"/>
        <v>1584</v>
      </c>
      <c r="Q258" s="78">
        <f t="shared" si="29"/>
        <v>197.06666666666666</v>
      </c>
      <c r="R258" s="78">
        <f t="shared" si="30"/>
        <v>22.125244140625</v>
      </c>
      <c r="S258" s="78">
        <f t="shared" si="31"/>
        <v>20</v>
      </c>
      <c r="T258" s="78">
        <f t="shared" si="25"/>
        <v>45.982222222222227</v>
      </c>
      <c r="U258" s="78" t="str">
        <f t="shared" si="26"/>
        <v>35-60</v>
      </c>
      <c r="V258" s="78" t="str">
        <f t="shared" si="27"/>
        <v>21-30 Гб</v>
      </c>
    </row>
    <row r="259" spans="1:22" x14ac:dyDescent="0.25">
      <c r="A259" t="s">
        <v>1122</v>
      </c>
      <c r="B259" s="43">
        <v>37284</v>
      </c>
      <c r="C259" t="s">
        <v>50</v>
      </c>
      <c r="D259" t="s">
        <v>51</v>
      </c>
      <c r="E259" t="s">
        <v>52</v>
      </c>
      <c r="F259" t="s">
        <v>69</v>
      </c>
      <c r="G259" s="43">
        <v>43442</v>
      </c>
      <c r="H259">
        <v>5</v>
      </c>
      <c r="I259">
        <v>15784</v>
      </c>
      <c r="J259">
        <v>16000000</v>
      </c>
      <c r="P259" s="77">
        <f t="shared" si="28"/>
        <v>1240</v>
      </c>
      <c r="Q259" s="78">
        <f t="shared" si="29"/>
        <v>52.613333333333337</v>
      </c>
      <c r="R259" s="78">
        <f t="shared" si="30"/>
        <v>3.0517578125</v>
      </c>
      <c r="S259" s="78">
        <f t="shared" si="31"/>
        <v>20</v>
      </c>
      <c r="T259" s="78">
        <f t="shared" si="25"/>
        <v>12.276444444444445</v>
      </c>
      <c r="U259" s="78" t="str">
        <f t="shared" si="26"/>
        <v>&lt;35</v>
      </c>
      <c r="V259" s="78" t="str">
        <f t="shared" si="27"/>
        <v>&lt;10 Гб</v>
      </c>
    </row>
    <row r="260" spans="1:22" x14ac:dyDescent="0.25">
      <c r="A260" t="s">
        <v>588</v>
      </c>
      <c r="B260" s="43">
        <v>37281</v>
      </c>
      <c r="C260" t="s">
        <v>50</v>
      </c>
      <c r="D260" t="s">
        <v>51</v>
      </c>
      <c r="E260" t="s">
        <v>52</v>
      </c>
      <c r="F260" t="s">
        <v>57</v>
      </c>
      <c r="G260" s="43">
        <v>43172</v>
      </c>
      <c r="H260">
        <v>5</v>
      </c>
      <c r="I260">
        <v>14960</v>
      </c>
      <c r="J260">
        <v>112000000</v>
      </c>
      <c r="P260" s="77">
        <f t="shared" si="28"/>
        <v>1510</v>
      </c>
      <c r="Q260" s="78">
        <f t="shared" si="29"/>
        <v>49.866666666666667</v>
      </c>
      <c r="R260" s="78">
        <f t="shared" si="30"/>
        <v>21.3623046875</v>
      </c>
      <c r="S260" s="78">
        <f t="shared" si="31"/>
        <v>20</v>
      </c>
      <c r="T260" s="78">
        <f t="shared" si="25"/>
        <v>11.635555555555555</v>
      </c>
      <c r="U260" s="78" t="str">
        <f t="shared" si="26"/>
        <v>&lt;35</v>
      </c>
      <c r="V260" s="78" t="str">
        <f t="shared" si="27"/>
        <v>21-30 Гб</v>
      </c>
    </row>
    <row r="261" spans="1:22" x14ac:dyDescent="0.25">
      <c r="A261" t="s">
        <v>904</v>
      </c>
      <c r="B261" s="43">
        <v>37281</v>
      </c>
      <c r="C261" t="s">
        <v>50</v>
      </c>
      <c r="D261" t="s">
        <v>51</v>
      </c>
      <c r="E261" t="s">
        <v>52</v>
      </c>
      <c r="F261" t="s">
        <v>63</v>
      </c>
      <c r="G261" s="43">
        <v>43427</v>
      </c>
      <c r="H261">
        <v>5</v>
      </c>
      <c r="I261">
        <v>20108</v>
      </c>
      <c r="J261">
        <v>56000000</v>
      </c>
      <c r="P261" s="77">
        <f t="shared" si="28"/>
        <v>1255</v>
      </c>
      <c r="Q261" s="78">
        <f t="shared" si="29"/>
        <v>67.026666666666671</v>
      </c>
      <c r="R261" s="78">
        <f t="shared" si="30"/>
        <v>10.68115234375</v>
      </c>
      <c r="S261" s="78">
        <f t="shared" si="31"/>
        <v>20</v>
      </c>
      <c r="T261" s="78">
        <f t="shared" si="25"/>
        <v>15.639555555555557</v>
      </c>
      <c r="U261" s="78" t="str">
        <f t="shared" si="26"/>
        <v>&lt;35</v>
      </c>
      <c r="V261" s="78" t="str">
        <f t="shared" si="27"/>
        <v>10-20 Гб</v>
      </c>
    </row>
    <row r="262" spans="1:22" x14ac:dyDescent="0.25">
      <c r="A262" t="s">
        <v>543</v>
      </c>
      <c r="B262" s="43">
        <v>37277</v>
      </c>
      <c r="C262" t="s">
        <v>58</v>
      </c>
      <c r="D262" t="s">
        <v>51</v>
      </c>
      <c r="E262" t="s">
        <v>52</v>
      </c>
      <c r="F262" t="s">
        <v>57</v>
      </c>
      <c r="G262" s="43">
        <v>43404</v>
      </c>
      <c r="H262">
        <v>5</v>
      </c>
      <c r="I262">
        <v>70396</v>
      </c>
      <c r="J262">
        <v>64000000</v>
      </c>
      <c r="K262">
        <v>1</v>
      </c>
      <c r="P262" s="77">
        <f t="shared" si="28"/>
        <v>1278</v>
      </c>
      <c r="Q262" s="78">
        <f t="shared" si="29"/>
        <v>234.65333333333334</v>
      </c>
      <c r="R262" s="78">
        <f t="shared" si="30"/>
        <v>12.20703125</v>
      </c>
      <c r="S262" s="78">
        <f t="shared" si="31"/>
        <v>20</v>
      </c>
      <c r="T262" s="78">
        <f t="shared" si="25"/>
        <v>54.752444444444443</v>
      </c>
      <c r="U262" s="78" t="str">
        <f t="shared" si="26"/>
        <v>35-60</v>
      </c>
      <c r="V262" s="78" t="str">
        <f t="shared" si="27"/>
        <v>10-20 Гб</v>
      </c>
    </row>
    <row r="263" spans="1:22" x14ac:dyDescent="0.25">
      <c r="A263" t="s">
        <v>846</v>
      </c>
      <c r="B263" s="43">
        <v>37277</v>
      </c>
      <c r="C263" t="s">
        <v>50</v>
      </c>
      <c r="D263" t="s">
        <v>51</v>
      </c>
      <c r="E263" t="s">
        <v>52</v>
      </c>
      <c r="F263" t="s">
        <v>63</v>
      </c>
      <c r="G263" s="43">
        <v>43765</v>
      </c>
      <c r="H263">
        <v>5</v>
      </c>
      <c r="I263">
        <v>11752</v>
      </c>
      <c r="J263">
        <v>140000000</v>
      </c>
      <c r="P263" s="77">
        <f t="shared" si="28"/>
        <v>917</v>
      </c>
      <c r="Q263" s="78">
        <f t="shared" si="29"/>
        <v>39.173333333333332</v>
      </c>
      <c r="R263" s="78">
        <f t="shared" si="30"/>
        <v>26.702880859375</v>
      </c>
      <c r="S263" s="78">
        <f t="shared" si="31"/>
        <v>20</v>
      </c>
      <c r="T263" s="78">
        <f t="shared" ref="T263:T326" si="32">(Q263*7)/30</f>
        <v>9.1404444444444444</v>
      </c>
      <c r="U263" s="78" t="str">
        <f t="shared" ref="U263:U326" si="33">IF(T263&gt;120,"120+",IF(T263&gt;90,"91-120",IF(T263&gt;60,"61-90",IF(T263&gt;35,"35-60","&lt;35"))))</f>
        <v>&lt;35</v>
      </c>
      <c r="V263" s="78" t="str">
        <f t="shared" ref="V263:V326" si="34">IF(R263&gt;40,"40+ Гб",IF(R263&gt;30,"31-40 Гб",IF(R263&gt;20,"21-30 Гб",IF(R263&gt;10,"10-20 Гб","&lt;10 Гб"))))</f>
        <v>21-30 Гб</v>
      </c>
    </row>
    <row r="264" spans="1:22" x14ac:dyDescent="0.25">
      <c r="A264" t="s">
        <v>1073</v>
      </c>
      <c r="B264" s="43">
        <v>37277</v>
      </c>
      <c r="C264" t="s">
        <v>50</v>
      </c>
      <c r="D264" t="s">
        <v>51</v>
      </c>
      <c r="E264" t="s">
        <v>54</v>
      </c>
      <c r="F264" t="s">
        <v>63</v>
      </c>
      <c r="G264" s="43">
        <v>44461</v>
      </c>
      <c r="H264">
        <v>5</v>
      </c>
      <c r="I264">
        <v>29928</v>
      </c>
      <c r="J264">
        <v>52000000</v>
      </c>
      <c r="K264">
        <v>1</v>
      </c>
      <c r="L264">
        <v>1</v>
      </c>
      <c r="P264" s="77">
        <f t="shared" si="28"/>
        <v>221</v>
      </c>
      <c r="Q264" s="78">
        <f t="shared" si="29"/>
        <v>99.76</v>
      </c>
      <c r="R264" s="78">
        <f t="shared" si="30"/>
        <v>9.918212890625</v>
      </c>
      <c r="S264" s="78">
        <f t="shared" si="31"/>
        <v>20</v>
      </c>
      <c r="T264" s="78">
        <f t="shared" si="32"/>
        <v>23.277333333333335</v>
      </c>
      <c r="U264" s="78" t="str">
        <f t="shared" si="33"/>
        <v>&lt;35</v>
      </c>
      <c r="V264" s="78" t="str">
        <f t="shared" si="34"/>
        <v>&lt;10 Гб</v>
      </c>
    </row>
    <row r="265" spans="1:22" x14ac:dyDescent="0.25">
      <c r="A265" t="s">
        <v>859</v>
      </c>
      <c r="B265" s="43">
        <v>37272</v>
      </c>
      <c r="C265" t="s">
        <v>50</v>
      </c>
      <c r="D265" t="s">
        <v>51</v>
      </c>
      <c r="E265" t="s">
        <v>54</v>
      </c>
      <c r="F265" t="s">
        <v>63</v>
      </c>
      <c r="G265" s="43">
        <v>44214</v>
      </c>
      <c r="H265">
        <v>5</v>
      </c>
      <c r="I265">
        <v>28104</v>
      </c>
      <c r="J265">
        <v>104000000</v>
      </c>
      <c r="M265">
        <v>1</v>
      </c>
      <c r="P265" s="77">
        <f t="shared" si="28"/>
        <v>468</v>
      </c>
      <c r="Q265" s="78">
        <f t="shared" si="29"/>
        <v>93.68</v>
      </c>
      <c r="R265" s="78">
        <f t="shared" si="30"/>
        <v>19.83642578125</v>
      </c>
      <c r="S265" s="78">
        <f t="shared" si="31"/>
        <v>20</v>
      </c>
      <c r="T265" s="78">
        <f t="shared" si="32"/>
        <v>21.858666666666668</v>
      </c>
      <c r="U265" s="78" t="str">
        <f t="shared" si="33"/>
        <v>&lt;35</v>
      </c>
      <c r="V265" s="78" t="str">
        <f t="shared" si="34"/>
        <v>10-20 Гб</v>
      </c>
    </row>
    <row r="266" spans="1:22" x14ac:dyDescent="0.25">
      <c r="A266" t="s">
        <v>828</v>
      </c>
      <c r="B266" s="43">
        <v>37269</v>
      </c>
      <c r="C266" t="s">
        <v>50</v>
      </c>
      <c r="D266" t="s">
        <v>51</v>
      </c>
      <c r="E266" t="s">
        <v>52</v>
      </c>
      <c r="F266" t="s">
        <v>63</v>
      </c>
      <c r="G266" s="43">
        <v>44141</v>
      </c>
      <c r="H266">
        <v>5</v>
      </c>
      <c r="I266">
        <v>7344</v>
      </c>
      <c r="J266">
        <v>160000000</v>
      </c>
      <c r="P266" s="77">
        <f t="shared" si="28"/>
        <v>541</v>
      </c>
      <c r="Q266" s="78">
        <f t="shared" si="29"/>
        <v>24.48</v>
      </c>
      <c r="R266" s="78">
        <f t="shared" si="30"/>
        <v>30.517578125</v>
      </c>
      <c r="S266" s="78">
        <f t="shared" si="31"/>
        <v>20</v>
      </c>
      <c r="T266" s="78">
        <f t="shared" si="32"/>
        <v>5.7120000000000006</v>
      </c>
      <c r="U266" s="78" t="str">
        <f t="shared" si="33"/>
        <v>&lt;35</v>
      </c>
      <c r="V266" s="78" t="str">
        <f t="shared" si="34"/>
        <v>31-40 Гб</v>
      </c>
    </row>
    <row r="267" spans="1:22" x14ac:dyDescent="0.25">
      <c r="A267" t="s">
        <v>411</v>
      </c>
      <c r="B267" s="43">
        <v>37268</v>
      </c>
      <c r="C267" t="s">
        <v>58</v>
      </c>
      <c r="D267" t="s">
        <v>51</v>
      </c>
      <c r="E267" t="s">
        <v>54</v>
      </c>
      <c r="F267" t="s">
        <v>56</v>
      </c>
      <c r="G267" s="43">
        <v>43848</v>
      </c>
      <c r="H267">
        <v>5</v>
      </c>
      <c r="I267">
        <v>96780</v>
      </c>
      <c r="J267">
        <v>108000000</v>
      </c>
      <c r="P267" s="77">
        <f t="shared" si="28"/>
        <v>834</v>
      </c>
      <c r="Q267" s="78">
        <f t="shared" si="29"/>
        <v>322.60000000000002</v>
      </c>
      <c r="R267" s="78">
        <f t="shared" si="30"/>
        <v>20.599365234375</v>
      </c>
      <c r="S267" s="78">
        <f t="shared" si="31"/>
        <v>20</v>
      </c>
      <c r="T267" s="78">
        <f t="shared" si="32"/>
        <v>75.273333333333341</v>
      </c>
      <c r="U267" s="78" t="str">
        <f t="shared" si="33"/>
        <v>61-90</v>
      </c>
      <c r="V267" s="78" t="str">
        <f t="shared" si="34"/>
        <v>21-30 Гб</v>
      </c>
    </row>
    <row r="268" spans="1:22" x14ac:dyDescent="0.25">
      <c r="A268" t="s">
        <v>1004</v>
      </c>
      <c r="B268" s="43">
        <v>37261</v>
      </c>
      <c r="C268" t="s">
        <v>58</v>
      </c>
      <c r="D268" t="s">
        <v>51</v>
      </c>
      <c r="E268" t="s">
        <v>52</v>
      </c>
      <c r="F268" t="s">
        <v>63</v>
      </c>
      <c r="G268" s="43">
        <v>44188</v>
      </c>
      <c r="H268">
        <v>5</v>
      </c>
      <c r="I268">
        <v>26188</v>
      </c>
      <c r="J268">
        <v>136000000</v>
      </c>
      <c r="P268" s="77">
        <f t="shared" si="28"/>
        <v>494</v>
      </c>
      <c r="Q268" s="78">
        <f t="shared" si="29"/>
        <v>87.293333333333337</v>
      </c>
      <c r="R268" s="78">
        <f t="shared" si="30"/>
        <v>25.93994140625</v>
      </c>
      <c r="S268" s="78">
        <f t="shared" si="31"/>
        <v>20</v>
      </c>
      <c r="T268" s="78">
        <f t="shared" si="32"/>
        <v>20.368444444444446</v>
      </c>
      <c r="U268" s="78" t="str">
        <f t="shared" si="33"/>
        <v>&lt;35</v>
      </c>
      <c r="V268" s="78" t="str">
        <f t="shared" si="34"/>
        <v>21-30 Гб</v>
      </c>
    </row>
    <row r="269" spans="1:22" x14ac:dyDescent="0.25">
      <c r="A269" t="s">
        <v>157</v>
      </c>
      <c r="B269" s="43">
        <v>37250</v>
      </c>
      <c r="C269" t="s">
        <v>58</v>
      </c>
      <c r="D269" t="s">
        <v>51</v>
      </c>
      <c r="E269" t="s">
        <v>52</v>
      </c>
      <c r="F269" t="s">
        <v>53</v>
      </c>
      <c r="G269" s="43">
        <v>42765</v>
      </c>
      <c r="H269">
        <v>5</v>
      </c>
      <c r="I269">
        <v>127200</v>
      </c>
      <c r="J269">
        <v>172000000</v>
      </c>
      <c r="O269">
        <v>1</v>
      </c>
      <c r="P269" s="77">
        <f t="shared" si="28"/>
        <v>1917</v>
      </c>
      <c r="Q269" s="78">
        <f t="shared" si="29"/>
        <v>424</v>
      </c>
      <c r="R269" s="78">
        <f t="shared" si="30"/>
        <v>32.806396484375</v>
      </c>
      <c r="S269" s="78">
        <f t="shared" si="31"/>
        <v>20</v>
      </c>
      <c r="T269" s="78">
        <f t="shared" si="32"/>
        <v>98.933333333333337</v>
      </c>
      <c r="U269" s="78" t="str">
        <f t="shared" si="33"/>
        <v>91-120</v>
      </c>
      <c r="V269" s="78" t="str">
        <f t="shared" si="34"/>
        <v>31-40 Гб</v>
      </c>
    </row>
    <row r="270" spans="1:22" x14ac:dyDescent="0.25">
      <c r="A270" t="s">
        <v>617</v>
      </c>
      <c r="B270" s="43">
        <v>37246</v>
      </c>
      <c r="C270" t="s">
        <v>50</v>
      </c>
      <c r="D270" t="s">
        <v>51</v>
      </c>
      <c r="E270" t="s">
        <v>52</v>
      </c>
      <c r="F270" t="s">
        <v>57</v>
      </c>
      <c r="G270" s="43">
        <v>44110</v>
      </c>
      <c r="H270">
        <v>5</v>
      </c>
      <c r="I270">
        <v>90516</v>
      </c>
      <c r="J270">
        <v>96000000</v>
      </c>
      <c r="P270" s="77">
        <f t="shared" si="28"/>
        <v>572</v>
      </c>
      <c r="Q270" s="78">
        <f t="shared" si="29"/>
        <v>301.72000000000003</v>
      </c>
      <c r="R270" s="78">
        <f t="shared" si="30"/>
        <v>18.310546875</v>
      </c>
      <c r="S270" s="78">
        <f t="shared" si="31"/>
        <v>20</v>
      </c>
      <c r="T270" s="78">
        <f t="shared" si="32"/>
        <v>70.401333333333326</v>
      </c>
      <c r="U270" s="78" t="str">
        <f t="shared" si="33"/>
        <v>61-90</v>
      </c>
      <c r="V270" s="78" t="str">
        <f t="shared" si="34"/>
        <v>10-20 Гб</v>
      </c>
    </row>
    <row r="271" spans="1:22" x14ac:dyDescent="0.25">
      <c r="A271" t="s">
        <v>1017</v>
      </c>
      <c r="B271" s="43">
        <v>37246</v>
      </c>
      <c r="C271" t="s">
        <v>58</v>
      </c>
      <c r="D271" t="s">
        <v>51</v>
      </c>
      <c r="E271" t="s">
        <v>52</v>
      </c>
      <c r="F271" t="s">
        <v>63</v>
      </c>
      <c r="G271" s="43">
        <v>42906</v>
      </c>
      <c r="H271">
        <v>5</v>
      </c>
      <c r="I271">
        <v>14292</v>
      </c>
      <c r="J271">
        <v>152000000</v>
      </c>
      <c r="M271">
        <v>1</v>
      </c>
      <c r="P271" s="77">
        <f t="shared" si="28"/>
        <v>1776</v>
      </c>
      <c r="Q271" s="78">
        <f t="shared" si="29"/>
        <v>47.64</v>
      </c>
      <c r="R271" s="78">
        <f t="shared" si="30"/>
        <v>28.99169921875</v>
      </c>
      <c r="S271" s="78">
        <f t="shared" si="31"/>
        <v>20</v>
      </c>
      <c r="T271" s="78">
        <f t="shared" si="32"/>
        <v>11.116000000000001</v>
      </c>
      <c r="U271" s="78" t="str">
        <f t="shared" si="33"/>
        <v>&lt;35</v>
      </c>
      <c r="V271" s="78" t="str">
        <f t="shared" si="34"/>
        <v>21-30 Гб</v>
      </c>
    </row>
    <row r="272" spans="1:22" x14ac:dyDescent="0.25">
      <c r="A272" t="s">
        <v>250</v>
      </c>
      <c r="B272" s="43">
        <v>37242</v>
      </c>
      <c r="C272" t="s">
        <v>58</v>
      </c>
      <c r="D272" t="s">
        <v>51</v>
      </c>
      <c r="E272" t="s">
        <v>52</v>
      </c>
      <c r="F272" t="s">
        <v>56</v>
      </c>
      <c r="G272" s="43">
        <v>44420</v>
      </c>
      <c r="H272">
        <v>5</v>
      </c>
      <c r="I272">
        <v>96692</v>
      </c>
      <c r="J272">
        <v>116000000</v>
      </c>
      <c r="K272">
        <v>1</v>
      </c>
      <c r="P272" s="77">
        <f t="shared" si="28"/>
        <v>262</v>
      </c>
      <c r="Q272" s="78">
        <f t="shared" si="29"/>
        <v>322.30666666666667</v>
      </c>
      <c r="R272" s="78">
        <f t="shared" si="30"/>
        <v>22.125244140625</v>
      </c>
      <c r="S272" s="78">
        <f t="shared" si="31"/>
        <v>20</v>
      </c>
      <c r="T272" s="78">
        <f t="shared" si="32"/>
        <v>75.204888888888888</v>
      </c>
      <c r="U272" s="78" t="str">
        <f t="shared" si="33"/>
        <v>61-90</v>
      </c>
      <c r="V272" s="78" t="str">
        <f t="shared" si="34"/>
        <v>21-30 Гб</v>
      </c>
    </row>
    <row r="273" spans="1:22" x14ac:dyDescent="0.25">
      <c r="A273" t="s">
        <v>279</v>
      </c>
      <c r="B273" s="43">
        <v>37242</v>
      </c>
      <c r="C273" t="s">
        <v>50</v>
      </c>
      <c r="D273" t="s">
        <v>51</v>
      </c>
      <c r="E273" t="s">
        <v>54</v>
      </c>
      <c r="F273" t="s">
        <v>56</v>
      </c>
      <c r="G273" s="43">
        <v>43980</v>
      </c>
      <c r="H273">
        <v>5</v>
      </c>
      <c r="I273">
        <v>55052</v>
      </c>
      <c r="J273">
        <v>56000000</v>
      </c>
      <c r="N273">
        <v>1</v>
      </c>
      <c r="P273" s="77">
        <f t="shared" si="28"/>
        <v>702</v>
      </c>
      <c r="Q273" s="78">
        <f t="shared" si="29"/>
        <v>183.50666666666666</v>
      </c>
      <c r="R273" s="78">
        <f t="shared" si="30"/>
        <v>10.68115234375</v>
      </c>
      <c r="S273" s="78">
        <f t="shared" si="31"/>
        <v>20</v>
      </c>
      <c r="T273" s="78">
        <f t="shared" si="32"/>
        <v>42.818222222222218</v>
      </c>
      <c r="U273" s="78" t="str">
        <f t="shared" si="33"/>
        <v>35-60</v>
      </c>
      <c r="V273" s="78" t="str">
        <f t="shared" si="34"/>
        <v>10-20 Гб</v>
      </c>
    </row>
    <row r="274" spans="1:22" x14ac:dyDescent="0.25">
      <c r="A274" t="s">
        <v>146</v>
      </c>
      <c r="B274" s="43">
        <v>37240</v>
      </c>
      <c r="C274" t="s">
        <v>58</v>
      </c>
      <c r="D274" t="s">
        <v>51</v>
      </c>
      <c r="E274" t="s">
        <v>54</v>
      </c>
      <c r="F274" t="s">
        <v>57</v>
      </c>
      <c r="G274" s="43">
        <v>44532</v>
      </c>
      <c r="H274">
        <v>4</v>
      </c>
      <c r="I274">
        <v>120000</v>
      </c>
      <c r="J274">
        <v>112000000</v>
      </c>
      <c r="K274">
        <v>1</v>
      </c>
      <c r="L274">
        <v>1</v>
      </c>
      <c r="P274" s="77">
        <f t="shared" si="28"/>
        <v>150</v>
      </c>
      <c r="Q274" s="78">
        <f t="shared" si="29"/>
        <v>400</v>
      </c>
      <c r="R274" s="78">
        <f t="shared" si="30"/>
        <v>21.3623046875</v>
      </c>
      <c r="S274" s="78">
        <f t="shared" si="31"/>
        <v>20</v>
      </c>
      <c r="T274" s="78">
        <f t="shared" si="32"/>
        <v>93.333333333333329</v>
      </c>
      <c r="U274" s="78" t="str">
        <f t="shared" si="33"/>
        <v>91-120</v>
      </c>
      <c r="V274" s="78" t="str">
        <f t="shared" si="34"/>
        <v>21-30 Гб</v>
      </c>
    </row>
    <row r="275" spans="1:22" x14ac:dyDescent="0.25">
      <c r="A275" t="s">
        <v>702</v>
      </c>
      <c r="B275" s="43">
        <v>37237</v>
      </c>
      <c r="C275" t="s">
        <v>50</v>
      </c>
      <c r="D275" t="s">
        <v>51</v>
      </c>
      <c r="E275" t="s">
        <v>52</v>
      </c>
      <c r="F275" t="s">
        <v>57</v>
      </c>
      <c r="G275" s="43">
        <v>43589</v>
      </c>
      <c r="H275">
        <v>5</v>
      </c>
      <c r="I275">
        <v>95320</v>
      </c>
      <c r="J275">
        <v>24000000</v>
      </c>
      <c r="P275" s="77">
        <f t="shared" si="28"/>
        <v>1093</v>
      </c>
      <c r="Q275" s="78">
        <f t="shared" si="29"/>
        <v>317.73333333333335</v>
      </c>
      <c r="R275" s="78">
        <f t="shared" si="30"/>
        <v>4.57763671875</v>
      </c>
      <c r="S275" s="78">
        <f t="shared" si="31"/>
        <v>20</v>
      </c>
      <c r="T275" s="78">
        <f t="shared" si="32"/>
        <v>74.137777777777771</v>
      </c>
      <c r="U275" s="78" t="str">
        <f t="shared" si="33"/>
        <v>61-90</v>
      </c>
      <c r="V275" s="78" t="str">
        <f t="shared" si="34"/>
        <v>&lt;10 Гб</v>
      </c>
    </row>
    <row r="276" spans="1:22" x14ac:dyDescent="0.25">
      <c r="A276" t="s">
        <v>862</v>
      </c>
      <c r="B276" s="43">
        <v>37228</v>
      </c>
      <c r="C276" t="s">
        <v>50</v>
      </c>
      <c r="D276" t="s">
        <v>51</v>
      </c>
      <c r="E276" t="s">
        <v>52</v>
      </c>
      <c r="F276" t="s">
        <v>63</v>
      </c>
      <c r="G276" s="43">
        <v>44428</v>
      </c>
      <c r="H276">
        <v>5</v>
      </c>
      <c r="I276">
        <v>10864</v>
      </c>
      <c r="J276">
        <v>148000000</v>
      </c>
      <c r="K276">
        <v>1</v>
      </c>
      <c r="P276" s="77">
        <f t="shared" si="28"/>
        <v>254</v>
      </c>
      <c r="Q276" s="78">
        <f t="shared" si="29"/>
        <v>36.213333333333331</v>
      </c>
      <c r="R276" s="78">
        <f t="shared" si="30"/>
        <v>28.228759765625</v>
      </c>
      <c r="S276" s="78">
        <f t="shared" si="31"/>
        <v>20</v>
      </c>
      <c r="T276" s="78">
        <f t="shared" si="32"/>
        <v>8.4497777777777774</v>
      </c>
      <c r="U276" s="78" t="str">
        <f t="shared" si="33"/>
        <v>&lt;35</v>
      </c>
      <c r="V276" s="78" t="str">
        <f t="shared" si="34"/>
        <v>21-30 Гб</v>
      </c>
    </row>
    <row r="277" spans="1:22" x14ac:dyDescent="0.25">
      <c r="A277" t="s">
        <v>1124</v>
      </c>
      <c r="B277" s="43">
        <v>37226</v>
      </c>
      <c r="C277" t="s">
        <v>58</v>
      </c>
      <c r="D277" t="s">
        <v>51</v>
      </c>
      <c r="E277" t="s">
        <v>52</v>
      </c>
      <c r="F277" t="s">
        <v>69</v>
      </c>
      <c r="G277" s="43">
        <v>42820</v>
      </c>
      <c r="H277">
        <v>5</v>
      </c>
      <c r="I277">
        <v>21716</v>
      </c>
      <c r="J277">
        <v>16000000</v>
      </c>
      <c r="L277">
        <v>1</v>
      </c>
      <c r="P277" s="77">
        <f t="shared" si="28"/>
        <v>1862</v>
      </c>
      <c r="Q277" s="78">
        <f t="shared" si="29"/>
        <v>72.38666666666667</v>
      </c>
      <c r="R277" s="78">
        <f t="shared" si="30"/>
        <v>3.0517578125</v>
      </c>
      <c r="S277" s="78">
        <f t="shared" si="31"/>
        <v>20</v>
      </c>
      <c r="T277" s="78">
        <f t="shared" si="32"/>
        <v>16.890222222222224</v>
      </c>
      <c r="U277" s="78" t="str">
        <f t="shared" si="33"/>
        <v>&lt;35</v>
      </c>
      <c r="V277" s="78" t="str">
        <f t="shared" si="34"/>
        <v>&lt;10 Гб</v>
      </c>
    </row>
    <row r="278" spans="1:22" x14ac:dyDescent="0.25">
      <c r="A278" t="s">
        <v>1158</v>
      </c>
      <c r="B278" s="43">
        <v>37226</v>
      </c>
      <c r="C278" t="s">
        <v>50</v>
      </c>
      <c r="D278" t="s">
        <v>51</v>
      </c>
      <c r="E278" t="s">
        <v>52</v>
      </c>
      <c r="F278" t="s">
        <v>69</v>
      </c>
      <c r="G278" s="43">
        <v>42853</v>
      </c>
      <c r="H278">
        <v>5</v>
      </c>
      <c r="I278">
        <v>26172</v>
      </c>
      <c r="J278">
        <v>4000000</v>
      </c>
      <c r="M278">
        <v>1</v>
      </c>
      <c r="P278" s="77">
        <f t="shared" si="28"/>
        <v>1829</v>
      </c>
      <c r="Q278" s="78">
        <f t="shared" si="29"/>
        <v>87.24</v>
      </c>
      <c r="R278" s="78">
        <f t="shared" si="30"/>
        <v>0.762939453125</v>
      </c>
      <c r="S278" s="78">
        <f t="shared" si="31"/>
        <v>20</v>
      </c>
      <c r="T278" s="78">
        <f t="shared" si="32"/>
        <v>20.355999999999998</v>
      </c>
      <c r="U278" s="78" t="str">
        <f t="shared" si="33"/>
        <v>&lt;35</v>
      </c>
      <c r="V278" s="78" t="str">
        <f t="shared" si="34"/>
        <v>&lt;10 Гб</v>
      </c>
    </row>
    <row r="279" spans="1:22" x14ac:dyDescent="0.25">
      <c r="A279" t="s">
        <v>101</v>
      </c>
      <c r="B279" s="43">
        <v>37223</v>
      </c>
      <c r="C279" t="s">
        <v>50</v>
      </c>
      <c r="D279" t="s">
        <v>51</v>
      </c>
      <c r="E279" t="s">
        <v>54</v>
      </c>
      <c r="F279" t="s">
        <v>56</v>
      </c>
      <c r="G279" s="43">
        <v>44597</v>
      </c>
      <c r="H279">
        <v>2</v>
      </c>
      <c r="I279">
        <v>85000</v>
      </c>
      <c r="J279">
        <v>87833333</v>
      </c>
      <c r="K279">
        <v>1</v>
      </c>
      <c r="N279">
        <v>1</v>
      </c>
      <c r="P279" s="77">
        <f t="shared" si="28"/>
        <v>85</v>
      </c>
      <c r="Q279" s="78">
        <f t="shared" si="29"/>
        <v>500</v>
      </c>
      <c r="R279" s="78">
        <f t="shared" si="30"/>
        <v>29.563903696396771</v>
      </c>
      <c r="S279" s="78">
        <f t="shared" si="31"/>
        <v>20</v>
      </c>
      <c r="T279" s="78">
        <f t="shared" si="32"/>
        <v>116.66666666666667</v>
      </c>
      <c r="U279" s="78" t="str">
        <f t="shared" si="33"/>
        <v>91-120</v>
      </c>
      <c r="V279" s="78" t="str">
        <f t="shared" si="34"/>
        <v>21-30 Гб</v>
      </c>
    </row>
    <row r="280" spans="1:22" x14ac:dyDescent="0.25">
      <c r="A280" t="s">
        <v>1070</v>
      </c>
      <c r="B280" s="43">
        <v>37222</v>
      </c>
      <c r="C280" t="s">
        <v>50</v>
      </c>
      <c r="D280" t="s">
        <v>51</v>
      </c>
      <c r="E280" t="s">
        <v>54</v>
      </c>
      <c r="F280" t="s">
        <v>63</v>
      </c>
      <c r="G280" s="43">
        <v>43764</v>
      </c>
      <c r="H280">
        <v>5</v>
      </c>
      <c r="I280">
        <v>16220</v>
      </c>
      <c r="J280">
        <v>144000000</v>
      </c>
      <c r="P280" s="77">
        <f t="shared" si="28"/>
        <v>918</v>
      </c>
      <c r="Q280" s="78">
        <f t="shared" si="29"/>
        <v>54.06666666666667</v>
      </c>
      <c r="R280" s="78">
        <f t="shared" si="30"/>
        <v>27.4658203125</v>
      </c>
      <c r="S280" s="78">
        <f t="shared" si="31"/>
        <v>20</v>
      </c>
      <c r="T280" s="78">
        <f t="shared" si="32"/>
        <v>12.615555555555556</v>
      </c>
      <c r="U280" s="78" t="str">
        <f t="shared" si="33"/>
        <v>&lt;35</v>
      </c>
      <c r="V280" s="78" t="str">
        <f t="shared" si="34"/>
        <v>21-30 Гб</v>
      </c>
    </row>
    <row r="281" spans="1:22" x14ac:dyDescent="0.25">
      <c r="A281" t="s">
        <v>832</v>
      </c>
      <c r="B281" s="43">
        <v>37221</v>
      </c>
      <c r="C281" t="s">
        <v>50</v>
      </c>
      <c r="D281" t="s">
        <v>51</v>
      </c>
      <c r="E281" t="s">
        <v>54</v>
      </c>
      <c r="F281" t="s">
        <v>63</v>
      </c>
      <c r="G281" s="43">
        <v>43991</v>
      </c>
      <c r="H281">
        <v>5</v>
      </c>
      <c r="I281">
        <v>11448</v>
      </c>
      <c r="J281">
        <v>144000000</v>
      </c>
      <c r="P281" s="77">
        <f t="shared" si="28"/>
        <v>691</v>
      </c>
      <c r="Q281" s="78">
        <f t="shared" si="29"/>
        <v>38.159999999999997</v>
      </c>
      <c r="R281" s="78">
        <f t="shared" si="30"/>
        <v>27.4658203125</v>
      </c>
      <c r="S281" s="78">
        <f t="shared" si="31"/>
        <v>20</v>
      </c>
      <c r="T281" s="78">
        <f t="shared" si="32"/>
        <v>8.9039999999999999</v>
      </c>
      <c r="U281" s="78" t="str">
        <f t="shared" si="33"/>
        <v>&lt;35</v>
      </c>
      <c r="V281" s="78" t="str">
        <f t="shared" si="34"/>
        <v>21-30 Гб</v>
      </c>
    </row>
    <row r="282" spans="1:22" x14ac:dyDescent="0.25">
      <c r="A282" t="s">
        <v>971</v>
      </c>
      <c r="B282" s="43">
        <v>37220</v>
      </c>
      <c r="C282" t="s">
        <v>50</v>
      </c>
      <c r="D282" t="s">
        <v>51</v>
      </c>
      <c r="E282" t="s">
        <v>54</v>
      </c>
      <c r="F282" t="s">
        <v>63</v>
      </c>
      <c r="G282" s="43">
        <v>42746</v>
      </c>
      <c r="H282">
        <v>5</v>
      </c>
      <c r="I282">
        <v>19040</v>
      </c>
      <c r="J282">
        <v>156000000</v>
      </c>
      <c r="K282">
        <v>1</v>
      </c>
      <c r="N282">
        <v>1</v>
      </c>
      <c r="P282" s="77">
        <f t="shared" si="28"/>
        <v>1936</v>
      </c>
      <c r="Q282" s="78">
        <f t="shared" si="29"/>
        <v>63.466666666666669</v>
      </c>
      <c r="R282" s="78">
        <f t="shared" si="30"/>
        <v>29.754638671875</v>
      </c>
      <c r="S282" s="78">
        <f t="shared" si="31"/>
        <v>20</v>
      </c>
      <c r="T282" s="78">
        <f t="shared" si="32"/>
        <v>14.808888888888889</v>
      </c>
      <c r="U282" s="78" t="str">
        <f t="shared" si="33"/>
        <v>&lt;35</v>
      </c>
      <c r="V282" s="78" t="str">
        <f t="shared" si="34"/>
        <v>21-30 Гб</v>
      </c>
    </row>
    <row r="283" spans="1:22" x14ac:dyDescent="0.25">
      <c r="A283" t="s">
        <v>1067</v>
      </c>
      <c r="B283" s="43">
        <v>37217</v>
      </c>
      <c r="C283" t="s">
        <v>50</v>
      </c>
      <c r="D283" t="s">
        <v>51</v>
      </c>
      <c r="E283" t="s">
        <v>52</v>
      </c>
      <c r="F283" t="s">
        <v>63</v>
      </c>
      <c r="G283" s="43">
        <v>44193</v>
      </c>
      <c r="H283">
        <v>5</v>
      </c>
      <c r="I283">
        <v>11268</v>
      </c>
      <c r="J283">
        <v>160000000</v>
      </c>
      <c r="P283" s="77">
        <f t="shared" si="28"/>
        <v>489</v>
      </c>
      <c r="Q283" s="78">
        <f t="shared" si="29"/>
        <v>37.56</v>
      </c>
      <c r="R283" s="78">
        <f t="shared" si="30"/>
        <v>30.517578125</v>
      </c>
      <c r="S283" s="78">
        <f t="shared" si="31"/>
        <v>20</v>
      </c>
      <c r="T283" s="78">
        <f t="shared" si="32"/>
        <v>8.7640000000000011</v>
      </c>
      <c r="U283" s="78" t="str">
        <f t="shared" si="33"/>
        <v>&lt;35</v>
      </c>
      <c r="V283" s="78" t="str">
        <f t="shared" si="34"/>
        <v>31-40 Гб</v>
      </c>
    </row>
    <row r="284" spans="1:22" x14ac:dyDescent="0.25">
      <c r="A284" t="s">
        <v>188</v>
      </c>
      <c r="B284" s="43">
        <v>37216</v>
      </c>
      <c r="C284" t="s">
        <v>58</v>
      </c>
      <c r="D284" t="s">
        <v>51</v>
      </c>
      <c r="E284" t="s">
        <v>54</v>
      </c>
      <c r="F284" t="s">
        <v>53</v>
      </c>
      <c r="G284" s="43">
        <v>43281</v>
      </c>
      <c r="H284">
        <v>5</v>
      </c>
      <c r="I284">
        <v>161264</v>
      </c>
      <c r="J284">
        <v>60000000</v>
      </c>
      <c r="P284" s="77">
        <f t="shared" si="28"/>
        <v>1401</v>
      </c>
      <c r="Q284" s="78">
        <f t="shared" si="29"/>
        <v>537.54666666666662</v>
      </c>
      <c r="R284" s="78">
        <f t="shared" si="30"/>
        <v>11.444091796875</v>
      </c>
      <c r="S284" s="78">
        <f t="shared" si="31"/>
        <v>20</v>
      </c>
      <c r="T284" s="78">
        <f t="shared" si="32"/>
        <v>125.42755555555554</v>
      </c>
      <c r="U284" s="78" t="str">
        <f t="shared" si="33"/>
        <v>120+</v>
      </c>
      <c r="V284" s="78" t="str">
        <f t="shared" si="34"/>
        <v>10-20 Гб</v>
      </c>
    </row>
    <row r="285" spans="1:22" x14ac:dyDescent="0.25">
      <c r="A285" t="s">
        <v>168</v>
      </c>
      <c r="B285" s="43">
        <v>37214</v>
      </c>
      <c r="C285" t="s">
        <v>58</v>
      </c>
      <c r="D285" t="s">
        <v>51</v>
      </c>
      <c r="E285" t="s">
        <v>52</v>
      </c>
      <c r="F285" t="s">
        <v>53</v>
      </c>
      <c r="G285" s="43">
        <v>44035</v>
      </c>
      <c r="H285">
        <v>5</v>
      </c>
      <c r="I285">
        <v>25644</v>
      </c>
      <c r="J285">
        <v>192000000</v>
      </c>
      <c r="K285">
        <v>1</v>
      </c>
      <c r="M285">
        <v>1</v>
      </c>
      <c r="P285" s="77">
        <f t="shared" si="28"/>
        <v>647</v>
      </c>
      <c r="Q285" s="78">
        <f t="shared" si="29"/>
        <v>85.48</v>
      </c>
      <c r="R285" s="78">
        <f t="shared" si="30"/>
        <v>36.62109375</v>
      </c>
      <c r="S285" s="78">
        <f t="shared" si="31"/>
        <v>20</v>
      </c>
      <c r="T285" s="78">
        <f t="shared" si="32"/>
        <v>19.945333333333334</v>
      </c>
      <c r="U285" s="78" t="str">
        <f t="shared" si="33"/>
        <v>&lt;35</v>
      </c>
      <c r="V285" s="78" t="str">
        <f t="shared" si="34"/>
        <v>31-40 Гб</v>
      </c>
    </row>
    <row r="286" spans="1:22" x14ac:dyDescent="0.25">
      <c r="A286" t="s">
        <v>343</v>
      </c>
      <c r="B286" s="43">
        <v>37213</v>
      </c>
      <c r="C286" t="s">
        <v>50</v>
      </c>
      <c r="D286" t="s">
        <v>51</v>
      </c>
      <c r="E286" t="s">
        <v>54</v>
      </c>
      <c r="F286" t="s">
        <v>56</v>
      </c>
      <c r="G286" s="43">
        <v>42908</v>
      </c>
      <c r="H286">
        <v>5</v>
      </c>
      <c r="I286">
        <v>73848</v>
      </c>
      <c r="J286">
        <v>128000000</v>
      </c>
      <c r="P286" s="77">
        <f t="shared" si="28"/>
        <v>1774</v>
      </c>
      <c r="Q286" s="78">
        <f t="shared" si="29"/>
        <v>246.16</v>
      </c>
      <c r="R286" s="78">
        <f t="shared" si="30"/>
        <v>24.4140625</v>
      </c>
      <c r="S286" s="78">
        <f t="shared" si="31"/>
        <v>20</v>
      </c>
      <c r="T286" s="78">
        <f t="shared" si="32"/>
        <v>57.437333333333328</v>
      </c>
      <c r="U286" s="78" t="str">
        <f t="shared" si="33"/>
        <v>35-60</v>
      </c>
      <c r="V286" s="78" t="str">
        <f t="shared" si="34"/>
        <v>21-30 Гб</v>
      </c>
    </row>
    <row r="287" spans="1:22" x14ac:dyDescent="0.25">
      <c r="A287" t="s">
        <v>561</v>
      </c>
      <c r="B287" s="43">
        <v>37212</v>
      </c>
      <c r="C287" t="s">
        <v>50</v>
      </c>
      <c r="D287" t="s">
        <v>51</v>
      </c>
      <c r="E287" t="s">
        <v>54</v>
      </c>
      <c r="F287" t="s">
        <v>57</v>
      </c>
      <c r="G287" s="43">
        <v>43317</v>
      </c>
      <c r="H287">
        <v>5</v>
      </c>
      <c r="I287">
        <v>72340</v>
      </c>
      <c r="J287">
        <v>68000000</v>
      </c>
      <c r="K287">
        <v>1</v>
      </c>
      <c r="P287" s="77">
        <f t="shared" si="28"/>
        <v>1365</v>
      </c>
      <c r="Q287" s="78">
        <f t="shared" si="29"/>
        <v>241.13333333333333</v>
      </c>
      <c r="R287" s="78">
        <f t="shared" si="30"/>
        <v>12.969970703125</v>
      </c>
      <c r="S287" s="78">
        <f t="shared" si="31"/>
        <v>20</v>
      </c>
      <c r="T287" s="78">
        <f t="shared" si="32"/>
        <v>56.264444444444443</v>
      </c>
      <c r="U287" s="78" t="str">
        <f t="shared" si="33"/>
        <v>35-60</v>
      </c>
      <c r="V287" s="78" t="str">
        <f t="shared" si="34"/>
        <v>10-20 Гб</v>
      </c>
    </row>
    <row r="288" spans="1:22" x14ac:dyDescent="0.25">
      <c r="A288" t="s">
        <v>744</v>
      </c>
      <c r="B288" s="43">
        <v>37212</v>
      </c>
      <c r="C288" t="s">
        <v>50</v>
      </c>
      <c r="D288" t="s">
        <v>51</v>
      </c>
      <c r="E288" t="s">
        <v>52</v>
      </c>
      <c r="F288" t="s">
        <v>57</v>
      </c>
      <c r="G288" s="43">
        <v>42741</v>
      </c>
      <c r="H288">
        <v>5</v>
      </c>
      <c r="I288">
        <v>42924</v>
      </c>
      <c r="J288">
        <v>32000000</v>
      </c>
      <c r="N288">
        <v>1</v>
      </c>
      <c r="P288" s="77">
        <f t="shared" si="28"/>
        <v>1941</v>
      </c>
      <c r="Q288" s="78">
        <f t="shared" si="29"/>
        <v>143.08000000000001</v>
      </c>
      <c r="R288" s="78">
        <f t="shared" si="30"/>
        <v>6.103515625</v>
      </c>
      <c r="S288" s="78">
        <f t="shared" si="31"/>
        <v>20</v>
      </c>
      <c r="T288" s="78">
        <f t="shared" si="32"/>
        <v>33.385333333333335</v>
      </c>
      <c r="U288" s="78" t="str">
        <f t="shared" si="33"/>
        <v>&lt;35</v>
      </c>
      <c r="V288" s="78" t="str">
        <f t="shared" si="34"/>
        <v>&lt;10 Гб</v>
      </c>
    </row>
    <row r="289" spans="1:22" x14ac:dyDescent="0.25">
      <c r="A289" t="s">
        <v>1176</v>
      </c>
      <c r="B289" s="43">
        <v>37207</v>
      </c>
      <c r="C289" t="s">
        <v>50</v>
      </c>
      <c r="D289" t="s">
        <v>51</v>
      </c>
      <c r="E289" t="s">
        <v>52</v>
      </c>
      <c r="F289" t="s">
        <v>63</v>
      </c>
      <c r="G289" s="43">
        <v>43164</v>
      </c>
      <c r="H289">
        <v>5</v>
      </c>
      <c r="I289">
        <v>13768</v>
      </c>
      <c r="J289">
        <v>120000000</v>
      </c>
      <c r="L289">
        <v>1</v>
      </c>
      <c r="P289" s="77">
        <f t="shared" si="28"/>
        <v>1518</v>
      </c>
      <c r="Q289" s="78">
        <f t="shared" si="29"/>
        <v>45.893333333333331</v>
      </c>
      <c r="R289" s="78">
        <f t="shared" si="30"/>
        <v>22.88818359375</v>
      </c>
      <c r="S289" s="78">
        <f t="shared" si="31"/>
        <v>20</v>
      </c>
      <c r="T289" s="78">
        <f t="shared" si="32"/>
        <v>10.708444444444444</v>
      </c>
      <c r="U289" s="78" t="str">
        <f t="shared" si="33"/>
        <v>&lt;35</v>
      </c>
      <c r="V289" s="78" t="str">
        <f t="shared" si="34"/>
        <v>21-30 Гб</v>
      </c>
    </row>
    <row r="290" spans="1:22" x14ac:dyDescent="0.25">
      <c r="A290" t="s">
        <v>892</v>
      </c>
      <c r="B290" s="43">
        <v>37206</v>
      </c>
      <c r="C290" t="s">
        <v>58</v>
      </c>
      <c r="D290" t="s">
        <v>51</v>
      </c>
      <c r="E290" t="s">
        <v>52</v>
      </c>
      <c r="F290" t="s">
        <v>63</v>
      </c>
      <c r="G290" s="43">
        <v>43619</v>
      </c>
      <c r="H290">
        <v>5</v>
      </c>
      <c r="I290">
        <v>17872</v>
      </c>
      <c r="J290">
        <v>132000000</v>
      </c>
      <c r="P290" s="77">
        <f t="shared" si="28"/>
        <v>1063</v>
      </c>
      <c r="Q290" s="78">
        <f t="shared" si="29"/>
        <v>59.573333333333331</v>
      </c>
      <c r="R290" s="78">
        <f t="shared" si="30"/>
        <v>25.177001953125</v>
      </c>
      <c r="S290" s="78">
        <f t="shared" si="31"/>
        <v>20</v>
      </c>
      <c r="T290" s="78">
        <f t="shared" si="32"/>
        <v>13.900444444444444</v>
      </c>
      <c r="U290" s="78" t="str">
        <f t="shared" si="33"/>
        <v>&lt;35</v>
      </c>
      <c r="V290" s="78" t="str">
        <f t="shared" si="34"/>
        <v>21-30 Гб</v>
      </c>
    </row>
    <row r="291" spans="1:22" x14ac:dyDescent="0.25">
      <c r="A291" t="s">
        <v>664</v>
      </c>
      <c r="B291" s="43">
        <v>37199</v>
      </c>
      <c r="C291" t="s">
        <v>58</v>
      </c>
      <c r="D291" t="s">
        <v>51</v>
      </c>
      <c r="E291" t="s">
        <v>54</v>
      </c>
      <c r="F291" t="s">
        <v>57</v>
      </c>
      <c r="G291" s="43">
        <v>44500</v>
      </c>
      <c r="H291">
        <v>5</v>
      </c>
      <c r="I291">
        <v>15016</v>
      </c>
      <c r="J291">
        <v>108000000</v>
      </c>
      <c r="P291" s="77">
        <f t="shared" si="28"/>
        <v>182</v>
      </c>
      <c r="Q291" s="78">
        <f t="shared" si="29"/>
        <v>50.053333333333335</v>
      </c>
      <c r="R291" s="78">
        <f t="shared" si="30"/>
        <v>20.599365234375</v>
      </c>
      <c r="S291" s="78">
        <f t="shared" si="31"/>
        <v>20</v>
      </c>
      <c r="T291" s="78">
        <f t="shared" si="32"/>
        <v>11.67911111111111</v>
      </c>
      <c r="U291" s="78" t="str">
        <f t="shared" si="33"/>
        <v>&lt;35</v>
      </c>
      <c r="V291" s="78" t="str">
        <f t="shared" si="34"/>
        <v>21-30 Гб</v>
      </c>
    </row>
    <row r="292" spans="1:22" x14ac:dyDescent="0.25">
      <c r="A292" t="s">
        <v>686</v>
      </c>
      <c r="B292" s="43">
        <v>37198</v>
      </c>
      <c r="C292" t="s">
        <v>58</v>
      </c>
      <c r="D292" t="s">
        <v>51</v>
      </c>
      <c r="E292" t="s">
        <v>52</v>
      </c>
      <c r="F292" t="s">
        <v>57</v>
      </c>
      <c r="G292" s="43">
        <v>43046</v>
      </c>
      <c r="H292">
        <v>5</v>
      </c>
      <c r="I292">
        <v>73660</v>
      </c>
      <c r="J292">
        <v>16000000</v>
      </c>
      <c r="P292" s="77">
        <f t="shared" si="28"/>
        <v>1636</v>
      </c>
      <c r="Q292" s="78">
        <f t="shared" si="29"/>
        <v>245.53333333333333</v>
      </c>
      <c r="R292" s="78">
        <f t="shared" si="30"/>
        <v>3.0517578125</v>
      </c>
      <c r="S292" s="78">
        <f t="shared" si="31"/>
        <v>20</v>
      </c>
      <c r="T292" s="78">
        <f t="shared" si="32"/>
        <v>57.291111111111114</v>
      </c>
      <c r="U292" s="78" t="str">
        <f t="shared" si="33"/>
        <v>35-60</v>
      </c>
      <c r="V292" s="78" t="str">
        <f t="shared" si="34"/>
        <v>&lt;10 Гб</v>
      </c>
    </row>
    <row r="293" spans="1:22" x14ac:dyDescent="0.25">
      <c r="A293" t="s">
        <v>169</v>
      </c>
      <c r="B293" s="43">
        <v>37196</v>
      </c>
      <c r="C293" t="s">
        <v>50</v>
      </c>
      <c r="D293" t="s">
        <v>51</v>
      </c>
      <c r="E293" t="s">
        <v>54</v>
      </c>
      <c r="F293" t="s">
        <v>53</v>
      </c>
      <c r="G293" s="43">
        <v>43619</v>
      </c>
      <c r="H293">
        <v>5</v>
      </c>
      <c r="I293">
        <v>109452</v>
      </c>
      <c r="J293">
        <v>140000000</v>
      </c>
      <c r="P293" s="77">
        <f t="shared" si="28"/>
        <v>1063</v>
      </c>
      <c r="Q293" s="78">
        <f t="shared" si="29"/>
        <v>364.84</v>
      </c>
      <c r="R293" s="78">
        <f t="shared" si="30"/>
        <v>26.702880859375</v>
      </c>
      <c r="S293" s="78">
        <f t="shared" si="31"/>
        <v>20</v>
      </c>
      <c r="T293" s="78">
        <f t="shared" si="32"/>
        <v>85.129333333333321</v>
      </c>
      <c r="U293" s="78" t="str">
        <f t="shared" si="33"/>
        <v>61-90</v>
      </c>
      <c r="V293" s="78" t="str">
        <f t="shared" si="34"/>
        <v>21-30 Гб</v>
      </c>
    </row>
    <row r="294" spans="1:22" x14ac:dyDescent="0.25">
      <c r="A294" t="s">
        <v>298</v>
      </c>
      <c r="B294" s="43">
        <v>37196</v>
      </c>
      <c r="C294" t="s">
        <v>50</v>
      </c>
      <c r="D294" t="s">
        <v>51</v>
      </c>
      <c r="E294" t="s">
        <v>52</v>
      </c>
      <c r="F294" t="s">
        <v>56</v>
      </c>
      <c r="G294" s="43">
        <v>42838</v>
      </c>
      <c r="H294">
        <v>5</v>
      </c>
      <c r="I294">
        <v>118168</v>
      </c>
      <c r="J294">
        <v>116000000</v>
      </c>
      <c r="N294">
        <v>1</v>
      </c>
      <c r="P294" s="77">
        <f t="shared" si="28"/>
        <v>1844</v>
      </c>
      <c r="Q294" s="78">
        <f t="shared" si="29"/>
        <v>393.89333333333332</v>
      </c>
      <c r="R294" s="78">
        <f t="shared" si="30"/>
        <v>22.125244140625</v>
      </c>
      <c r="S294" s="78">
        <f t="shared" si="31"/>
        <v>20</v>
      </c>
      <c r="T294" s="78">
        <f t="shared" si="32"/>
        <v>91.908444444444442</v>
      </c>
      <c r="U294" s="78" t="str">
        <f t="shared" si="33"/>
        <v>91-120</v>
      </c>
      <c r="V294" s="78" t="str">
        <f t="shared" si="34"/>
        <v>21-30 Гб</v>
      </c>
    </row>
    <row r="295" spans="1:22" x14ac:dyDescent="0.25">
      <c r="A295" t="s">
        <v>248</v>
      </c>
      <c r="B295" s="43">
        <v>37194</v>
      </c>
      <c r="C295" t="s">
        <v>50</v>
      </c>
      <c r="D295" t="s">
        <v>51</v>
      </c>
      <c r="E295" t="s">
        <v>52</v>
      </c>
      <c r="F295" t="s">
        <v>56</v>
      </c>
      <c r="G295" s="43">
        <v>44076</v>
      </c>
      <c r="H295">
        <v>5</v>
      </c>
      <c r="I295">
        <v>7692</v>
      </c>
      <c r="J295">
        <v>104000000</v>
      </c>
      <c r="P295" s="77">
        <f t="shared" si="28"/>
        <v>606</v>
      </c>
      <c r="Q295" s="78">
        <f t="shared" si="29"/>
        <v>25.64</v>
      </c>
      <c r="R295" s="78">
        <f t="shared" si="30"/>
        <v>19.83642578125</v>
      </c>
      <c r="S295" s="78">
        <f t="shared" si="31"/>
        <v>20</v>
      </c>
      <c r="T295" s="78">
        <f t="shared" si="32"/>
        <v>5.9826666666666677</v>
      </c>
      <c r="U295" s="78" t="str">
        <f t="shared" si="33"/>
        <v>&lt;35</v>
      </c>
      <c r="V295" s="78" t="str">
        <f t="shared" si="34"/>
        <v>10-20 Гб</v>
      </c>
    </row>
    <row r="296" spans="1:22" x14ac:dyDescent="0.25">
      <c r="A296" t="s">
        <v>334</v>
      </c>
      <c r="B296" s="43">
        <v>37190</v>
      </c>
      <c r="C296" t="s">
        <v>50</v>
      </c>
      <c r="D296" t="s">
        <v>51</v>
      </c>
      <c r="E296" t="s">
        <v>54</v>
      </c>
      <c r="F296" t="s">
        <v>56</v>
      </c>
      <c r="G296" s="43">
        <v>42805</v>
      </c>
      <c r="H296">
        <v>5</v>
      </c>
      <c r="I296">
        <v>65400</v>
      </c>
      <c r="J296">
        <v>120000000</v>
      </c>
      <c r="P296" s="77">
        <f t="shared" si="28"/>
        <v>1877</v>
      </c>
      <c r="Q296" s="78">
        <f t="shared" si="29"/>
        <v>218</v>
      </c>
      <c r="R296" s="78">
        <f t="shared" si="30"/>
        <v>22.88818359375</v>
      </c>
      <c r="S296" s="78">
        <f t="shared" si="31"/>
        <v>20</v>
      </c>
      <c r="T296" s="78">
        <f t="shared" si="32"/>
        <v>50.866666666666667</v>
      </c>
      <c r="U296" s="78" t="str">
        <f t="shared" si="33"/>
        <v>35-60</v>
      </c>
      <c r="V296" s="78" t="str">
        <f t="shared" si="34"/>
        <v>21-30 Гб</v>
      </c>
    </row>
    <row r="297" spans="1:22" x14ac:dyDescent="0.25">
      <c r="A297" t="s">
        <v>219</v>
      </c>
      <c r="B297" s="43">
        <v>37189</v>
      </c>
      <c r="C297" t="s">
        <v>58</v>
      </c>
      <c r="D297" t="s">
        <v>51</v>
      </c>
      <c r="E297" t="s">
        <v>54</v>
      </c>
      <c r="F297" t="s">
        <v>57</v>
      </c>
      <c r="G297" s="43">
        <v>44289</v>
      </c>
      <c r="H297">
        <v>5</v>
      </c>
      <c r="I297">
        <v>17176</v>
      </c>
      <c r="J297">
        <v>112000000</v>
      </c>
      <c r="K297">
        <v>1</v>
      </c>
      <c r="P297" s="77">
        <f t="shared" si="28"/>
        <v>393</v>
      </c>
      <c r="Q297" s="78">
        <f t="shared" si="29"/>
        <v>57.25333333333333</v>
      </c>
      <c r="R297" s="78">
        <f t="shared" si="30"/>
        <v>21.3623046875</v>
      </c>
      <c r="S297" s="78">
        <f t="shared" si="31"/>
        <v>20</v>
      </c>
      <c r="T297" s="78">
        <f t="shared" si="32"/>
        <v>13.35911111111111</v>
      </c>
      <c r="U297" s="78" t="str">
        <f t="shared" si="33"/>
        <v>&lt;35</v>
      </c>
      <c r="V297" s="78" t="str">
        <f t="shared" si="34"/>
        <v>21-30 Гб</v>
      </c>
    </row>
    <row r="298" spans="1:22" x14ac:dyDescent="0.25">
      <c r="A298" t="s">
        <v>635</v>
      </c>
      <c r="B298" s="43">
        <v>37187</v>
      </c>
      <c r="C298" t="s">
        <v>50</v>
      </c>
      <c r="D298" t="s">
        <v>51</v>
      </c>
      <c r="E298" t="s">
        <v>52</v>
      </c>
      <c r="F298" t="s">
        <v>57</v>
      </c>
      <c r="G298" s="43">
        <v>43558</v>
      </c>
      <c r="H298">
        <v>5</v>
      </c>
      <c r="I298">
        <v>76268</v>
      </c>
      <c r="J298">
        <v>84000000</v>
      </c>
      <c r="P298" s="77">
        <f t="shared" si="28"/>
        <v>1124</v>
      </c>
      <c r="Q298" s="78">
        <f t="shared" si="29"/>
        <v>254.22666666666666</v>
      </c>
      <c r="R298" s="78">
        <f t="shared" si="30"/>
        <v>16.021728515625</v>
      </c>
      <c r="S298" s="78">
        <f t="shared" si="31"/>
        <v>20</v>
      </c>
      <c r="T298" s="78">
        <f t="shared" si="32"/>
        <v>59.319555555555553</v>
      </c>
      <c r="U298" s="78" t="str">
        <f t="shared" si="33"/>
        <v>35-60</v>
      </c>
      <c r="V298" s="78" t="str">
        <f t="shared" si="34"/>
        <v>10-20 Гб</v>
      </c>
    </row>
    <row r="299" spans="1:22" x14ac:dyDescent="0.25">
      <c r="A299" t="s">
        <v>294</v>
      </c>
      <c r="B299" s="43">
        <v>37186</v>
      </c>
      <c r="C299" t="s">
        <v>50</v>
      </c>
      <c r="D299" t="s">
        <v>51</v>
      </c>
      <c r="E299" t="s">
        <v>54</v>
      </c>
      <c r="F299" t="s">
        <v>56</v>
      </c>
      <c r="G299" s="43">
        <v>43190</v>
      </c>
      <c r="H299">
        <v>5</v>
      </c>
      <c r="I299">
        <v>101364</v>
      </c>
      <c r="J299">
        <v>132000000</v>
      </c>
      <c r="P299" s="77">
        <f t="shared" si="28"/>
        <v>1492</v>
      </c>
      <c r="Q299" s="78">
        <f t="shared" si="29"/>
        <v>337.88</v>
      </c>
      <c r="R299" s="78">
        <f t="shared" si="30"/>
        <v>25.177001953125</v>
      </c>
      <c r="S299" s="78">
        <f t="shared" si="31"/>
        <v>20</v>
      </c>
      <c r="T299" s="78">
        <f t="shared" si="32"/>
        <v>78.838666666666668</v>
      </c>
      <c r="U299" s="78" t="str">
        <f t="shared" si="33"/>
        <v>61-90</v>
      </c>
      <c r="V299" s="78" t="str">
        <f t="shared" si="34"/>
        <v>21-30 Гб</v>
      </c>
    </row>
    <row r="300" spans="1:22" x14ac:dyDescent="0.25">
      <c r="A300" t="s">
        <v>438</v>
      </c>
      <c r="B300" s="43">
        <v>37186</v>
      </c>
      <c r="C300" t="s">
        <v>58</v>
      </c>
      <c r="D300" t="s">
        <v>51</v>
      </c>
      <c r="E300" t="s">
        <v>54</v>
      </c>
      <c r="F300" t="s">
        <v>63</v>
      </c>
      <c r="G300" s="43">
        <v>44416</v>
      </c>
      <c r="H300">
        <v>5</v>
      </c>
      <c r="I300">
        <v>9152</v>
      </c>
      <c r="J300">
        <v>156000000</v>
      </c>
      <c r="P300" s="77">
        <f t="shared" si="28"/>
        <v>266</v>
      </c>
      <c r="Q300" s="78">
        <f t="shared" si="29"/>
        <v>30.506666666666668</v>
      </c>
      <c r="R300" s="78">
        <f t="shared" si="30"/>
        <v>29.754638671875</v>
      </c>
      <c r="S300" s="78">
        <f t="shared" si="31"/>
        <v>20</v>
      </c>
      <c r="T300" s="78">
        <f t="shared" si="32"/>
        <v>7.1182222222222231</v>
      </c>
      <c r="U300" s="78" t="str">
        <f t="shared" si="33"/>
        <v>&lt;35</v>
      </c>
      <c r="V300" s="78" t="str">
        <f t="shared" si="34"/>
        <v>21-30 Гб</v>
      </c>
    </row>
    <row r="301" spans="1:22" x14ac:dyDescent="0.25">
      <c r="A301" t="s">
        <v>152</v>
      </c>
      <c r="B301" s="43">
        <v>37183</v>
      </c>
      <c r="C301" t="s">
        <v>50</v>
      </c>
      <c r="D301" t="s">
        <v>51</v>
      </c>
      <c r="E301" t="s">
        <v>52</v>
      </c>
      <c r="F301" t="s">
        <v>63</v>
      </c>
      <c r="G301" s="43">
        <v>44556</v>
      </c>
      <c r="H301">
        <v>4</v>
      </c>
      <c r="I301">
        <v>35</v>
      </c>
      <c r="J301">
        <v>160000000</v>
      </c>
      <c r="P301" s="77">
        <f t="shared" si="28"/>
        <v>126</v>
      </c>
      <c r="Q301" s="78">
        <f t="shared" si="29"/>
        <v>0.11666666666666667</v>
      </c>
      <c r="R301" s="78">
        <f t="shared" si="30"/>
        <v>30.517578125</v>
      </c>
      <c r="S301" s="78">
        <f t="shared" si="31"/>
        <v>20</v>
      </c>
      <c r="T301" s="78">
        <f t="shared" si="32"/>
        <v>2.7222222222222221E-2</v>
      </c>
      <c r="U301" s="78" t="str">
        <f t="shared" si="33"/>
        <v>&lt;35</v>
      </c>
      <c r="V301" s="78" t="str">
        <f t="shared" si="34"/>
        <v>31-40 Гб</v>
      </c>
    </row>
    <row r="302" spans="1:22" x14ac:dyDescent="0.25">
      <c r="A302" t="s">
        <v>210</v>
      </c>
      <c r="B302" s="43">
        <v>37178</v>
      </c>
      <c r="C302" t="s">
        <v>50</v>
      </c>
      <c r="D302" t="s">
        <v>51</v>
      </c>
      <c r="E302" t="s">
        <v>54</v>
      </c>
      <c r="F302" t="s">
        <v>56</v>
      </c>
      <c r="G302" s="43">
        <v>42974</v>
      </c>
      <c r="H302">
        <v>5</v>
      </c>
      <c r="I302">
        <v>81120</v>
      </c>
      <c r="J302">
        <v>132000000</v>
      </c>
      <c r="K302">
        <v>1</v>
      </c>
      <c r="P302" s="77">
        <f t="shared" si="28"/>
        <v>1708</v>
      </c>
      <c r="Q302" s="78">
        <f t="shared" si="29"/>
        <v>270.39999999999998</v>
      </c>
      <c r="R302" s="78">
        <f t="shared" si="30"/>
        <v>25.177001953125</v>
      </c>
      <c r="S302" s="78">
        <f t="shared" si="31"/>
        <v>20</v>
      </c>
      <c r="T302" s="78">
        <f t="shared" si="32"/>
        <v>63.093333333333327</v>
      </c>
      <c r="U302" s="78" t="str">
        <f t="shared" si="33"/>
        <v>61-90</v>
      </c>
      <c r="V302" s="78" t="str">
        <f t="shared" si="34"/>
        <v>21-30 Гб</v>
      </c>
    </row>
    <row r="303" spans="1:22" x14ac:dyDescent="0.25">
      <c r="A303" t="s">
        <v>277</v>
      </c>
      <c r="B303" s="43">
        <v>37178</v>
      </c>
      <c r="C303" t="s">
        <v>58</v>
      </c>
      <c r="D303" t="s">
        <v>51</v>
      </c>
      <c r="E303" t="s">
        <v>54</v>
      </c>
      <c r="F303" t="s">
        <v>56</v>
      </c>
      <c r="G303" s="43">
        <v>44232</v>
      </c>
      <c r="H303">
        <v>5</v>
      </c>
      <c r="I303">
        <v>64584</v>
      </c>
      <c r="J303">
        <v>108000000</v>
      </c>
      <c r="P303" s="77">
        <f t="shared" si="28"/>
        <v>450</v>
      </c>
      <c r="Q303" s="78">
        <f t="shared" si="29"/>
        <v>215.28</v>
      </c>
      <c r="R303" s="78">
        <f t="shared" si="30"/>
        <v>20.599365234375</v>
      </c>
      <c r="S303" s="78">
        <f t="shared" si="31"/>
        <v>20</v>
      </c>
      <c r="T303" s="78">
        <f t="shared" si="32"/>
        <v>50.231999999999999</v>
      </c>
      <c r="U303" s="78" t="str">
        <f t="shared" si="33"/>
        <v>35-60</v>
      </c>
      <c r="V303" s="78" t="str">
        <f t="shared" si="34"/>
        <v>21-30 Гб</v>
      </c>
    </row>
    <row r="304" spans="1:22" x14ac:dyDescent="0.25">
      <c r="A304" t="s">
        <v>717</v>
      </c>
      <c r="B304" s="43">
        <v>37172</v>
      </c>
      <c r="C304" t="s">
        <v>58</v>
      </c>
      <c r="D304" t="s">
        <v>51</v>
      </c>
      <c r="E304" t="s">
        <v>54</v>
      </c>
      <c r="F304" t="s">
        <v>57</v>
      </c>
      <c r="G304" s="43">
        <v>43863</v>
      </c>
      <c r="H304">
        <v>5</v>
      </c>
      <c r="I304">
        <v>17180</v>
      </c>
      <c r="J304">
        <v>28000000</v>
      </c>
      <c r="P304" s="77">
        <f t="shared" si="28"/>
        <v>819</v>
      </c>
      <c r="Q304" s="78">
        <f t="shared" si="29"/>
        <v>57.266666666666666</v>
      </c>
      <c r="R304" s="78">
        <f t="shared" si="30"/>
        <v>5.340576171875</v>
      </c>
      <c r="S304" s="78">
        <f t="shared" si="31"/>
        <v>20</v>
      </c>
      <c r="T304" s="78">
        <f t="shared" si="32"/>
        <v>13.362222222222222</v>
      </c>
      <c r="U304" s="78" t="str">
        <f t="shared" si="33"/>
        <v>&lt;35</v>
      </c>
      <c r="V304" s="78" t="str">
        <f t="shared" si="34"/>
        <v>&lt;10 Гб</v>
      </c>
    </row>
    <row r="305" spans="1:22" x14ac:dyDescent="0.25">
      <c r="A305" t="s">
        <v>955</v>
      </c>
      <c r="B305" s="43">
        <v>37172</v>
      </c>
      <c r="C305" t="s">
        <v>58</v>
      </c>
      <c r="D305" t="s">
        <v>51</v>
      </c>
      <c r="E305" t="s">
        <v>52</v>
      </c>
      <c r="F305" t="s">
        <v>63</v>
      </c>
      <c r="G305" s="43">
        <v>43347</v>
      </c>
      <c r="H305">
        <v>5</v>
      </c>
      <c r="I305">
        <v>2348</v>
      </c>
      <c r="J305">
        <v>148000000</v>
      </c>
      <c r="P305" s="77">
        <f t="shared" si="28"/>
        <v>1335</v>
      </c>
      <c r="Q305" s="78">
        <f t="shared" si="29"/>
        <v>7.8266666666666671</v>
      </c>
      <c r="R305" s="78">
        <f t="shared" si="30"/>
        <v>28.228759765625</v>
      </c>
      <c r="S305" s="78">
        <f t="shared" si="31"/>
        <v>20</v>
      </c>
      <c r="T305" s="78">
        <f t="shared" si="32"/>
        <v>1.8262222222222222</v>
      </c>
      <c r="U305" s="78" t="str">
        <f t="shared" si="33"/>
        <v>&lt;35</v>
      </c>
      <c r="V305" s="78" t="str">
        <f t="shared" si="34"/>
        <v>21-30 Гб</v>
      </c>
    </row>
    <row r="306" spans="1:22" x14ac:dyDescent="0.25">
      <c r="A306" t="s">
        <v>120</v>
      </c>
      <c r="B306" s="43">
        <v>37167</v>
      </c>
      <c r="C306" t="s">
        <v>58</v>
      </c>
      <c r="D306" t="s">
        <v>51</v>
      </c>
      <c r="E306" t="s">
        <v>52</v>
      </c>
      <c r="F306" t="s">
        <v>57</v>
      </c>
      <c r="G306" s="43">
        <v>44572</v>
      </c>
      <c r="H306">
        <v>3</v>
      </c>
      <c r="I306">
        <v>6290</v>
      </c>
      <c r="J306">
        <v>36666667</v>
      </c>
      <c r="K306">
        <v>1</v>
      </c>
      <c r="P306" s="77">
        <f t="shared" si="28"/>
        <v>110</v>
      </c>
      <c r="Q306" s="78">
        <f t="shared" si="29"/>
        <v>28.59090909090909</v>
      </c>
      <c r="R306" s="78">
        <f t="shared" si="30"/>
        <v>9.5367432507601659</v>
      </c>
      <c r="S306" s="78">
        <f t="shared" si="31"/>
        <v>20</v>
      </c>
      <c r="T306" s="78">
        <f t="shared" si="32"/>
        <v>6.6712121212121209</v>
      </c>
      <c r="U306" s="78" t="str">
        <f t="shared" si="33"/>
        <v>&lt;35</v>
      </c>
      <c r="V306" s="78" t="str">
        <f t="shared" si="34"/>
        <v>&lt;10 Гб</v>
      </c>
    </row>
    <row r="307" spans="1:22" x14ac:dyDescent="0.25">
      <c r="A307" t="s">
        <v>667</v>
      </c>
      <c r="B307" s="43">
        <v>37166</v>
      </c>
      <c r="C307" t="s">
        <v>50</v>
      </c>
      <c r="D307" t="s">
        <v>51</v>
      </c>
      <c r="E307" t="s">
        <v>54</v>
      </c>
      <c r="F307" t="s">
        <v>57</v>
      </c>
      <c r="G307" s="43">
        <v>44433</v>
      </c>
      <c r="H307">
        <v>5</v>
      </c>
      <c r="I307">
        <v>25440</v>
      </c>
      <c r="J307">
        <v>28000000</v>
      </c>
      <c r="P307" s="77">
        <f t="shared" si="28"/>
        <v>249</v>
      </c>
      <c r="Q307" s="78">
        <f t="shared" si="29"/>
        <v>84.8</v>
      </c>
      <c r="R307" s="78">
        <f t="shared" si="30"/>
        <v>5.340576171875</v>
      </c>
      <c r="S307" s="78">
        <f t="shared" si="31"/>
        <v>20</v>
      </c>
      <c r="T307" s="78">
        <f t="shared" si="32"/>
        <v>19.786666666666669</v>
      </c>
      <c r="U307" s="78" t="str">
        <f t="shared" si="33"/>
        <v>&lt;35</v>
      </c>
      <c r="V307" s="78" t="str">
        <f t="shared" si="34"/>
        <v>&lt;10 Гб</v>
      </c>
    </row>
    <row r="308" spans="1:22" x14ac:dyDescent="0.25">
      <c r="A308" t="s">
        <v>734</v>
      </c>
      <c r="B308" s="43">
        <v>37165</v>
      </c>
      <c r="C308" t="s">
        <v>50</v>
      </c>
      <c r="D308" t="s">
        <v>51</v>
      </c>
      <c r="E308" t="s">
        <v>52</v>
      </c>
      <c r="F308" t="s">
        <v>57</v>
      </c>
      <c r="G308" s="43">
        <v>44286</v>
      </c>
      <c r="H308">
        <v>5</v>
      </c>
      <c r="I308">
        <v>59088</v>
      </c>
      <c r="J308">
        <v>60000000</v>
      </c>
      <c r="P308" s="77">
        <f t="shared" si="28"/>
        <v>396</v>
      </c>
      <c r="Q308" s="78">
        <f t="shared" si="29"/>
        <v>196.96</v>
      </c>
      <c r="R308" s="78">
        <f t="shared" si="30"/>
        <v>11.444091796875</v>
      </c>
      <c r="S308" s="78">
        <f t="shared" si="31"/>
        <v>20</v>
      </c>
      <c r="T308" s="78">
        <f t="shared" si="32"/>
        <v>45.957333333333331</v>
      </c>
      <c r="U308" s="78" t="str">
        <f t="shared" si="33"/>
        <v>35-60</v>
      </c>
      <c r="V308" s="78" t="str">
        <f t="shared" si="34"/>
        <v>10-20 Гб</v>
      </c>
    </row>
    <row r="309" spans="1:22" x14ac:dyDescent="0.25">
      <c r="A309" t="s">
        <v>990</v>
      </c>
      <c r="B309" s="43">
        <v>37163</v>
      </c>
      <c r="C309" t="s">
        <v>50</v>
      </c>
      <c r="D309" t="s">
        <v>51</v>
      </c>
      <c r="E309" t="s">
        <v>52</v>
      </c>
      <c r="F309" t="s">
        <v>63</v>
      </c>
      <c r="G309" s="43">
        <v>43599</v>
      </c>
      <c r="H309">
        <v>5</v>
      </c>
      <c r="I309">
        <v>33520</v>
      </c>
      <c r="J309">
        <v>156000000</v>
      </c>
      <c r="L309">
        <v>1</v>
      </c>
      <c r="P309" s="77">
        <f t="shared" si="28"/>
        <v>1083</v>
      </c>
      <c r="Q309" s="78">
        <f t="shared" si="29"/>
        <v>111.73333333333333</v>
      </c>
      <c r="R309" s="78">
        <f t="shared" si="30"/>
        <v>29.754638671875</v>
      </c>
      <c r="S309" s="78">
        <f t="shared" si="31"/>
        <v>20</v>
      </c>
      <c r="T309" s="78">
        <f t="shared" si="32"/>
        <v>26.071111111111112</v>
      </c>
      <c r="U309" s="78" t="str">
        <f t="shared" si="33"/>
        <v>&lt;35</v>
      </c>
      <c r="V309" s="78" t="str">
        <f t="shared" si="34"/>
        <v>21-30 Гб</v>
      </c>
    </row>
    <row r="310" spans="1:22" x14ac:dyDescent="0.25">
      <c r="A310" t="s">
        <v>156</v>
      </c>
      <c r="B310" s="43">
        <v>37161</v>
      </c>
      <c r="C310" t="s">
        <v>58</v>
      </c>
      <c r="D310" t="s">
        <v>51</v>
      </c>
      <c r="E310" t="s">
        <v>52</v>
      </c>
      <c r="F310" t="s">
        <v>69</v>
      </c>
      <c r="G310" s="43">
        <v>44537</v>
      </c>
      <c r="H310">
        <v>4</v>
      </c>
      <c r="I310">
        <v>8380</v>
      </c>
      <c r="J310">
        <v>8000000</v>
      </c>
      <c r="P310" s="77">
        <f t="shared" si="28"/>
        <v>145</v>
      </c>
      <c r="Q310" s="78">
        <f t="shared" si="29"/>
        <v>27.933333333333334</v>
      </c>
      <c r="R310" s="78">
        <f t="shared" si="30"/>
        <v>1.52587890625</v>
      </c>
      <c r="S310" s="78">
        <f t="shared" si="31"/>
        <v>20</v>
      </c>
      <c r="T310" s="78">
        <f t="shared" si="32"/>
        <v>6.5177777777777779</v>
      </c>
      <c r="U310" s="78" t="str">
        <f t="shared" si="33"/>
        <v>&lt;35</v>
      </c>
      <c r="V310" s="78" t="str">
        <f t="shared" si="34"/>
        <v>&lt;10 Гб</v>
      </c>
    </row>
    <row r="311" spans="1:22" x14ac:dyDescent="0.25">
      <c r="A311" t="s">
        <v>291</v>
      </c>
      <c r="B311" s="43">
        <v>37159</v>
      </c>
      <c r="C311" t="s">
        <v>50</v>
      </c>
      <c r="D311" t="s">
        <v>51</v>
      </c>
      <c r="E311" t="s">
        <v>54</v>
      </c>
      <c r="F311" t="s">
        <v>56</v>
      </c>
      <c r="G311" s="43">
        <v>43320</v>
      </c>
      <c r="H311">
        <v>5</v>
      </c>
      <c r="I311">
        <v>46260</v>
      </c>
      <c r="J311">
        <v>72000000</v>
      </c>
      <c r="L311">
        <v>1</v>
      </c>
      <c r="P311" s="77">
        <f t="shared" si="28"/>
        <v>1362</v>
      </c>
      <c r="Q311" s="78">
        <f t="shared" si="29"/>
        <v>154.19999999999999</v>
      </c>
      <c r="R311" s="78">
        <f t="shared" si="30"/>
        <v>13.73291015625</v>
      </c>
      <c r="S311" s="78">
        <f t="shared" si="31"/>
        <v>20</v>
      </c>
      <c r="T311" s="78">
        <f t="shared" si="32"/>
        <v>35.979999999999997</v>
      </c>
      <c r="U311" s="78" t="str">
        <f t="shared" si="33"/>
        <v>35-60</v>
      </c>
      <c r="V311" s="78" t="str">
        <f t="shared" si="34"/>
        <v>10-20 Гб</v>
      </c>
    </row>
    <row r="312" spans="1:22" x14ac:dyDescent="0.25">
      <c r="A312" t="s">
        <v>870</v>
      </c>
      <c r="B312" s="43">
        <v>37158</v>
      </c>
      <c r="C312" t="s">
        <v>50</v>
      </c>
      <c r="D312" t="s">
        <v>51</v>
      </c>
      <c r="E312" t="s">
        <v>52</v>
      </c>
      <c r="F312" t="s">
        <v>63</v>
      </c>
      <c r="G312" s="43">
        <v>42859</v>
      </c>
      <c r="H312">
        <v>5</v>
      </c>
      <c r="I312">
        <v>29500</v>
      </c>
      <c r="J312">
        <v>144000000</v>
      </c>
      <c r="M312">
        <v>1</v>
      </c>
      <c r="P312" s="77">
        <f t="shared" si="28"/>
        <v>1823</v>
      </c>
      <c r="Q312" s="78">
        <f t="shared" si="29"/>
        <v>98.333333333333329</v>
      </c>
      <c r="R312" s="78">
        <f t="shared" si="30"/>
        <v>27.4658203125</v>
      </c>
      <c r="S312" s="78">
        <f t="shared" si="31"/>
        <v>20</v>
      </c>
      <c r="T312" s="78">
        <f t="shared" si="32"/>
        <v>22.944444444444443</v>
      </c>
      <c r="U312" s="78" t="str">
        <f t="shared" si="33"/>
        <v>&lt;35</v>
      </c>
      <c r="V312" s="78" t="str">
        <f t="shared" si="34"/>
        <v>21-30 Гб</v>
      </c>
    </row>
    <row r="313" spans="1:22" x14ac:dyDescent="0.25">
      <c r="A313" t="s">
        <v>232</v>
      </c>
      <c r="B313" s="43">
        <v>37157</v>
      </c>
      <c r="C313" t="s">
        <v>50</v>
      </c>
      <c r="D313" t="s">
        <v>51</v>
      </c>
      <c r="E313" t="s">
        <v>52</v>
      </c>
      <c r="F313" t="s">
        <v>56</v>
      </c>
      <c r="G313" s="43">
        <v>43453</v>
      </c>
      <c r="H313">
        <v>5</v>
      </c>
      <c r="I313">
        <v>108092</v>
      </c>
      <c r="J313">
        <v>120000000</v>
      </c>
      <c r="L313">
        <v>1</v>
      </c>
      <c r="P313" s="77">
        <f t="shared" si="28"/>
        <v>1229</v>
      </c>
      <c r="Q313" s="78">
        <f t="shared" si="29"/>
        <v>360.30666666666667</v>
      </c>
      <c r="R313" s="78">
        <f t="shared" si="30"/>
        <v>22.88818359375</v>
      </c>
      <c r="S313" s="78">
        <f t="shared" si="31"/>
        <v>20</v>
      </c>
      <c r="T313" s="78">
        <f t="shared" si="32"/>
        <v>84.071555555555548</v>
      </c>
      <c r="U313" s="78" t="str">
        <f t="shared" si="33"/>
        <v>61-90</v>
      </c>
      <c r="V313" s="78" t="str">
        <f t="shared" si="34"/>
        <v>21-30 Гб</v>
      </c>
    </row>
    <row r="314" spans="1:22" x14ac:dyDescent="0.25">
      <c r="A314" t="s">
        <v>257</v>
      </c>
      <c r="B314" s="43">
        <v>37156</v>
      </c>
      <c r="C314" t="s">
        <v>58</v>
      </c>
      <c r="D314" t="s">
        <v>51</v>
      </c>
      <c r="E314" t="s">
        <v>54</v>
      </c>
      <c r="F314" t="s">
        <v>56</v>
      </c>
      <c r="G314" s="43">
        <v>43521</v>
      </c>
      <c r="H314">
        <v>5</v>
      </c>
      <c r="I314">
        <v>16580</v>
      </c>
      <c r="J314">
        <v>132000000</v>
      </c>
      <c r="K314">
        <v>1</v>
      </c>
      <c r="P314" s="77">
        <f t="shared" si="28"/>
        <v>1161</v>
      </c>
      <c r="Q314" s="78">
        <f t="shared" si="29"/>
        <v>55.266666666666666</v>
      </c>
      <c r="R314" s="78">
        <f t="shared" si="30"/>
        <v>25.177001953125</v>
      </c>
      <c r="S314" s="78">
        <f t="shared" si="31"/>
        <v>20</v>
      </c>
      <c r="T314" s="78">
        <f t="shared" si="32"/>
        <v>12.895555555555555</v>
      </c>
      <c r="U314" s="78" t="str">
        <f t="shared" si="33"/>
        <v>&lt;35</v>
      </c>
      <c r="V314" s="78" t="str">
        <f t="shared" si="34"/>
        <v>21-30 Гб</v>
      </c>
    </row>
    <row r="315" spans="1:22" x14ac:dyDescent="0.25">
      <c r="A315" t="s">
        <v>675</v>
      </c>
      <c r="B315" s="43">
        <v>37156</v>
      </c>
      <c r="C315" t="s">
        <v>50</v>
      </c>
      <c r="D315" t="s">
        <v>51</v>
      </c>
      <c r="E315" t="s">
        <v>54</v>
      </c>
      <c r="F315" t="s">
        <v>57</v>
      </c>
      <c r="G315" s="43">
        <v>44305</v>
      </c>
      <c r="H315">
        <v>5</v>
      </c>
      <c r="I315">
        <v>16648</v>
      </c>
      <c r="J315">
        <v>32000000</v>
      </c>
      <c r="O315">
        <v>1</v>
      </c>
      <c r="P315" s="77">
        <f t="shared" si="28"/>
        <v>377</v>
      </c>
      <c r="Q315" s="78">
        <f t="shared" si="29"/>
        <v>55.493333333333332</v>
      </c>
      <c r="R315" s="78">
        <f t="shared" si="30"/>
        <v>6.103515625</v>
      </c>
      <c r="S315" s="78">
        <f t="shared" si="31"/>
        <v>20</v>
      </c>
      <c r="T315" s="78">
        <f t="shared" si="32"/>
        <v>12.948444444444444</v>
      </c>
      <c r="U315" s="78" t="str">
        <f t="shared" si="33"/>
        <v>&lt;35</v>
      </c>
      <c r="V315" s="78" t="str">
        <f t="shared" si="34"/>
        <v>&lt;10 Гб</v>
      </c>
    </row>
    <row r="316" spans="1:22" x14ac:dyDescent="0.25">
      <c r="A316" t="s">
        <v>934</v>
      </c>
      <c r="B316" s="43">
        <v>37151</v>
      </c>
      <c r="C316" t="s">
        <v>50</v>
      </c>
      <c r="D316" t="s">
        <v>51</v>
      </c>
      <c r="E316" t="s">
        <v>52</v>
      </c>
      <c r="F316" t="s">
        <v>63</v>
      </c>
      <c r="G316" s="43">
        <v>43981</v>
      </c>
      <c r="H316">
        <v>5</v>
      </c>
      <c r="I316">
        <v>30064</v>
      </c>
      <c r="J316">
        <v>144000000</v>
      </c>
      <c r="P316" s="77">
        <f t="shared" si="28"/>
        <v>701</v>
      </c>
      <c r="Q316" s="78">
        <f t="shared" si="29"/>
        <v>100.21333333333334</v>
      </c>
      <c r="R316" s="78">
        <f t="shared" si="30"/>
        <v>27.4658203125</v>
      </c>
      <c r="S316" s="78">
        <f t="shared" si="31"/>
        <v>20</v>
      </c>
      <c r="T316" s="78">
        <f t="shared" si="32"/>
        <v>23.383111111111113</v>
      </c>
      <c r="U316" s="78" t="str">
        <f t="shared" si="33"/>
        <v>&lt;35</v>
      </c>
      <c r="V316" s="78" t="str">
        <f t="shared" si="34"/>
        <v>21-30 Гб</v>
      </c>
    </row>
    <row r="317" spans="1:22" x14ac:dyDescent="0.25">
      <c r="A317" t="s">
        <v>545</v>
      </c>
      <c r="B317" s="43">
        <v>37147</v>
      </c>
      <c r="C317" t="s">
        <v>50</v>
      </c>
      <c r="D317" t="s">
        <v>51</v>
      </c>
      <c r="E317" t="s">
        <v>52</v>
      </c>
      <c r="F317" t="s">
        <v>57</v>
      </c>
      <c r="G317" s="43">
        <v>42752</v>
      </c>
      <c r="H317">
        <v>5</v>
      </c>
      <c r="I317">
        <v>84432</v>
      </c>
      <c r="J317">
        <v>48000000</v>
      </c>
      <c r="P317" s="77">
        <f t="shared" si="28"/>
        <v>1930</v>
      </c>
      <c r="Q317" s="78">
        <f t="shared" si="29"/>
        <v>281.44</v>
      </c>
      <c r="R317" s="78">
        <f t="shared" si="30"/>
        <v>9.1552734375</v>
      </c>
      <c r="S317" s="78">
        <f t="shared" si="31"/>
        <v>20</v>
      </c>
      <c r="T317" s="78">
        <f t="shared" si="32"/>
        <v>65.669333333333327</v>
      </c>
      <c r="U317" s="78" t="str">
        <f t="shared" si="33"/>
        <v>61-90</v>
      </c>
      <c r="V317" s="78" t="str">
        <f t="shared" si="34"/>
        <v>&lt;10 Гб</v>
      </c>
    </row>
    <row r="318" spans="1:22" x14ac:dyDescent="0.25">
      <c r="A318" t="s">
        <v>402</v>
      </c>
      <c r="B318" s="43">
        <v>37146</v>
      </c>
      <c r="C318" t="s">
        <v>58</v>
      </c>
      <c r="D318" t="s">
        <v>51</v>
      </c>
      <c r="E318" t="s">
        <v>52</v>
      </c>
      <c r="F318" t="s">
        <v>56</v>
      </c>
      <c r="G318" s="43">
        <v>44255</v>
      </c>
      <c r="H318">
        <v>5</v>
      </c>
      <c r="I318">
        <v>106364</v>
      </c>
      <c r="J318">
        <v>140000000</v>
      </c>
      <c r="P318" s="77">
        <f t="shared" si="28"/>
        <v>427</v>
      </c>
      <c r="Q318" s="78">
        <f t="shared" si="29"/>
        <v>354.54666666666668</v>
      </c>
      <c r="R318" s="78">
        <f t="shared" si="30"/>
        <v>26.702880859375</v>
      </c>
      <c r="S318" s="78">
        <f t="shared" si="31"/>
        <v>20</v>
      </c>
      <c r="T318" s="78">
        <f t="shared" si="32"/>
        <v>82.727555555555554</v>
      </c>
      <c r="U318" s="78" t="str">
        <f t="shared" si="33"/>
        <v>61-90</v>
      </c>
      <c r="V318" s="78" t="str">
        <f t="shared" si="34"/>
        <v>21-30 Гб</v>
      </c>
    </row>
    <row r="319" spans="1:22" x14ac:dyDescent="0.25">
      <c r="A319" t="s">
        <v>533</v>
      </c>
      <c r="B319" s="43">
        <v>37146</v>
      </c>
      <c r="C319" t="s">
        <v>50</v>
      </c>
      <c r="D319" t="s">
        <v>51</v>
      </c>
      <c r="E319" t="s">
        <v>52</v>
      </c>
      <c r="F319" t="s">
        <v>63</v>
      </c>
      <c r="G319" s="43">
        <v>42975</v>
      </c>
      <c r="H319">
        <v>5</v>
      </c>
      <c r="I319">
        <v>22960</v>
      </c>
      <c r="J319">
        <v>108000000</v>
      </c>
      <c r="P319" s="77">
        <f t="shared" si="28"/>
        <v>1707</v>
      </c>
      <c r="Q319" s="78">
        <f t="shared" si="29"/>
        <v>76.533333333333331</v>
      </c>
      <c r="R319" s="78">
        <f t="shared" si="30"/>
        <v>20.599365234375</v>
      </c>
      <c r="S319" s="78">
        <f t="shared" si="31"/>
        <v>20</v>
      </c>
      <c r="T319" s="78">
        <f t="shared" si="32"/>
        <v>17.857777777777777</v>
      </c>
      <c r="U319" s="78" t="str">
        <f t="shared" si="33"/>
        <v>&lt;35</v>
      </c>
      <c r="V319" s="78" t="str">
        <f t="shared" si="34"/>
        <v>21-30 Гб</v>
      </c>
    </row>
    <row r="320" spans="1:22" x14ac:dyDescent="0.25">
      <c r="A320" t="s">
        <v>258</v>
      </c>
      <c r="B320" s="43">
        <v>37139</v>
      </c>
      <c r="C320" t="s">
        <v>58</v>
      </c>
      <c r="D320" t="s">
        <v>51</v>
      </c>
      <c r="E320" t="s">
        <v>54</v>
      </c>
      <c r="F320" t="s">
        <v>56</v>
      </c>
      <c r="G320" s="43">
        <v>43745</v>
      </c>
      <c r="H320">
        <v>5</v>
      </c>
      <c r="I320">
        <v>27784</v>
      </c>
      <c r="J320">
        <v>40000000</v>
      </c>
      <c r="K320">
        <v>1</v>
      </c>
      <c r="P320" s="77">
        <f t="shared" ref="P320:P383" si="35">DATEDIF(G320,$C$2,"D")</f>
        <v>937</v>
      </c>
      <c r="Q320" s="78">
        <f t="shared" ref="Q320:Q383" si="36">IF(P320&lt;DATEDIF($C$3,$C$2,"D"),I320/(60*(P320/30)),I320/(60*5))</f>
        <v>92.61333333333333</v>
      </c>
      <c r="R320" s="78">
        <f t="shared" ref="R320:R383" si="37">IF(P320&lt;DATEDIF($C$3,$C$2,"D"),J320/(1048576*(P320/30)),J320/(1048576*5))</f>
        <v>7.62939453125</v>
      </c>
      <c r="S320" s="78">
        <f t="shared" ref="S320:S383" si="38">DATEDIF(B320,$C$2,"Y")</f>
        <v>20</v>
      </c>
      <c r="T320" s="78">
        <f t="shared" si="32"/>
        <v>21.609777777777776</v>
      </c>
      <c r="U320" s="78" t="str">
        <f t="shared" si="33"/>
        <v>&lt;35</v>
      </c>
      <c r="V320" s="78" t="str">
        <f t="shared" si="34"/>
        <v>&lt;10 Гб</v>
      </c>
    </row>
    <row r="321" spans="1:22" x14ac:dyDescent="0.25">
      <c r="A321" t="s">
        <v>309</v>
      </c>
      <c r="B321" s="43">
        <v>37139</v>
      </c>
      <c r="C321" t="s">
        <v>58</v>
      </c>
      <c r="D321" t="s">
        <v>51</v>
      </c>
      <c r="E321" t="s">
        <v>52</v>
      </c>
      <c r="F321" t="s">
        <v>56</v>
      </c>
      <c r="G321" s="43">
        <v>43589</v>
      </c>
      <c r="H321">
        <v>5</v>
      </c>
      <c r="I321">
        <v>76108</v>
      </c>
      <c r="J321">
        <v>92000000</v>
      </c>
      <c r="K321">
        <v>1</v>
      </c>
      <c r="P321" s="77">
        <f t="shared" si="35"/>
        <v>1093</v>
      </c>
      <c r="Q321" s="78">
        <f t="shared" si="36"/>
        <v>253.69333333333333</v>
      </c>
      <c r="R321" s="78">
        <f t="shared" si="37"/>
        <v>17.547607421875</v>
      </c>
      <c r="S321" s="78">
        <f t="shared" si="38"/>
        <v>20</v>
      </c>
      <c r="T321" s="78">
        <f t="shared" si="32"/>
        <v>59.19511111111111</v>
      </c>
      <c r="U321" s="78" t="str">
        <f t="shared" si="33"/>
        <v>35-60</v>
      </c>
      <c r="V321" s="78" t="str">
        <f t="shared" si="34"/>
        <v>10-20 Гб</v>
      </c>
    </row>
    <row r="322" spans="1:22" x14ac:dyDescent="0.25">
      <c r="A322" t="s">
        <v>606</v>
      </c>
      <c r="B322" s="43">
        <v>37138</v>
      </c>
      <c r="C322" t="s">
        <v>58</v>
      </c>
      <c r="D322" t="s">
        <v>51</v>
      </c>
      <c r="E322" t="s">
        <v>54</v>
      </c>
      <c r="F322" t="s">
        <v>57</v>
      </c>
      <c r="G322" s="43">
        <v>44233</v>
      </c>
      <c r="H322">
        <v>5</v>
      </c>
      <c r="I322">
        <v>18360</v>
      </c>
      <c r="J322">
        <v>8000000</v>
      </c>
      <c r="M322">
        <v>1</v>
      </c>
      <c r="P322" s="77">
        <f t="shared" si="35"/>
        <v>449</v>
      </c>
      <c r="Q322" s="78">
        <f t="shared" si="36"/>
        <v>61.2</v>
      </c>
      <c r="R322" s="78">
        <f t="shared" si="37"/>
        <v>1.52587890625</v>
      </c>
      <c r="S322" s="78">
        <f t="shared" si="38"/>
        <v>20</v>
      </c>
      <c r="T322" s="78">
        <f t="shared" si="32"/>
        <v>14.280000000000001</v>
      </c>
      <c r="U322" s="78" t="str">
        <f t="shared" si="33"/>
        <v>&lt;35</v>
      </c>
      <c r="V322" s="78" t="str">
        <f t="shared" si="34"/>
        <v>&lt;10 Гб</v>
      </c>
    </row>
    <row r="323" spans="1:22" x14ac:dyDescent="0.25">
      <c r="A323" t="s">
        <v>967</v>
      </c>
      <c r="B323" s="43">
        <v>37134</v>
      </c>
      <c r="C323" t="s">
        <v>50</v>
      </c>
      <c r="D323" t="s">
        <v>51</v>
      </c>
      <c r="E323" t="s">
        <v>52</v>
      </c>
      <c r="F323" t="s">
        <v>63</v>
      </c>
      <c r="G323" s="43">
        <v>42746</v>
      </c>
      <c r="H323">
        <v>5</v>
      </c>
      <c r="I323">
        <v>7620</v>
      </c>
      <c r="J323">
        <v>160000000</v>
      </c>
      <c r="M323">
        <v>1</v>
      </c>
      <c r="P323" s="77">
        <f t="shared" si="35"/>
        <v>1936</v>
      </c>
      <c r="Q323" s="78">
        <f t="shared" si="36"/>
        <v>25.4</v>
      </c>
      <c r="R323" s="78">
        <f t="shared" si="37"/>
        <v>30.517578125</v>
      </c>
      <c r="S323" s="78">
        <f t="shared" si="38"/>
        <v>20</v>
      </c>
      <c r="T323" s="78">
        <f t="shared" si="32"/>
        <v>5.9266666666666659</v>
      </c>
      <c r="U323" s="78" t="str">
        <f t="shared" si="33"/>
        <v>&lt;35</v>
      </c>
      <c r="V323" s="78" t="str">
        <f t="shared" si="34"/>
        <v>31-40 Гб</v>
      </c>
    </row>
    <row r="324" spans="1:22" x14ac:dyDescent="0.25">
      <c r="A324" t="s">
        <v>371</v>
      </c>
      <c r="B324" s="43">
        <v>37126</v>
      </c>
      <c r="C324" t="s">
        <v>50</v>
      </c>
      <c r="D324" t="s">
        <v>51</v>
      </c>
      <c r="E324" t="s">
        <v>52</v>
      </c>
      <c r="F324" t="s">
        <v>56</v>
      </c>
      <c r="G324" s="43">
        <v>42999</v>
      </c>
      <c r="H324">
        <v>5</v>
      </c>
      <c r="I324">
        <v>69856</v>
      </c>
      <c r="J324">
        <v>132000000</v>
      </c>
      <c r="P324" s="77">
        <f t="shared" si="35"/>
        <v>1683</v>
      </c>
      <c r="Q324" s="78">
        <f t="shared" si="36"/>
        <v>232.85333333333332</v>
      </c>
      <c r="R324" s="78">
        <f t="shared" si="37"/>
        <v>25.177001953125</v>
      </c>
      <c r="S324" s="78">
        <f t="shared" si="38"/>
        <v>20</v>
      </c>
      <c r="T324" s="78">
        <f t="shared" si="32"/>
        <v>54.332444444444448</v>
      </c>
      <c r="U324" s="78" t="str">
        <f t="shared" si="33"/>
        <v>35-60</v>
      </c>
      <c r="V324" s="78" t="str">
        <f t="shared" si="34"/>
        <v>21-30 Гб</v>
      </c>
    </row>
    <row r="325" spans="1:22" x14ac:dyDescent="0.25">
      <c r="A325" t="s">
        <v>851</v>
      </c>
      <c r="B325" s="43">
        <v>37126</v>
      </c>
      <c r="C325" t="s">
        <v>58</v>
      </c>
      <c r="D325" t="s">
        <v>51</v>
      </c>
      <c r="E325" t="s">
        <v>52</v>
      </c>
      <c r="F325" t="s">
        <v>63</v>
      </c>
      <c r="G325" s="43">
        <v>43946</v>
      </c>
      <c r="H325">
        <v>5</v>
      </c>
      <c r="I325">
        <v>16768</v>
      </c>
      <c r="J325">
        <v>128000000</v>
      </c>
      <c r="L325">
        <v>1</v>
      </c>
      <c r="P325" s="77">
        <f t="shared" si="35"/>
        <v>736</v>
      </c>
      <c r="Q325" s="78">
        <f t="shared" si="36"/>
        <v>55.893333333333331</v>
      </c>
      <c r="R325" s="78">
        <f t="shared" si="37"/>
        <v>24.4140625</v>
      </c>
      <c r="S325" s="78">
        <f t="shared" si="38"/>
        <v>20</v>
      </c>
      <c r="T325" s="78">
        <f t="shared" si="32"/>
        <v>13.041777777777778</v>
      </c>
      <c r="U325" s="78" t="str">
        <f t="shared" si="33"/>
        <v>&lt;35</v>
      </c>
      <c r="V325" s="78" t="str">
        <f t="shared" si="34"/>
        <v>21-30 Гб</v>
      </c>
    </row>
    <row r="326" spans="1:22" x14ac:dyDescent="0.25">
      <c r="A326" t="s">
        <v>391</v>
      </c>
      <c r="B326" s="43">
        <v>37122</v>
      </c>
      <c r="C326" t="s">
        <v>50</v>
      </c>
      <c r="D326" t="s">
        <v>51</v>
      </c>
      <c r="E326" t="s">
        <v>52</v>
      </c>
      <c r="F326" t="s">
        <v>56</v>
      </c>
      <c r="G326" s="43">
        <v>44345</v>
      </c>
      <c r="H326">
        <v>5</v>
      </c>
      <c r="I326">
        <v>96840</v>
      </c>
      <c r="J326">
        <v>124000000</v>
      </c>
      <c r="O326">
        <v>1</v>
      </c>
      <c r="P326" s="77">
        <f t="shared" si="35"/>
        <v>337</v>
      </c>
      <c r="Q326" s="78">
        <f t="shared" si="36"/>
        <v>322.8</v>
      </c>
      <c r="R326" s="78">
        <f t="shared" si="37"/>
        <v>23.651123046875</v>
      </c>
      <c r="S326" s="78">
        <f t="shared" si="38"/>
        <v>20</v>
      </c>
      <c r="T326" s="78">
        <f t="shared" si="32"/>
        <v>75.319999999999993</v>
      </c>
      <c r="U326" s="78" t="str">
        <f t="shared" si="33"/>
        <v>61-90</v>
      </c>
      <c r="V326" s="78" t="str">
        <f t="shared" si="34"/>
        <v>21-30 Гб</v>
      </c>
    </row>
    <row r="327" spans="1:22" x14ac:dyDescent="0.25">
      <c r="A327" t="s">
        <v>201</v>
      </c>
      <c r="B327" s="43">
        <v>37120</v>
      </c>
      <c r="C327" t="s">
        <v>50</v>
      </c>
      <c r="D327" t="s">
        <v>51</v>
      </c>
      <c r="E327" t="s">
        <v>52</v>
      </c>
      <c r="F327" t="s">
        <v>53</v>
      </c>
      <c r="G327" s="43">
        <v>42997</v>
      </c>
      <c r="H327">
        <v>5</v>
      </c>
      <c r="I327">
        <v>166580</v>
      </c>
      <c r="J327">
        <v>8000000</v>
      </c>
      <c r="L327">
        <v>1</v>
      </c>
      <c r="N327">
        <v>1</v>
      </c>
      <c r="P327" s="77">
        <f t="shared" si="35"/>
        <v>1685</v>
      </c>
      <c r="Q327" s="78">
        <f t="shared" si="36"/>
        <v>555.26666666666665</v>
      </c>
      <c r="R327" s="78">
        <f t="shared" si="37"/>
        <v>1.52587890625</v>
      </c>
      <c r="S327" s="78">
        <f t="shared" si="38"/>
        <v>20</v>
      </c>
      <c r="T327" s="78">
        <f t="shared" ref="T327:T390" si="39">(Q327*7)/30</f>
        <v>129.56222222222223</v>
      </c>
      <c r="U327" s="78" t="str">
        <f t="shared" ref="U327:U390" si="40">IF(T327&gt;120,"120+",IF(T327&gt;90,"91-120",IF(T327&gt;60,"61-90",IF(T327&gt;35,"35-60","&lt;35"))))</f>
        <v>120+</v>
      </c>
      <c r="V327" s="78" t="str">
        <f t="shared" ref="V327:V390" si="41">IF(R327&gt;40,"40+ Гб",IF(R327&gt;30,"31-40 Гб",IF(R327&gt;20,"21-30 Гб",IF(R327&gt;10,"10-20 Гб","&lt;10 Гб"))))</f>
        <v>&lt;10 Гб</v>
      </c>
    </row>
    <row r="328" spans="1:22" x14ac:dyDescent="0.25">
      <c r="A328" t="s">
        <v>555</v>
      </c>
      <c r="B328" s="43">
        <v>37119</v>
      </c>
      <c r="C328" t="s">
        <v>50</v>
      </c>
      <c r="D328" t="s">
        <v>51</v>
      </c>
      <c r="E328" t="s">
        <v>52</v>
      </c>
      <c r="F328" t="s">
        <v>57</v>
      </c>
      <c r="G328" s="43">
        <v>44170</v>
      </c>
      <c r="H328">
        <v>5</v>
      </c>
      <c r="I328">
        <v>45584</v>
      </c>
      <c r="J328">
        <v>16000000</v>
      </c>
      <c r="P328" s="77">
        <f t="shared" si="35"/>
        <v>512</v>
      </c>
      <c r="Q328" s="78">
        <f t="shared" si="36"/>
        <v>151.94666666666666</v>
      </c>
      <c r="R328" s="78">
        <f t="shared" si="37"/>
        <v>3.0517578125</v>
      </c>
      <c r="S328" s="78">
        <f t="shared" si="38"/>
        <v>20</v>
      </c>
      <c r="T328" s="78">
        <f t="shared" si="39"/>
        <v>35.454222222222221</v>
      </c>
      <c r="U328" s="78" t="str">
        <f t="shared" si="40"/>
        <v>35-60</v>
      </c>
      <c r="V328" s="78" t="str">
        <f t="shared" si="41"/>
        <v>&lt;10 Гб</v>
      </c>
    </row>
    <row r="329" spans="1:22" x14ac:dyDescent="0.25">
      <c r="A329" t="s">
        <v>770</v>
      </c>
      <c r="B329" s="43">
        <v>37118</v>
      </c>
      <c r="C329" t="s">
        <v>50</v>
      </c>
      <c r="D329" t="s">
        <v>51</v>
      </c>
      <c r="E329" t="s">
        <v>52</v>
      </c>
      <c r="F329" t="s">
        <v>57</v>
      </c>
      <c r="G329" s="43">
        <v>43045</v>
      </c>
      <c r="H329">
        <v>5</v>
      </c>
      <c r="I329">
        <v>91736</v>
      </c>
      <c r="J329">
        <v>116000000</v>
      </c>
      <c r="P329" s="77">
        <f t="shared" si="35"/>
        <v>1637</v>
      </c>
      <c r="Q329" s="78">
        <f t="shared" si="36"/>
        <v>305.78666666666669</v>
      </c>
      <c r="R329" s="78">
        <f t="shared" si="37"/>
        <v>22.125244140625</v>
      </c>
      <c r="S329" s="78">
        <f t="shared" si="38"/>
        <v>20</v>
      </c>
      <c r="T329" s="78">
        <f t="shared" si="39"/>
        <v>71.350222222222229</v>
      </c>
      <c r="U329" s="78" t="str">
        <f t="shared" si="40"/>
        <v>61-90</v>
      </c>
      <c r="V329" s="78" t="str">
        <f t="shared" si="41"/>
        <v>21-30 Гб</v>
      </c>
    </row>
    <row r="330" spans="1:22" x14ac:dyDescent="0.25">
      <c r="A330" t="s">
        <v>1098</v>
      </c>
      <c r="B330" s="43">
        <v>37117</v>
      </c>
      <c r="C330" t="s">
        <v>50</v>
      </c>
      <c r="D330" t="s">
        <v>51</v>
      </c>
      <c r="E330" t="s">
        <v>52</v>
      </c>
      <c r="F330" t="s">
        <v>63</v>
      </c>
      <c r="G330" s="43">
        <v>42972</v>
      </c>
      <c r="H330">
        <v>5</v>
      </c>
      <c r="I330">
        <v>14384</v>
      </c>
      <c r="J330">
        <v>136000000</v>
      </c>
      <c r="M330">
        <v>1</v>
      </c>
      <c r="P330" s="77">
        <f t="shared" si="35"/>
        <v>1710</v>
      </c>
      <c r="Q330" s="78">
        <f t="shared" si="36"/>
        <v>47.946666666666665</v>
      </c>
      <c r="R330" s="78">
        <f t="shared" si="37"/>
        <v>25.93994140625</v>
      </c>
      <c r="S330" s="78">
        <f t="shared" si="38"/>
        <v>20</v>
      </c>
      <c r="T330" s="78">
        <f t="shared" si="39"/>
        <v>11.187555555555555</v>
      </c>
      <c r="U330" s="78" t="str">
        <f t="shared" si="40"/>
        <v>&lt;35</v>
      </c>
      <c r="V330" s="78" t="str">
        <f t="shared" si="41"/>
        <v>21-30 Гб</v>
      </c>
    </row>
    <row r="331" spans="1:22" x14ac:dyDescent="0.25">
      <c r="A331" t="s">
        <v>512</v>
      </c>
      <c r="B331" s="43">
        <v>37113</v>
      </c>
      <c r="C331" t="s">
        <v>50</v>
      </c>
      <c r="D331" t="s">
        <v>51</v>
      </c>
      <c r="E331" t="s">
        <v>54</v>
      </c>
      <c r="F331" t="s">
        <v>63</v>
      </c>
      <c r="G331" s="43">
        <v>42928</v>
      </c>
      <c r="H331">
        <v>5</v>
      </c>
      <c r="I331">
        <v>22796</v>
      </c>
      <c r="J331">
        <v>56000000</v>
      </c>
      <c r="P331" s="77">
        <f t="shared" si="35"/>
        <v>1754</v>
      </c>
      <c r="Q331" s="78">
        <f t="shared" si="36"/>
        <v>75.986666666666665</v>
      </c>
      <c r="R331" s="78">
        <f t="shared" si="37"/>
        <v>10.68115234375</v>
      </c>
      <c r="S331" s="78">
        <f t="shared" si="38"/>
        <v>20</v>
      </c>
      <c r="T331" s="78">
        <f t="shared" si="39"/>
        <v>17.730222222222221</v>
      </c>
      <c r="U331" s="78" t="str">
        <f t="shared" si="40"/>
        <v>&lt;35</v>
      </c>
      <c r="V331" s="78" t="str">
        <f t="shared" si="41"/>
        <v>10-20 Гб</v>
      </c>
    </row>
    <row r="332" spans="1:22" x14ac:dyDescent="0.25">
      <c r="A332" t="s">
        <v>969</v>
      </c>
      <c r="B332" s="43">
        <v>37110</v>
      </c>
      <c r="C332" t="s">
        <v>50</v>
      </c>
      <c r="D332" t="s">
        <v>51</v>
      </c>
      <c r="E332" t="s">
        <v>52</v>
      </c>
      <c r="F332" t="s">
        <v>63</v>
      </c>
      <c r="G332" s="43">
        <v>43350</v>
      </c>
      <c r="H332">
        <v>5</v>
      </c>
      <c r="I332">
        <v>32844</v>
      </c>
      <c r="J332">
        <v>156000000</v>
      </c>
      <c r="N332">
        <v>1</v>
      </c>
      <c r="P332" s="77">
        <f t="shared" si="35"/>
        <v>1332</v>
      </c>
      <c r="Q332" s="78">
        <f t="shared" si="36"/>
        <v>109.48</v>
      </c>
      <c r="R332" s="78">
        <f t="shared" si="37"/>
        <v>29.754638671875</v>
      </c>
      <c r="S332" s="78">
        <f t="shared" si="38"/>
        <v>20</v>
      </c>
      <c r="T332" s="78">
        <f t="shared" si="39"/>
        <v>25.545333333333335</v>
      </c>
      <c r="U332" s="78" t="str">
        <f t="shared" si="40"/>
        <v>&lt;35</v>
      </c>
      <c r="V332" s="78" t="str">
        <f t="shared" si="41"/>
        <v>21-30 Гб</v>
      </c>
    </row>
    <row r="333" spans="1:22" x14ac:dyDescent="0.25">
      <c r="A333" t="s">
        <v>823</v>
      </c>
      <c r="B333" s="43">
        <v>37101</v>
      </c>
      <c r="C333" t="s">
        <v>50</v>
      </c>
      <c r="D333" t="s">
        <v>51</v>
      </c>
      <c r="E333" t="s">
        <v>54</v>
      </c>
      <c r="F333" t="s">
        <v>63</v>
      </c>
      <c r="G333" s="43">
        <v>43286</v>
      </c>
      <c r="H333">
        <v>5</v>
      </c>
      <c r="I333">
        <v>5056</v>
      </c>
      <c r="J333">
        <v>152000000</v>
      </c>
      <c r="K333">
        <v>1</v>
      </c>
      <c r="P333" s="77">
        <f t="shared" si="35"/>
        <v>1396</v>
      </c>
      <c r="Q333" s="78">
        <f t="shared" si="36"/>
        <v>16.853333333333332</v>
      </c>
      <c r="R333" s="78">
        <f t="shared" si="37"/>
        <v>28.99169921875</v>
      </c>
      <c r="S333" s="78">
        <f t="shared" si="38"/>
        <v>20</v>
      </c>
      <c r="T333" s="78">
        <f t="shared" si="39"/>
        <v>3.9324444444444442</v>
      </c>
      <c r="U333" s="78" t="str">
        <f t="shared" si="40"/>
        <v>&lt;35</v>
      </c>
      <c r="V333" s="78" t="str">
        <f t="shared" si="41"/>
        <v>21-30 Гб</v>
      </c>
    </row>
    <row r="334" spans="1:22" x14ac:dyDescent="0.25">
      <c r="A334" t="s">
        <v>86</v>
      </c>
      <c r="B334" s="43">
        <v>37099</v>
      </c>
      <c r="C334" t="s">
        <v>50</v>
      </c>
      <c r="D334" t="s">
        <v>51</v>
      </c>
      <c r="E334" t="s">
        <v>52</v>
      </c>
      <c r="F334" t="s">
        <v>57</v>
      </c>
      <c r="G334" s="43">
        <v>44632</v>
      </c>
      <c r="H334">
        <v>1</v>
      </c>
      <c r="I334">
        <v>22811</v>
      </c>
      <c r="J334">
        <v>35000000</v>
      </c>
      <c r="M334">
        <v>1</v>
      </c>
      <c r="P334" s="77">
        <f t="shared" si="35"/>
        <v>50</v>
      </c>
      <c r="Q334" s="78">
        <f t="shared" si="36"/>
        <v>228.11</v>
      </c>
      <c r="R334" s="78">
        <f t="shared" si="37"/>
        <v>20.02716064453125</v>
      </c>
      <c r="S334" s="78">
        <f t="shared" si="38"/>
        <v>20</v>
      </c>
      <c r="T334" s="78">
        <f t="shared" si="39"/>
        <v>53.225666666666669</v>
      </c>
      <c r="U334" s="78" t="str">
        <f t="shared" si="40"/>
        <v>35-60</v>
      </c>
      <c r="V334" s="78" t="str">
        <f t="shared" si="41"/>
        <v>21-30 Гб</v>
      </c>
    </row>
    <row r="335" spans="1:22" x14ac:dyDescent="0.25">
      <c r="A335" t="s">
        <v>769</v>
      </c>
      <c r="B335" s="43">
        <v>37099</v>
      </c>
      <c r="C335" t="s">
        <v>58</v>
      </c>
      <c r="D335" t="s">
        <v>51</v>
      </c>
      <c r="E335" t="s">
        <v>54</v>
      </c>
      <c r="F335" t="s">
        <v>57</v>
      </c>
      <c r="G335" s="43">
        <v>43178</v>
      </c>
      <c r="H335">
        <v>5</v>
      </c>
      <c r="I335">
        <v>28312</v>
      </c>
      <c r="J335">
        <v>108000000</v>
      </c>
      <c r="P335" s="77">
        <f t="shared" si="35"/>
        <v>1504</v>
      </c>
      <c r="Q335" s="78">
        <f t="shared" si="36"/>
        <v>94.373333333333335</v>
      </c>
      <c r="R335" s="78">
        <f t="shared" si="37"/>
        <v>20.599365234375</v>
      </c>
      <c r="S335" s="78">
        <f t="shared" si="38"/>
        <v>20</v>
      </c>
      <c r="T335" s="78">
        <f t="shared" si="39"/>
        <v>22.020444444444443</v>
      </c>
      <c r="U335" s="78" t="str">
        <f t="shared" si="40"/>
        <v>&lt;35</v>
      </c>
      <c r="V335" s="78" t="str">
        <f t="shared" si="41"/>
        <v>21-30 Гб</v>
      </c>
    </row>
    <row r="336" spans="1:22" x14ac:dyDescent="0.25">
      <c r="A336" t="s">
        <v>993</v>
      </c>
      <c r="B336" s="43">
        <v>37098</v>
      </c>
      <c r="C336" t="s">
        <v>58</v>
      </c>
      <c r="D336" t="s">
        <v>51</v>
      </c>
      <c r="E336" t="s">
        <v>52</v>
      </c>
      <c r="F336" t="s">
        <v>63</v>
      </c>
      <c r="G336" s="43">
        <v>43975</v>
      </c>
      <c r="H336">
        <v>5</v>
      </c>
      <c r="I336">
        <v>5280</v>
      </c>
      <c r="J336">
        <v>152000000</v>
      </c>
      <c r="P336" s="77">
        <f t="shared" si="35"/>
        <v>707</v>
      </c>
      <c r="Q336" s="78">
        <f t="shared" si="36"/>
        <v>17.600000000000001</v>
      </c>
      <c r="R336" s="78">
        <f t="shared" si="37"/>
        <v>28.99169921875</v>
      </c>
      <c r="S336" s="78">
        <f t="shared" si="38"/>
        <v>20</v>
      </c>
      <c r="T336" s="78">
        <f t="shared" si="39"/>
        <v>4.1066666666666674</v>
      </c>
      <c r="U336" s="78" t="str">
        <f t="shared" si="40"/>
        <v>&lt;35</v>
      </c>
      <c r="V336" s="78" t="str">
        <f t="shared" si="41"/>
        <v>21-30 Гб</v>
      </c>
    </row>
    <row r="337" spans="1:22" x14ac:dyDescent="0.25">
      <c r="A337" t="s">
        <v>59</v>
      </c>
      <c r="B337" s="43">
        <v>37097</v>
      </c>
      <c r="C337" t="s">
        <v>58</v>
      </c>
      <c r="D337" t="s">
        <v>51</v>
      </c>
      <c r="E337" t="s">
        <v>54</v>
      </c>
      <c r="F337" t="s">
        <v>56</v>
      </c>
      <c r="G337" s="43">
        <v>44665</v>
      </c>
      <c r="H337">
        <v>0</v>
      </c>
      <c r="I337">
        <v>1629</v>
      </c>
      <c r="J337">
        <v>18700000</v>
      </c>
      <c r="O337">
        <v>1</v>
      </c>
      <c r="P337" s="77">
        <f t="shared" si="35"/>
        <v>17</v>
      </c>
      <c r="Q337" s="78">
        <f t="shared" si="36"/>
        <v>47.911764705882355</v>
      </c>
      <c r="R337" s="78">
        <f t="shared" si="37"/>
        <v>31.47125244140625</v>
      </c>
      <c r="S337" s="78">
        <f t="shared" si="38"/>
        <v>20</v>
      </c>
      <c r="T337" s="78">
        <f t="shared" si="39"/>
        <v>11.179411764705883</v>
      </c>
      <c r="U337" s="78" t="str">
        <f t="shared" si="40"/>
        <v>&lt;35</v>
      </c>
      <c r="V337" s="78" t="str">
        <f t="shared" si="41"/>
        <v>31-40 Гб</v>
      </c>
    </row>
    <row r="338" spans="1:22" x14ac:dyDescent="0.25">
      <c r="A338" t="s">
        <v>111</v>
      </c>
      <c r="B338" s="43">
        <v>37097</v>
      </c>
      <c r="C338" t="s">
        <v>50</v>
      </c>
      <c r="D338" t="s">
        <v>51</v>
      </c>
      <c r="E338" t="s">
        <v>54</v>
      </c>
      <c r="F338" t="s">
        <v>63</v>
      </c>
      <c r="G338" s="43">
        <v>44621</v>
      </c>
      <c r="H338">
        <v>2</v>
      </c>
      <c r="I338">
        <v>9810</v>
      </c>
      <c r="J338">
        <v>61000000</v>
      </c>
      <c r="P338" s="77">
        <f t="shared" si="35"/>
        <v>61</v>
      </c>
      <c r="Q338" s="78">
        <f t="shared" si="36"/>
        <v>80.409836065573771</v>
      </c>
      <c r="R338" s="78">
        <f t="shared" si="37"/>
        <v>28.6102294921875</v>
      </c>
      <c r="S338" s="78">
        <f t="shared" si="38"/>
        <v>20</v>
      </c>
      <c r="T338" s="78">
        <f t="shared" si="39"/>
        <v>18.762295081967213</v>
      </c>
      <c r="U338" s="78" t="str">
        <f t="shared" si="40"/>
        <v>&lt;35</v>
      </c>
      <c r="V338" s="78" t="str">
        <f t="shared" si="41"/>
        <v>21-30 Гб</v>
      </c>
    </row>
    <row r="339" spans="1:22" x14ac:dyDescent="0.25">
      <c r="A339" t="s">
        <v>1036</v>
      </c>
      <c r="B339" s="43">
        <v>37097</v>
      </c>
      <c r="C339" t="s">
        <v>50</v>
      </c>
      <c r="D339" t="s">
        <v>51</v>
      </c>
      <c r="E339" t="s">
        <v>54</v>
      </c>
      <c r="F339" t="s">
        <v>63</v>
      </c>
      <c r="G339" s="43">
        <v>44107</v>
      </c>
      <c r="H339">
        <v>5</v>
      </c>
      <c r="I339">
        <v>12580</v>
      </c>
      <c r="J339">
        <v>132000000</v>
      </c>
      <c r="N339">
        <v>1</v>
      </c>
      <c r="P339" s="77">
        <f t="shared" si="35"/>
        <v>575</v>
      </c>
      <c r="Q339" s="78">
        <f t="shared" si="36"/>
        <v>41.93333333333333</v>
      </c>
      <c r="R339" s="78">
        <f t="shared" si="37"/>
        <v>25.177001953125</v>
      </c>
      <c r="S339" s="78">
        <f t="shared" si="38"/>
        <v>20</v>
      </c>
      <c r="T339" s="78">
        <f t="shared" si="39"/>
        <v>9.7844444444444427</v>
      </c>
      <c r="U339" s="78" t="str">
        <f t="shared" si="40"/>
        <v>&lt;35</v>
      </c>
      <c r="V339" s="78" t="str">
        <f t="shared" si="41"/>
        <v>21-30 Гб</v>
      </c>
    </row>
    <row r="340" spans="1:22" x14ac:dyDescent="0.25">
      <c r="A340" t="s">
        <v>504</v>
      </c>
      <c r="B340" s="43">
        <v>37088</v>
      </c>
      <c r="C340" t="s">
        <v>58</v>
      </c>
      <c r="D340" t="s">
        <v>51</v>
      </c>
      <c r="E340" t="s">
        <v>54</v>
      </c>
      <c r="F340" t="s">
        <v>63</v>
      </c>
      <c r="G340" s="43">
        <v>44364</v>
      </c>
      <c r="H340">
        <v>5</v>
      </c>
      <c r="I340">
        <v>20356</v>
      </c>
      <c r="J340">
        <v>132000000</v>
      </c>
      <c r="P340" s="77">
        <f t="shared" si="35"/>
        <v>318</v>
      </c>
      <c r="Q340" s="78">
        <f t="shared" si="36"/>
        <v>67.853333333333339</v>
      </c>
      <c r="R340" s="78">
        <f t="shared" si="37"/>
        <v>25.177001953125</v>
      </c>
      <c r="S340" s="78">
        <f t="shared" si="38"/>
        <v>20</v>
      </c>
      <c r="T340" s="78">
        <f t="shared" si="39"/>
        <v>15.832444444444445</v>
      </c>
      <c r="U340" s="78" t="str">
        <f t="shared" si="40"/>
        <v>&lt;35</v>
      </c>
      <c r="V340" s="78" t="str">
        <f t="shared" si="41"/>
        <v>21-30 Гб</v>
      </c>
    </row>
    <row r="341" spans="1:22" x14ac:dyDescent="0.25">
      <c r="A341" t="s">
        <v>946</v>
      </c>
      <c r="B341" s="43">
        <v>37084</v>
      </c>
      <c r="C341" t="s">
        <v>58</v>
      </c>
      <c r="D341" t="s">
        <v>51</v>
      </c>
      <c r="E341" t="s">
        <v>54</v>
      </c>
      <c r="F341" t="s">
        <v>63</v>
      </c>
      <c r="G341" s="43">
        <v>44461</v>
      </c>
      <c r="H341">
        <v>5</v>
      </c>
      <c r="I341">
        <v>19948</v>
      </c>
      <c r="J341">
        <v>144000000</v>
      </c>
      <c r="P341" s="77">
        <f t="shared" si="35"/>
        <v>221</v>
      </c>
      <c r="Q341" s="78">
        <f t="shared" si="36"/>
        <v>66.493333333333339</v>
      </c>
      <c r="R341" s="78">
        <f t="shared" si="37"/>
        <v>27.4658203125</v>
      </c>
      <c r="S341" s="78">
        <f t="shared" si="38"/>
        <v>20</v>
      </c>
      <c r="T341" s="78">
        <f t="shared" si="39"/>
        <v>15.515111111111112</v>
      </c>
      <c r="U341" s="78" t="str">
        <f t="shared" si="40"/>
        <v>&lt;35</v>
      </c>
      <c r="V341" s="78" t="str">
        <f t="shared" si="41"/>
        <v>21-30 Гб</v>
      </c>
    </row>
    <row r="342" spans="1:22" x14ac:dyDescent="0.25">
      <c r="A342" t="s">
        <v>574</v>
      </c>
      <c r="B342" s="43">
        <v>37082</v>
      </c>
      <c r="C342" t="s">
        <v>50</v>
      </c>
      <c r="D342" t="s">
        <v>51</v>
      </c>
      <c r="E342" t="s">
        <v>52</v>
      </c>
      <c r="F342" t="s">
        <v>57</v>
      </c>
      <c r="G342" s="43">
        <v>44257</v>
      </c>
      <c r="H342">
        <v>5</v>
      </c>
      <c r="I342">
        <v>36992</v>
      </c>
      <c r="J342">
        <v>112000000</v>
      </c>
      <c r="L342">
        <v>1</v>
      </c>
      <c r="P342" s="77">
        <f t="shared" si="35"/>
        <v>425</v>
      </c>
      <c r="Q342" s="78">
        <f t="shared" si="36"/>
        <v>123.30666666666667</v>
      </c>
      <c r="R342" s="78">
        <f t="shared" si="37"/>
        <v>21.3623046875</v>
      </c>
      <c r="S342" s="78">
        <f t="shared" si="38"/>
        <v>20</v>
      </c>
      <c r="T342" s="78">
        <f t="shared" si="39"/>
        <v>28.771555555555558</v>
      </c>
      <c r="U342" s="78" t="str">
        <f t="shared" si="40"/>
        <v>&lt;35</v>
      </c>
      <c r="V342" s="78" t="str">
        <f t="shared" si="41"/>
        <v>21-30 Гб</v>
      </c>
    </row>
    <row r="343" spans="1:22" x14ac:dyDescent="0.25">
      <c r="A343" t="s">
        <v>1020</v>
      </c>
      <c r="B343" s="43">
        <v>37077</v>
      </c>
      <c r="C343" t="s">
        <v>50</v>
      </c>
      <c r="D343" t="s">
        <v>51</v>
      </c>
      <c r="E343" t="s">
        <v>52</v>
      </c>
      <c r="F343" t="s">
        <v>63</v>
      </c>
      <c r="G343" s="43">
        <v>44209</v>
      </c>
      <c r="H343">
        <v>5</v>
      </c>
      <c r="I343">
        <v>11724</v>
      </c>
      <c r="J343">
        <v>140000000</v>
      </c>
      <c r="P343" s="77">
        <f t="shared" si="35"/>
        <v>473</v>
      </c>
      <c r="Q343" s="78">
        <f t="shared" si="36"/>
        <v>39.08</v>
      </c>
      <c r="R343" s="78">
        <f t="shared" si="37"/>
        <v>26.702880859375</v>
      </c>
      <c r="S343" s="78">
        <f t="shared" si="38"/>
        <v>20</v>
      </c>
      <c r="T343" s="78">
        <f t="shared" si="39"/>
        <v>9.118666666666666</v>
      </c>
      <c r="U343" s="78" t="str">
        <f t="shared" si="40"/>
        <v>&lt;35</v>
      </c>
      <c r="V343" s="78" t="str">
        <f t="shared" si="41"/>
        <v>21-30 Гб</v>
      </c>
    </row>
    <row r="344" spans="1:22" x14ac:dyDescent="0.25">
      <c r="A344" t="s">
        <v>535</v>
      </c>
      <c r="B344" s="43">
        <v>37074</v>
      </c>
      <c r="C344" t="s">
        <v>58</v>
      </c>
      <c r="D344" t="s">
        <v>51</v>
      </c>
      <c r="E344" t="s">
        <v>52</v>
      </c>
      <c r="F344" t="s">
        <v>63</v>
      </c>
      <c r="G344" s="43">
        <v>44050</v>
      </c>
      <c r="H344">
        <v>5</v>
      </c>
      <c r="I344">
        <v>17284</v>
      </c>
      <c r="J344">
        <v>132000000</v>
      </c>
      <c r="P344" s="77">
        <f t="shared" si="35"/>
        <v>632</v>
      </c>
      <c r="Q344" s="78">
        <f t="shared" si="36"/>
        <v>57.613333333333337</v>
      </c>
      <c r="R344" s="78">
        <f t="shared" si="37"/>
        <v>25.177001953125</v>
      </c>
      <c r="S344" s="78">
        <f t="shared" si="38"/>
        <v>20</v>
      </c>
      <c r="T344" s="78">
        <f t="shared" si="39"/>
        <v>13.443111111111111</v>
      </c>
      <c r="U344" s="78" t="str">
        <f t="shared" si="40"/>
        <v>&lt;35</v>
      </c>
      <c r="V344" s="78" t="str">
        <f t="shared" si="41"/>
        <v>21-30 Гб</v>
      </c>
    </row>
    <row r="345" spans="1:22" x14ac:dyDescent="0.25">
      <c r="A345" t="s">
        <v>1138</v>
      </c>
      <c r="B345" s="43">
        <v>37073</v>
      </c>
      <c r="C345" t="s">
        <v>50</v>
      </c>
      <c r="D345" t="s">
        <v>51</v>
      </c>
      <c r="E345" t="s">
        <v>52</v>
      </c>
      <c r="F345" t="s">
        <v>69</v>
      </c>
      <c r="G345" s="43">
        <v>43936</v>
      </c>
      <c r="H345">
        <v>5</v>
      </c>
      <c r="I345">
        <v>22228</v>
      </c>
      <c r="J345">
        <v>12000000</v>
      </c>
      <c r="P345" s="77">
        <f t="shared" si="35"/>
        <v>746</v>
      </c>
      <c r="Q345" s="78">
        <f t="shared" si="36"/>
        <v>74.093333333333334</v>
      </c>
      <c r="R345" s="78">
        <f t="shared" si="37"/>
        <v>2.288818359375</v>
      </c>
      <c r="S345" s="78">
        <f t="shared" si="38"/>
        <v>20</v>
      </c>
      <c r="T345" s="78">
        <f t="shared" si="39"/>
        <v>17.288444444444444</v>
      </c>
      <c r="U345" s="78" t="str">
        <f t="shared" si="40"/>
        <v>&lt;35</v>
      </c>
      <c r="V345" s="78" t="str">
        <f t="shared" si="41"/>
        <v>&lt;10 Гб</v>
      </c>
    </row>
    <row r="346" spans="1:22" x14ac:dyDescent="0.25">
      <c r="A346" t="s">
        <v>845</v>
      </c>
      <c r="B346" s="43">
        <v>37071</v>
      </c>
      <c r="C346" t="s">
        <v>58</v>
      </c>
      <c r="D346" t="s">
        <v>51</v>
      </c>
      <c r="E346" t="s">
        <v>52</v>
      </c>
      <c r="F346" t="s">
        <v>63</v>
      </c>
      <c r="G346" s="43">
        <v>43900</v>
      </c>
      <c r="H346">
        <v>5</v>
      </c>
      <c r="I346">
        <v>33900</v>
      </c>
      <c r="J346">
        <v>144000000</v>
      </c>
      <c r="K346">
        <v>1</v>
      </c>
      <c r="P346" s="77">
        <f t="shared" si="35"/>
        <v>782</v>
      </c>
      <c r="Q346" s="78">
        <f t="shared" si="36"/>
        <v>113</v>
      </c>
      <c r="R346" s="78">
        <f t="shared" si="37"/>
        <v>27.4658203125</v>
      </c>
      <c r="S346" s="78">
        <f t="shared" si="38"/>
        <v>20</v>
      </c>
      <c r="T346" s="78">
        <f t="shared" si="39"/>
        <v>26.366666666666667</v>
      </c>
      <c r="U346" s="78" t="str">
        <f t="shared" si="40"/>
        <v>&lt;35</v>
      </c>
      <c r="V346" s="78" t="str">
        <f t="shared" si="41"/>
        <v>21-30 Гб</v>
      </c>
    </row>
    <row r="347" spans="1:22" x14ac:dyDescent="0.25">
      <c r="A347" t="s">
        <v>638</v>
      </c>
      <c r="B347" s="43">
        <v>37069</v>
      </c>
      <c r="C347" t="s">
        <v>50</v>
      </c>
      <c r="D347" t="s">
        <v>51</v>
      </c>
      <c r="E347" t="s">
        <v>54</v>
      </c>
      <c r="F347" t="s">
        <v>57</v>
      </c>
      <c r="G347" s="43">
        <v>44054</v>
      </c>
      <c r="H347">
        <v>5</v>
      </c>
      <c r="I347">
        <v>7876</v>
      </c>
      <c r="J347">
        <v>56000000</v>
      </c>
      <c r="K347">
        <v>1</v>
      </c>
      <c r="P347" s="77">
        <f t="shared" si="35"/>
        <v>628</v>
      </c>
      <c r="Q347" s="78">
        <f t="shared" si="36"/>
        <v>26.253333333333334</v>
      </c>
      <c r="R347" s="78">
        <f t="shared" si="37"/>
        <v>10.68115234375</v>
      </c>
      <c r="S347" s="78">
        <f t="shared" si="38"/>
        <v>20</v>
      </c>
      <c r="T347" s="78">
        <f t="shared" si="39"/>
        <v>6.1257777777777784</v>
      </c>
      <c r="U347" s="78" t="str">
        <f t="shared" si="40"/>
        <v>&lt;35</v>
      </c>
      <c r="V347" s="78" t="str">
        <f t="shared" si="41"/>
        <v>10-20 Гб</v>
      </c>
    </row>
    <row r="348" spans="1:22" x14ac:dyDescent="0.25">
      <c r="A348" t="s">
        <v>1005</v>
      </c>
      <c r="B348" s="43">
        <v>37069</v>
      </c>
      <c r="C348" t="s">
        <v>58</v>
      </c>
      <c r="D348" t="s">
        <v>51</v>
      </c>
      <c r="E348" t="s">
        <v>52</v>
      </c>
      <c r="F348" t="s">
        <v>63</v>
      </c>
      <c r="G348" s="43">
        <v>43440</v>
      </c>
      <c r="H348">
        <v>5</v>
      </c>
      <c r="I348">
        <v>22372</v>
      </c>
      <c r="J348">
        <v>124000000</v>
      </c>
      <c r="P348" s="77">
        <f t="shared" si="35"/>
        <v>1242</v>
      </c>
      <c r="Q348" s="78">
        <f t="shared" si="36"/>
        <v>74.573333333333338</v>
      </c>
      <c r="R348" s="78">
        <f t="shared" si="37"/>
        <v>23.651123046875</v>
      </c>
      <c r="S348" s="78">
        <f t="shared" si="38"/>
        <v>20</v>
      </c>
      <c r="T348" s="78">
        <f t="shared" si="39"/>
        <v>17.400444444444442</v>
      </c>
      <c r="U348" s="78" t="str">
        <f t="shared" si="40"/>
        <v>&lt;35</v>
      </c>
      <c r="V348" s="78" t="str">
        <f t="shared" si="41"/>
        <v>21-30 Гб</v>
      </c>
    </row>
    <row r="349" spans="1:22" x14ac:dyDescent="0.25">
      <c r="A349" t="s">
        <v>539</v>
      </c>
      <c r="B349" s="43">
        <v>37067</v>
      </c>
      <c r="C349" t="s">
        <v>50</v>
      </c>
      <c r="D349" t="s">
        <v>51</v>
      </c>
      <c r="E349" t="s">
        <v>52</v>
      </c>
      <c r="F349" t="s">
        <v>57</v>
      </c>
      <c r="G349" s="43">
        <v>43557</v>
      </c>
      <c r="H349">
        <v>5</v>
      </c>
      <c r="I349">
        <v>40308</v>
      </c>
      <c r="J349">
        <v>88000000</v>
      </c>
      <c r="P349" s="77">
        <f t="shared" si="35"/>
        <v>1125</v>
      </c>
      <c r="Q349" s="78">
        <f t="shared" si="36"/>
        <v>134.36000000000001</v>
      </c>
      <c r="R349" s="78">
        <f t="shared" si="37"/>
        <v>16.78466796875</v>
      </c>
      <c r="S349" s="78">
        <f t="shared" si="38"/>
        <v>20</v>
      </c>
      <c r="T349" s="78">
        <f t="shared" si="39"/>
        <v>31.350666666666669</v>
      </c>
      <c r="U349" s="78" t="str">
        <f t="shared" si="40"/>
        <v>&lt;35</v>
      </c>
      <c r="V349" s="78" t="str">
        <f t="shared" si="41"/>
        <v>10-20 Гб</v>
      </c>
    </row>
    <row r="350" spans="1:22" x14ac:dyDescent="0.25">
      <c r="A350" t="s">
        <v>480</v>
      </c>
      <c r="B350" s="43">
        <v>37066</v>
      </c>
      <c r="C350" t="s">
        <v>58</v>
      </c>
      <c r="D350" t="s">
        <v>51</v>
      </c>
      <c r="E350" t="s">
        <v>52</v>
      </c>
      <c r="F350" t="s">
        <v>63</v>
      </c>
      <c r="G350" s="43">
        <v>43411</v>
      </c>
      <c r="H350">
        <v>5</v>
      </c>
      <c r="I350">
        <v>24420</v>
      </c>
      <c r="J350">
        <v>144000000</v>
      </c>
      <c r="L350">
        <v>1</v>
      </c>
      <c r="P350" s="77">
        <f t="shared" si="35"/>
        <v>1271</v>
      </c>
      <c r="Q350" s="78">
        <f t="shared" si="36"/>
        <v>81.400000000000006</v>
      </c>
      <c r="R350" s="78">
        <f t="shared" si="37"/>
        <v>27.4658203125</v>
      </c>
      <c r="S350" s="78">
        <f t="shared" si="38"/>
        <v>20</v>
      </c>
      <c r="T350" s="78">
        <f t="shared" si="39"/>
        <v>18.993333333333336</v>
      </c>
      <c r="U350" s="78" t="str">
        <f t="shared" si="40"/>
        <v>&lt;35</v>
      </c>
      <c r="V350" s="78" t="str">
        <f t="shared" si="41"/>
        <v>21-30 Гб</v>
      </c>
    </row>
    <row r="351" spans="1:22" x14ac:dyDescent="0.25">
      <c r="A351" t="s">
        <v>952</v>
      </c>
      <c r="B351" s="43">
        <v>37058</v>
      </c>
      <c r="C351" t="s">
        <v>50</v>
      </c>
      <c r="D351" t="s">
        <v>51</v>
      </c>
      <c r="E351" t="s">
        <v>54</v>
      </c>
      <c r="F351" t="s">
        <v>63</v>
      </c>
      <c r="G351" s="43">
        <v>43774</v>
      </c>
      <c r="H351">
        <v>5</v>
      </c>
      <c r="I351">
        <v>15188</v>
      </c>
      <c r="J351">
        <v>144000000</v>
      </c>
      <c r="K351">
        <v>1</v>
      </c>
      <c r="P351" s="77">
        <f t="shared" si="35"/>
        <v>908</v>
      </c>
      <c r="Q351" s="78">
        <f t="shared" si="36"/>
        <v>50.626666666666665</v>
      </c>
      <c r="R351" s="78">
        <f t="shared" si="37"/>
        <v>27.4658203125</v>
      </c>
      <c r="S351" s="78">
        <f t="shared" si="38"/>
        <v>20</v>
      </c>
      <c r="T351" s="78">
        <f t="shared" si="39"/>
        <v>11.812888888888889</v>
      </c>
      <c r="U351" s="78" t="str">
        <f t="shared" si="40"/>
        <v>&lt;35</v>
      </c>
      <c r="V351" s="78" t="str">
        <f t="shared" si="41"/>
        <v>21-30 Гб</v>
      </c>
    </row>
    <row r="352" spans="1:22" x14ac:dyDescent="0.25">
      <c r="A352" t="s">
        <v>345</v>
      </c>
      <c r="B352" s="43">
        <v>37056</v>
      </c>
      <c r="C352" t="s">
        <v>58</v>
      </c>
      <c r="D352" t="s">
        <v>51</v>
      </c>
      <c r="E352" t="s">
        <v>52</v>
      </c>
      <c r="F352" t="s">
        <v>56</v>
      </c>
      <c r="G352" s="43">
        <v>43806</v>
      </c>
      <c r="H352">
        <v>5</v>
      </c>
      <c r="I352">
        <v>23576</v>
      </c>
      <c r="J352">
        <v>116000000</v>
      </c>
      <c r="P352" s="77">
        <f t="shared" si="35"/>
        <v>876</v>
      </c>
      <c r="Q352" s="78">
        <f t="shared" si="36"/>
        <v>78.586666666666673</v>
      </c>
      <c r="R352" s="78">
        <f t="shared" si="37"/>
        <v>22.125244140625</v>
      </c>
      <c r="S352" s="78">
        <f t="shared" si="38"/>
        <v>20</v>
      </c>
      <c r="T352" s="78">
        <f t="shared" si="39"/>
        <v>18.33688888888889</v>
      </c>
      <c r="U352" s="78" t="str">
        <f t="shared" si="40"/>
        <v>&lt;35</v>
      </c>
      <c r="V352" s="78" t="str">
        <f t="shared" si="41"/>
        <v>21-30 Гб</v>
      </c>
    </row>
    <row r="353" spans="1:22" x14ac:dyDescent="0.25">
      <c r="A353" t="s">
        <v>526</v>
      </c>
      <c r="B353" s="43">
        <v>37055</v>
      </c>
      <c r="C353" t="s">
        <v>50</v>
      </c>
      <c r="D353" t="s">
        <v>51</v>
      </c>
      <c r="E353" t="s">
        <v>54</v>
      </c>
      <c r="F353" t="s">
        <v>63</v>
      </c>
      <c r="G353" s="43">
        <v>43896</v>
      </c>
      <c r="H353">
        <v>5</v>
      </c>
      <c r="I353">
        <v>4772</v>
      </c>
      <c r="J353">
        <v>52000000</v>
      </c>
      <c r="P353" s="77">
        <f t="shared" si="35"/>
        <v>786</v>
      </c>
      <c r="Q353" s="78">
        <f t="shared" si="36"/>
        <v>15.906666666666666</v>
      </c>
      <c r="R353" s="78">
        <f t="shared" si="37"/>
        <v>9.918212890625</v>
      </c>
      <c r="S353" s="78">
        <f t="shared" si="38"/>
        <v>20</v>
      </c>
      <c r="T353" s="78">
        <f t="shared" si="39"/>
        <v>3.7115555555555555</v>
      </c>
      <c r="U353" s="78" t="str">
        <f t="shared" si="40"/>
        <v>&lt;35</v>
      </c>
      <c r="V353" s="78" t="str">
        <f t="shared" si="41"/>
        <v>&lt;10 Гб</v>
      </c>
    </row>
    <row r="354" spans="1:22" x14ac:dyDescent="0.25">
      <c r="A354" t="s">
        <v>414</v>
      </c>
      <c r="B354" s="43">
        <v>37049</v>
      </c>
      <c r="C354" t="s">
        <v>50</v>
      </c>
      <c r="D354" t="s">
        <v>51</v>
      </c>
      <c r="E354" t="s">
        <v>52</v>
      </c>
      <c r="F354" t="s">
        <v>56</v>
      </c>
      <c r="G354" s="43">
        <v>42950</v>
      </c>
      <c r="H354">
        <v>5</v>
      </c>
      <c r="I354">
        <v>75644</v>
      </c>
      <c r="J354">
        <v>116000000</v>
      </c>
      <c r="P354" s="77">
        <f t="shared" si="35"/>
        <v>1732</v>
      </c>
      <c r="Q354" s="78">
        <f t="shared" si="36"/>
        <v>252.14666666666668</v>
      </c>
      <c r="R354" s="78">
        <f t="shared" si="37"/>
        <v>22.125244140625</v>
      </c>
      <c r="S354" s="78">
        <f t="shared" si="38"/>
        <v>20</v>
      </c>
      <c r="T354" s="78">
        <f t="shared" si="39"/>
        <v>58.834222222222223</v>
      </c>
      <c r="U354" s="78" t="str">
        <f t="shared" si="40"/>
        <v>35-60</v>
      </c>
      <c r="V354" s="78" t="str">
        <f t="shared" si="41"/>
        <v>21-30 Гб</v>
      </c>
    </row>
    <row r="355" spans="1:22" x14ac:dyDescent="0.25">
      <c r="A355" t="s">
        <v>887</v>
      </c>
      <c r="B355" s="43">
        <v>37040</v>
      </c>
      <c r="C355" t="s">
        <v>58</v>
      </c>
      <c r="D355" t="s">
        <v>51</v>
      </c>
      <c r="E355" t="s">
        <v>54</v>
      </c>
      <c r="F355" t="s">
        <v>63</v>
      </c>
      <c r="G355" s="43">
        <v>43316</v>
      </c>
      <c r="H355">
        <v>5</v>
      </c>
      <c r="I355">
        <v>12228</v>
      </c>
      <c r="J355">
        <v>136000000</v>
      </c>
      <c r="P355" s="77">
        <f t="shared" si="35"/>
        <v>1366</v>
      </c>
      <c r="Q355" s="78">
        <f t="shared" si="36"/>
        <v>40.76</v>
      </c>
      <c r="R355" s="78">
        <f t="shared" si="37"/>
        <v>25.93994140625</v>
      </c>
      <c r="S355" s="78">
        <f t="shared" si="38"/>
        <v>20</v>
      </c>
      <c r="T355" s="78">
        <f t="shared" si="39"/>
        <v>9.5106666666666673</v>
      </c>
      <c r="U355" s="78" t="str">
        <f t="shared" si="40"/>
        <v>&lt;35</v>
      </c>
      <c r="V355" s="78" t="str">
        <f t="shared" si="41"/>
        <v>21-30 Гб</v>
      </c>
    </row>
    <row r="356" spans="1:22" x14ac:dyDescent="0.25">
      <c r="A356" t="s">
        <v>653</v>
      </c>
      <c r="B356" s="43">
        <v>37031</v>
      </c>
      <c r="C356" t="s">
        <v>50</v>
      </c>
      <c r="D356" t="s">
        <v>51</v>
      </c>
      <c r="E356" t="s">
        <v>52</v>
      </c>
      <c r="F356" t="s">
        <v>57</v>
      </c>
      <c r="G356" s="43">
        <v>44452</v>
      </c>
      <c r="H356">
        <v>5</v>
      </c>
      <c r="I356">
        <v>60972</v>
      </c>
      <c r="J356">
        <v>72000000</v>
      </c>
      <c r="K356">
        <v>1</v>
      </c>
      <c r="M356">
        <v>1</v>
      </c>
      <c r="P356" s="77">
        <f t="shared" si="35"/>
        <v>230</v>
      </c>
      <c r="Q356" s="78">
        <f t="shared" si="36"/>
        <v>203.24</v>
      </c>
      <c r="R356" s="78">
        <f t="shared" si="37"/>
        <v>13.73291015625</v>
      </c>
      <c r="S356" s="78">
        <f t="shared" si="38"/>
        <v>20</v>
      </c>
      <c r="T356" s="78">
        <f t="shared" si="39"/>
        <v>47.422666666666672</v>
      </c>
      <c r="U356" s="78" t="str">
        <f t="shared" si="40"/>
        <v>35-60</v>
      </c>
      <c r="V356" s="78" t="str">
        <f t="shared" si="41"/>
        <v>10-20 Гб</v>
      </c>
    </row>
    <row r="357" spans="1:22" x14ac:dyDescent="0.25">
      <c r="A357" t="s">
        <v>351</v>
      </c>
      <c r="B357" s="43">
        <v>37028</v>
      </c>
      <c r="C357" t="s">
        <v>50</v>
      </c>
      <c r="D357" t="s">
        <v>51</v>
      </c>
      <c r="E357" t="s">
        <v>52</v>
      </c>
      <c r="F357" t="s">
        <v>56</v>
      </c>
      <c r="G357" s="43">
        <v>44127</v>
      </c>
      <c r="H357">
        <v>5</v>
      </c>
      <c r="I357">
        <v>40960</v>
      </c>
      <c r="J357">
        <v>136000000</v>
      </c>
      <c r="K357">
        <v>1</v>
      </c>
      <c r="P357" s="77">
        <f t="shared" si="35"/>
        <v>555</v>
      </c>
      <c r="Q357" s="78">
        <f t="shared" si="36"/>
        <v>136.53333333333333</v>
      </c>
      <c r="R357" s="78">
        <f t="shared" si="37"/>
        <v>25.93994140625</v>
      </c>
      <c r="S357" s="78">
        <f t="shared" si="38"/>
        <v>20</v>
      </c>
      <c r="T357" s="78">
        <f t="shared" si="39"/>
        <v>31.857777777777777</v>
      </c>
      <c r="U357" s="78" t="str">
        <f t="shared" si="40"/>
        <v>&lt;35</v>
      </c>
      <c r="V357" s="78" t="str">
        <f t="shared" si="41"/>
        <v>21-30 Гб</v>
      </c>
    </row>
    <row r="358" spans="1:22" x14ac:dyDescent="0.25">
      <c r="A358" t="s">
        <v>1147</v>
      </c>
      <c r="B358" s="43">
        <v>37028</v>
      </c>
      <c r="C358" t="s">
        <v>50</v>
      </c>
      <c r="D358" t="s">
        <v>51</v>
      </c>
      <c r="E358" t="s">
        <v>52</v>
      </c>
      <c r="F358" t="s">
        <v>69</v>
      </c>
      <c r="G358" s="43">
        <v>43608</v>
      </c>
      <c r="H358">
        <v>5</v>
      </c>
      <c r="I358">
        <v>34636</v>
      </c>
      <c r="J358">
        <v>16000000</v>
      </c>
      <c r="P358" s="77">
        <f t="shared" si="35"/>
        <v>1074</v>
      </c>
      <c r="Q358" s="78">
        <f t="shared" si="36"/>
        <v>115.45333333333333</v>
      </c>
      <c r="R358" s="78">
        <f t="shared" si="37"/>
        <v>3.0517578125</v>
      </c>
      <c r="S358" s="78">
        <f t="shared" si="38"/>
        <v>20</v>
      </c>
      <c r="T358" s="78">
        <f t="shared" si="39"/>
        <v>26.93911111111111</v>
      </c>
      <c r="U358" s="78" t="str">
        <f t="shared" si="40"/>
        <v>&lt;35</v>
      </c>
      <c r="V358" s="78" t="str">
        <f t="shared" si="41"/>
        <v>&lt;10 Гб</v>
      </c>
    </row>
    <row r="359" spans="1:22" x14ac:dyDescent="0.25">
      <c r="A359" t="s">
        <v>213</v>
      </c>
      <c r="B359" s="43">
        <v>37027</v>
      </c>
      <c r="C359" t="s">
        <v>58</v>
      </c>
      <c r="D359" t="s">
        <v>51</v>
      </c>
      <c r="E359" t="s">
        <v>54</v>
      </c>
      <c r="F359" t="s">
        <v>56</v>
      </c>
      <c r="G359" s="43">
        <v>44447</v>
      </c>
      <c r="H359">
        <v>5</v>
      </c>
      <c r="I359">
        <v>74232</v>
      </c>
      <c r="J359">
        <v>28000000</v>
      </c>
      <c r="L359">
        <v>1</v>
      </c>
      <c r="M359">
        <v>1</v>
      </c>
      <c r="P359" s="77">
        <f t="shared" si="35"/>
        <v>235</v>
      </c>
      <c r="Q359" s="78">
        <f t="shared" si="36"/>
        <v>247.44</v>
      </c>
      <c r="R359" s="78">
        <f t="shared" si="37"/>
        <v>5.340576171875</v>
      </c>
      <c r="S359" s="78">
        <f t="shared" si="38"/>
        <v>20</v>
      </c>
      <c r="T359" s="78">
        <f t="shared" si="39"/>
        <v>57.735999999999997</v>
      </c>
      <c r="U359" s="78" t="str">
        <f t="shared" si="40"/>
        <v>35-60</v>
      </c>
      <c r="V359" s="78" t="str">
        <f t="shared" si="41"/>
        <v>&lt;10 Гб</v>
      </c>
    </row>
    <row r="360" spans="1:22" x14ac:dyDescent="0.25">
      <c r="A360" t="s">
        <v>1089</v>
      </c>
      <c r="B360" s="43">
        <v>37027</v>
      </c>
      <c r="C360" t="s">
        <v>58</v>
      </c>
      <c r="D360" t="s">
        <v>51</v>
      </c>
      <c r="E360" t="s">
        <v>54</v>
      </c>
      <c r="F360" t="s">
        <v>63</v>
      </c>
      <c r="G360" s="43">
        <v>44000</v>
      </c>
      <c r="H360">
        <v>5</v>
      </c>
      <c r="I360">
        <v>27340</v>
      </c>
      <c r="J360">
        <v>156000000</v>
      </c>
      <c r="P360" s="77">
        <f t="shared" si="35"/>
        <v>682</v>
      </c>
      <c r="Q360" s="78">
        <f t="shared" si="36"/>
        <v>91.13333333333334</v>
      </c>
      <c r="R360" s="78">
        <f t="shared" si="37"/>
        <v>29.754638671875</v>
      </c>
      <c r="S360" s="78">
        <f t="shared" si="38"/>
        <v>20</v>
      </c>
      <c r="T360" s="78">
        <f t="shared" si="39"/>
        <v>21.264444444444447</v>
      </c>
      <c r="U360" s="78" t="str">
        <f t="shared" si="40"/>
        <v>&lt;35</v>
      </c>
      <c r="V360" s="78" t="str">
        <f t="shared" si="41"/>
        <v>21-30 Гб</v>
      </c>
    </row>
    <row r="361" spans="1:22" x14ac:dyDescent="0.25">
      <c r="A361" t="s">
        <v>557</v>
      </c>
      <c r="B361" s="43">
        <v>37026</v>
      </c>
      <c r="C361" t="s">
        <v>58</v>
      </c>
      <c r="D361" t="s">
        <v>51</v>
      </c>
      <c r="E361" t="s">
        <v>54</v>
      </c>
      <c r="F361" t="s">
        <v>57</v>
      </c>
      <c r="G361" s="43">
        <v>44086</v>
      </c>
      <c r="H361">
        <v>5</v>
      </c>
      <c r="I361">
        <v>5048</v>
      </c>
      <c r="J361">
        <v>84000000</v>
      </c>
      <c r="N361">
        <v>1</v>
      </c>
      <c r="P361" s="77">
        <f t="shared" si="35"/>
        <v>596</v>
      </c>
      <c r="Q361" s="78">
        <f t="shared" si="36"/>
        <v>16.826666666666668</v>
      </c>
      <c r="R361" s="78">
        <f t="shared" si="37"/>
        <v>16.021728515625</v>
      </c>
      <c r="S361" s="78">
        <f t="shared" si="38"/>
        <v>20</v>
      </c>
      <c r="T361" s="78">
        <f t="shared" si="39"/>
        <v>3.9262222222222225</v>
      </c>
      <c r="U361" s="78" t="str">
        <f t="shared" si="40"/>
        <v>&lt;35</v>
      </c>
      <c r="V361" s="78" t="str">
        <f t="shared" si="41"/>
        <v>10-20 Гб</v>
      </c>
    </row>
    <row r="362" spans="1:22" x14ac:dyDescent="0.25">
      <c r="A362" t="s">
        <v>1186</v>
      </c>
      <c r="B362" s="43">
        <v>37023</v>
      </c>
      <c r="C362" t="s">
        <v>50</v>
      </c>
      <c r="D362" t="s">
        <v>51</v>
      </c>
      <c r="E362" t="s">
        <v>54</v>
      </c>
      <c r="F362" t="s">
        <v>63</v>
      </c>
      <c r="G362" s="43">
        <v>44511</v>
      </c>
      <c r="H362">
        <v>5</v>
      </c>
      <c r="I362">
        <v>33716</v>
      </c>
      <c r="J362">
        <v>120000000</v>
      </c>
      <c r="P362" s="77">
        <f t="shared" si="35"/>
        <v>171</v>
      </c>
      <c r="Q362" s="78">
        <f t="shared" si="36"/>
        <v>112.38666666666667</v>
      </c>
      <c r="R362" s="78">
        <f t="shared" si="37"/>
        <v>22.88818359375</v>
      </c>
      <c r="S362" s="78">
        <f t="shared" si="38"/>
        <v>20</v>
      </c>
      <c r="T362" s="78">
        <f t="shared" si="39"/>
        <v>26.223555555555556</v>
      </c>
      <c r="U362" s="78" t="str">
        <f t="shared" si="40"/>
        <v>&lt;35</v>
      </c>
      <c r="V362" s="78" t="str">
        <f t="shared" si="41"/>
        <v>21-30 Гб</v>
      </c>
    </row>
    <row r="363" spans="1:22" x14ac:dyDescent="0.25">
      <c r="A363" t="s">
        <v>864</v>
      </c>
      <c r="B363" s="43">
        <v>37019</v>
      </c>
      <c r="C363" t="s">
        <v>50</v>
      </c>
      <c r="D363" t="s">
        <v>51</v>
      </c>
      <c r="E363" t="s">
        <v>54</v>
      </c>
      <c r="F363" t="s">
        <v>63</v>
      </c>
      <c r="G363" s="43">
        <v>44039</v>
      </c>
      <c r="H363">
        <v>5</v>
      </c>
      <c r="I363">
        <v>22740</v>
      </c>
      <c r="J363">
        <v>44000000</v>
      </c>
      <c r="K363">
        <v>1</v>
      </c>
      <c r="P363" s="77">
        <f t="shared" si="35"/>
        <v>643</v>
      </c>
      <c r="Q363" s="78">
        <f t="shared" si="36"/>
        <v>75.8</v>
      </c>
      <c r="R363" s="78">
        <f t="shared" si="37"/>
        <v>8.392333984375</v>
      </c>
      <c r="S363" s="78">
        <f t="shared" si="38"/>
        <v>20</v>
      </c>
      <c r="T363" s="78">
        <f t="shared" si="39"/>
        <v>17.686666666666667</v>
      </c>
      <c r="U363" s="78" t="str">
        <f t="shared" si="40"/>
        <v>&lt;35</v>
      </c>
      <c r="V363" s="78" t="str">
        <f t="shared" si="41"/>
        <v>&lt;10 Гб</v>
      </c>
    </row>
    <row r="364" spans="1:22" x14ac:dyDescent="0.25">
      <c r="A364" t="s">
        <v>1097</v>
      </c>
      <c r="B364" s="43">
        <v>37019</v>
      </c>
      <c r="C364" t="s">
        <v>58</v>
      </c>
      <c r="D364" t="s">
        <v>51</v>
      </c>
      <c r="E364" t="s">
        <v>54</v>
      </c>
      <c r="F364" t="s">
        <v>63</v>
      </c>
      <c r="G364" s="43">
        <v>43563</v>
      </c>
      <c r="H364">
        <v>5</v>
      </c>
      <c r="I364">
        <v>23132</v>
      </c>
      <c r="J364">
        <v>136000000</v>
      </c>
      <c r="P364" s="77">
        <f t="shared" si="35"/>
        <v>1119</v>
      </c>
      <c r="Q364" s="78">
        <f t="shared" si="36"/>
        <v>77.106666666666669</v>
      </c>
      <c r="R364" s="78">
        <f t="shared" si="37"/>
        <v>25.93994140625</v>
      </c>
      <c r="S364" s="78">
        <f t="shared" si="38"/>
        <v>20</v>
      </c>
      <c r="T364" s="78">
        <f t="shared" si="39"/>
        <v>17.991555555555557</v>
      </c>
      <c r="U364" s="78" t="str">
        <f t="shared" si="40"/>
        <v>&lt;35</v>
      </c>
      <c r="V364" s="78" t="str">
        <f t="shared" si="41"/>
        <v>21-30 Гб</v>
      </c>
    </row>
    <row r="365" spans="1:22" x14ac:dyDescent="0.25">
      <c r="A365" t="s">
        <v>690</v>
      </c>
      <c r="B365" s="43">
        <v>37015</v>
      </c>
      <c r="C365" t="s">
        <v>58</v>
      </c>
      <c r="D365" t="s">
        <v>51</v>
      </c>
      <c r="E365" t="s">
        <v>54</v>
      </c>
      <c r="F365" t="s">
        <v>57</v>
      </c>
      <c r="G365" s="43">
        <v>44412</v>
      </c>
      <c r="H365">
        <v>5</v>
      </c>
      <c r="I365">
        <v>84112</v>
      </c>
      <c r="J365">
        <v>8000000</v>
      </c>
      <c r="L365">
        <v>1</v>
      </c>
      <c r="P365" s="77">
        <f t="shared" si="35"/>
        <v>270</v>
      </c>
      <c r="Q365" s="78">
        <f t="shared" si="36"/>
        <v>280.37333333333333</v>
      </c>
      <c r="R365" s="78">
        <f t="shared" si="37"/>
        <v>1.52587890625</v>
      </c>
      <c r="S365" s="78">
        <f t="shared" si="38"/>
        <v>20</v>
      </c>
      <c r="T365" s="78">
        <f t="shared" si="39"/>
        <v>65.420444444444442</v>
      </c>
      <c r="U365" s="78" t="str">
        <f t="shared" si="40"/>
        <v>61-90</v>
      </c>
      <c r="V365" s="78" t="str">
        <f t="shared" si="41"/>
        <v>&lt;10 Гб</v>
      </c>
    </row>
    <row r="366" spans="1:22" x14ac:dyDescent="0.25">
      <c r="A366" t="s">
        <v>286</v>
      </c>
      <c r="B366" s="43">
        <v>37012</v>
      </c>
      <c r="C366" t="s">
        <v>50</v>
      </c>
      <c r="D366" t="s">
        <v>51</v>
      </c>
      <c r="E366" t="s">
        <v>54</v>
      </c>
      <c r="F366" t="s">
        <v>56</v>
      </c>
      <c r="G366" s="43">
        <v>43790</v>
      </c>
      <c r="H366">
        <v>5</v>
      </c>
      <c r="I366">
        <v>83072</v>
      </c>
      <c r="J366">
        <v>112000000</v>
      </c>
      <c r="P366" s="77">
        <f t="shared" si="35"/>
        <v>892</v>
      </c>
      <c r="Q366" s="78">
        <f t="shared" si="36"/>
        <v>276.90666666666669</v>
      </c>
      <c r="R366" s="78">
        <f t="shared" si="37"/>
        <v>21.3623046875</v>
      </c>
      <c r="S366" s="78">
        <f t="shared" si="38"/>
        <v>21</v>
      </c>
      <c r="T366" s="78">
        <f t="shared" si="39"/>
        <v>64.611555555555555</v>
      </c>
      <c r="U366" s="78" t="str">
        <f t="shared" si="40"/>
        <v>61-90</v>
      </c>
      <c r="V366" s="78" t="str">
        <f t="shared" si="41"/>
        <v>21-30 Гб</v>
      </c>
    </row>
    <row r="367" spans="1:22" x14ac:dyDescent="0.25">
      <c r="A367" t="s">
        <v>425</v>
      </c>
      <c r="B367" s="43">
        <v>37012</v>
      </c>
      <c r="C367" t="s">
        <v>50</v>
      </c>
      <c r="D367" t="s">
        <v>51</v>
      </c>
      <c r="E367" t="s">
        <v>54</v>
      </c>
      <c r="F367" t="s">
        <v>63</v>
      </c>
      <c r="G367" s="43">
        <v>43374</v>
      </c>
      <c r="H367">
        <v>5</v>
      </c>
      <c r="I367">
        <v>21564</v>
      </c>
      <c r="J367">
        <v>148000000</v>
      </c>
      <c r="P367" s="77">
        <f t="shared" si="35"/>
        <v>1308</v>
      </c>
      <c r="Q367" s="78">
        <f t="shared" si="36"/>
        <v>71.88</v>
      </c>
      <c r="R367" s="78">
        <f t="shared" si="37"/>
        <v>28.228759765625</v>
      </c>
      <c r="S367" s="78">
        <f t="shared" si="38"/>
        <v>21</v>
      </c>
      <c r="T367" s="78">
        <f t="shared" si="39"/>
        <v>16.771999999999998</v>
      </c>
      <c r="U367" s="78" t="str">
        <f t="shared" si="40"/>
        <v>&lt;35</v>
      </c>
      <c r="V367" s="78" t="str">
        <f t="shared" si="41"/>
        <v>21-30 Гб</v>
      </c>
    </row>
    <row r="368" spans="1:22" x14ac:dyDescent="0.25">
      <c r="A368" t="s">
        <v>64</v>
      </c>
      <c r="B368" s="43">
        <v>37010</v>
      </c>
      <c r="C368" t="s">
        <v>58</v>
      </c>
      <c r="D368" t="s">
        <v>51</v>
      </c>
      <c r="E368" t="s">
        <v>52</v>
      </c>
      <c r="F368" t="s">
        <v>63</v>
      </c>
      <c r="G368" s="43">
        <v>44676</v>
      </c>
      <c r="H368">
        <v>0</v>
      </c>
      <c r="I368">
        <v>1243</v>
      </c>
      <c r="J368">
        <v>7600000</v>
      </c>
      <c r="P368" s="77">
        <f t="shared" si="35"/>
        <v>6</v>
      </c>
      <c r="Q368" s="78">
        <f t="shared" si="36"/>
        <v>103.58333333333333</v>
      </c>
      <c r="R368" s="78">
        <f t="shared" si="37"/>
        <v>36.2396240234375</v>
      </c>
      <c r="S368" s="78">
        <f t="shared" si="38"/>
        <v>21</v>
      </c>
      <c r="T368" s="78">
        <f t="shared" si="39"/>
        <v>24.169444444444441</v>
      </c>
      <c r="U368" s="78" t="str">
        <f t="shared" si="40"/>
        <v>&lt;35</v>
      </c>
      <c r="V368" s="78" t="str">
        <f t="shared" si="41"/>
        <v>31-40 Гб</v>
      </c>
    </row>
    <row r="369" spans="1:22" x14ac:dyDescent="0.25">
      <c r="A369" t="s">
        <v>100</v>
      </c>
      <c r="B369" s="43">
        <v>37009</v>
      </c>
      <c r="C369" t="s">
        <v>58</v>
      </c>
      <c r="D369" t="s">
        <v>51</v>
      </c>
      <c r="E369" t="s">
        <v>52</v>
      </c>
      <c r="F369" t="s">
        <v>56</v>
      </c>
      <c r="G369" s="43">
        <v>44597</v>
      </c>
      <c r="H369">
        <v>2</v>
      </c>
      <c r="I369">
        <v>9813</v>
      </c>
      <c r="J369">
        <v>79333333</v>
      </c>
      <c r="O369">
        <v>1</v>
      </c>
      <c r="P369" s="77">
        <f t="shared" si="35"/>
        <v>85</v>
      </c>
      <c r="Q369" s="78">
        <f t="shared" si="36"/>
        <v>57.723529411764709</v>
      </c>
      <c r="R369" s="78">
        <f t="shared" si="37"/>
        <v>26.702880747178021</v>
      </c>
      <c r="S369" s="78">
        <f t="shared" si="38"/>
        <v>21</v>
      </c>
      <c r="T369" s="78">
        <f t="shared" si="39"/>
        <v>13.468823529411765</v>
      </c>
      <c r="U369" s="78" t="str">
        <f t="shared" si="40"/>
        <v>&lt;35</v>
      </c>
      <c r="V369" s="78" t="str">
        <f t="shared" si="41"/>
        <v>21-30 Гб</v>
      </c>
    </row>
    <row r="370" spans="1:22" x14ac:dyDescent="0.25">
      <c r="A370" t="s">
        <v>933</v>
      </c>
      <c r="B370" s="43">
        <v>37003</v>
      </c>
      <c r="C370" t="s">
        <v>50</v>
      </c>
      <c r="D370" t="s">
        <v>51</v>
      </c>
      <c r="E370" t="s">
        <v>52</v>
      </c>
      <c r="F370" t="s">
        <v>63</v>
      </c>
      <c r="G370" s="43">
        <v>43301</v>
      </c>
      <c r="H370">
        <v>5</v>
      </c>
      <c r="I370">
        <v>24184</v>
      </c>
      <c r="J370">
        <v>156000000</v>
      </c>
      <c r="P370" s="77">
        <f t="shared" si="35"/>
        <v>1381</v>
      </c>
      <c r="Q370" s="78">
        <f t="shared" si="36"/>
        <v>80.61333333333333</v>
      </c>
      <c r="R370" s="78">
        <f t="shared" si="37"/>
        <v>29.754638671875</v>
      </c>
      <c r="S370" s="78">
        <f t="shared" si="38"/>
        <v>21</v>
      </c>
      <c r="T370" s="78">
        <f t="shared" si="39"/>
        <v>18.809777777777775</v>
      </c>
      <c r="U370" s="78" t="str">
        <f t="shared" si="40"/>
        <v>&lt;35</v>
      </c>
      <c r="V370" s="78" t="str">
        <f t="shared" si="41"/>
        <v>21-30 Гб</v>
      </c>
    </row>
    <row r="371" spans="1:22" x14ac:dyDescent="0.25">
      <c r="A371" t="s">
        <v>1109</v>
      </c>
      <c r="B371" s="43">
        <v>36999</v>
      </c>
      <c r="C371" t="s">
        <v>50</v>
      </c>
      <c r="D371" t="s">
        <v>51</v>
      </c>
      <c r="E371" t="s">
        <v>54</v>
      </c>
      <c r="F371" t="s">
        <v>69</v>
      </c>
      <c r="G371" s="43">
        <v>42804</v>
      </c>
      <c r="H371">
        <v>5</v>
      </c>
      <c r="I371">
        <v>24408</v>
      </c>
      <c r="J371">
        <v>8000000</v>
      </c>
      <c r="N371">
        <v>1</v>
      </c>
      <c r="P371" s="77">
        <f t="shared" si="35"/>
        <v>1878</v>
      </c>
      <c r="Q371" s="78">
        <f t="shared" si="36"/>
        <v>81.36</v>
      </c>
      <c r="R371" s="78">
        <f t="shared" si="37"/>
        <v>1.52587890625</v>
      </c>
      <c r="S371" s="78">
        <f t="shared" si="38"/>
        <v>21</v>
      </c>
      <c r="T371" s="78">
        <f t="shared" si="39"/>
        <v>18.983999999999998</v>
      </c>
      <c r="U371" s="78" t="str">
        <f t="shared" si="40"/>
        <v>&lt;35</v>
      </c>
      <c r="V371" s="78" t="str">
        <f t="shared" si="41"/>
        <v>&lt;10 Гб</v>
      </c>
    </row>
    <row r="372" spans="1:22" x14ac:dyDescent="0.25">
      <c r="A372" t="s">
        <v>105</v>
      </c>
      <c r="B372" s="43">
        <v>36994</v>
      </c>
      <c r="C372" t="s">
        <v>58</v>
      </c>
      <c r="D372" t="s">
        <v>51</v>
      </c>
      <c r="E372" t="s">
        <v>52</v>
      </c>
      <c r="F372" t="s">
        <v>63</v>
      </c>
      <c r="G372" s="43">
        <v>44600</v>
      </c>
      <c r="H372">
        <v>2</v>
      </c>
      <c r="I372">
        <v>24600</v>
      </c>
      <c r="J372">
        <v>103866667</v>
      </c>
      <c r="K372">
        <v>1</v>
      </c>
      <c r="P372" s="77">
        <f t="shared" si="35"/>
        <v>82</v>
      </c>
      <c r="Q372" s="78">
        <f t="shared" si="36"/>
        <v>150</v>
      </c>
      <c r="R372" s="78">
        <f t="shared" si="37"/>
        <v>36.239624139739242</v>
      </c>
      <c r="S372" s="78">
        <f t="shared" si="38"/>
        <v>21</v>
      </c>
      <c r="T372" s="78">
        <f t="shared" si="39"/>
        <v>35</v>
      </c>
      <c r="U372" s="78" t="str">
        <f t="shared" si="40"/>
        <v>&lt;35</v>
      </c>
      <c r="V372" s="78" t="str">
        <f t="shared" si="41"/>
        <v>31-40 Гб</v>
      </c>
    </row>
    <row r="373" spans="1:22" x14ac:dyDescent="0.25">
      <c r="A373" t="s">
        <v>600</v>
      </c>
      <c r="B373" s="43">
        <v>36994</v>
      </c>
      <c r="C373" t="s">
        <v>50</v>
      </c>
      <c r="D373" t="s">
        <v>51</v>
      </c>
      <c r="E373" t="s">
        <v>52</v>
      </c>
      <c r="F373" t="s">
        <v>57</v>
      </c>
      <c r="G373" s="43">
        <v>42884</v>
      </c>
      <c r="H373">
        <v>5</v>
      </c>
      <c r="I373">
        <v>80484</v>
      </c>
      <c r="J373">
        <v>88000000</v>
      </c>
      <c r="P373" s="77">
        <f t="shared" si="35"/>
        <v>1798</v>
      </c>
      <c r="Q373" s="78">
        <f t="shared" si="36"/>
        <v>268.27999999999997</v>
      </c>
      <c r="R373" s="78">
        <f t="shared" si="37"/>
        <v>16.78466796875</v>
      </c>
      <c r="S373" s="78">
        <f t="shared" si="38"/>
        <v>21</v>
      </c>
      <c r="T373" s="78">
        <f t="shared" si="39"/>
        <v>62.598666666666659</v>
      </c>
      <c r="U373" s="78" t="str">
        <f t="shared" si="40"/>
        <v>61-90</v>
      </c>
      <c r="V373" s="78" t="str">
        <f t="shared" si="41"/>
        <v>10-20 Гб</v>
      </c>
    </row>
    <row r="374" spans="1:22" x14ac:dyDescent="0.25">
      <c r="A374" t="s">
        <v>819</v>
      </c>
      <c r="B374" s="43">
        <v>36994</v>
      </c>
      <c r="C374" t="s">
        <v>58</v>
      </c>
      <c r="D374" t="s">
        <v>51</v>
      </c>
      <c r="E374" t="s">
        <v>52</v>
      </c>
      <c r="F374" t="s">
        <v>57</v>
      </c>
      <c r="G374" s="43">
        <v>43868</v>
      </c>
      <c r="H374">
        <v>5</v>
      </c>
      <c r="I374">
        <v>84040</v>
      </c>
      <c r="J374">
        <v>56000000</v>
      </c>
      <c r="P374" s="77">
        <f t="shared" si="35"/>
        <v>814</v>
      </c>
      <c r="Q374" s="78">
        <f t="shared" si="36"/>
        <v>280.13333333333333</v>
      </c>
      <c r="R374" s="78">
        <f t="shared" si="37"/>
        <v>10.68115234375</v>
      </c>
      <c r="S374" s="78">
        <f t="shared" si="38"/>
        <v>21</v>
      </c>
      <c r="T374" s="78">
        <f t="shared" si="39"/>
        <v>65.364444444444445</v>
      </c>
      <c r="U374" s="78" t="str">
        <f t="shared" si="40"/>
        <v>61-90</v>
      </c>
      <c r="V374" s="78" t="str">
        <f t="shared" si="41"/>
        <v>10-20 Гб</v>
      </c>
    </row>
    <row r="375" spans="1:22" x14ac:dyDescent="0.25">
      <c r="A375" t="s">
        <v>107</v>
      </c>
      <c r="B375" s="43">
        <v>36992</v>
      </c>
      <c r="C375" t="s">
        <v>50</v>
      </c>
      <c r="D375" t="s">
        <v>51</v>
      </c>
      <c r="E375" t="s">
        <v>54</v>
      </c>
      <c r="F375" t="s">
        <v>57</v>
      </c>
      <c r="G375" s="43">
        <v>44614</v>
      </c>
      <c r="H375">
        <v>2</v>
      </c>
      <c r="I375">
        <v>54400</v>
      </c>
      <c r="J375">
        <v>4533333</v>
      </c>
      <c r="P375" s="77">
        <f t="shared" si="35"/>
        <v>68</v>
      </c>
      <c r="Q375" s="78">
        <f t="shared" si="36"/>
        <v>400</v>
      </c>
      <c r="R375" s="78">
        <f t="shared" si="37"/>
        <v>1.9073484925662771</v>
      </c>
      <c r="S375" s="78">
        <f t="shared" si="38"/>
        <v>21</v>
      </c>
      <c r="T375" s="78">
        <f t="shared" si="39"/>
        <v>93.333333333333329</v>
      </c>
      <c r="U375" s="78" t="str">
        <f t="shared" si="40"/>
        <v>91-120</v>
      </c>
      <c r="V375" s="78" t="str">
        <f t="shared" si="41"/>
        <v>&lt;10 Гб</v>
      </c>
    </row>
    <row r="376" spans="1:22" x14ac:dyDescent="0.25">
      <c r="A376" t="s">
        <v>850</v>
      </c>
      <c r="B376" s="43">
        <v>36988</v>
      </c>
      <c r="C376" t="s">
        <v>50</v>
      </c>
      <c r="D376" t="s">
        <v>51</v>
      </c>
      <c r="E376" t="s">
        <v>54</v>
      </c>
      <c r="F376" t="s">
        <v>63</v>
      </c>
      <c r="G376" s="43">
        <v>44167</v>
      </c>
      <c r="H376">
        <v>5</v>
      </c>
      <c r="I376">
        <v>33520</v>
      </c>
      <c r="J376">
        <v>52000000</v>
      </c>
      <c r="P376" s="77">
        <f t="shared" si="35"/>
        <v>515</v>
      </c>
      <c r="Q376" s="78">
        <f t="shared" si="36"/>
        <v>111.73333333333333</v>
      </c>
      <c r="R376" s="78">
        <f t="shared" si="37"/>
        <v>9.918212890625</v>
      </c>
      <c r="S376" s="78">
        <f t="shared" si="38"/>
        <v>21</v>
      </c>
      <c r="T376" s="78">
        <f t="shared" si="39"/>
        <v>26.071111111111112</v>
      </c>
      <c r="U376" s="78" t="str">
        <f t="shared" si="40"/>
        <v>&lt;35</v>
      </c>
      <c r="V376" s="78" t="str">
        <f t="shared" si="41"/>
        <v>&lt;10 Гб</v>
      </c>
    </row>
    <row r="377" spans="1:22" x14ac:dyDescent="0.25">
      <c r="A377" t="s">
        <v>1197</v>
      </c>
      <c r="B377" s="43">
        <v>36986</v>
      </c>
      <c r="C377" t="s">
        <v>50</v>
      </c>
      <c r="D377" t="s">
        <v>51</v>
      </c>
      <c r="E377" t="s">
        <v>54</v>
      </c>
      <c r="F377" t="s">
        <v>63</v>
      </c>
      <c r="G377" s="43">
        <v>43240</v>
      </c>
      <c r="H377">
        <v>5</v>
      </c>
      <c r="I377">
        <v>12896</v>
      </c>
      <c r="J377">
        <v>108000000</v>
      </c>
      <c r="P377" s="77">
        <f t="shared" si="35"/>
        <v>1442</v>
      </c>
      <c r="Q377" s="78">
        <f t="shared" si="36"/>
        <v>42.986666666666665</v>
      </c>
      <c r="R377" s="78">
        <f t="shared" si="37"/>
        <v>20.599365234375</v>
      </c>
      <c r="S377" s="78">
        <f t="shared" si="38"/>
        <v>21</v>
      </c>
      <c r="T377" s="78">
        <f t="shared" si="39"/>
        <v>10.030222222222221</v>
      </c>
      <c r="U377" s="78" t="str">
        <f t="shared" si="40"/>
        <v>&lt;35</v>
      </c>
      <c r="V377" s="78" t="str">
        <f t="shared" si="41"/>
        <v>21-30 Гб</v>
      </c>
    </row>
    <row r="378" spans="1:22" x14ac:dyDescent="0.25">
      <c r="A378" t="s">
        <v>847</v>
      </c>
      <c r="B378" s="43">
        <v>36983</v>
      </c>
      <c r="C378" t="s">
        <v>58</v>
      </c>
      <c r="D378" t="s">
        <v>51</v>
      </c>
      <c r="E378" t="s">
        <v>52</v>
      </c>
      <c r="F378" t="s">
        <v>63</v>
      </c>
      <c r="G378" s="43">
        <v>44037</v>
      </c>
      <c r="H378">
        <v>5</v>
      </c>
      <c r="I378">
        <v>160</v>
      </c>
      <c r="J378">
        <v>124000000</v>
      </c>
      <c r="P378" s="77">
        <f t="shared" si="35"/>
        <v>645</v>
      </c>
      <c r="Q378" s="78">
        <f t="shared" si="36"/>
        <v>0.53333333333333333</v>
      </c>
      <c r="R378" s="78">
        <f t="shared" si="37"/>
        <v>23.651123046875</v>
      </c>
      <c r="S378" s="78">
        <f t="shared" si="38"/>
        <v>21</v>
      </c>
      <c r="T378" s="78">
        <f t="shared" si="39"/>
        <v>0.12444444444444444</v>
      </c>
      <c r="U378" s="78" t="str">
        <f t="shared" si="40"/>
        <v>&lt;35</v>
      </c>
      <c r="V378" s="78" t="str">
        <f t="shared" si="41"/>
        <v>21-30 Гб</v>
      </c>
    </row>
    <row r="379" spans="1:22" x14ac:dyDescent="0.25">
      <c r="A379" t="s">
        <v>338</v>
      </c>
      <c r="B379" s="43">
        <v>36982</v>
      </c>
      <c r="C379" t="s">
        <v>58</v>
      </c>
      <c r="D379" t="s">
        <v>51</v>
      </c>
      <c r="E379" t="s">
        <v>54</v>
      </c>
      <c r="F379" t="s">
        <v>56</v>
      </c>
      <c r="G379" s="43">
        <v>43698</v>
      </c>
      <c r="H379">
        <v>5</v>
      </c>
      <c r="I379">
        <v>95528</v>
      </c>
      <c r="J379">
        <v>124000000</v>
      </c>
      <c r="P379" s="77">
        <f t="shared" si="35"/>
        <v>984</v>
      </c>
      <c r="Q379" s="78">
        <f t="shared" si="36"/>
        <v>318.42666666666668</v>
      </c>
      <c r="R379" s="78">
        <f t="shared" si="37"/>
        <v>23.651123046875</v>
      </c>
      <c r="S379" s="78">
        <f t="shared" si="38"/>
        <v>21</v>
      </c>
      <c r="T379" s="78">
        <f t="shared" si="39"/>
        <v>74.299555555555557</v>
      </c>
      <c r="U379" s="78" t="str">
        <f t="shared" si="40"/>
        <v>61-90</v>
      </c>
      <c r="V379" s="78" t="str">
        <f t="shared" si="41"/>
        <v>21-30 Гб</v>
      </c>
    </row>
    <row r="380" spans="1:22" x14ac:dyDescent="0.25">
      <c r="A380" t="s">
        <v>642</v>
      </c>
      <c r="B380" s="43">
        <v>36981</v>
      </c>
      <c r="C380" t="s">
        <v>58</v>
      </c>
      <c r="D380" t="s">
        <v>51</v>
      </c>
      <c r="E380" t="s">
        <v>54</v>
      </c>
      <c r="F380" t="s">
        <v>57</v>
      </c>
      <c r="G380" s="43">
        <v>42747</v>
      </c>
      <c r="H380">
        <v>5</v>
      </c>
      <c r="I380">
        <v>47460</v>
      </c>
      <c r="J380">
        <v>72000000</v>
      </c>
      <c r="P380" s="77">
        <f t="shared" si="35"/>
        <v>1935</v>
      </c>
      <c r="Q380" s="78">
        <f t="shared" si="36"/>
        <v>158.19999999999999</v>
      </c>
      <c r="R380" s="78">
        <f t="shared" si="37"/>
        <v>13.73291015625</v>
      </c>
      <c r="S380" s="78">
        <f t="shared" si="38"/>
        <v>21</v>
      </c>
      <c r="T380" s="78">
        <f t="shared" si="39"/>
        <v>36.913333333333327</v>
      </c>
      <c r="U380" s="78" t="str">
        <f t="shared" si="40"/>
        <v>35-60</v>
      </c>
      <c r="V380" s="78" t="str">
        <f t="shared" si="41"/>
        <v>10-20 Гб</v>
      </c>
    </row>
    <row r="381" spans="1:22" x14ac:dyDescent="0.25">
      <c r="A381" t="s">
        <v>1187</v>
      </c>
      <c r="B381" s="43">
        <v>36981</v>
      </c>
      <c r="C381" t="s">
        <v>58</v>
      </c>
      <c r="D381" t="s">
        <v>51</v>
      </c>
      <c r="E381" t="s">
        <v>52</v>
      </c>
      <c r="F381" t="s">
        <v>63</v>
      </c>
      <c r="G381" s="43">
        <v>43348</v>
      </c>
      <c r="H381">
        <v>5</v>
      </c>
      <c r="I381">
        <v>3388</v>
      </c>
      <c r="J381">
        <v>160000000</v>
      </c>
      <c r="P381" s="77">
        <f t="shared" si="35"/>
        <v>1334</v>
      </c>
      <c r="Q381" s="78">
        <f t="shared" si="36"/>
        <v>11.293333333333333</v>
      </c>
      <c r="R381" s="78">
        <f t="shared" si="37"/>
        <v>30.517578125</v>
      </c>
      <c r="S381" s="78">
        <f t="shared" si="38"/>
        <v>21</v>
      </c>
      <c r="T381" s="78">
        <f t="shared" si="39"/>
        <v>2.6351111111111107</v>
      </c>
      <c r="U381" s="78" t="str">
        <f t="shared" si="40"/>
        <v>&lt;35</v>
      </c>
      <c r="V381" s="78" t="str">
        <f t="shared" si="41"/>
        <v>31-40 Гб</v>
      </c>
    </row>
    <row r="382" spans="1:22" x14ac:dyDescent="0.25">
      <c r="A382" t="s">
        <v>192</v>
      </c>
      <c r="B382" s="43">
        <v>36980</v>
      </c>
      <c r="C382" t="s">
        <v>50</v>
      </c>
      <c r="D382" t="s">
        <v>51</v>
      </c>
      <c r="E382" t="s">
        <v>54</v>
      </c>
      <c r="F382" t="s">
        <v>53</v>
      </c>
      <c r="G382" s="43">
        <v>44194</v>
      </c>
      <c r="H382">
        <v>5</v>
      </c>
      <c r="I382">
        <v>147000</v>
      </c>
      <c r="J382">
        <v>44000000</v>
      </c>
      <c r="P382" s="77">
        <f t="shared" si="35"/>
        <v>488</v>
      </c>
      <c r="Q382" s="78">
        <f t="shared" si="36"/>
        <v>490</v>
      </c>
      <c r="R382" s="78">
        <f t="shared" si="37"/>
        <v>8.392333984375</v>
      </c>
      <c r="S382" s="78">
        <f t="shared" si="38"/>
        <v>21</v>
      </c>
      <c r="T382" s="78">
        <f t="shared" si="39"/>
        <v>114.33333333333333</v>
      </c>
      <c r="U382" s="78" t="str">
        <f t="shared" si="40"/>
        <v>91-120</v>
      </c>
      <c r="V382" s="78" t="str">
        <f t="shared" si="41"/>
        <v>&lt;10 Гб</v>
      </c>
    </row>
    <row r="383" spans="1:22" x14ac:dyDescent="0.25">
      <c r="A383" t="s">
        <v>143</v>
      </c>
      <c r="B383" s="43">
        <v>36978</v>
      </c>
      <c r="C383" t="s">
        <v>50</v>
      </c>
      <c r="D383" t="s">
        <v>51</v>
      </c>
      <c r="E383" t="s">
        <v>52</v>
      </c>
      <c r="F383" t="s">
        <v>63</v>
      </c>
      <c r="G383" s="43">
        <v>44560</v>
      </c>
      <c r="H383">
        <v>4</v>
      </c>
      <c r="I383">
        <v>35400</v>
      </c>
      <c r="J383">
        <v>160000000</v>
      </c>
      <c r="K383">
        <v>1</v>
      </c>
      <c r="P383" s="77">
        <f t="shared" si="35"/>
        <v>122</v>
      </c>
      <c r="Q383" s="78">
        <f t="shared" si="36"/>
        <v>118</v>
      </c>
      <c r="R383" s="78">
        <f t="shared" si="37"/>
        <v>30.517578125</v>
      </c>
      <c r="S383" s="78">
        <f t="shared" si="38"/>
        <v>21</v>
      </c>
      <c r="T383" s="78">
        <f t="shared" si="39"/>
        <v>27.533333333333335</v>
      </c>
      <c r="U383" s="78" t="str">
        <f t="shared" si="40"/>
        <v>&lt;35</v>
      </c>
      <c r="V383" s="78" t="str">
        <f t="shared" si="41"/>
        <v>31-40 Гб</v>
      </c>
    </row>
    <row r="384" spans="1:22" x14ac:dyDescent="0.25">
      <c r="A384" t="s">
        <v>374</v>
      </c>
      <c r="B384" s="43">
        <v>36974</v>
      </c>
      <c r="C384" t="s">
        <v>50</v>
      </c>
      <c r="D384" t="s">
        <v>51</v>
      </c>
      <c r="E384" t="s">
        <v>54</v>
      </c>
      <c r="F384" t="s">
        <v>56</v>
      </c>
      <c r="G384" s="43">
        <v>44035</v>
      </c>
      <c r="H384">
        <v>5</v>
      </c>
      <c r="I384">
        <v>35428</v>
      </c>
      <c r="J384">
        <v>116000000</v>
      </c>
      <c r="P384" s="77">
        <f t="shared" ref="P384:P447" si="42">DATEDIF(G384,$C$2,"D")</f>
        <v>647</v>
      </c>
      <c r="Q384" s="78">
        <f t="shared" ref="Q384:Q447" si="43">IF(P384&lt;DATEDIF($C$3,$C$2,"D"),I384/(60*(P384/30)),I384/(60*5))</f>
        <v>118.09333333333333</v>
      </c>
      <c r="R384" s="78">
        <f t="shared" ref="R384:R447" si="44">IF(P384&lt;DATEDIF($C$3,$C$2,"D"),J384/(1048576*(P384/30)),J384/(1048576*5))</f>
        <v>22.125244140625</v>
      </c>
      <c r="S384" s="78">
        <f t="shared" ref="S384:S447" si="45">DATEDIF(B384,$C$2,"Y")</f>
        <v>21</v>
      </c>
      <c r="T384" s="78">
        <f t="shared" si="39"/>
        <v>27.55511111111111</v>
      </c>
      <c r="U384" s="78" t="str">
        <f t="shared" si="40"/>
        <v>&lt;35</v>
      </c>
      <c r="V384" s="78" t="str">
        <f t="shared" si="41"/>
        <v>21-30 Гб</v>
      </c>
    </row>
    <row r="385" spans="1:22" x14ac:dyDescent="0.25">
      <c r="A385" t="s">
        <v>820</v>
      </c>
      <c r="B385" s="43">
        <v>36972</v>
      </c>
      <c r="C385" t="s">
        <v>58</v>
      </c>
      <c r="D385" t="s">
        <v>51</v>
      </c>
      <c r="E385" t="s">
        <v>54</v>
      </c>
      <c r="F385" t="s">
        <v>63</v>
      </c>
      <c r="G385" s="43">
        <v>43180</v>
      </c>
      <c r="H385">
        <v>5</v>
      </c>
      <c r="I385">
        <v>22308</v>
      </c>
      <c r="J385">
        <v>152000000</v>
      </c>
      <c r="P385" s="77">
        <f t="shared" si="42"/>
        <v>1502</v>
      </c>
      <c r="Q385" s="78">
        <f t="shared" si="43"/>
        <v>74.36</v>
      </c>
      <c r="R385" s="78">
        <f t="shared" si="44"/>
        <v>28.99169921875</v>
      </c>
      <c r="S385" s="78">
        <f t="shared" si="45"/>
        <v>21</v>
      </c>
      <c r="T385" s="78">
        <f t="shared" si="39"/>
        <v>17.350666666666665</v>
      </c>
      <c r="U385" s="78" t="str">
        <f t="shared" si="40"/>
        <v>&lt;35</v>
      </c>
      <c r="V385" s="78" t="str">
        <f t="shared" si="41"/>
        <v>21-30 Гб</v>
      </c>
    </row>
    <row r="386" spans="1:22" x14ac:dyDescent="0.25">
      <c r="A386" t="s">
        <v>594</v>
      </c>
      <c r="B386" s="43">
        <v>36970</v>
      </c>
      <c r="C386" t="s">
        <v>50</v>
      </c>
      <c r="D386" t="s">
        <v>51</v>
      </c>
      <c r="E386" t="s">
        <v>52</v>
      </c>
      <c r="F386" t="s">
        <v>57</v>
      </c>
      <c r="G386" s="43">
        <v>43644</v>
      </c>
      <c r="H386">
        <v>5</v>
      </c>
      <c r="I386">
        <v>15044</v>
      </c>
      <c r="J386">
        <v>96000000</v>
      </c>
      <c r="K386">
        <v>1</v>
      </c>
      <c r="O386">
        <v>1</v>
      </c>
      <c r="P386" s="77">
        <f t="shared" si="42"/>
        <v>1038</v>
      </c>
      <c r="Q386" s="78">
        <f t="shared" si="43"/>
        <v>50.146666666666668</v>
      </c>
      <c r="R386" s="78">
        <f t="shared" si="44"/>
        <v>18.310546875</v>
      </c>
      <c r="S386" s="78">
        <f t="shared" si="45"/>
        <v>21</v>
      </c>
      <c r="T386" s="78">
        <f t="shared" si="39"/>
        <v>11.70088888888889</v>
      </c>
      <c r="U386" s="78" t="str">
        <f t="shared" si="40"/>
        <v>&lt;35</v>
      </c>
      <c r="V386" s="78" t="str">
        <f t="shared" si="41"/>
        <v>10-20 Гб</v>
      </c>
    </row>
    <row r="387" spans="1:22" x14ac:dyDescent="0.25">
      <c r="A387" t="s">
        <v>532</v>
      </c>
      <c r="B387" s="43">
        <v>36965</v>
      </c>
      <c r="C387" t="s">
        <v>50</v>
      </c>
      <c r="D387" t="s">
        <v>51</v>
      </c>
      <c r="E387" t="s">
        <v>52</v>
      </c>
      <c r="F387" t="s">
        <v>63</v>
      </c>
      <c r="G387" s="43">
        <v>44445</v>
      </c>
      <c r="H387">
        <v>5</v>
      </c>
      <c r="I387">
        <v>24640</v>
      </c>
      <c r="J387">
        <v>68000000</v>
      </c>
      <c r="P387" s="77">
        <f t="shared" si="42"/>
        <v>237</v>
      </c>
      <c r="Q387" s="78">
        <f t="shared" si="43"/>
        <v>82.13333333333334</v>
      </c>
      <c r="R387" s="78">
        <f t="shared" si="44"/>
        <v>12.969970703125</v>
      </c>
      <c r="S387" s="78">
        <f t="shared" si="45"/>
        <v>21</v>
      </c>
      <c r="T387" s="78">
        <f t="shared" si="39"/>
        <v>19.164444444444445</v>
      </c>
      <c r="U387" s="78" t="str">
        <f t="shared" si="40"/>
        <v>&lt;35</v>
      </c>
      <c r="V387" s="78" t="str">
        <f t="shared" si="41"/>
        <v>10-20 Гб</v>
      </c>
    </row>
    <row r="388" spans="1:22" x14ac:dyDescent="0.25">
      <c r="A388" t="s">
        <v>221</v>
      </c>
      <c r="B388" s="43">
        <v>36964</v>
      </c>
      <c r="C388" t="s">
        <v>50</v>
      </c>
      <c r="D388" t="s">
        <v>51</v>
      </c>
      <c r="E388" t="s">
        <v>52</v>
      </c>
      <c r="F388" t="s">
        <v>56</v>
      </c>
      <c r="G388" s="43">
        <v>43979</v>
      </c>
      <c r="H388">
        <v>5</v>
      </c>
      <c r="I388">
        <v>88568</v>
      </c>
      <c r="J388">
        <v>44000000</v>
      </c>
      <c r="P388" s="77">
        <f t="shared" si="42"/>
        <v>703</v>
      </c>
      <c r="Q388" s="78">
        <f t="shared" si="43"/>
        <v>295.22666666666669</v>
      </c>
      <c r="R388" s="78">
        <f t="shared" si="44"/>
        <v>8.392333984375</v>
      </c>
      <c r="S388" s="78">
        <f t="shared" si="45"/>
        <v>21</v>
      </c>
      <c r="T388" s="78">
        <f t="shared" si="39"/>
        <v>68.88622222222223</v>
      </c>
      <c r="U388" s="78" t="str">
        <f t="shared" si="40"/>
        <v>61-90</v>
      </c>
      <c r="V388" s="78" t="str">
        <f t="shared" si="41"/>
        <v>&lt;10 Гб</v>
      </c>
    </row>
    <row r="389" spans="1:22" x14ac:dyDescent="0.25">
      <c r="A389" t="s">
        <v>327</v>
      </c>
      <c r="B389" s="43">
        <v>36963</v>
      </c>
      <c r="C389" t="s">
        <v>50</v>
      </c>
      <c r="D389" t="s">
        <v>51</v>
      </c>
      <c r="E389" t="s">
        <v>54</v>
      </c>
      <c r="F389" t="s">
        <v>56</v>
      </c>
      <c r="G389" s="43">
        <v>42768</v>
      </c>
      <c r="H389">
        <v>5</v>
      </c>
      <c r="I389">
        <v>53560</v>
      </c>
      <c r="J389">
        <v>100000000</v>
      </c>
      <c r="P389" s="77">
        <f t="shared" si="42"/>
        <v>1914</v>
      </c>
      <c r="Q389" s="78">
        <f t="shared" si="43"/>
        <v>178.53333333333333</v>
      </c>
      <c r="R389" s="78">
        <f t="shared" si="44"/>
        <v>19.073486328125</v>
      </c>
      <c r="S389" s="78">
        <f t="shared" si="45"/>
        <v>21</v>
      </c>
      <c r="T389" s="78">
        <f t="shared" si="39"/>
        <v>41.657777777777781</v>
      </c>
      <c r="U389" s="78" t="str">
        <f t="shared" si="40"/>
        <v>35-60</v>
      </c>
      <c r="V389" s="78" t="str">
        <f t="shared" si="41"/>
        <v>10-20 Гб</v>
      </c>
    </row>
    <row r="390" spans="1:22" x14ac:dyDescent="0.25">
      <c r="A390" t="s">
        <v>921</v>
      </c>
      <c r="B390" s="43">
        <v>36962</v>
      </c>
      <c r="C390" t="s">
        <v>58</v>
      </c>
      <c r="D390" t="s">
        <v>51</v>
      </c>
      <c r="E390" t="s">
        <v>54</v>
      </c>
      <c r="F390" t="s">
        <v>63</v>
      </c>
      <c r="G390" s="43">
        <v>44008</v>
      </c>
      <c r="H390">
        <v>5</v>
      </c>
      <c r="I390">
        <v>9232</v>
      </c>
      <c r="J390">
        <v>148000000</v>
      </c>
      <c r="P390" s="77">
        <f t="shared" si="42"/>
        <v>674</v>
      </c>
      <c r="Q390" s="78">
        <f t="shared" si="43"/>
        <v>30.773333333333333</v>
      </c>
      <c r="R390" s="78">
        <f t="shared" si="44"/>
        <v>28.228759765625</v>
      </c>
      <c r="S390" s="78">
        <f t="shared" si="45"/>
        <v>21</v>
      </c>
      <c r="T390" s="78">
        <f t="shared" si="39"/>
        <v>7.1804444444444444</v>
      </c>
      <c r="U390" s="78" t="str">
        <f t="shared" si="40"/>
        <v>&lt;35</v>
      </c>
      <c r="V390" s="78" t="str">
        <f t="shared" si="41"/>
        <v>21-30 Гб</v>
      </c>
    </row>
    <row r="391" spans="1:22" x14ac:dyDescent="0.25">
      <c r="A391" t="s">
        <v>530</v>
      </c>
      <c r="B391" s="43">
        <v>36959</v>
      </c>
      <c r="C391" t="s">
        <v>50</v>
      </c>
      <c r="D391" t="s">
        <v>51</v>
      </c>
      <c r="E391" t="s">
        <v>52</v>
      </c>
      <c r="F391" t="s">
        <v>63</v>
      </c>
      <c r="G391" s="43">
        <v>43103</v>
      </c>
      <c r="H391">
        <v>5</v>
      </c>
      <c r="I391">
        <v>24796</v>
      </c>
      <c r="J391">
        <v>128000000</v>
      </c>
      <c r="P391" s="77">
        <f t="shared" si="42"/>
        <v>1579</v>
      </c>
      <c r="Q391" s="78">
        <f t="shared" si="43"/>
        <v>82.653333333333336</v>
      </c>
      <c r="R391" s="78">
        <f t="shared" si="44"/>
        <v>24.4140625</v>
      </c>
      <c r="S391" s="78">
        <f t="shared" si="45"/>
        <v>21</v>
      </c>
      <c r="T391" s="78">
        <f t="shared" ref="T391:T454" si="46">(Q391*7)/30</f>
        <v>19.285777777777778</v>
      </c>
      <c r="U391" s="78" t="str">
        <f t="shared" ref="U391:U454" si="47">IF(T391&gt;120,"120+",IF(T391&gt;90,"91-120",IF(T391&gt;60,"61-90",IF(T391&gt;35,"35-60","&lt;35"))))</f>
        <v>&lt;35</v>
      </c>
      <c r="V391" s="78" t="str">
        <f t="shared" ref="V391:V454" si="48">IF(R391&gt;40,"40+ Гб",IF(R391&gt;30,"31-40 Гб",IF(R391&gt;20,"21-30 Гб",IF(R391&gt;10,"10-20 Гб","&lt;10 Гб"))))</f>
        <v>21-30 Гб</v>
      </c>
    </row>
    <row r="392" spans="1:22" x14ac:dyDescent="0.25">
      <c r="A392" t="s">
        <v>1110</v>
      </c>
      <c r="B392" s="43">
        <v>36956</v>
      </c>
      <c r="C392" t="s">
        <v>50</v>
      </c>
      <c r="D392" t="s">
        <v>51</v>
      </c>
      <c r="E392" t="s">
        <v>54</v>
      </c>
      <c r="F392" t="s">
        <v>69</v>
      </c>
      <c r="G392" s="43">
        <v>43273</v>
      </c>
      <c r="H392">
        <v>5</v>
      </c>
      <c r="I392">
        <v>34308</v>
      </c>
      <c r="J392">
        <v>4000000</v>
      </c>
      <c r="P392" s="77">
        <f t="shared" si="42"/>
        <v>1409</v>
      </c>
      <c r="Q392" s="78">
        <f t="shared" si="43"/>
        <v>114.36</v>
      </c>
      <c r="R392" s="78">
        <f t="shared" si="44"/>
        <v>0.762939453125</v>
      </c>
      <c r="S392" s="78">
        <f t="shared" si="45"/>
        <v>21</v>
      </c>
      <c r="T392" s="78">
        <f t="shared" si="46"/>
        <v>26.684000000000001</v>
      </c>
      <c r="U392" s="78" t="str">
        <f t="shared" si="47"/>
        <v>&lt;35</v>
      </c>
      <c r="V392" s="78" t="str">
        <f t="shared" si="48"/>
        <v>&lt;10 Гб</v>
      </c>
    </row>
    <row r="393" spans="1:22" x14ac:dyDescent="0.25">
      <c r="A393" t="s">
        <v>671</v>
      </c>
      <c r="B393" s="43">
        <v>36950</v>
      </c>
      <c r="C393" t="s">
        <v>58</v>
      </c>
      <c r="D393" t="s">
        <v>51</v>
      </c>
      <c r="E393" t="s">
        <v>54</v>
      </c>
      <c r="F393" t="s">
        <v>57</v>
      </c>
      <c r="G393" s="43">
        <v>44145</v>
      </c>
      <c r="H393">
        <v>5</v>
      </c>
      <c r="I393">
        <v>24020</v>
      </c>
      <c r="J393">
        <v>104000000</v>
      </c>
      <c r="M393">
        <v>1</v>
      </c>
      <c r="P393" s="77">
        <f t="shared" si="42"/>
        <v>537</v>
      </c>
      <c r="Q393" s="78">
        <f t="shared" si="43"/>
        <v>80.066666666666663</v>
      </c>
      <c r="R393" s="78">
        <f t="shared" si="44"/>
        <v>19.83642578125</v>
      </c>
      <c r="S393" s="78">
        <f t="shared" si="45"/>
        <v>21</v>
      </c>
      <c r="T393" s="78">
        <f t="shared" si="46"/>
        <v>18.682222222222222</v>
      </c>
      <c r="U393" s="78" t="str">
        <f t="shared" si="47"/>
        <v>&lt;35</v>
      </c>
      <c r="V393" s="78" t="str">
        <f t="shared" si="48"/>
        <v>10-20 Гб</v>
      </c>
    </row>
    <row r="394" spans="1:22" x14ac:dyDescent="0.25">
      <c r="A394" t="s">
        <v>909</v>
      </c>
      <c r="B394" s="43">
        <v>36948</v>
      </c>
      <c r="C394" t="s">
        <v>50</v>
      </c>
      <c r="D394" t="s">
        <v>51</v>
      </c>
      <c r="E394" t="s">
        <v>54</v>
      </c>
      <c r="F394" t="s">
        <v>63</v>
      </c>
      <c r="G394" s="43">
        <v>43035</v>
      </c>
      <c r="H394">
        <v>5</v>
      </c>
      <c r="I394">
        <v>19548</v>
      </c>
      <c r="J394">
        <v>88000000</v>
      </c>
      <c r="K394">
        <v>1</v>
      </c>
      <c r="N394">
        <v>1</v>
      </c>
      <c r="P394" s="77">
        <f t="shared" si="42"/>
        <v>1647</v>
      </c>
      <c r="Q394" s="78">
        <f t="shared" si="43"/>
        <v>65.16</v>
      </c>
      <c r="R394" s="78">
        <f t="shared" si="44"/>
        <v>16.78466796875</v>
      </c>
      <c r="S394" s="78">
        <f t="shared" si="45"/>
        <v>21</v>
      </c>
      <c r="T394" s="78">
        <f t="shared" si="46"/>
        <v>15.204000000000001</v>
      </c>
      <c r="U394" s="78" t="str">
        <f t="shared" si="47"/>
        <v>&lt;35</v>
      </c>
      <c r="V394" s="78" t="str">
        <f t="shared" si="48"/>
        <v>10-20 Гб</v>
      </c>
    </row>
    <row r="395" spans="1:22" x14ac:dyDescent="0.25">
      <c r="A395" t="s">
        <v>377</v>
      </c>
      <c r="B395" s="43">
        <v>36947</v>
      </c>
      <c r="C395" t="s">
        <v>50</v>
      </c>
      <c r="D395" t="s">
        <v>51</v>
      </c>
      <c r="E395" t="s">
        <v>54</v>
      </c>
      <c r="F395" t="s">
        <v>56</v>
      </c>
      <c r="G395" s="43">
        <v>44244</v>
      </c>
      <c r="H395">
        <v>5</v>
      </c>
      <c r="I395">
        <v>105840</v>
      </c>
      <c r="J395">
        <v>112000000</v>
      </c>
      <c r="L395">
        <v>1</v>
      </c>
      <c r="P395" s="77">
        <f t="shared" si="42"/>
        <v>438</v>
      </c>
      <c r="Q395" s="78">
        <f t="shared" si="43"/>
        <v>352.8</v>
      </c>
      <c r="R395" s="78">
        <f t="shared" si="44"/>
        <v>21.3623046875</v>
      </c>
      <c r="S395" s="78">
        <f t="shared" si="45"/>
        <v>21</v>
      </c>
      <c r="T395" s="78">
        <f t="shared" si="46"/>
        <v>82.32</v>
      </c>
      <c r="U395" s="78" t="str">
        <f t="shared" si="47"/>
        <v>61-90</v>
      </c>
      <c r="V395" s="78" t="str">
        <f t="shared" si="48"/>
        <v>21-30 Гб</v>
      </c>
    </row>
    <row r="396" spans="1:22" x14ac:dyDescent="0.25">
      <c r="A396" t="s">
        <v>55</v>
      </c>
      <c r="B396" s="43">
        <v>36945</v>
      </c>
      <c r="C396" t="s">
        <v>50</v>
      </c>
      <c r="D396" t="s">
        <v>51</v>
      </c>
      <c r="E396" t="s">
        <v>52</v>
      </c>
      <c r="F396" t="s">
        <v>53</v>
      </c>
      <c r="G396" s="43">
        <v>44660</v>
      </c>
      <c r="H396">
        <v>0</v>
      </c>
      <c r="I396">
        <v>28549</v>
      </c>
      <c r="J396">
        <v>32266667</v>
      </c>
      <c r="K396">
        <v>1</v>
      </c>
      <c r="P396" s="77">
        <f t="shared" si="42"/>
        <v>22</v>
      </c>
      <c r="Q396" s="78">
        <f t="shared" si="43"/>
        <v>648.84090909090912</v>
      </c>
      <c r="R396" s="78">
        <f t="shared" si="44"/>
        <v>41.961670355363331</v>
      </c>
      <c r="S396" s="78">
        <f t="shared" si="45"/>
        <v>21</v>
      </c>
      <c r="T396" s="78">
        <f t="shared" si="46"/>
        <v>151.39621212121213</v>
      </c>
      <c r="U396" s="78" t="str">
        <f t="shared" si="47"/>
        <v>120+</v>
      </c>
      <c r="V396" s="78" t="str">
        <f t="shared" si="48"/>
        <v>40+ Гб</v>
      </c>
    </row>
    <row r="397" spans="1:22" x14ac:dyDescent="0.25">
      <c r="A397" t="s">
        <v>875</v>
      </c>
      <c r="B397" s="43">
        <v>36945</v>
      </c>
      <c r="C397" t="s">
        <v>50</v>
      </c>
      <c r="D397" t="s">
        <v>51</v>
      </c>
      <c r="E397" t="s">
        <v>52</v>
      </c>
      <c r="F397" t="s">
        <v>63</v>
      </c>
      <c r="G397" s="43">
        <v>43998</v>
      </c>
      <c r="H397">
        <v>5</v>
      </c>
      <c r="I397">
        <v>8828</v>
      </c>
      <c r="J397">
        <v>116000000</v>
      </c>
      <c r="P397" s="77">
        <f t="shared" si="42"/>
        <v>684</v>
      </c>
      <c r="Q397" s="78">
        <f t="shared" si="43"/>
        <v>29.426666666666666</v>
      </c>
      <c r="R397" s="78">
        <f t="shared" si="44"/>
        <v>22.125244140625</v>
      </c>
      <c r="S397" s="78">
        <f t="shared" si="45"/>
        <v>21</v>
      </c>
      <c r="T397" s="78">
        <f t="shared" si="46"/>
        <v>6.8662222222222216</v>
      </c>
      <c r="U397" s="78" t="str">
        <f t="shared" si="47"/>
        <v>&lt;35</v>
      </c>
      <c r="V397" s="78" t="str">
        <f t="shared" si="48"/>
        <v>21-30 Гб</v>
      </c>
    </row>
    <row r="398" spans="1:22" x14ac:dyDescent="0.25">
      <c r="A398" t="s">
        <v>959</v>
      </c>
      <c r="B398" s="43">
        <v>36943</v>
      </c>
      <c r="C398" t="s">
        <v>58</v>
      </c>
      <c r="D398" t="s">
        <v>51</v>
      </c>
      <c r="E398" t="s">
        <v>52</v>
      </c>
      <c r="F398" t="s">
        <v>63</v>
      </c>
      <c r="G398" s="43">
        <v>43378</v>
      </c>
      <c r="H398">
        <v>5</v>
      </c>
      <c r="I398">
        <v>6020</v>
      </c>
      <c r="J398">
        <v>140000000</v>
      </c>
      <c r="K398">
        <v>1</v>
      </c>
      <c r="P398" s="77">
        <f t="shared" si="42"/>
        <v>1304</v>
      </c>
      <c r="Q398" s="78">
        <f t="shared" si="43"/>
        <v>20.066666666666666</v>
      </c>
      <c r="R398" s="78">
        <f t="shared" si="44"/>
        <v>26.702880859375</v>
      </c>
      <c r="S398" s="78">
        <f t="shared" si="45"/>
        <v>21</v>
      </c>
      <c r="T398" s="78">
        <f t="shared" si="46"/>
        <v>4.6822222222222223</v>
      </c>
      <c r="U398" s="78" t="str">
        <f t="shared" si="47"/>
        <v>&lt;35</v>
      </c>
      <c r="V398" s="78" t="str">
        <f t="shared" si="48"/>
        <v>21-30 Гб</v>
      </c>
    </row>
    <row r="399" spans="1:22" x14ac:dyDescent="0.25">
      <c r="A399" t="s">
        <v>295</v>
      </c>
      <c r="B399" s="43">
        <v>36937</v>
      </c>
      <c r="C399" t="s">
        <v>50</v>
      </c>
      <c r="D399" t="s">
        <v>51</v>
      </c>
      <c r="E399" t="s">
        <v>52</v>
      </c>
      <c r="F399" t="s">
        <v>56</v>
      </c>
      <c r="G399" s="43">
        <v>43669</v>
      </c>
      <c r="H399">
        <v>5</v>
      </c>
      <c r="I399">
        <v>103408</v>
      </c>
      <c r="J399">
        <v>124000000</v>
      </c>
      <c r="P399" s="77">
        <f t="shared" si="42"/>
        <v>1013</v>
      </c>
      <c r="Q399" s="78">
        <f t="shared" si="43"/>
        <v>344.69333333333333</v>
      </c>
      <c r="R399" s="78">
        <f t="shared" si="44"/>
        <v>23.651123046875</v>
      </c>
      <c r="S399" s="78">
        <f t="shared" si="45"/>
        <v>21</v>
      </c>
      <c r="T399" s="78">
        <f t="shared" si="46"/>
        <v>80.428444444444452</v>
      </c>
      <c r="U399" s="78" t="str">
        <f t="shared" si="47"/>
        <v>61-90</v>
      </c>
      <c r="V399" s="78" t="str">
        <f t="shared" si="48"/>
        <v>21-30 Гб</v>
      </c>
    </row>
    <row r="400" spans="1:22" x14ac:dyDescent="0.25">
      <c r="A400" t="s">
        <v>608</v>
      </c>
      <c r="B400" s="43">
        <v>36936</v>
      </c>
      <c r="C400" t="s">
        <v>50</v>
      </c>
      <c r="D400" t="s">
        <v>51</v>
      </c>
      <c r="E400" t="s">
        <v>52</v>
      </c>
      <c r="F400" t="s">
        <v>57</v>
      </c>
      <c r="G400" s="43">
        <v>44509</v>
      </c>
      <c r="H400">
        <v>5</v>
      </c>
      <c r="I400">
        <v>25248</v>
      </c>
      <c r="J400">
        <v>36000000</v>
      </c>
      <c r="P400" s="77">
        <f t="shared" si="42"/>
        <v>173</v>
      </c>
      <c r="Q400" s="78">
        <f t="shared" si="43"/>
        <v>84.16</v>
      </c>
      <c r="R400" s="78">
        <f t="shared" si="44"/>
        <v>6.866455078125</v>
      </c>
      <c r="S400" s="78">
        <f t="shared" si="45"/>
        <v>21</v>
      </c>
      <c r="T400" s="78">
        <f t="shared" si="46"/>
        <v>19.637333333333334</v>
      </c>
      <c r="U400" s="78" t="str">
        <f t="shared" si="47"/>
        <v>&lt;35</v>
      </c>
      <c r="V400" s="78" t="str">
        <f t="shared" si="48"/>
        <v>&lt;10 Гб</v>
      </c>
    </row>
    <row r="401" spans="1:22" x14ac:dyDescent="0.25">
      <c r="A401" t="s">
        <v>738</v>
      </c>
      <c r="B401" s="43">
        <v>36933</v>
      </c>
      <c r="C401" t="s">
        <v>58</v>
      </c>
      <c r="D401" t="s">
        <v>51</v>
      </c>
      <c r="E401" t="s">
        <v>52</v>
      </c>
      <c r="F401" t="s">
        <v>57</v>
      </c>
      <c r="G401" s="43">
        <v>42801</v>
      </c>
      <c r="H401">
        <v>5</v>
      </c>
      <c r="I401">
        <v>73380</v>
      </c>
      <c r="J401">
        <v>100000000</v>
      </c>
      <c r="P401" s="77">
        <f t="shared" si="42"/>
        <v>1881</v>
      </c>
      <c r="Q401" s="78">
        <f t="shared" si="43"/>
        <v>244.6</v>
      </c>
      <c r="R401" s="78">
        <f t="shared" si="44"/>
        <v>19.073486328125</v>
      </c>
      <c r="S401" s="78">
        <f t="shared" si="45"/>
        <v>21</v>
      </c>
      <c r="T401" s="78">
        <f t="shared" si="46"/>
        <v>57.073333333333338</v>
      </c>
      <c r="U401" s="78" t="str">
        <f t="shared" si="47"/>
        <v>35-60</v>
      </c>
      <c r="V401" s="78" t="str">
        <f t="shared" si="48"/>
        <v>10-20 Гб</v>
      </c>
    </row>
    <row r="402" spans="1:22" x14ac:dyDescent="0.25">
      <c r="A402" t="s">
        <v>613</v>
      </c>
      <c r="B402" s="43">
        <v>36932</v>
      </c>
      <c r="C402" t="s">
        <v>50</v>
      </c>
      <c r="D402" t="s">
        <v>51</v>
      </c>
      <c r="E402" t="s">
        <v>52</v>
      </c>
      <c r="F402" t="s">
        <v>57</v>
      </c>
      <c r="G402" s="43">
        <v>43951</v>
      </c>
      <c r="H402">
        <v>5</v>
      </c>
      <c r="I402">
        <v>18728</v>
      </c>
      <c r="J402">
        <v>104000000</v>
      </c>
      <c r="P402" s="77">
        <f t="shared" si="42"/>
        <v>731</v>
      </c>
      <c r="Q402" s="78">
        <f t="shared" si="43"/>
        <v>62.426666666666669</v>
      </c>
      <c r="R402" s="78">
        <f t="shared" si="44"/>
        <v>19.83642578125</v>
      </c>
      <c r="S402" s="78">
        <f t="shared" si="45"/>
        <v>21</v>
      </c>
      <c r="T402" s="78">
        <f t="shared" si="46"/>
        <v>14.566222222222223</v>
      </c>
      <c r="U402" s="78" t="str">
        <f t="shared" si="47"/>
        <v>&lt;35</v>
      </c>
      <c r="V402" s="78" t="str">
        <f t="shared" si="48"/>
        <v>10-20 Гб</v>
      </c>
    </row>
    <row r="403" spans="1:22" x14ac:dyDescent="0.25">
      <c r="A403" t="s">
        <v>91</v>
      </c>
      <c r="B403" s="43">
        <v>36931</v>
      </c>
      <c r="C403" t="s">
        <v>58</v>
      </c>
      <c r="D403" t="s">
        <v>51</v>
      </c>
      <c r="E403" t="s">
        <v>52</v>
      </c>
      <c r="F403" t="s">
        <v>63</v>
      </c>
      <c r="G403" s="43">
        <v>44645</v>
      </c>
      <c r="H403">
        <v>1</v>
      </c>
      <c r="I403">
        <v>5720</v>
      </c>
      <c r="J403">
        <v>49333333</v>
      </c>
      <c r="P403" s="77">
        <f t="shared" si="42"/>
        <v>37</v>
      </c>
      <c r="Q403" s="78">
        <f t="shared" si="43"/>
        <v>77.297297297297291</v>
      </c>
      <c r="R403" s="78">
        <f t="shared" si="44"/>
        <v>38.146972398500182</v>
      </c>
      <c r="S403" s="78">
        <f t="shared" si="45"/>
        <v>21</v>
      </c>
      <c r="T403" s="78">
        <f t="shared" si="46"/>
        <v>18.036036036036034</v>
      </c>
      <c r="U403" s="78" t="str">
        <f t="shared" si="47"/>
        <v>&lt;35</v>
      </c>
      <c r="V403" s="78" t="str">
        <f t="shared" si="48"/>
        <v>31-40 Гб</v>
      </c>
    </row>
    <row r="404" spans="1:22" x14ac:dyDescent="0.25">
      <c r="A404" t="s">
        <v>682</v>
      </c>
      <c r="B404" s="43">
        <v>36921</v>
      </c>
      <c r="C404" t="s">
        <v>58</v>
      </c>
      <c r="D404" t="s">
        <v>51</v>
      </c>
      <c r="E404" t="s">
        <v>52</v>
      </c>
      <c r="F404" t="s">
        <v>57</v>
      </c>
      <c r="G404" s="43">
        <v>44182</v>
      </c>
      <c r="H404">
        <v>5</v>
      </c>
      <c r="I404">
        <v>23740</v>
      </c>
      <c r="J404">
        <v>52000000</v>
      </c>
      <c r="P404" s="77">
        <f t="shared" si="42"/>
        <v>500</v>
      </c>
      <c r="Q404" s="78">
        <f t="shared" si="43"/>
        <v>79.13333333333334</v>
      </c>
      <c r="R404" s="78">
        <f t="shared" si="44"/>
        <v>9.918212890625</v>
      </c>
      <c r="S404" s="78">
        <f t="shared" si="45"/>
        <v>21</v>
      </c>
      <c r="T404" s="78">
        <f t="shared" si="46"/>
        <v>18.464444444444446</v>
      </c>
      <c r="U404" s="78" t="str">
        <f t="shared" si="47"/>
        <v>&lt;35</v>
      </c>
      <c r="V404" s="78" t="str">
        <f t="shared" si="48"/>
        <v>&lt;10 Гб</v>
      </c>
    </row>
    <row r="405" spans="1:22" x14ac:dyDescent="0.25">
      <c r="A405" t="s">
        <v>778</v>
      </c>
      <c r="B405" s="43">
        <v>36921</v>
      </c>
      <c r="C405" t="s">
        <v>50</v>
      </c>
      <c r="D405" t="s">
        <v>51</v>
      </c>
      <c r="E405" t="s">
        <v>54</v>
      </c>
      <c r="F405" t="s">
        <v>57</v>
      </c>
      <c r="G405" s="43">
        <v>43108</v>
      </c>
      <c r="H405">
        <v>5</v>
      </c>
      <c r="I405">
        <v>57928</v>
      </c>
      <c r="J405">
        <v>92000000</v>
      </c>
      <c r="M405">
        <v>1</v>
      </c>
      <c r="P405" s="77">
        <f t="shared" si="42"/>
        <v>1574</v>
      </c>
      <c r="Q405" s="78">
        <f t="shared" si="43"/>
        <v>193.09333333333333</v>
      </c>
      <c r="R405" s="78">
        <f t="shared" si="44"/>
        <v>17.547607421875</v>
      </c>
      <c r="S405" s="78">
        <f t="shared" si="45"/>
        <v>21</v>
      </c>
      <c r="T405" s="78">
        <f t="shared" si="46"/>
        <v>45.055111111111117</v>
      </c>
      <c r="U405" s="78" t="str">
        <f t="shared" si="47"/>
        <v>35-60</v>
      </c>
      <c r="V405" s="78" t="str">
        <f t="shared" si="48"/>
        <v>10-20 Гб</v>
      </c>
    </row>
    <row r="406" spans="1:22" x14ac:dyDescent="0.25">
      <c r="A406" t="s">
        <v>490</v>
      </c>
      <c r="B406" s="43">
        <v>36920</v>
      </c>
      <c r="C406" t="s">
        <v>50</v>
      </c>
      <c r="D406" t="s">
        <v>51</v>
      </c>
      <c r="E406" t="s">
        <v>52</v>
      </c>
      <c r="F406" t="s">
        <v>63</v>
      </c>
      <c r="G406" s="43">
        <v>43930</v>
      </c>
      <c r="H406">
        <v>5</v>
      </c>
      <c r="I406">
        <v>11208</v>
      </c>
      <c r="J406">
        <v>140000000</v>
      </c>
      <c r="L406">
        <v>1</v>
      </c>
      <c r="P406" s="77">
        <f t="shared" si="42"/>
        <v>752</v>
      </c>
      <c r="Q406" s="78">
        <f t="shared" si="43"/>
        <v>37.36</v>
      </c>
      <c r="R406" s="78">
        <f t="shared" si="44"/>
        <v>26.702880859375</v>
      </c>
      <c r="S406" s="78">
        <f t="shared" si="45"/>
        <v>21</v>
      </c>
      <c r="T406" s="78">
        <f t="shared" si="46"/>
        <v>8.7173333333333325</v>
      </c>
      <c r="U406" s="78" t="str">
        <f t="shared" si="47"/>
        <v>&lt;35</v>
      </c>
      <c r="V406" s="78" t="str">
        <f t="shared" si="48"/>
        <v>21-30 Гб</v>
      </c>
    </row>
    <row r="407" spans="1:22" x14ac:dyDescent="0.25">
      <c r="A407" t="s">
        <v>1190</v>
      </c>
      <c r="B407" s="43">
        <v>36910</v>
      </c>
      <c r="C407" t="s">
        <v>50</v>
      </c>
      <c r="D407" t="s">
        <v>51</v>
      </c>
      <c r="E407" t="s">
        <v>54</v>
      </c>
      <c r="F407" t="s">
        <v>63</v>
      </c>
      <c r="G407" s="43">
        <v>43420</v>
      </c>
      <c r="H407">
        <v>5</v>
      </c>
      <c r="I407">
        <v>8748</v>
      </c>
      <c r="J407">
        <v>112000000</v>
      </c>
      <c r="K407">
        <v>1</v>
      </c>
      <c r="O407">
        <v>1</v>
      </c>
      <c r="P407" s="77">
        <f t="shared" si="42"/>
        <v>1262</v>
      </c>
      <c r="Q407" s="78">
        <f t="shared" si="43"/>
        <v>29.16</v>
      </c>
      <c r="R407" s="78">
        <f t="shared" si="44"/>
        <v>21.3623046875</v>
      </c>
      <c r="S407" s="78">
        <f t="shared" si="45"/>
        <v>21</v>
      </c>
      <c r="T407" s="78">
        <f t="shared" si="46"/>
        <v>6.8040000000000003</v>
      </c>
      <c r="U407" s="78" t="str">
        <f t="shared" si="47"/>
        <v>&lt;35</v>
      </c>
      <c r="V407" s="78" t="str">
        <f t="shared" si="48"/>
        <v>21-30 Гб</v>
      </c>
    </row>
    <row r="408" spans="1:22" x14ac:dyDescent="0.25">
      <c r="A408" t="s">
        <v>304</v>
      </c>
      <c r="B408" s="43">
        <v>36907</v>
      </c>
      <c r="C408" t="s">
        <v>50</v>
      </c>
      <c r="D408" t="s">
        <v>51</v>
      </c>
      <c r="E408" t="s">
        <v>54</v>
      </c>
      <c r="F408" t="s">
        <v>56</v>
      </c>
      <c r="G408" s="43">
        <v>43988</v>
      </c>
      <c r="H408">
        <v>5</v>
      </c>
      <c r="I408">
        <v>19696</v>
      </c>
      <c r="J408">
        <v>60000000</v>
      </c>
      <c r="P408" s="77">
        <f t="shared" si="42"/>
        <v>694</v>
      </c>
      <c r="Q408" s="78">
        <f t="shared" si="43"/>
        <v>65.653333333333336</v>
      </c>
      <c r="R408" s="78">
        <f t="shared" si="44"/>
        <v>11.444091796875</v>
      </c>
      <c r="S408" s="78">
        <f t="shared" si="45"/>
        <v>21</v>
      </c>
      <c r="T408" s="78">
        <f t="shared" si="46"/>
        <v>15.319111111111113</v>
      </c>
      <c r="U408" s="78" t="str">
        <f t="shared" si="47"/>
        <v>&lt;35</v>
      </c>
      <c r="V408" s="78" t="str">
        <f t="shared" si="48"/>
        <v>10-20 Гб</v>
      </c>
    </row>
    <row r="409" spans="1:22" x14ac:dyDescent="0.25">
      <c r="A409" t="s">
        <v>966</v>
      </c>
      <c r="B409" s="43">
        <v>36907</v>
      </c>
      <c r="C409" t="s">
        <v>58</v>
      </c>
      <c r="D409" t="s">
        <v>51</v>
      </c>
      <c r="E409" t="s">
        <v>54</v>
      </c>
      <c r="F409" t="s">
        <v>63</v>
      </c>
      <c r="G409" s="43">
        <v>43387</v>
      </c>
      <c r="H409">
        <v>5</v>
      </c>
      <c r="I409">
        <v>988</v>
      </c>
      <c r="J409">
        <v>160000000</v>
      </c>
      <c r="K409">
        <v>1</v>
      </c>
      <c r="P409" s="77">
        <f t="shared" si="42"/>
        <v>1295</v>
      </c>
      <c r="Q409" s="78">
        <f t="shared" si="43"/>
        <v>3.2933333333333334</v>
      </c>
      <c r="R409" s="78">
        <f t="shared" si="44"/>
        <v>30.517578125</v>
      </c>
      <c r="S409" s="78">
        <f t="shared" si="45"/>
        <v>21</v>
      </c>
      <c r="T409" s="78">
        <f t="shared" si="46"/>
        <v>0.76844444444444449</v>
      </c>
      <c r="U409" s="78" t="str">
        <f t="shared" si="47"/>
        <v>&lt;35</v>
      </c>
      <c r="V409" s="78" t="str">
        <f t="shared" si="48"/>
        <v>31-40 Гб</v>
      </c>
    </row>
    <row r="410" spans="1:22" x14ac:dyDescent="0.25">
      <c r="A410" t="s">
        <v>246</v>
      </c>
      <c r="B410" s="43">
        <v>36901</v>
      </c>
      <c r="C410" t="s">
        <v>58</v>
      </c>
      <c r="D410" t="s">
        <v>51</v>
      </c>
      <c r="E410" t="s">
        <v>54</v>
      </c>
      <c r="F410" t="s">
        <v>56</v>
      </c>
      <c r="G410" s="43">
        <v>43914</v>
      </c>
      <c r="H410">
        <v>5</v>
      </c>
      <c r="I410">
        <v>117968</v>
      </c>
      <c r="J410">
        <v>120000000</v>
      </c>
      <c r="P410" s="77">
        <f t="shared" si="42"/>
        <v>768</v>
      </c>
      <c r="Q410" s="78">
        <f t="shared" si="43"/>
        <v>393.22666666666669</v>
      </c>
      <c r="R410" s="78">
        <f t="shared" si="44"/>
        <v>22.88818359375</v>
      </c>
      <c r="S410" s="78">
        <f t="shared" si="45"/>
        <v>21</v>
      </c>
      <c r="T410" s="78">
        <f t="shared" si="46"/>
        <v>91.752888888888904</v>
      </c>
      <c r="U410" s="78" t="str">
        <f t="shared" si="47"/>
        <v>91-120</v>
      </c>
      <c r="V410" s="78" t="str">
        <f t="shared" si="48"/>
        <v>21-30 Гб</v>
      </c>
    </row>
    <row r="411" spans="1:22" x14ac:dyDescent="0.25">
      <c r="A411" t="s">
        <v>780</v>
      </c>
      <c r="B411" s="43">
        <v>36900</v>
      </c>
      <c r="C411" t="s">
        <v>58</v>
      </c>
      <c r="D411" t="s">
        <v>51</v>
      </c>
      <c r="E411" t="s">
        <v>52</v>
      </c>
      <c r="F411" t="s">
        <v>57</v>
      </c>
      <c r="G411" s="43">
        <v>44070</v>
      </c>
      <c r="H411">
        <v>5</v>
      </c>
      <c r="I411">
        <v>89740</v>
      </c>
      <c r="J411">
        <v>104000000</v>
      </c>
      <c r="O411">
        <v>1</v>
      </c>
      <c r="P411" s="77">
        <f t="shared" si="42"/>
        <v>612</v>
      </c>
      <c r="Q411" s="78">
        <f t="shared" si="43"/>
        <v>299.13333333333333</v>
      </c>
      <c r="R411" s="78">
        <f t="shared" si="44"/>
        <v>19.83642578125</v>
      </c>
      <c r="S411" s="78">
        <f t="shared" si="45"/>
        <v>21</v>
      </c>
      <c r="T411" s="78">
        <f t="shared" si="46"/>
        <v>69.797777777777782</v>
      </c>
      <c r="U411" s="78" t="str">
        <f t="shared" si="47"/>
        <v>61-90</v>
      </c>
      <c r="V411" s="78" t="str">
        <f t="shared" si="48"/>
        <v>10-20 Гб</v>
      </c>
    </row>
    <row r="412" spans="1:22" x14ac:dyDescent="0.25">
      <c r="A412" t="s">
        <v>815</v>
      </c>
      <c r="B412" s="43">
        <v>36899</v>
      </c>
      <c r="C412" t="s">
        <v>58</v>
      </c>
      <c r="D412" t="s">
        <v>51</v>
      </c>
      <c r="E412" t="s">
        <v>54</v>
      </c>
      <c r="F412" t="s">
        <v>57</v>
      </c>
      <c r="G412" s="43">
        <v>43042</v>
      </c>
      <c r="H412">
        <v>5</v>
      </c>
      <c r="I412">
        <v>61924</v>
      </c>
      <c r="J412">
        <v>100000000</v>
      </c>
      <c r="N412">
        <v>1</v>
      </c>
      <c r="P412" s="77">
        <f t="shared" si="42"/>
        <v>1640</v>
      </c>
      <c r="Q412" s="78">
        <f t="shared" si="43"/>
        <v>206.41333333333333</v>
      </c>
      <c r="R412" s="78">
        <f t="shared" si="44"/>
        <v>19.073486328125</v>
      </c>
      <c r="S412" s="78">
        <f t="shared" si="45"/>
        <v>21</v>
      </c>
      <c r="T412" s="78">
        <f t="shared" si="46"/>
        <v>48.163111111111107</v>
      </c>
      <c r="U412" s="78" t="str">
        <f t="shared" si="47"/>
        <v>35-60</v>
      </c>
      <c r="V412" s="78" t="str">
        <f t="shared" si="48"/>
        <v>10-20 Гб</v>
      </c>
    </row>
    <row r="413" spans="1:22" x14ac:dyDescent="0.25">
      <c r="A413" t="s">
        <v>1194</v>
      </c>
      <c r="B413" s="43">
        <v>36894</v>
      </c>
      <c r="C413" t="s">
        <v>58</v>
      </c>
      <c r="D413" t="s">
        <v>51</v>
      </c>
      <c r="E413" t="s">
        <v>52</v>
      </c>
      <c r="F413" t="s">
        <v>63</v>
      </c>
      <c r="G413" s="43">
        <v>43454</v>
      </c>
      <c r="H413">
        <v>5</v>
      </c>
      <c r="I413">
        <v>26168</v>
      </c>
      <c r="J413">
        <v>104000000</v>
      </c>
      <c r="O413">
        <v>1</v>
      </c>
      <c r="P413" s="77">
        <f t="shared" si="42"/>
        <v>1228</v>
      </c>
      <c r="Q413" s="78">
        <f t="shared" si="43"/>
        <v>87.226666666666674</v>
      </c>
      <c r="R413" s="78">
        <f t="shared" si="44"/>
        <v>19.83642578125</v>
      </c>
      <c r="S413" s="78">
        <f t="shared" si="45"/>
        <v>21</v>
      </c>
      <c r="T413" s="78">
        <f t="shared" si="46"/>
        <v>20.352888888888891</v>
      </c>
      <c r="U413" s="78" t="str">
        <f t="shared" si="47"/>
        <v>&lt;35</v>
      </c>
      <c r="V413" s="78" t="str">
        <f t="shared" si="48"/>
        <v>10-20 Гб</v>
      </c>
    </row>
    <row r="414" spans="1:22" x14ac:dyDescent="0.25">
      <c r="A414" t="s">
        <v>421</v>
      </c>
      <c r="B414" s="43">
        <v>36893</v>
      </c>
      <c r="C414" t="s">
        <v>50</v>
      </c>
      <c r="D414" t="s">
        <v>51</v>
      </c>
      <c r="E414" t="s">
        <v>52</v>
      </c>
      <c r="F414" t="s">
        <v>56</v>
      </c>
      <c r="G414" s="43">
        <v>44420</v>
      </c>
      <c r="H414">
        <v>5</v>
      </c>
      <c r="I414">
        <v>67408</v>
      </c>
      <c r="J414">
        <v>104000000</v>
      </c>
      <c r="P414" s="77">
        <f t="shared" si="42"/>
        <v>262</v>
      </c>
      <c r="Q414" s="78">
        <f t="shared" si="43"/>
        <v>224.69333333333333</v>
      </c>
      <c r="R414" s="78">
        <f t="shared" si="44"/>
        <v>19.83642578125</v>
      </c>
      <c r="S414" s="78">
        <f t="shared" si="45"/>
        <v>21</v>
      </c>
      <c r="T414" s="78">
        <f t="shared" si="46"/>
        <v>52.428444444444445</v>
      </c>
      <c r="U414" s="78" t="str">
        <f t="shared" si="47"/>
        <v>35-60</v>
      </c>
      <c r="V414" s="78" t="str">
        <f t="shared" si="48"/>
        <v>10-20 Гб</v>
      </c>
    </row>
    <row r="415" spans="1:22" x14ac:dyDescent="0.25">
      <c r="A415" t="s">
        <v>144</v>
      </c>
      <c r="B415" s="43">
        <v>36892</v>
      </c>
      <c r="C415" t="s">
        <v>50</v>
      </c>
      <c r="D415" t="s">
        <v>51</v>
      </c>
      <c r="E415" t="s">
        <v>54</v>
      </c>
      <c r="F415" t="s">
        <v>57</v>
      </c>
      <c r="G415" s="43">
        <v>44559</v>
      </c>
      <c r="H415">
        <v>4</v>
      </c>
      <c r="I415">
        <v>57688</v>
      </c>
      <c r="J415">
        <v>68000000</v>
      </c>
      <c r="O415">
        <v>1</v>
      </c>
      <c r="P415" s="77">
        <f t="shared" si="42"/>
        <v>123</v>
      </c>
      <c r="Q415" s="78">
        <f t="shared" si="43"/>
        <v>192.29333333333332</v>
      </c>
      <c r="R415" s="78">
        <f t="shared" si="44"/>
        <v>12.969970703125</v>
      </c>
      <c r="S415" s="78">
        <f t="shared" si="45"/>
        <v>21</v>
      </c>
      <c r="T415" s="78">
        <f t="shared" si="46"/>
        <v>44.868444444444442</v>
      </c>
      <c r="U415" s="78" t="str">
        <f t="shared" si="47"/>
        <v>35-60</v>
      </c>
      <c r="V415" s="78" t="str">
        <f t="shared" si="48"/>
        <v>10-20 Гб</v>
      </c>
    </row>
    <row r="416" spans="1:22" x14ac:dyDescent="0.25">
      <c r="A416" t="s">
        <v>385</v>
      </c>
      <c r="B416" s="43">
        <v>36892</v>
      </c>
      <c r="C416" t="s">
        <v>50</v>
      </c>
      <c r="D416" t="s">
        <v>51</v>
      </c>
      <c r="E416" t="s">
        <v>52</v>
      </c>
      <c r="F416" t="s">
        <v>56</v>
      </c>
      <c r="G416" s="43">
        <v>44199</v>
      </c>
      <c r="H416">
        <v>5</v>
      </c>
      <c r="I416">
        <v>46425</v>
      </c>
      <c r="J416">
        <v>104000000</v>
      </c>
      <c r="P416" s="77">
        <f t="shared" si="42"/>
        <v>483</v>
      </c>
      <c r="Q416" s="78">
        <f t="shared" si="43"/>
        <v>154.75</v>
      </c>
      <c r="R416" s="78">
        <f t="shared" si="44"/>
        <v>19.83642578125</v>
      </c>
      <c r="S416" s="78">
        <f t="shared" si="45"/>
        <v>21</v>
      </c>
      <c r="T416" s="78">
        <f t="shared" si="46"/>
        <v>36.108333333333334</v>
      </c>
      <c r="U416" s="78" t="str">
        <f t="shared" si="47"/>
        <v>35-60</v>
      </c>
      <c r="V416" s="78" t="str">
        <f t="shared" si="48"/>
        <v>10-20 Гб</v>
      </c>
    </row>
    <row r="417" spans="1:22" x14ac:dyDescent="0.25">
      <c r="A417" t="s">
        <v>77</v>
      </c>
      <c r="B417" s="43">
        <v>36881</v>
      </c>
      <c r="C417" t="s">
        <v>50</v>
      </c>
      <c r="D417" t="s">
        <v>51</v>
      </c>
      <c r="E417" t="s">
        <v>54</v>
      </c>
      <c r="F417" t="s">
        <v>56</v>
      </c>
      <c r="G417" s="43">
        <v>44649</v>
      </c>
      <c r="H417">
        <v>1</v>
      </c>
      <c r="I417">
        <v>28852</v>
      </c>
      <c r="J417">
        <v>28600000</v>
      </c>
      <c r="P417" s="77">
        <f t="shared" si="42"/>
        <v>33</v>
      </c>
      <c r="Q417" s="78">
        <f t="shared" si="43"/>
        <v>437.15151515151513</v>
      </c>
      <c r="R417" s="78">
        <f t="shared" si="44"/>
        <v>24.795532226562496</v>
      </c>
      <c r="S417" s="78">
        <f t="shared" si="45"/>
        <v>21</v>
      </c>
      <c r="T417" s="78">
        <f t="shared" si="46"/>
        <v>102.0020202020202</v>
      </c>
      <c r="U417" s="78" t="str">
        <f t="shared" si="47"/>
        <v>91-120</v>
      </c>
      <c r="V417" s="78" t="str">
        <f t="shared" si="48"/>
        <v>21-30 Гб</v>
      </c>
    </row>
    <row r="418" spans="1:22" x14ac:dyDescent="0.25">
      <c r="A418" t="s">
        <v>314</v>
      </c>
      <c r="B418" s="43">
        <v>36879</v>
      </c>
      <c r="C418" t="s">
        <v>50</v>
      </c>
      <c r="D418" t="s">
        <v>51</v>
      </c>
      <c r="E418" t="s">
        <v>52</v>
      </c>
      <c r="F418" t="s">
        <v>56</v>
      </c>
      <c r="G418" s="43">
        <v>44509</v>
      </c>
      <c r="H418">
        <v>5</v>
      </c>
      <c r="I418">
        <v>94408</v>
      </c>
      <c r="J418">
        <v>48000000</v>
      </c>
      <c r="K418">
        <v>1</v>
      </c>
      <c r="O418">
        <v>1</v>
      </c>
      <c r="P418" s="77">
        <f t="shared" si="42"/>
        <v>173</v>
      </c>
      <c r="Q418" s="78">
        <f t="shared" si="43"/>
        <v>314.69333333333333</v>
      </c>
      <c r="R418" s="78">
        <f t="shared" si="44"/>
        <v>9.1552734375</v>
      </c>
      <c r="S418" s="78">
        <f t="shared" si="45"/>
        <v>21</v>
      </c>
      <c r="T418" s="78">
        <f t="shared" si="46"/>
        <v>73.428444444444452</v>
      </c>
      <c r="U418" s="78" t="str">
        <f t="shared" si="47"/>
        <v>61-90</v>
      </c>
      <c r="V418" s="78" t="str">
        <f t="shared" si="48"/>
        <v>&lt;10 Гб</v>
      </c>
    </row>
    <row r="419" spans="1:22" x14ac:dyDescent="0.25">
      <c r="A419" t="s">
        <v>724</v>
      </c>
      <c r="B419" s="43">
        <v>36879</v>
      </c>
      <c r="C419" t="s">
        <v>50</v>
      </c>
      <c r="D419" t="s">
        <v>51</v>
      </c>
      <c r="E419" t="s">
        <v>54</v>
      </c>
      <c r="F419" t="s">
        <v>63</v>
      </c>
      <c r="G419" s="43">
        <v>43268</v>
      </c>
      <c r="H419">
        <v>5</v>
      </c>
      <c r="I419">
        <v>34320</v>
      </c>
      <c r="J419">
        <v>140000000</v>
      </c>
      <c r="P419" s="77">
        <f t="shared" si="42"/>
        <v>1414</v>
      </c>
      <c r="Q419" s="78">
        <f t="shared" si="43"/>
        <v>114.4</v>
      </c>
      <c r="R419" s="78">
        <f t="shared" si="44"/>
        <v>26.702880859375</v>
      </c>
      <c r="S419" s="78">
        <f t="shared" si="45"/>
        <v>21</v>
      </c>
      <c r="T419" s="78">
        <f t="shared" si="46"/>
        <v>26.693333333333335</v>
      </c>
      <c r="U419" s="78" t="str">
        <f t="shared" si="47"/>
        <v>&lt;35</v>
      </c>
      <c r="V419" s="78" t="str">
        <f t="shared" si="48"/>
        <v>21-30 Гб</v>
      </c>
    </row>
    <row r="420" spans="1:22" x14ac:dyDescent="0.25">
      <c r="A420" t="s">
        <v>73</v>
      </c>
      <c r="B420" s="43">
        <v>36875</v>
      </c>
      <c r="C420" t="s">
        <v>50</v>
      </c>
      <c r="D420" t="s">
        <v>51</v>
      </c>
      <c r="E420" t="s">
        <v>54</v>
      </c>
      <c r="F420" t="s">
        <v>63</v>
      </c>
      <c r="G420" s="43">
        <v>44655</v>
      </c>
      <c r="H420">
        <v>0</v>
      </c>
      <c r="I420">
        <v>454</v>
      </c>
      <c r="J420">
        <v>16200000</v>
      </c>
      <c r="L420">
        <v>1</v>
      </c>
      <c r="P420" s="77">
        <f t="shared" si="42"/>
        <v>27</v>
      </c>
      <c r="Q420" s="78">
        <f t="shared" si="43"/>
        <v>8.4074074074074066</v>
      </c>
      <c r="R420" s="78">
        <f t="shared" si="44"/>
        <v>17.1661376953125</v>
      </c>
      <c r="S420" s="78">
        <f t="shared" si="45"/>
        <v>21</v>
      </c>
      <c r="T420" s="78">
        <f t="shared" si="46"/>
        <v>1.9617283950617284</v>
      </c>
      <c r="U420" s="78" t="str">
        <f t="shared" si="47"/>
        <v>&lt;35</v>
      </c>
      <c r="V420" s="78" t="str">
        <f t="shared" si="48"/>
        <v>10-20 Гб</v>
      </c>
    </row>
    <row r="421" spans="1:22" x14ac:dyDescent="0.25">
      <c r="A421" t="s">
        <v>1090</v>
      </c>
      <c r="B421" s="43">
        <v>36872</v>
      </c>
      <c r="C421" t="s">
        <v>58</v>
      </c>
      <c r="D421" t="s">
        <v>51</v>
      </c>
      <c r="E421" t="s">
        <v>52</v>
      </c>
      <c r="F421" t="s">
        <v>63</v>
      </c>
      <c r="G421" s="43">
        <v>43293</v>
      </c>
      <c r="H421">
        <v>5</v>
      </c>
      <c r="I421">
        <v>29092</v>
      </c>
      <c r="J421">
        <v>128000000</v>
      </c>
      <c r="L421">
        <v>1</v>
      </c>
      <c r="N421">
        <v>1</v>
      </c>
      <c r="P421" s="77">
        <f t="shared" si="42"/>
        <v>1389</v>
      </c>
      <c r="Q421" s="78">
        <f t="shared" si="43"/>
        <v>96.973333333333329</v>
      </c>
      <c r="R421" s="78">
        <f t="shared" si="44"/>
        <v>24.4140625</v>
      </c>
      <c r="S421" s="78">
        <f t="shared" si="45"/>
        <v>21</v>
      </c>
      <c r="T421" s="78">
        <f t="shared" si="46"/>
        <v>22.627111111111109</v>
      </c>
      <c r="U421" s="78" t="str">
        <f t="shared" si="47"/>
        <v>&lt;35</v>
      </c>
      <c r="V421" s="78" t="str">
        <f t="shared" si="48"/>
        <v>21-30 Гб</v>
      </c>
    </row>
    <row r="422" spans="1:22" x14ac:dyDescent="0.25">
      <c r="A422" t="s">
        <v>757</v>
      </c>
      <c r="B422" s="43">
        <v>36863</v>
      </c>
      <c r="C422" t="s">
        <v>58</v>
      </c>
      <c r="D422" t="s">
        <v>51</v>
      </c>
      <c r="E422" t="s">
        <v>54</v>
      </c>
      <c r="F422" t="s">
        <v>63</v>
      </c>
      <c r="G422" s="43">
        <v>43547</v>
      </c>
      <c r="H422">
        <v>5</v>
      </c>
      <c r="I422">
        <v>452</v>
      </c>
      <c r="J422">
        <v>148000000</v>
      </c>
      <c r="K422">
        <v>1</v>
      </c>
      <c r="O422">
        <v>1</v>
      </c>
      <c r="P422" s="77">
        <f t="shared" si="42"/>
        <v>1135</v>
      </c>
      <c r="Q422" s="78">
        <f t="shared" si="43"/>
        <v>1.5066666666666666</v>
      </c>
      <c r="R422" s="78">
        <f t="shared" si="44"/>
        <v>28.228759765625</v>
      </c>
      <c r="S422" s="78">
        <f t="shared" si="45"/>
        <v>21</v>
      </c>
      <c r="T422" s="78">
        <f t="shared" si="46"/>
        <v>0.35155555555555557</v>
      </c>
      <c r="U422" s="78" t="str">
        <f t="shared" si="47"/>
        <v>&lt;35</v>
      </c>
      <c r="V422" s="78" t="str">
        <f t="shared" si="48"/>
        <v>21-30 Гб</v>
      </c>
    </row>
    <row r="423" spans="1:22" x14ac:dyDescent="0.25">
      <c r="A423" t="s">
        <v>155</v>
      </c>
      <c r="B423" s="43">
        <v>36862</v>
      </c>
      <c r="C423" t="s">
        <v>50</v>
      </c>
      <c r="D423" t="s">
        <v>51</v>
      </c>
      <c r="E423" t="s">
        <v>54</v>
      </c>
      <c r="F423" t="s">
        <v>69</v>
      </c>
      <c r="G423" s="43">
        <v>44539</v>
      </c>
      <c r="H423">
        <v>4</v>
      </c>
      <c r="I423">
        <v>8828</v>
      </c>
      <c r="J423">
        <v>32000000</v>
      </c>
      <c r="M423">
        <v>1</v>
      </c>
      <c r="N423">
        <v>1</v>
      </c>
      <c r="P423" s="77">
        <f t="shared" si="42"/>
        <v>143</v>
      </c>
      <c r="Q423" s="78">
        <f t="shared" si="43"/>
        <v>29.426666666666666</v>
      </c>
      <c r="R423" s="78">
        <f t="shared" si="44"/>
        <v>6.103515625</v>
      </c>
      <c r="S423" s="78">
        <f t="shared" si="45"/>
        <v>21</v>
      </c>
      <c r="T423" s="78">
        <f t="shared" si="46"/>
        <v>6.8662222222222216</v>
      </c>
      <c r="U423" s="78" t="str">
        <f t="shared" si="47"/>
        <v>&lt;35</v>
      </c>
      <c r="V423" s="78" t="str">
        <f t="shared" si="48"/>
        <v>&lt;10 Гб</v>
      </c>
    </row>
    <row r="424" spans="1:22" x14ac:dyDescent="0.25">
      <c r="A424" t="s">
        <v>528</v>
      </c>
      <c r="B424" s="43">
        <v>36862</v>
      </c>
      <c r="C424" t="s">
        <v>58</v>
      </c>
      <c r="D424" t="s">
        <v>51</v>
      </c>
      <c r="E424" t="s">
        <v>54</v>
      </c>
      <c r="F424" t="s">
        <v>57</v>
      </c>
      <c r="G424" s="43">
        <v>44275</v>
      </c>
      <c r="H424">
        <v>5</v>
      </c>
      <c r="I424">
        <v>21565</v>
      </c>
      <c r="J424">
        <v>12000000</v>
      </c>
      <c r="P424" s="77">
        <f t="shared" si="42"/>
        <v>407</v>
      </c>
      <c r="Q424" s="78">
        <f t="shared" si="43"/>
        <v>71.88333333333334</v>
      </c>
      <c r="R424" s="78">
        <f t="shared" si="44"/>
        <v>2.288818359375</v>
      </c>
      <c r="S424" s="78">
        <f t="shared" si="45"/>
        <v>21</v>
      </c>
      <c r="T424" s="78">
        <f t="shared" si="46"/>
        <v>16.77277777777778</v>
      </c>
      <c r="U424" s="78" t="str">
        <f t="shared" si="47"/>
        <v>&lt;35</v>
      </c>
      <c r="V424" s="78" t="str">
        <f t="shared" si="48"/>
        <v>&lt;10 Гб</v>
      </c>
    </row>
    <row r="425" spans="1:22" x14ac:dyDescent="0.25">
      <c r="A425" t="s">
        <v>173</v>
      </c>
      <c r="B425" s="43">
        <v>36855</v>
      </c>
      <c r="C425" t="s">
        <v>58</v>
      </c>
      <c r="D425" t="s">
        <v>51</v>
      </c>
      <c r="E425" t="s">
        <v>52</v>
      </c>
      <c r="F425" t="s">
        <v>53</v>
      </c>
      <c r="G425" s="43">
        <v>43219</v>
      </c>
      <c r="H425">
        <v>5</v>
      </c>
      <c r="I425">
        <v>113052</v>
      </c>
      <c r="J425">
        <v>72000000</v>
      </c>
      <c r="O425">
        <v>1</v>
      </c>
      <c r="P425" s="77">
        <f t="shared" si="42"/>
        <v>1463</v>
      </c>
      <c r="Q425" s="78">
        <f t="shared" si="43"/>
        <v>376.84</v>
      </c>
      <c r="R425" s="78">
        <f t="shared" si="44"/>
        <v>13.73291015625</v>
      </c>
      <c r="S425" s="78">
        <f t="shared" si="45"/>
        <v>21</v>
      </c>
      <c r="T425" s="78">
        <f t="shared" si="46"/>
        <v>87.929333333333318</v>
      </c>
      <c r="U425" s="78" t="str">
        <f t="shared" si="47"/>
        <v>61-90</v>
      </c>
      <c r="V425" s="78" t="str">
        <f t="shared" si="48"/>
        <v>10-20 Гб</v>
      </c>
    </row>
    <row r="426" spans="1:22" x14ac:dyDescent="0.25">
      <c r="A426" t="s">
        <v>970</v>
      </c>
      <c r="B426" s="43">
        <v>36853</v>
      </c>
      <c r="C426" t="s">
        <v>50</v>
      </c>
      <c r="D426" t="s">
        <v>51</v>
      </c>
      <c r="E426" t="s">
        <v>54</v>
      </c>
      <c r="F426" t="s">
        <v>63</v>
      </c>
      <c r="G426" s="43">
        <v>43066</v>
      </c>
      <c r="H426">
        <v>5</v>
      </c>
      <c r="I426">
        <v>15020</v>
      </c>
      <c r="J426">
        <v>152000000</v>
      </c>
      <c r="P426" s="77">
        <f t="shared" si="42"/>
        <v>1616</v>
      </c>
      <c r="Q426" s="78">
        <f t="shared" si="43"/>
        <v>50.06666666666667</v>
      </c>
      <c r="R426" s="78">
        <f t="shared" si="44"/>
        <v>28.99169921875</v>
      </c>
      <c r="S426" s="78">
        <f t="shared" si="45"/>
        <v>21</v>
      </c>
      <c r="T426" s="78">
        <f t="shared" si="46"/>
        <v>11.682222222222224</v>
      </c>
      <c r="U426" s="78" t="str">
        <f t="shared" si="47"/>
        <v>&lt;35</v>
      </c>
      <c r="V426" s="78" t="str">
        <f t="shared" si="48"/>
        <v>21-30 Гб</v>
      </c>
    </row>
    <row r="427" spans="1:22" x14ac:dyDescent="0.25">
      <c r="A427" t="s">
        <v>648</v>
      </c>
      <c r="B427" s="43">
        <v>36850</v>
      </c>
      <c r="C427" t="s">
        <v>58</v>
      </c>
      <c r="D427" t="s">
        <v>51</v>
      </c>
      <c r="E427" t="s">
        <v>54</v>
      </c>
      <c r="F427" t="s">
        <v>57</v>
      </c>
      <c r="G427" s="43">
        <v>44403</v>
      </c>
      <c r="H427">
        <v>5</v>
      </c>
      <c r="I427">
        <v>73604</v>
      </c>
      <c r="J427">
        <v>64000000</v>
      </c>
      <c r="L427">
        <v>1</v>
      </c>
      <c r="P427" s="77">
        <f t="shared" si="42"/>
        <v>279</v>
      </c>
      <c r="Q427" s="78">
        <f t="shared" si="43"/>
        <v>245.34666666666666</v>
      </c>
      <c r="R427" s="78">
        <f t="shared" si="44"/>
        <v>12.20703125</v>
      </c>
      <c r="S427" s="78">
        <f t="shared" si="45"/>
        <v>21</v>
      </c>
      <c r="T427" s="78">
        <f t="shared" si="46"/>
        <v>57.247555555555557</v>
      </c>
      <c r="U427" s="78" t="str">
        <f t="shared" si="47"/>
        <v>35-60</v>
      </c>
      <c r="V427" s="78" t="str">
        <f t="shared" si="48"/>
        <v>10-20 Гб</v>
      </c>
    </row>
    <row r="428" spans="1:22" x14ac:dyDescent="0.25">
      <c r="A428" t="s">
        <v>943</v>
      </c>
      <c r="B428" s="43">
        <v>36850</v>
      </c>
      <c r="C428" t="s">
        <v>58</v>
      </c>
      <c r="D428" t="s">
        <v>51</v>
      </c>
      <c r="E428" t="s">
        <v>52</v>
      </c>
      <c r="F428" t="s">
        <v>63</v>
      </c>
      <c r="G428" s="43">
        <v>43530</v>
      </c>
      <c r="H428">
        <v>5</v>
      </c>
      <c r="I428">
        <v>20140</v>
      </c>
      <c r="J428">
        <v>160000000</v>
      </c>
      <c r="M428">
        <v>1</v>
      </c>
      <c r="P428" s="77">
        <f t="shared" si="42"/>
        <v>1152</v>
      </c>
      <c r="Q428" s="78">
        <f t="shared" si="43"/>
        <v>67.13333333333334</v>
      </c>
      <c r="R428" s="78">
        <f t="shared" si="44"/>
        <v>30.517578125</v>
      </c>
      <c r="S428" s="78">
        <f t="shared" si="45"/>
        <v>21</v>
      </c>
      <c r="T428" s="78">
        <f t="shared" si="46"/>
        <v>15.664444444444447</v>
      </c>
      <c r="U428" s="78" t="str">
        <f t="shared" si="47"/>
        <v>&lt;35</v>
      </c>
      <c r="V428" s="78" t="str">
        <f t="shared" si="48"/>
        <v>31-40 Гб</v>
      </c>
    </row>
    <row r="429" spans="1:22" x14ac:dyDescent="0.25">
      <c r="A429" t="s">
        <v>510</v>
      </c>
      <c r="B429" s="43">
        <v>36846</v>
      </c>
      <c r="C429" t="s">
        <v>58</v>
      </c>
      <c r="D429" t="s">
        <v>51</v>
      </c>
      <c r="E429" t="s">
        <v>54</v>
      </c>
      <c r="F429" t="s">
        <v>57</v>
      </c>
      <c r="G429" s="43">
        <v>43473</v>
      </c>
      <c r="H429">
        <v>5</v>
      </c>
      <c r="I429">
        <v>70660</v>
      </c>
      <c r="J429">
        <v>100000000</v>
      </c>
      <c r="P429" s="77">
        <f t="shared" si="42"/>
        <v>1209</v>
      </c>
      <c r="Q429" s="78">
        <f t="shared" si="43"/>
        <v>235.53333333333333</v>
      </c>
      <c r="R429" s="78">
        <f t="shared" si="44"/>
        <v>19.073486328125</v>
      </c>
      <c r="S429" s="78">
        <f t="shared" si="45"/>
        <v>21</v>
      </c>
      <c r="T429" s="78">
        <f t="shared" si="46"/>
        <v>54.957777777777778</v>
      </c>
      <c r="U429" s="78" t="str">
        <f t="shared" si="47"/>
        <v>35-60</v>
      </c>
      <c r="V429" s="78" t="str">
        <f t="shared" si="48"/>
        <v>10-20 Гб</v>
      </c>
    </row>
    <row r="430" spans="1:22" x14ac:dyDescent="0.25">
      <c r="A430" t="s">
        <v>1081</v>
      </c>
      <c r="B430" s="43">
        <v>36846</v>
      </c>
      <c r="C430" t="s">
        <v>50</v>
      </c>
      <c r="D430" t="s">
        <v>51</v>
      </c>
      <c r="E430" t="s">
        <v>52</v>
      </c>
      <c r="F430" t="s">
        <v>57</v>
      </c>
      <c r="G430" s="43">
        <v>44070</v>
      </c>
      <c r="H430">
        <v>5</v>
      </c>
      <c r="I430">
        <v>28956</v>
      </c>
      <c r="J430">
        <v>8000000</v>
      </c>
      <c r="P430" s="77">
        <f t="shared" si="42"/>
        <v>612</v>
      </c>
      <c r="Q430" s="78">
        <f t="shared" si="43"/>
        <v>96.52</v>
      </c>
      <c r="R430" s="78">
        <f t="shared" si="44"/>
        <v>1.52587890625</v>
      </c>
      <c r="S430" s="78">
        <f t="shared" si="45"/>
        <v>21</v>
      </c>
      <c r="T430" s="78">
        <f t="shared" si="46"/>
        <v>22.521333333333335</v>
      </c>
      <c r="U430" s="78" t="str">
        <f t="shared" si="47"/>
        <v>&lt;35</v>
      </c>
      <c r="V430" s="78" t="str">
        <f t="shared" si="48"/>
        <v>&lt;10 Гб</v>
      </c>
    </row>
    <row r="431" spans="1:22" x14ac:dyDescent="0.25">
      <c r="A431" t="s">
        <v>1079</v>
      </c>
      <c r="B431" s="43">
        <v>36844</v>
      </c>
      <c r="C431" t="s">
        <v>50</v>
      </c>
      <c r="D431" t="s">
        <v>51</v>
      </c>
      <c r="E431" t="s">
        <v>52</v>
      </c>
      <c r="F431" t="s">
        <v>63</v>
      </c>
      <c r="G431" s="43">
        <v>43304</v>
      </c>
      <c r="H431">
        <v>5</v>
      </c>
      <c r="I431">
        <v>28780</v>
      </c>
      <c r="J431">
        <v>132000000</v>
      </c>
      <c r="M431">
        <v>1</v>
      </c>
      <c r="P431" s="77">
        <f t="shared" si="42"/>
        <v>1378</v>
      </c>
      <c r="Q431" s="78">
        <f t="shared" si="43"/>
        <v>95.933333333333337</v>
      </c>
      <c r="R431" s="78">
        <f t="shared" si="44"/>
        <v>25.177001953125</v>
      </c>
      <c r="S431" s="78">
        <f t="shared" si="45"/>
        <v>21</v>
      </c>
      <c r="T431" s="78">
        <f t="shared" si="46"/>
        <v>22.384444444444444</v>
      </c>
      <c r="U431" s="78" t="str">
        <f t="shared" si="47"/>
        <v>&lt;35</v>
      </c>
      <c r="V431" s="78" t="str">
        <f t="shared" si="48"/>
        <v>21-30 Гб</v>
      </c>
    </row>
    <row r="432" spans="1:22" x14ac:dyDescent="0.25">
      <c r="A432" t="s">
        <v>860</v>
      </c>
      <c r="B432" s="43">
        <v>36842</v>
      </c>
      <c r="C432" t="s">
        <v>58</v>
      </c>
      <c r="D432" t="s">
        <v>51</v>
      </c>
      <c r="E432" t="s">
        <v>52</v>
      </c>
      <c r="F432" t="s">
        <v>63</v>
      </c>
      <c r="G432" s="43">
        <v>43963</v>
      </c>
      <c r="H432">
        <v>5</v>
      </c>
      <c r="I432">
        <v>31020</v>
      </c>
      <c r="J432">
        <v>124000000</v>
      </c>
      <c r="K432">
        <v>1</v>
      </c>
      <c r="O432">
        <v>1</v>
      </c>
      <c r="P432" s="77">
        <f t="shared" si="42"/>
        <v>719</v>
      </c>
      <c r="Q432" s="78">
        <f t="shared" si="43"/>
        <v>103.4</v>
      </c>
      <c r="R432" s="78">
        <f t="shared" si="44"/>
        <v>23.651123046875</v>
      </c>
      <c r="S432" s="78">
        <f t="shared" si="45"/>
        <v>21</v>
      </c>
      <c r="T432" s="78">
        <f t="shared" si="46"/>
        <v>24.126666666666669</v>
      </c>
      <c r="U432" s="78" t="str">
        <f t="shared" si="47"/>
        <v>&lt;35</v>
      </c>
      <c r="V432" s="78" t="str">
        <f t="shared" si="48"/>
        <v>21-30 Гб</v>
      </c>
    </row>
    <row r="433" spans="1:22" x14ac:dyDescent="0.25">
      <c r="A433" t="s">
        <v>124</v>
      </c>
      <c r="B433" s="43">
        <v>36841</v>
      </c>
      <c r="C433" t="s">
        <v>50</v>
      </c>
      <c r="D433" t="s">
        <v>51</v>
      </c>
      <c r="E433" t="s">
        <v>54</v>
      </c>
      <c r="F433" t="s">
        <v>63</v>
      </c>
      <c r="G433" s="43">
        <v>44585</v>
      </c>
      <c r="H433">
        <v>3</v>
      </c>
      <c r="I433">
        <v>29100</v>
      </c>
      <c r="J433">
        <v>100233333</v>
      </c>
      <c r="L433">
        <v>1</v>
      </c>
      <c r="P433" s="77">
        <f t="shared" si="42"/>
        <v>97</v>
      </c>
      <c r="Q433" s="78">
        <f t="shared" si="43"/>
        <v>150</v>
      </c>
      <c r="R433" s="78">
        <f t="shared" si="44"/>
        <v>29.563903710276808</v>
      </c>
      <c r="S433" s="78">
        <f t="shared" si="45"/>
        <v>21</v>
      </c>
      <c r="T433" s="78">
        <f t="shared" si="46"/>
        <v>35</v>
      </c>
      <c r="U433" s="78" t="str">
        <f t="shared" si="47"/>
        <v>&lt;35</v>
      </c>
      <c r="V433" s="78" t="str">
        <f t="shared" si="48"/>
        <v>21-30 Гб</v>
      </c>
    </row>
    <row r="434" spans="1:22" x14ac:dyDescent="0.25">
      <c r="A434" t="s">
        <v>910</v>
      </c>
      <c r="B434" s="43">
        <v>36840</v>
      </c>
      <c r="C434" t="s">
        <v>58</v>
      </c>
      <c r="D434" t="s">
        <v>51</v>
      </c>
      <c r="E434" t="s">
        <v>54</v>
      </c>
      <c r="F434" t="s">
        <v>63</v>
      </c>
      <c r="G434" s="43">
        <v>44271</v>
      </c>
      <c r="H434">
        <v>5</v>
      </c>
      <c r="I434">
        <v>19420</v>
      </c>
      <c r="J434">
        <v>132000000</v>
      </c>
      <c r="P434" s="77">
        <f t="shared" si="42"/>
        <v>411</v>
      </c>
      <c r="Q434" s="78">
        <f t="shared" si="43"/>
        <v>64.733333333333334</v>
      </c>
      <c r="R434" s="78">
        <f t="shared" si="44"/>
        <v>25.177001953125</v>
      </c>
      <c r="S434" s="78">
        <f t="shared" si="45"/>
        <v>21</v>
      </c>
      <c r="T434" s="78">
        <f t="shared" si="46"/>
        <v>15.104444444444445</v>
      </c>
      <c r="U434" s="78" t="str">
        <f t="shared" si="47"/>
        <v>&lt;35</v>
      </c>
      <c r="V434" s="78" t="str">
        <f t="shared" si="48"/>
        <v>21-30 Гб</v>
      </c>
    </row>
    <row r="435" spans="1:22" x14ac:dyDescent="0.25">
      <c r="A435" t="s">
        <v>301</v>
      </c>
      <c r="B435" s="43">
        <v>36839</v>
      </c>
      <c r="C435" t="s">
        <v>50</v>
      </c>
      <c r="D435" t="s">
        <v>51</v>
      </c>
      <c r="E435" t="s">
        <v>52</v>
      </c>
      <c r="F435" t="s">
        <v>56</v>
      </c>
      <c r="G435" s="43">
        <v>43650</v>
      </c>
      <c r="H435">
        <v>5</v>
      </c>
      <c r="I435">
        <v>103096</v>
      </c>
      <c r="J435">
        <v>124000000</v>
      </c>
      <c r="P435" s="77">
        <f t="shared" si="42"/>
        <v>1032</v>
      </c>
      <c r="Q435" s="78">
        <f t="shared" si="43"/>
        <v>343.65333333333331</v>
      </c>
      <c r="R435" s="78">
        <f t="shared" si="44"/>
        <v>23.651123046875</v>
      </c>
      <c r="S435" s="78">
        <f t="shared" si="45"/>
        <v>21</v>
      </c>
      <c r="T435" s="78">
        <f t="shared" si="46"/>
        <v>80.185777777777773</v>
      </c>
      <c r="U435" s="78" t="str">
        <f t="shared" si="47"/>
        <v>61-90</v>
      </c>
      <c r="V435" s="78" t="str">
        <f t="shared" si="48"/>
        <v>21-30 Гб</v>
      </c>
    </row>
    <row r="436" spans="1:22" x14ac:dyDescent="0.25">
      <c r="A436" t="s">
        <v>997</v>
      </c>
      <c r="B436" s="43">
        <v>36838</v>
      </c>
      <c r="C436" t="s">
        <v>50</v>
      </c>
      <c r="D436" t="s">
        <v>51</v>
      </c>
      <c r="E436" t="s">
        <v>52</v>
      </c>
      <c r="F436" t="s">
        <v>63</v>
      </c>
      <c r="G436" s="43">
        <v>42843</v>
      </c>
      <c r="H436">
        <v>5</v>
      </c>
      <c r="I436">
        <v>9744</v>
      </c>
      <c r="J436">
        <v>84000000</v>
      </c>
      <c r="P436" s="77">
        <f t="shared" si="42"/>
        <v>1839</v>
      </c>
      <c r="Q436" s="78">
        <f t="shared" si="43"/>
        <v>32.479999999999997</v>
      </c>
      <c r="R436" s="78">
        <f t="shared" si="44"/>
        <v>16.021728515625</v>
      </c>
      <c r="S436" s="78">
        <f t="shared" si="45"/>
        <v>21</v>
      </c>
      <c r="T436" s="78">
        <f t="shared" si="46"/>
        <v>7.578666666666666</v>
      </c>
      <c r="U436" s="78" t="str">
        <f t="shared" si="47"/>
        <v>&lt;35</v>
      </c>
      <c r="V436" s="78" t="str">
        <f t="shared" si="48"/>
        <v>10-20 Гб</v>
      </c>
    </row>
    <row r="437" spans="1:22" x14ac:dyDescent="0.25">
      <c r="A437" t="s">
        <v>927</v>
      </c>
      <c r="B437" s="43">
        <v>36837</v>
      </c>
      <c r="C437" t="s">
        <v>58</v>
      </c>
      <c r="D437" t="s">
        <v>51</v>
      </c>
      <c r="E437" t="s">
        <v>52</v>
      </c>
      <c r="F437" t="s">
        <v>63</v>
      </c>
      <c r="G437" s="43">
        <v>42857</v>
      </c>
      <c r="H437">
        <v>5</v>
      </c>
      <c r="I437">
        <v>15508</v>
      </c>
      <c r="J437">
        <v>104000000</v>
      </c>
      <c r="L437">
        <v>1</v>
      </c>
      <c r="N437">
        <v>1</v>
      </c>
      <c r="P437" s="77">
        <f t="shared" si="42"/>
        <v>1825</v>
      </c>
      <c r="Q437" s="78">
        <f t="shared" si="43"/>
        <v>51.693333333333335</v>
      </c>
      <c r="R437" s="78">
        <f t="shared" si="44"/>
        <v>19.83642578125</v>
      </c>
      <c r="S437" s="78">
        <f t="shared" si="45"/>
        <v>21</v>
      </c>
      <c r="T437" s="78">
        <f t="shared" si="46"/>
        <v>12.061777777777779</v>
      </c>
      <c r="U437" s="78" t="str">
        <f t="shared" si="47"/>
        <v>&lt;35</v>
      </c>
      <c r="V437" s="78" t="str">
        <f t="shared" si="48"/>
        <v>10-20 Гб</v>
      </c>
    </row>
    <row r="438" spans="1:22" x14ac:dyDescent="0.25">
      <c r="A438" t="s">
        <v>468</v>
      </c>
      <c r="B438" s="43">
        <v>36836</v>
      </c>
      <c r="C438" t="s">
        <v>50</v>
      </c>
      <c r="D438" t="s">
        <v>51</v>
      </c>
      <c r="E438" t="s">
        <v>52</v>
      </c>
      <c r="F438" t="s">
        <v>57</v>
      </c>
      <c r="G438" s="43">
        <v>43220</v>
      </c>
      <c r="H438">
        <v>5</v>
      </c>
      <c r="I438">
        <v>94128</v>
      </c>
      <c r="J438">
        <v>8000000</v>
      </c>
      <c r="P438" s="77">
        <f t="shared" si="42"/>
        <v>1462</v>
      </c>
      <c r="Q438" s="78">
        <f t="shared" si="43"/>
        <v>313.76</v>
      </c>
      <c r="R438" s="78">
        <f t="shared" si="44"/>
        <v>1.52587890625</v>
      </c>
      <c r="S438" s="78">
        <f t="shared" si="45"/>
        <v>21</v>
      </c>
      <c r="T438" s="78">
        <f t="shared" si="46"/>
        <v>73.210666666666654</v>
      </c>
      <c r="U438" s="78" t="str">
        <f t="shared" si="47"/>
        <v>61-90</v>
      </c>
      <c r="V438" s="78" t="str">
        <f t="shared" si="48"/>
        <v>&lt;10 Гб</v>
      </c>
    </row>
    <row r="439" spans="1:22" x14ac:dyDescent="0.25">
      <c r="A439" t="s">
        <v>556</v>
      </c>
      <c r="B439" s="43">
        <v>36835</v>
      </c>
      <c r="C439" t="s">
        <v>50</v>
      </c>
      <c r="D439" t="s">
        <v>51</v>
      </c>
      <c r="E439" t="s">
        <v>52</v>
      </c>
      <c r="F439" t="s">
        <v>57</v>
      </c>
      <c r="G439" s="43">
        <v>43176</v>
      </c>
      <c r="H439">
        <v>5</v>
      </c>
      <c r="I439">
        <v>33648</v>
      </c>
      <c r="J439">
        <v>84000000</v>
      </c>
      <c r="L439">
        <v>1</v>
      </c>
      <c r="P439" s="77">
        <f t="shared" si="42"/>
        <v>1506</v>
      </c>
      <c r="Q439" s="78">
        <f t="shared" si="43"/>
        <v>112.16</v>
      </c>
      <c r="R439" s="78">
        <f t="shared" si="44"/>
        <v>16.021728515625</v>
      </c>
      <c r="S439" s="78">
        <f t="shared" si="45"/>
        <v>21</v>
      </c>
      <c r="T439" s="78">
        <f t="shared" si="46"/>
        <v>26.170666666666666</v>
      </c>
      <c r="U439" s="78" t="str">
        <f t="shared" si="47"/>
        <v>&lt;35</v>
      </c>
      <c r="V439" s="78" t="str">
        <f t="shared" si="48"/>
        <v>10-20 Гб</v>
      </c>
    </row>
    <row r="440" spans="1:22" x14ac:dyDescent="0.25">
      <c r="A440" t="s">
        <v>624</v>
      </c>
      <c r="B440" s="43">
        <v>36835</v>
      </c>
      <c r="C440" t="s">
        <v>50</v>
      </c>
      <c r="D440" t="s">
        <v>51</v>
      </c>
      <c r="E440" t="s">
        <v>52</v>
      </c>
      <c r="F440" t="s">
        <v>57</v>
      </c>
      <c r="G440" s="43">
        <v>43300</v>
      </c>
      <c r="H440">
        <v>5</v>
      </c>
      <c r="I440">
        <v>19972</v>
      </c>
      <c r="J440">
        <v>100000000</v>
      </c>
      <c r="N440">
        <v>1</v>
      </c>
      <c r="P440" s="77">
        <f t="shared" si="42"/>
        <v>1382</v>
      </c>
      <c r="Q440" s="78">
        <f t="shared" si="43"/>
        <v>66.573333333333338</v>
      </c>
      <c r="R440" s="78">
        <f t="shared" si="44"/>
        <v>19.073486328125</v>
      </c>
      <c r="S440" s="78">
        <f t="shared" si="45"/>
        <v>21</v>
      </c>
      <c r="T440" s="78">
        <f t="shared" si="46"/>
        <v>15.533777777777779</v>
      </c>
      <c r="U440" s="78" t="str">
        <f t="shared" si="47"/>
        <v>&lt;35</v>
      </c>
      <c r="V440" s="78" t="str">
        <f t="shared" si="48"/>
        <v>10-20 Гб</v>
      </c>
    </row>
    <row r="441" spans="1:22" x14ac:dyDescent="0.25">
      <c r="A441" t="s">
        <v>310</v>
      </c>
      <c r="B441" s="43">
        <v>36832</v>
      </c>
      <c r="C441" t="s">
        <v>58</v>
      </c>
      <c r="D441" t="s">
        <v>51</v>
      </c>
      <c r="E441" t="s">
        <v>52</v>
      </c>
      <c r="F441" t="s">
        <v>56</v>
      </c>
      <c r="G441" s="43">
        <v>43577</v>
      </c>
      <c r="H441">
        <v>5</v>
      </c>
      <c r="I441">
        <v>55636</v>
      </c>
      <c r="J441">
        <v>120000000</v>
      </c>
      <c r="P441" s="77">
        <f t="shared" si="42"/>
        <v>1105</v>
      </c>
      <c r="Q441" s="78">
        <f t="shared" si="43"/>
        <v>185.45333333333335</v>
      </c>
      <c r="R441" s="78">
        <f t="shared" si="44"/>
        <v>22.88818359375</v>
      </c>
      <c r="S441" s="78">
        <f t="shared" si="45"/>
        <v>21</v>
      </c>
      <c r="T441" s="78">
        <f t="shared" si="46"/>
        <v>43.272444444444446</v>
      </c>
      <c r="U441" s="78" t="str">
        <f t="shared" si="47"/>
        <v>35-60</v>
      </c>
      <c r="V441" s="78" t="str">
        <f t="shared" si="48"/>
        <v>21-30 Гб</v>
      </c>
    </row>
    <row r="442" spans="1:22" x14ac:dyDescent="0.25">
      <c r="A442" t="s">
        <v>926</v>
      </c>
      <c r="B442" s="43">
        <v>36832</v>
      </c>
      <c r="C442" t="s">
        <v>58</v>
      </c>
      <c r="D442" t="s">
        <v>51</v>
      </c>
      <c r="E442" t="s">
        <v>52</v>
      </c>
      <c r="F442" t="s">
        <v>63</v>
      </c>
      <c r="G442" s="43">
        <v>43346</v>
      </c>
      <c r="H442">
        <v>5</v>
      </c>
      <c r="I442">
        <v>34392</v>
      </c>
      <c r="J442">
        <v>144000000</v>
      </c>
      <c r="O442">
        <v>1</v>
      </c>
      <c r="P442" s="77">
        <f t="shared" si="42"/>
        <v>1336</v>
      </c>
      <c r="Q442" s="78">
        <f t="shared" si="43"/>
        <v>114.64</v>
      </c>
      <c r="R442" s="78">
        <f t="shared" si="44"/>
        <v>27.4658203125</v>
      </c>
      <c r="S442" s="78">
        <f t="shared" si="45"/>
        <v>21</v>
      </c>
      <c r="T442" s="78">
        <f t="shared" si="46"/>
        <v>26.749333333333333</v>
      </c>
      <c r="U442" s="78" t="str">
        <f t="shared" si="47"/>
        <v>&lt;35</v>
      </c>
      <c r="V442" s="78" t="str">
        <f t="shared" si="48"/>
        <v>21-30 Гб</v>
      </c>
    </row>
    <row r="443" spans="1:22" x14ac:dyDescent="0.25">
      <c r="A443" t="s">
        <v>254</v>
      </c>
      <c r="B443" s="43">
        <v>36828</v>
      </c>
      <c r="C443" t="s">
        <v>50</v>
      </c>
      <c r="D443" t="s">
        <v>51</v>
      </c>
      <c r="E443" t="s">
        <v>52</v>
      </c>
      <c r="F443" t="s">
        <v>56</v>
      </c>
      <c r="G443" s="43">
        <v>43098</v>
      </c>
      <c r="H443">
        <v>5</v>
      </c>
      <c r="I443">
        <v>105448</v>
      </c>
      <c r="J443">
        <v>136000000</v>
      </c>
      <c r="P443" s="77">
        <f t="shared" si="42"/>
        <v>1584</v>
      </c>
      <c r="Q443" s="78">
        <f t="shared" si="43"/>
        <v>351.49333333333334</v>
      </c>
      <c r="R443" s="78">
        <f t="shared" si="44"/>
        <v>25.93994140625</v>
      </c>
      <c r="S443" s="78">
        <f t="shared" si="45"/>
        <v>21</v>
      </c>
      <c r="T443" s="78">
        <f t="shared" si="46"/>
        <v>82.015111111111111</v>
      </c>
      <c r="U443" s="78" t="str">
        <f t="shared" si="47"/>
        <v>61-90</v>
      </c>
      <c r="V443" s="78" t="str">
        <f t="shared" si="48"/>
        <v>21-30 Гб</v>
      </c>
    </row>
    <row r="444" spans="1:22" x14ac:dyDescent="0.25">
      <c r="A444" t="s">
        <v>981</v>
      </c>
      <c r="B444" s="43">
        <v>36826</v>
      </c>
      <c r="C444" t="s">
        <v>58</v>
      </c>
      <c r="D444" t="s">
        <v>51</v>
      </c>
      <c r="E444" t="s">
        <v>54</v>
      </c>
      <c r="F444" t="s">
        <v>63</v>
      </c>
      <c r="G444" s="43">
        <v>43317</v>
      </c>
      <c r="H444">
        <v>5</v>
      </c>
      <c r="I444">
        <v>20576</v>
      </c>
      <c r="J444">
        <v>144000000</v>
      </c>
      <c r="P444" s="77">
        <f t="shared" si="42"/>
        <v>1365</v>
      </c>
      <c r="Q444" s="78">
        <f t="shared" si="43"/>
        <v>68.586666666666673</v>
      </c>
      <c r="R444" s="78">
        <f t="shared" si="44"/>
        <v>27.4658203125</v>
      </c>
      <c r="S444" s="78">
        <f t="shared" si="45"/>
        <v>21</v>
      </c>
      <c r="T444" s="78">
        <f t="shared" si="46"/>
        <v>16.003555555555558</v>
      </c>
      <c r="U444" s="78" t="str">
        <f t="shared" si="47"/>
        <v>&lt;35</v>
      </c>
      <c r="V444" s="78" t="str">
        <f t="shared" si="48"/>
        <v>21-30 Гб</v>
      </c>
    </row>
    <row r="445" spans="1:22" x14ac:dyDescent="0.25">
      <c r="A445" t="s">
        <v>737</v>
      </c>
      <c r="B445" s="43">
        <v>36819</v>
      </c>
      <c r="C445" t="s">
        <v>50</v>
      </c>
      <c r="D445" t="s">
        <v>51</v>
      </c>
      <c r="E445" t="s">
        <v>54</v>
      </c>
      <c r="F445" t="s">
        <v>63</v>
      </c>
      <c r="G445" s="43">
        <v>43419</v>
      </c>
      <c r="H445">
        <v>5</v>
      </c>
      <c r="I445">
        <v>27544</v>
      </c>
      <c r="J445">
        <v>156000000</v>
      </c>
      <c r="P445" s="77">
        <f t="shared" si="42"/>
        <v>1263</v>
      </c>
      <c r="Q445" s="78">
        <f t="shared" si="43"/>
        <v>91.813333333333333</v>
      </c>
      <c r="R445" s="78">
        <f t="shared" si="44"/>
        <v>29.754638671875</v>
      </c>
      <c r="S445" s="78">
        <f t="shared" si="45"/>
        <v>21</v>
      </c>
      <c r="T445" s="78">
        <f t="shared" si="46"/>
        <v>21.423111111111112</v>
      </c>
      <c r="U445" s="78" t="str">
        <f t="shared" si="47"/>
        <v>&lt;35</v>
      </c>
      <c r="V445" s="78" t="str">
        <f t="shared" si="48"/>
        <v>21-30 Гб</v>
      </c>
    </row>
    <row r="446" spans="1:22" x14ac:dyDescent="0.25">
      <c r="A446" t="s">
        <v>930</v>
      </c>
      <c r="B446" s="43">
        <v>36818</v>
      </c>
      <c r="C446" t="s">
        <v>50</v>
      </c>
      <c r="D446" t="s">
        <v>51</v>
      </c>
      <c r="E446" t="s">
        <v>52</v>
      </c>
      <c r="F446" t="s">
        <v>63</v>
      </c>
      <c r="G446" s="43">
        <v>42994</v>
      </c>
      <c r="H446">
        <v>5</v>
      </c>
      <c r="I446">
        <v>23196</v>
      </c>
      <c r="J446">
        <v>72000000</v>
      </c>
      <c r="K446">
        <v>1</v>
      </c>
      <c r="P446" s="77">
        <f t="shared" si="42"/>
        <v>1688</v>
      </c>
      <c r="Q446" s="78">
        <f t="shared" si="43"/>
        <v>77.319999999999993</v>
      </c>
      <c r="R446" s="78">
        <f t="shared" si="44"/>
        <v>13.73291015625</v>
      </c>
      <c r="S446" s="78">
        <f t="shared" si="45"/>
        <v>21</v>
      </c>
      <c r="T446" s="78">
        <f t="shared" si="46"/>
        <v>18.041333333333334</v>
      </c>
      <c r="U446" s="78" t="str">
        <f t="shared" si="47"/>
        <v>&lt;35</v>
      </c>
      <c r="V446" s="78" t="str">
        <f t="shared" si="48"/>
        <v>10-20 Гб</v>
      </c>
    </row>
    <row r="447" spans="1:22" x14ac:dyDescent="0.25">
      <c r="A447" t="s">
        <v>1033</v>
      </c>
      <c r="B447" s="43">
        <v>36817</v>
      </c>
      <c r="C447" t="s">
        <v>58</v>
      </c>
      <c r="D447" t="s">
        <v>51</v>
      </c>
      <c r="E447" t="s">
        <v>52</v>
      </c>
      <c r="F447" t="s">
        <v>63</v>
      </c>
      <c r="G447" s="43">
        <v>43768</v>
      </c>
      <c r="H447">
        <v>5</v>
      </c>
      <c r="I447">
        <v>11676</v>
      </c>
      <c r="J447">
        <v>132000000</v>
      </c>
      <c r="P447" s="77">
        <f t="shared" si="42"/>
        <v>914</v>
      </c>
      <c r="Q447" s="78">
        <f t="shared" si="43"/>
        <v>38.92</v>
      </c>
      <c r="R447" s="78">
        <f t="shared" si="44"/>
        <v>25.177001953125</v>
      </c>
      <c r="S447" s="78">
        <f t="shared" si="45"/>
        <v>21</v>
      </c>
      <c r="T447" s="78">
        <f t="shared" si="46"/>
        <v>9.0813333333333333</v>
      </c>
      <c r="U447" s="78" t="str">
        <f t="shared" si="47"/>
        <v>&lt;35</v>
      </c>
      <c r="V447" s="78" t="str">
        <f t="shared" si="48"/>
        <v>21-30 Гб</v>
      </c>
    </row>
    <row r="448" spans="1:22" x14ac:dyDescent="0.25">
      <c r="A448" t="s">
        <v>392</v>
      </c>
      <c r="B448" s="43">
        <v>36816</v>
      </c>
      <c r="C448" t="s">
        <v>58</v>
      </c>
      <c r="D448" t="s">
        <v>51</v>
      </c>
      <c r="E448" t="s">
        <v>52</v>
      </c>
      <c r="F448" t="s">
        <v>56</v>
      </c>
      <c r="G448" s="43">
        <v>43750</v>
      </c>
      <c r="H448">
        <v>5</v>
      </c>
      <c r="I448">
        <v>59120</v>
      </c>
      <c r="J448">
        <v>120000000</v>
      </c>
      <c r="P448" s="77">
        <f t="shared" ref="P448:P511" si="49">DATEDIF(G448,$C$2,"D")</f>
        <v>932</v>
      </c>
      <c r="Q448" s="78">
        <f t="shared" ref="Q448:Q511" si="50">IF(P448&lt;DATEDIF($C$3,$C$2,"D"),I448/(60*(P448/30)),I448/(60*5))</f>
        <v>197.06666666666666</v>
      </c>
      <c r="R448" s="78">
        <f t="shared" ref="R448:R511" si="51">IF(P448&lt;DATEDIF($C$3,$C$2,"D"),J448/(1048576*(P448/30)),J448/(1048576*5))</f>
        <v>22.88818359375</v>
      </c>
      <c r="S448" s="78">
        <f t="shared" ref="S448:S511" si="52">DATEDIF(B448,$C$2,"Y")</f>
        <v>21</v>
      </c>
      <c r="T448" s="78">
        <f t="shared" si="46"/>
        <v>45.982222222222227</v>
      </c>
      <c r="U448" s="78" t="str">
        <f t="shared" si="47"/>
        <v>35-60</v>
      </c>
      <c r="V448" s="78" t="str">
        <f t="shared" si="48"/>
        <v>21-30 Гб</v>
      </c>
    </row>
    <row r="449" spans="1:22" x14ac:dyDescent="0.25">
      <c r="A449" t="s">
        <v>363</v>
      </c>
      <c r="B449" s="43">
        <v>36810</v>
      </c>
      <c r="C449" t="s">
        <v>50</v>
      </c>
      <c r="D449" t="s">
        <v>51</v>
      </c>
      <c r="E449" t="s">
        <v>52</v>
      </c>
      <c r="F449" t="s">
        <v>56</v>
      </c>
      <c r="G449" s="43">
        <v>44013</v>
      </c>
      <c r="H449">
        <v>5</v>
      </c>
      <c r="I449">
        <v>18828</v>
      </c>
      <c r="J449">
        <v>116000000</v>
      </c>
      <c r="K449">
        <v>1</v>
      </c>
      <c r="L449">
        <v>1</v>
      </c>
      <c r="O449">
        <v>1</v>
      </c>
      <c r="P449" s="77">
        <f t="shared" si="49"/>
        <v>669</v>
      </c>
      <c r="Q449" s="78">
        <f t="shared" si="50"/>
        <v>62.76</v>
      </c>
      <c r="R449" s="78">
        <f t="shared" si="51"/>
        <v>22.125244140625</v>
      </c>
      <c r="S449" s="78">
        <f t="shared" si="52"/>
        <v>21</v>
      </c>
      <c r="T449" s="78">
        <f t="shared" si="46"/>
        <v>14.644</v>
      </c>
      <c r="U449" s="78" t="str">
        <f t="shared" si="47"/>
        <v>&lt;35</v>
      </c>
      <c r="V449" s="78" t="str">
        <f t="shared" si="48"/>
        <v>21-30 Гб</v>
      </c>
    </row>
    <row r="450" spans="1:22" x14ac:dyDescent="0.25">
      <c r="A450" t="s">
        <v>917</v>
      </c>
      <c r="B450" s="43">
        <v>36808</v>
      </c>
      <c r="C450" t="s">
        <v>58</v>
      </c>
      <c r="D450" t="s">
        <v>51</v>
      </c>
      <c r="E450" t="s">
        <v>54</v>
      </c>
      <c r="F450" t="s">
        <v>63</v>
      </c>
      <c r="G450" s="43">
        <v>43201</v>
      </c>
      <c r="H450">
        <v>5</v>
      </c>
      <c r="I450">
        <v>19168</v>
      </c>
      <c r="J450">
        <v>52000000</v>
      </c>
      <c r="K450">
        <v>1</v>
      </c>
      <c r="P450" s="77">
        <f t="shared" si="49"/>
        <v>1481</v>
      </c>
      <c r="Q450" s="78">
        <f t="shared" si="50"/>
        <v>63.893333333333331</v>
      </c>
      <c r="R450" s="78">
        <f t="shared" si="51"/>
        <v>9.918212890625</v>
      </c>
      <c r="S450" s="78">
        <f t="shared" si="52"/>
        <v>21</v>
      </c>
      <c r="T450" s="78">
        <f t="shared" si="46"/>
        <v>14.908444444444445</v>
      </c>
      <c r="U450" s="78" t="str">
        <f t="shared" si="47"/>
        <v>&lt;35</v>
      </c>
      <c r="V450" s="78" t="str">
        <f t="shared" si="48"/>
        <v>&lt;10 Гб</v>
      </c>
    </row>
    <row r="451" spans="1:22" x14ac:dyDescent="0.25">
      <c r="A451" t="s">
        <v>559</v>
      </c>
      <c r="B451" s="43">
        <v>36803</v>
      </c>
      <c r="C451" t="s">
        <v>50</v>
      </c>
      <c r="D451" t="s">
        <v>51</v>
      </c>
      <c r="E451" t="s">
        <v>54</v>
      </c>
      <c r="F451" t="s">
        <v>57</v>
      </c>
      <c r="G451" s="43">
        <v>43496</v>
      </c>
      <c r="H451">
        <v>5</v>
      </c>
      <c r="I451">
        <v>31208</v>
      </c>
      <c r="J451">
        <v>0</v>
      </c>
      <c r="N451">
        <v>1</v>
      </c>
      <c r="P451" s="77">
        <f t="shared" si="49"/>
        <v>1186</v>
      </c>
      <c r="Q451" s="78">
        <f t="shared" si="50"/>
        <v>104.02666666666667</v>
      </c>
      <c r="R451" s="78">
        <f t="shared" si="51"/>
        <v>0</v>
      </c>
      <c r="S451" s="78">
        <f t="shared" si="52"/>
        <v>21</v>
      </c>
      <c r="T451" s="78">
        <f t="shared" si="46"/>
        <v>24.27288888888889</v>
      </c>
      <c r="U451" s="78" t="str">
        <f t="shared" si="47"/>
        <v>&lt;35</v>
      </c>
      <c r="V451" s="78" t="str">
        <f t="shared" si="48"/>
        <v>&lt;10 Гб</v>
      </c>
    </row>
    <row r="452" spans="1:22" x14ac:dyDescent="0.25">
      <c r="A452" t="s">
        <v>83</v>
      </c>
      <c r="B452" s="43">
        <v>36802</v>
      </c>
      <c r="C452" t="s">
        <v>58</v>
      </c>
      <c r="D452" t="s">
        <v>51</v>
      </c>
      <c r="E452" t="s">
        <v>52</v>
      </c>
      <c r="F452" t="s">
        <v>57</v>
      </c>
      <c r="G452" s="43">
        <v>44632</v>
      </c>
      <c r="H452">
        <v>1</v>
      </c>
      <c r="I452">
        <v>22985</v>
      </c>
      <c r="J452">
        <v>26666667</v>
      </c>
      <c r="P452" s="77">
        <f t="shared" si="49"/>
        <v>50</v>
      </c>
      <c r="Q452" s="78">
        <f t="shared" si="50"/>
        <v>229.85</v>
      </c>
      <c r="R452" s="78">
        <f t="shared" si="51"/>
        <v>15.258789253234863</v>
      </c>
      <c r="S452" s="78">
        <f t="shared" si="52"/>
        <v>21</v>
      </c>
      <c r="T452" s="78">
        <f t="shared" si="46"/>
        <v>53.631666666666668</v>
      </c>
      <c r="U452" s="78" t="str">
        <f t="shared" si="47"/>
        <v>35-60</v>
      </c>
      <c r="V452" s="78" t="str">
        <f t="shared" si="48"/>
        <v>10-20 Гб</v>
      </c>
    </row>
    <row r="453" spans="1:22" x14ac:dyDescent="0.25">
      <c r="A453" t="s">
        <v>382</v>
      </c>
      <c r="B453" s="43">
        <v>36798</v>
      </c>
      <c r="C453" t="s">
        <v>50</v>
      </c>
      <c r="D453" t="s">
        <v>51</v>
      </c>
      <c r="E453" t="s">
        <v>54</v>
      </c>
      <c r="F453" t="s">
        <v>56</v>
      </c>
      <c r="G453" s="43">
        <v>43960</v>
      </c>
      <c r="H453">
        <v>5</v>
      </c>
      <c r="I453">
        <v>56280</v>
      </c>
      <c r="J453">
        <v>128000000</v>
      </c>
      <c r="P453" s="77">
        <f t="shared" si="49"/>
        <v>722</v>
      </c>
      <c r="Q453" s="78">
        <f t="shared" si="50"/>
        <v>187.6</v>
      </c>
      <c r="R453" s="78">
        <f t="shared" si="51"/>
        <v>24.4140625</v>
      </c>
      <c r="S453" s="78">
        <f t="shared" si="52"/>
        <v>21</v>
      </c>
      <c r="T453" s="78">
        <f t="shared" si="46"/>
        <v>43.773333333333333</v>
      </c>
      <c r="U453" s="78" t="str">
        <f t="shared" si="47"/>
        <v>35-60</v>
      </c>
      <c r="V453" s="78" t="str">
        <f t="shared" si="48"/>
        <v>21-30 Гб</v>
      </c>
    </row>
    <row r="454" spans="1:22" x14ac:dyDescent="0.25">
      <c r="A454" t="s">
        <v>581</v>
      </c>
      <c r="B454" s="43">
        <v>36797</v>
      </c>
      <c r="C454" t="s">
        <v>50</v>
      </c>
      <c r="D454" t="s">
        <v>51</v>
      </c>
      <c r="E454" t="s">
        <v>52</v>
      </c>
      <c r="F454" t="s">
        <v>57</v>
      </c>
      <c r="G454" s="43">
        <v>43951</v>
      </c>
      <c r="H454">
        <v>5</v>
      </c>
      <c r="I454">
        <v>55832</v>
      </c>
      <c r="J454">
        <v>108000000</v>
      </c>
      <c r="L454">
        <v>1</v>
      </c>
      <c r="P454" s="77">
        <f t="shared" si="49"/>
        <v>731</v>
      </c>
      <c r="Q454" s="78">
        <f t="shared" si="50"/>
        <v>186.10666666666665</v>
      </c>
      <c r="R454" s="78">
        <f t="shared" si="51"/>
        <v>20.599365234375</v>
      </c>
      <c r="S454" s="78">
        <f t="shared" si="52"/>
        <v>21</v>
      </c>
      <c r="T454" s="78">
        <f t="shared" si="46"/>
        <v>43.424888888888887</v>
      </c>
      <c r="U454" s="78" t="str">
        <f t="shared" si="47"/>
        <v>35-60</v>
      </c>
      <c r="V454" s="78" t="str">
        <f t="shared" si="48"/>
        <v>21-30 Гб</v>
      </c>
    </row>
    <row r="455" spans="1:22" x14ac:dyDescent="0.25">
      <c r="A455" t="s">
        <v>1011</v>
      </c>
      <c r="B455" s="43">
        <v>36797</v>
      </c>
      <c r="C455" t="s">
        <v>50</v>
      </c>
      <c r="D455" t="s">
        <v>51</v>
      </c>
      <c r="E455" t="s">
        <v>52</v>
      </c>
      <c r="F455" t="s">
        <v>63</v>
      </c>
      <c r="G455" s="43">
        <v>43398</v>
      </c>
      <c r="H455">
        <v>5</v>
      </c>
      <c r="I455">
        <v>24904</v>
      </c>
      <c r="J455">
        <v>144000000</v>
      </c>
      <c r="K455">
        <v>1</v>
      </c>
      <c r="P455" s="77">
        <f t="shared" si="49"/>
        <v>1284</v>
      </c>
      <c r="Q455" s="78">
        <f t="shared" si="50"/>
        <v>83.013333333333335</v>
      </c>
      <c r="R455" s="78">
        <f t="shared" si="51"/>
        <v>27.4658203125</v>
      </c>
      <c r="S455" s="78">
        <f t="shared" si="52"/>
        <v>21</v>
      </c>
      <c r="T455" s="78">
        <f t="shared" ref="T455:T518" si="53">(Q455*7)/30</f>
        <v>19.369777777777777</v>
      </c>
      <c r="U455" s="78" t="str">
        <f t="shared" ref="U455:U518" si="54">IF(T455&gt;120,"120+",IF(T455&gt;90,"91-120",IF(T455&gt;60,"61-90",IF(T455&gt;35,"35-60","&lt;35"))))</f>
        <v>&lt;35</v>
      </c>
      <c r="V455" s="78" t="str">
        <f t="shared" ref="V455:V518" si="55">IF(R455&gt;40,"40+ Гб",IF(R455&gt;30,"31-40 Гб",IF(R455&gt;20,"21-30 Гб",IF(R455&gt;10,"10-20 Гб","&lt;10 Гб"))))</f>
        <v>21-30 Гб</v>
      </c>
    </row>
    <row r="456" spans="1:22" x14ac:dyDescent="0.25">
      <c r="A456" t="s">
        <v>1076</v>
      </c>
      <c r="B456" s="43">
        <v>36795</v>
      </c>
      <c r="C456" t="s">
        <v>58</v>
      </c>
      <c r="D456" t="s">
        <v>51</v>
      </c>
      <c r="E456" t="s">
        <v>54</v>
      </c>
      <c r="F456" t="s">
        <v>57</v>
      </c>
      <c r="G456" s="43">
        <v>42794</v>
      </c>
      <c r="H456">
        <v>5</v>
      </c>
      <c r="I456">
        <v>31680</v>
      </c>
      <c r="J456">
        <v>88000000</v>
      </c>
      <c r="L456">
        <v>1</v>
      </c>
      <c r="P456" s="77">
        <f t="shared" si="49"/>
        <v>1888</v>
      </c>
      <c r="Q456" s="78">
        <f t="shared" si="50"/>
        <v>105.6</v>
      </c>
      <c r="R456" s="78">
        <f t="shared" si="51"/>
        <v>16.78466796875</v>
      </c>
      <c r="S456" s="78">
        <f t="shared" si="52"/>
        <v>21</v>
      </c>
      <c r="T456" s="78">
        <f t="shared" si="53"/>
        <v>24.639999999999997</v>
      </c>
      <c r="U456" s="78" t="str">
        <f t="shared" si="54"/>
        <v>&lt;35</v>
      </c>
      <c r="V456" s="78" t="str">
        <f t="shared" si="55"/>
        <v>10-20 Гб</v>
      </c>
    </row>
    <row r="457" spans="1:22" x14ac:dyDescent="0.25">
      <c r="A457" t="s">
        <v>523</v>
      </c>
      <c r="B457" s="43">
        <v>36794</v>
      </c>
      <c r="C457" t="s">
        <v>50</v>
      </c>
      <c r="D457" t="s">
        <v>51</v>
      </c>
      <c r="E457" t="s">
        <v>52</v>
      </c>
      <c r="F457" t="s">
        <v>57</v>
      </c>
      <c r="G457" s="43">
        <v>42916</v>
      </c>
      <c r="H457">
        <v>5</v>
      </c>
      <c r="I457">
        <v>31316</v>
      </c>
      <c r="J457">
        <v>92000000</v>
      </c>
      <c r="P457" s="77">
        <f t="shared" si="49"/>
        <v>1766</v>
      </c>
      <c r="Q457" s="78">
        <f t="shared" si="50"/>
        <v>104.38666666666667</v>
      </c>
      <c r="R457" s="78">
        <f t="shared" si="51"/>
        <v>17.547607421875</v>
      </c>
      <c r="S457" s="78">
        <f t="shared" si="52"/>
        <v>21</v>
      </c>
      <c r="T457" s="78">
        <f t="shared" si="53"/>
        <v>24.356888888888889</v>
      </c>
      <c r="U457" s="78" t="str">
        <f t="shared" si="54"/>
        <v>&lt;35</v>
      </c>
      <c r="V457" s="78" t="str">
        <f t="shared" si="55"/>
        <v>10-20 Гб</v>
      </c>
    </row>
    <row r="458" spans="1:22" x14ac:dyDescent="0.25">
      <c r="A458" t="s">
        <v>1072</v>
      </c>
      <c r="B458" s="43">
        <v>36794</v>
      </c>
      <c r="C458" t="s">
        <v>50</v>
      </c>
      <c r="D458" t="s">
        <v>51</v>
      </c>
      <c r="E458" t="s">
        <v>54</v>
      </c>
      <c r="F458" t="s">
        <v>63</v>
      </c>
      <c r="G458" s="43">
        <v>44033</v>
      </c>
      <c r="H458">
        <v>5</v>
      </c>
      <c r="I458">
        <v>16656</v>
      </c>
      <c r="J458">
        <v>124000000</v>
      </c>
      <c r="P458" s="77">
        <f t="shared" si="49"/>
        <v>649</v>
      </c>
      <c r="Q458" s="78">
        <f t="shared" si="50"/>
        <v>55.52</v>
      </c>
      <c r="R458" s="78">
        <f t="shared" si="51"/>
        <v>23.651123046875</v>
      </c>
      <c r="S458" s="78">
        <f t="shared" si="52"/>
        <v>21</v>
      </c>
      <c r="T458" s="78">
        <f t="shared" si="53"/>
        <v>12.954666666666668</v>
      </c>
      <c r="U458" s="78" t="str">
        <f t="shared" si="54"/>
        <v>&lt;35</v>
      </c>
      <c r="V458" s="78" t="str">
        <f t="shared" si="55"/>
        <v>21-30 Гб</v>
      </c>
    </row>
    <row r="459" spans="1:22" x14ac:dyDescent="0.25">
      <c r="A459" t="s">
        <v>857</v>
      </c>
      <c r="B459" s="43">
        <v>36793</v>
      </c>
      <c r="C459" t="s">
        <v>50</v>
      </c>
      <c r="D459" t="s">
        <v>51</v>
      </c>
      <c r="E459" t="s">
        <v>52</v>
      </c>
      <c r="F459" t="s">
        <v>63</v>
      </c>
      <c r="G459" s="43">
        <v>43989</v>
      </c>
      <c r="H459">
        <v>5</v>
      </c>
      <c r="I459">
        <v>9696</v>
      </c>
      <c r="J459">
        <v>136000000</v>
      </c>
      <c r="P459" s="77">
        <f t="shared" si="49"/>
        <v>693</v>
      </c>
      <c r="Q459" s="78">
        <f t="shared" si="50"/>
        <v>32.32</v>
      </c>
      <c r="R459" s="78">
        <f t="shared" si="51"/>
        <v>25.93994140625</v>
      </c>
      <c r="S459" s="78">
        <f t="shared" si="52"/>
        <v>21</v>
      </c>
      <c r="T459" s="78">
        <f t="shared" si="53"/>
        <v>7.5413333333333332</v>
      </c>
      <c r="U459" s="78" t="str">
        <f t="shared" si="54"/>
        <v>&lt;35</v>
      </c>
      <c r="V459" s="78" t="str">
        <f t="shared" si="55"/>
        <v>21-30 Гб</v>
      </c>
    </row>
    <row r="460" spans="1:22" x14ac:dyDescent="0.25">
      <c r="A460" t="s">
        <v>332</v>
      </c>
      <c r="B460" s="43">
        <v>36792</v>
      </c>
      <c r="C460" t="s">
        <v>58</v>
      </c>
      <c r="D460" t="s">
        <v>51</v>
      </c>
      <c r="E460" t="s">
        <v>52</v>
      </c>
      <c r="F460" t="s">
        <v>56</v>
      </c>
      <c r="G460" s="43">
        <v>43308</v>
      </c>
      <c r="H460">
        <v>5</v>
      </c>
      <c r="I460">
        <v>20256</v>
      </c>
      <c r="J460">
        <v>132000000</v>
      </c>
      <c r="P460" s="77">
        <f t="shared" si="49"/>
        <v>1374</v>
      </c>
      <c r="Q460" s="78">
        <f t="shared" si="50"/>
        <v>67.52</v>
      </c>
      <c r="R460" s="78">
        <f t="shared" si="51"/>
        <v>25.177001953125</v>
      </c>
      <c r="S460" s="78">
        <f t="shared" si="52"/>
        <v>21</v>
      </c>
      <c r="T460" s="78">
        <f t="shared" si="53"/>
        <v>15.754666666666667</v>
      </c>
      <c r="U460" s="78" t="str">
        <f t="shared" si="54"/>
        <v>&lt;35</v>
      </c>
      <c r="V460" s="78" t="str">
        <f t="shared" si="55"/>
        <v>21-30 Гб</v>
      </c>
    </row>
    <row r="461" spans="1:22" x14ac:dyDescent="0.25">
      <c r="A461" t="s">
        <v>714</v>
      </c>
      <c r="B461" s="43">
        <v>36791</v>
      </c>
      <c r="C461" t="s">
        <v>50</v>
      </c>
      <c r="D461" t="s">
        <v>51</v>
      </c>
      <c r="E461" t="s">
        <v>52</v>
      </c>
      <c r="F461" t="s">
        <v>63</v>
      </c>
      <c r="G461" s="43">
        <v>43207</v>
      </c>
      <c r="H461">
        <v>5</v>
      </c>
      <c r="I461">
        <v>34896</v>
      </c>
      <c r="J461">
        <v>144000000</v>
      </c>
      <c r="P461" s="77">
        <f t="shared" si="49"/>
        <v>1475</v>
      </c>
      <c r="Q461" s="78">
        <f t="shared" si="50"/>
        <v>116.32</v>
      </c>
      <c r="R461" s="78">
        <f t="shared" si="51"/>
        <v>27.4658203125</v>
      </c>
      <c r="S461" s="78">
        <f t="shared" si="52"/>
        <v>21</v>
      </c>
      <c r="T461" s="78">
        <f t="shared" si="53"/>
        <v>27.141333333333332</v>
      </c>
      <c r="U461" s="78" t="str">
        <f t="shared" si="54"/>
        <v>&lt;35</v>
      </c>
      <c r="V461" s="78" t="str">
        <f t="shared" si="55"/>
        <v>21-30 Гб</v>
      </c>
    </row>
    <row r="462" spans="1:22" x14ac:dyDescent="0.25">
      <c r="A462" t="s">
        <v>945</v>
      </c>
      <c r="B462" s="43">
        <v>36790</v>
      </c>
      <c r="C462" t="s">
        <v>50</v>
      </c>
      <c r="D462" t="s">
        <v>51</v>
      </c>
      <c r="E462" t="s">
        <v>54</v>
      </c>
      <c r="F462" t="s">
        <v>63</v>
      </c>
      <c r="G462" s="43">
        <v>44062</v>
      </c>
      <c r="H462">
        <v>5</v>
      </c>
      <c r="I462">
        <v>12328</v>
      </c>
      <c r="J462">
        <v>152000000</v>
      </c>
      <c r="P462" s="77">
        <f t="shared" si="49"/>
        <v>620</v>
      </c>
      <c r="Q462" s="78">
        <f t="shared" si="50"/>
        <v>41.093333333333334</v>
      </c>
      <c r="R462" s="78">
        <f t="shared" si="51"/>
        <v>28.99169921875</v>
      </c>
      <c r="S462" s="78">
        <f t="shared" si="52"/>
        <v>21</v>
      </c>
      <c r="T462" s="78">
        <f t="shared" si="53"/>
        <v>9.588444444444443</v>
      </c>
      <c r="U462" s="78" t="str">
        <f t="shared" si="54"/>
        <v>&lt;35</v>
      </c>
      <c r="V462" s="78" t="str">
        <f t="shared" si="55"/>
        <v>21-30 Гб</v>
      </c>
    </row>
    <row r="463" spans="1:22" x14ac:dyDescent="0.25">
      <c r="A463" t="s">
        <v>109</v>
      </c>
      <c r="B463" s="43">
        <v>36786</v>
      </c>
      <c r="C463" t="s">
        <v>50</v>
      </c>
      <c r="D463" t="s">
        <v>51</v>
      </c>
      <c r="E463" t="s">
        <v>54</v>
      </c>
      <c r="F463" t="s">
        <v>63</v>
      </c>
      <c r="G463" s="43">
        <v>44608</v>
      </c>
      <c r="H463">
        <v>2</v>
      </c>
      <c r="I463">
        <v>22200</v>
      </c>
      <c r="J463">
        <v>93733333</v>
      </c>
      <c r="P463" s="77">
        <f t="shared" si="49"/>
        <v>74</v>
      </c>
      <c r="Q463" s="78">
        <f t="shared" si="50"/>
        <v>150</v>
      </c>
      <c r="R463" s="78">
        <f t="shared" si="51"/>
        <v>36.239623894562591</v>
      </c>
      <c r="S463" s="78">
        <f t="shared" si="52"/>
        <v>21</v>
      </c>
      <c r="T463" s="78">
        <f t="shared" si="53"/>
        <v>35</v>
      </c>
      <c r="U463" s="78" t="str">
        <f t="shared" si="54"/>
        <v>&lt;35</v>
      </c>
      <c r="V463" s="78" t="str">
        <f t="shared" si="55"/>
        <v>31-40 Гб</v>
      </c>
    </row>
    <row r="464" spans="1:22" x14ac:dyDescent="0.25">
      <c r="A464" t="s">
        <v>630</v>
      </c>
      <c r="B464" s="43">
        <v>36784</v>
      </c>
      <c r="C464" t="s">
        <v>50</v>
      </c>
      <c r="D464" t="s">
        <v>51</v>
      </c>
      <c r="E464" t="s">
        <v>52</v>
      </c>
      <c r="F464" t="s">
        <v>57</v>
      </c>
      <c r="G464" s="43">
        <v>43592</v>
      </c>
      <c r="H464">
        <v>5</v>
      </c>
      <c r="I464">
        <v>36436</v>
      </c>
      <c r="J464">
        <v>32000000</v>
      </c>
      <c r="P464" s="77">
        <f t="shared" si="49"/>
        <v>1090</v>
      </c>
      <c r="Q464" s="78">
        <f t="shared" si="50"/>
        <v>121.45333333333333</v>
      </c>
      <c r="R464" s="78">
        <f t="shared" si="51"/>
        <v>6.103515625</v>
      </c>
      <c r="S464" s="78">
        <f t="shared" si="52"/>
        <v>21</v>
      </c>
      <c r="T464" s="78">
        <f t="shared" si="53"/>
        <v>28.339111111111109</v>
      </c>
      <c r="U464" s="78" t="str">
        <f t="shared" si="54"/>
        <v>&lt;35</v>
      </c>
      <c r="V464" s="78" t="str">
        <f t="shared" si="55"/>
        <v>&lt;10 Гб</v>
      </c>
    </row>
    <row r="465" spans="1:22" x14ac:dyDescent="0.25">
      <c r="A465" t="s">
        <v>252</v>
      </c>
      <c r="B465" s="43">
        <v>36783</v>
      </c>
      <c r="C465" t="s">
        <v>50</v>
      </c>
      <c r="D465" t="s">
        <v>51</v>
      </c>
      <c r="E465" t="s">
        <v>52</v>
      </c>
      <c r="F465" t="s">
        <v>56</v>
      </c>
      <c r="G465" s="43">
        <v>44170</v>
      </c>
      <c r="H465">
        <v>5</v>
      </c>
      <c r="I465">
        <v>83888</v>
      </c>
      <c r="J465">
        <v>136000000</v>
      </c>
      <c r="P465" s="77">
        <f t="shared" si="49"/>
        <v>512</v>
      </c>
      <c r="Q465" s="78">
        <f t="shared" si="50"/>
        <v>279.62666666666667</v>
      </c>
      <c r="R465" s="78">
        <f t="shared" si="51"/>
        <v>25.93994140625</v>
      </c>
      <c r="S465" s="78">
        <f t="shared" si="52"/>
        <v>21</v>
      </c>
      <c r="T465" s="78">
        <f t="shared" si="53"/>
        <v>65.246222222222229</v>
      </c>
      <c r="U465" s="78" t="str">
        <f t="shared" si="54"/>
        <v>61-90</v>
      </c>
      <c r="V465" s="78" t="str">
        <f t="shared" si="55"/>
        <v>21-30 Гб</v>
      </c>
    </row>
    <row r="466" spans="1:22" x14ac:dyDescent="0.25">
      <c r="A466" t="s">
        <v>1170</v>
      </c>
      <c r="B466" s="43">
        <v>36782</v>
      </c>
      <c r="C466" t="s">
        <v>58</v>
      </c>
      <c r="D466" t="s">
        <v>51</v>
      </c>
      <c r="E466" t="s">
        <v>52</v>
      </c>
      <c r="F466" t="s">
        <v>69</v>
      </c>
      <c r="G466" s="43">
        <v>44215</v>
      </c>
      <c r="H466">
        <v>5</v>
      </c>
      <c r="I466">
        <v>31728</v>
      </c>
      <c r="J466">
        <v>4000000</v>
      </c>
      <c r="K466">
        <v>1</v>
      </c>
      <c r="O466">
        <v>1</v>
      </c>
      <c r="P466" s="77">
        <f t="shared" si="49"/>
        <v>467</v>
      </c>
      <c r="Q466" s="78">
        <f t="shared" si="50"/>
        <v>105.76</v>
      </c>
      <c r="R466" s="78">
        <f t="shared" si="51"/>
        <v>0.762939453125</v>
      </c>
      <c r="S466" s="78">
        <f t="shared" si="52"/>
        <v>21</v>
      </c>
      <c r="T466" s="78">
        <f t="shared" si="53"/>
        <v>24.677333333333333</v>
      </c>
      <c r="U466" s="78" t="str">
        <f t="shared" si="54"/>
        <v>&lt;35</v>
      </c>
      <c r="V466" s="78" t="str">
        <f t="shared" si="55"/>
        <v>&lt;10 Гб</v>
      </c>
    </row>
    <row r="467" spans="1:22" x14ac:dyDescent="0.25">
      <c r="A467" t="s">
        <v>710</v>
      </c>
      <c r="B467" s="43">
        <v>36778</v>
      </c>
      <c r="C467" t="s">
        <v>58</v>
      </c>
      <c r="D467" t="s">
        <v>51</v>
      </c>
      <c r="E467" t="s">
        <v>52</v>
      </c>
      <c r="F467" t="s">
        <v>63</v>
      </c>
      <c r="G467" s="43">
        <v>43671</v>
      </c>
      <c r="H467">
        <v>5</v>
      </c>
      <c r="I467">
        <v>11788</v>
      </c>
      <c r="J467">
        <v>140000000</v>
      </c>
      <c r="K467">
        <v>1</v>
      </c>
      <c r="O467">
        <v>1</v>
      </c>
      <c r="P467" s="77">
        <f t="shared" si="49"/>
        <v>1011</v>
      </c>
      <c r="Q467" s="78">
        <f t="shared" si="50"/>
        <v>39.293333333333337</v>
      </c>
      <c r="R467" s="78">
        <f t="shared" si="51"/>
        <v>26.702880859375</v>
      </c>
      <c r="S467" s="78">
        <f t="shared" si="52"/>
        <v>21</v>
      </c>
      <c r="T467" s="78">
        <f t="shared" si="53"/>
        <v>9.1684444444444448</v>
      </c>
      <c r="U467" s="78" t="str">
        <f t="shared" si="54"/>
        <v>&lt;35</v>
      </c>
      <c r="V467" s="78" t="str">
        <f t="shared" si="55"/>
        <v>21-30 Гб</v>
      </c>
    </row>
    <row r="468" spans="1:22" x14ac:dyDescent="0.25">
      <c r="A468" t="s">
        <v>1181</v>
      </c>
      <c r="B468" s="43">
        <v>36773</v>
      </c>
      <c r="C468" t="s">
        <v>58</v>
      </c>
      <c r="D468" t="s">
        <v>51</v>
      </c>
      <c r="E468" t="s">
        <v>54</v>
      </c>
      <c r="F468" t="s">
        <v>69</v>
      </c>
      <c r="G468" s="43">
        <v>43835</v>
      </c>
      <c r="H468">
        <v>5</v>
      </c>
      <c r="I468">
        <v>31720</v>
      </c>
      <c r="J468">
        <v>20000000</v>
      </c>
      <c r="P468" s="77">
        <f t="shared" si="49"/>
        <v>847</v>
      </c>
      <c r="Q468" s="78">
        <f t="shared" si="50"/>
        <v>105.73333333333333</v>
      </c>
      <c r="R468" s="78">
        <f t="shared" si="51"/>
        <v>3.814697265625</v>
      </c>
      <c r="S468" s="78">
        <f t="shared" si="52"/>
        <v>21</v>
      </c>
      <c r="T468" s="78">
        <f t="shared" si="53"/>
        <v>24.671111111111109</v>
      </c>
      <c r="U468" s="78" t="str">
        <f t="shared" si="54"/>
        <v>&lt;35</v>
      </c>
      <c r="V468" s="78" t="str">
        <f t="shared" si="55"/>
        <v>&lt;10 Гб</v>
      </c>
    </row>
    <row r="469" spans="1:22" x14ac:dyDescent="0.25">
      <c r="A469" t="s">
        <v>1069</v>
      </c>
      <c r="B469" s="43">
        <v>36763</v>
      </c>
      <c r="C469" t="s">
        <v>50</v>
      </c>
      <c r="D469" t="s">
        <v>51</v>
      </c>
      <c r="E469" t="s">
        <v>52</v>
      </c>
      <c r="F469" t="s">
        <v>63</v>
      </c>
      <c r="G469" s="43">
        <v>44145</v>
      </c>
      <c r="H469">
        <v>5</v>
      </c>
      <c r="I469">
        <v>3612</v>
      </c>
      <c r="J469">
        <v>128000000</v>
      </c>
      <c r="P469" s="77">
        <f t="shared" si="49"/>
        <v>537</v>
      </c>
      <c r="Q469" s="78">
        <f t="shared" si="50"/>
        <v>12.04</v>
      </c>
      <c r="R469" s="78">
        <f t="shared" si="51"/>
        <v>24.4140625</v>
      </c>
      <c r="S469" s="78">
        <f t="shared" si="52"/>
        <v>21</v>
      </c>
      <c r="T469" s="78">
        <f t="shared" si="53"/>
        <v>2.8093333333333335</v>
      </c>
      <c r="U469" s="78" t="str">
        <f t="shared" si="54"/>
        <v>&lt;35</v>
      </c>
      <c r="V469" s="78" t="str">
        <f t="shared" si="55"/>
        <v>21-30 Гб</v>
      </c>
    </row>
    <row r="470" spans="1:22" x14ac:dyDescent="0.25">
      <c r="A470" t="s">
        <v>799</v>
      </c>
      <c r="B470" s="43">
        <v>36760</v>
      </c>
      <c r="C470" t="s">
        <v>50</v>
      </c>
      <c r="D470" t="s">
        <v>51</v>
      </c>
      <c r="E470" t="s">
        <v>54</v>
      </c>
      <c r="F470" t="s">
        <v>57</v>
      </c>
      <c r="G470" s="43">
        <v>44411</v>
      </c>
      <c r="H470">
        <v>5</v>
      </c>
      <c r="I470">
        <v>84524</v>
      </c>
      <c r="J470">
        <v>108000000</v>
      </c>
      <c r="M470">
        <v>1</v>
      </c>
      <c r="P470" s="77">
        <f t="shared" si="49"/>
        <v>271</v>
      </c>
      <c r="Q470" s="78">
        <f t="shared" si="50"/>
        <v>281.74666666666667</v>
      </c>
      <c r="R470" s="78">
        <f t="shared" si="51"/>
        <v>20.599365234375</v>
      </c>
      <c r="S470" s="78">
        <f t="shared" si="52"/>
        <v>21</v>
      </c>
      <c r="T470" s="78">
        <f t="shared" si="53"/>
        <v>65.74088888888889</v>
      </c>
      <c r="U470" s="78" t="str">
        <f t="shared" si="54"/>
        <v>61-90</v>
      </c>
      <c r="V470" s="78" t="str">
        <f t="shared" si="55"/>
        <v>21-30 Гб</v>
      </c>
    </row>
    <row r="471" spans="1:22" x14ac:dyDescent="0.25">
      <c r="A471" t="s">
        <v>67</v>
      </c>
      <c r="B471" s="43">
        <v>36757</v>
      </c>
      <c r="C471" t="s">
        <v>50</v>
      </c>
      <c r="D471" t="s">
        <v>51</v>
      </c>
      <c r="E471" t="s">
        <v>54</v>
      </c>
      <c r="F471" t="s">
        <v>63</v>
      </c>
      <c r="G471" s="43">
        <v>44663</v>
      </c>
      <c r="H471">
        <v>0</v>
      </c>
      <c r="I471">
        <v>2094</v>
      </c>
      <c r="J471">
        <v>24066667</v>
      </c>
      <c r="L471">
        <v>1</v>
      </c>
      <c r="M471">
        <v>1</v>
      </c>
      <c r="N471">
        <v>1</v>
      </c>
      <c r="P471" s="77">
        <f t="shared" si="49"/>
        <v>19</v>
      </c>
      <c r="Q471" s="78">
        <f t="shared" si="50"/>
        <v>55.10526315789474</v>
      </c>
      <c r="R471" s="78">
        <f t="shared" si="51"/>
        <v>36.239624525371354</v>
      </c>
      <c r="S471" s="78">
        <f t="shared" si="52"/>
        <v>21</v>
      </c>
      <c r="T471" s="78">
        <f t="shared" si="53"/>
        <v>12.857894736842105</v>
      </c>
      <c r="U471" s="78" t="str">
        <f t="shared" si="54"/>
        <v>&lt;35</v>
      </c>
      <c r="V471" s="78" t="str">
        <f t="shared" si="55"/>
        <v>31-40 Гб</v>
      </c>
    </row>
    <row r="472" spans="1:22" x14ac:dyDescent="0.25">
      <c r="A472" t="s">
        <v>712</v>
      </c>
      <c r="B472" s="43">
        <v>36757</v>
      </c>
      <c r="C472" t="s">
        <v>58</v>
      </c>
      <c r="D472" t="s">
        <v>51</v>
      </c>
      <c r="E472" t="s">
        <v>52</v>
      </c>
      <c r="F472" t="s">
        <v>63</v>
      </c>
      <c r="G472" s="43">
        <v>44063</v>
      </c>
      <c r="H472">
        <v>5</v>
      </c>
      <c r="I472">
        <v>6624</v>
      </c>
      <c r="J472">
        <v>160000000</v>
      </c>
      <c r="L472">
        <v>1</v>
      </c>
      <c r="P472" s="77">
        <f t="shared" si="49"/>
        <v>619</v>
      </c>
      <c r="Q472" s="78">
        <f t="shared" si="50"/>
        <v>22.08</v>
      </c>
      <c r="R472" s="78">
        <f t="shared" si="51"/>
        <v>30.517578125</v>
      </c>
      <c r="S472" s="78">
        <f t="shared" si="52"/>
        <v>21</v>
      </c>
      <c r="T472" s="78">
        <f t="shared" si="53"/>
        <v>5.1520000000000001</v>
      </c>
      <c r="U472" s="78" t="str">
        <f t="shared" si="54"/>
        <v>&lt;35</v>
      </c>
      <c r="V472" s="78" t="str">
        <f t="shared" si="55"/>
        <v>31-40 Гб</v>
      </c>
    </row>
    <row r="473" spans="1:22" x14ac:dyDescent="0.25">
      <c r="A473" t="s">
        <v>796</v>
      </c>
      <c r="B473" s="43">
        <v>36756</v>
      </c>
      <c r="C473" t="s">
        <v>58</v>
      </c>
      <c r="D473" t="s">
        <v>51</v>
      </c>
      <c r="E473" t="s">
        <v>52</v>
      </c>
      <c r="F473" t="s">
        <v>57</v>
      </c>
      <c r="G473" s="43">
        <v>43762</v>
      </c>
      <c r="H473">
        <v>5</v>
      </c>
      <c r="I473">
        <v>29600</v>
      </c>
      <c r="J473">
        <v>68000000</v>
      </c>
      <c r="P473" s="77">
        <f t="shared" si="49"/>
        <v>920</v>
      </c>
      <c r="Q473" s="78">
        <f t="shared" si="50"/>
        <v>98.666666666666671</v>
      </c>
      <c r="R473" s="78">
        <f t="shared" si="51"/>
        <v>12.969970703125</v>
      </c>
      <c r="S473" s="78">
        <f t="shared" si="52"/>
        <v>21</v>
      </c>
      <c r="T473" s="78">
        <f t="shared" si="53"/>
        <v>23.022222222222226</v>
      </c>
      <c r="U473" s="78" t="str">
        <f t="shared" si="54"/>
        <v>&lt;35</v>
      </c>
      <c r="V473" s="78" t="str">
        <f t="shared" si="55"/>
        <v>10-20 Гб</v>
      </c>
    </row>
    <row r="474" spans="1:22" x14ac:dyDescent="0.25">
      <c r="A474" t="s">
        <v>818</v>
      </c>
      <c r="B474" s="43">
        <v>36751</v>
      </c>
      <c r="C474" t="s">
        <v>58</v>
      </c>
      <c r="D474" t="s">
        <v>51</v>
      </c>
      <c r="E474" t="s">
        <v>52</v>
      </c>
      <c r="F474" t="s">
        <v>57</v>
      </c>
      <c r="G474" s="43">
        <v>43568</v>
      </c>
      <c r="H474">
        <v>5</v>
      </c>
      <c r="I474">
        <v>6216</v>
      </c>
      <c r="J474">
        <v>16000000</v>
      </c>
      <c r="O474">
        <v>1</v>
      </c>
      <c r="P474" s="77">
        <f t="shared" si="49"/>
        <v>1114</v>
      </c>
      <c r="Q474" s="78">
        <f t="shared" si="50"/>
        <v>20.72</v>
      </c>
      <c r="R474" s="78">
        <f t="shared" si="51"/>
        <v>3.0517578125</v>
      </c>
      <c r="S474" s="78">
        <f t="shared" si="52"/>
        <v>21</v>
      </c>
      <c r="T474" s="78">
        <f t="shared" si="53"/>
        <v>4.8346666666666662</v>
      </c>
      <c r="U474" s="78" t="str">
        <f t="shared" si="54"/>
        <v>&lt;35</v>
      </c>
      <c r="V474" s="78" t="str">
        <f t="shared" si="55"/>
        <v>&lt;10 Гб</v>
      </c>
    </row>
    <row r="475" spans="1:22" x14ac:dyDescent="0.25">
      <c r="A475" t="s">
        <v>358</v>
      </c>
      <c r="B475" s="43">
        <v>36748</v>
      </c>
      <c r="C475" t="s">
        <v>50</v>
      </c>
      <c r="D475" t="s">
        <v>51</v>
      </c>
      <c r="E475" t="s">
        <v>52</v>
      </c>
      <c r="F475" t="s">
        <v>56</v>
      </c>
      <c r="G475" s="43">
        <v>44292</v>
      </c>
      <c r="H475">
        <v>5</v>
      </c>
      <c r="I475">
        <v>45596</v>
      </c>
      <c r="J475">
        <v>140000000</v>
      </c>
      <c r="P475" s="77">
        <f t="shared" si="49"/>
        <v>390</v>
      </c>
      <c r="Q475" s="78">
        <f t="shared" si="50"/>
        <v>151.98666666666668</v>
      </c>
      <c r="R475" s="78">
        <f t="shared" si="51"/>
        <v>26.702880859375</v>
      </c>
      <c r="S475" s="78">
        <f t="shared" si="52"/>
        <v>21</v>
      </c>
      <c r="T475" s="78">
        <f t="shared" si="53"/>
        <v>35.463555555555558</v>
      </c>
      <c r="U475" s="78" t="str">
        <f t="shared" si="54"/>
        <v>35-60</v>
      </c>
      <c r="V475" s="78" t="str">
        <f t="shared" si="55"/>
        <v>21-30 Гб</v>
      </c>
    </row>
    <row r="476" spans="1:22" x14ac:dyDescent="0.25">
      <c r="A476" t="s">
        <v>982</v>
      </c>
      <c r="B476" s="43">
        <v>36748</v>
      </c>
      <c r="C476" t="s">
        <v>50</v>
      </c>
      <c r="D476" t="s">
        <v>51</v>
      </c>
      <c r="E476" t="s">
        <v>54</v>
      </c>
      <c r="F476" t="s">
        <v>63</v>
      </c>
      <c r="G476" s="43">
        <v>43072</v>
      </c>
      <c r="H476">
        <v>5</v>
      </c>
      <c r="I476">
        <v>12124</v>
      </c>
      <c r="J476">
        <v>140000000</v>
      </c>
      <c r="K476">
        <v>1</v>
      </c>
      <c r="N476">
        <v>1</v>
      </c>
      <c r="O476">
        <v>1</v>
      </c>
      <c r="P476" s="77">
        <f t="shared" si="49"/>
        <v>1610</v>
      </c>
      <c r="Q476" s="78">
        <f t="shared" si="50"/>
        <v>40.413333333333334</v>
      </c>
      <c r="R476" s="78">
        <f t="shared" si="51"/>
        <v>26.702880859375</v>
      </c>
      <c r="S476" s="78">
        <f t="shared" si="52"/>
        <v>21</v>
      </c>
      <c r="T476" s="78">
        <f t="shared" si="53"/>
        <v>9.4297777777777778</v>
      </c>
      <c r="U476" s="78" t="str">
        <f t="shared" si="54"/>
        <v>&lt;35</v>
      </c>
      <c r="V476" s="78" t="str">
        <f t="shared" si="55"/>
        <v>21-30 Гб</v>
      </c>
    </row>
    <row r="477" spans="1:22" x14ac:dyDescent="0.25">
      <c r="A477" t="s">
        <v>72</v>
      </c>
      <c r="B477" s="43">
        <v>36745</v>
      </c>
      <c r="C477" t="s">
        <v>58</v>
      </c>
      <c r="D477" t="s">
        <v>51</v>
      </c>
      <c r="E477" t="s">
        <v>52</v>
      </c>
      <c r="F477" t="s">
        <v>63</v>
      </c>
      <c r="G477" s="43">
        <v>44670</v>
      </c>
      <c r="H477">
        <v>0</v>
      </c>
      <c r="I477">
        <v>3352</v>
      </c>
      <c r="J477">
        <v>15600000</v>
      </c>
      <c r="L477">
        <v>1</v>
      </c>
      <c r="P477" s="77">
        <f t="shared" si="49"/>
        <v>12</v>
      </c>
      <c r="Q477" s="78">
        <f t="shared" si="50"/>
        <v>139.66666666666666</v>
      </c>
      <c r="R477" s="78">
        <f t="shared" si="51"/>
        <v>37.19329833984375</v>
      </c>
      <c r="S477" s="78">
        <f t="shared" si="52"/>
        <v>21</v>
      </c>
      <c r="T477" s="78">
        <f t="shared" si="53"/>
        <v>32.588888888888889</v>
      </c>
      <c r="U477" s="78" t="str">
        <f t="shared" si="54"/>
        <v>&lt;35</v>
      </c>
      <c r="V477" s="78" t="str">
        <f t="shared" si="55"/>
        <v>31-40 Гб</v>
      </c>
    </row>
    <row r="478" spans="1:22" x14ac:dyDescent="0.25">
      <c r="A478" t="s">
        <v>839</v>
      </c>
      <c r="B478" s="43">
        <v>36745</v>
      </c>
      <c r="C478" t="s">
        <v>50</v>
      </c>
      <c r="D478" t="s">
        <v>51</v>
      </c>
      <c r="E478" t="s">
        <v>52</v>
      </c>
      <c r="F478" t="s">
        <v>63</v>
      </c>
      <c r="G478" s="43">
        <v>43063</v>
      </c>
      <c r="H478">
        <v>5</v>
      </c>
      <c r="I478">
        <v>32304</v>
      </c>
      <c r="J478">
        <v>116000000</v>
      </c>
      <c r="P478" s="77">
        <f t="shared" si="49"/>
        <v>1619</v>
      </c>
      <c r="Q478" s="78">
        <f t="shared" si="50"/>
        <v>107.68</v>
      </c>
      <c r="R478" s="78">
        <f t="shared" si="51"/>
        <v>22.125244140625</v>
      </c>
      <c r="S478" s="78">
        <f t="shared" si="52"/>
        <v>21</v>
      </c>
      <c r="T478" s="78">
        <f t="shared" si="53"/>
        <v>25.125333333333334</v>
      </c>
      <c r="U478" s="78" t="str">
        <f t="shared" si="54"/>
        <v>&lt;35</v>
      </c>
      <c r="V478" s="78" t="str">
        <f t="shared" si="55"/>
        <v>21-30 Гб</v>
      </c>
    </row>
    <row r="479" spans="1:22" x14ac:dyDescent="0.25">
      <c r="A479" t="s">
        <v>973</v>
      </c>
      <c r="B479" s="43">
        <v>36744</v>
      </c>
      <c r="C479" t="s">
        <v>50</v>
      </c>
      <c r="D479" t="s">
        <v>51</v>
      </c>
      <c r="E479" t="s">
        <v>52</v>
      </c>
      <c r="F479" t="s">
        <v>63</v>
      </c>
      <c r="G479" s="43">
        <v>44230</v>
      </c>
      <c r="H479">
        <v>5</v>
      </c>
      <c r="I479">
        <v>25096</v>
      </c>
      <c r="J479">
        <v>148000000</v>
      </c>
      <c r="O479">
        <v>1</v>
      </c>
      <c r="P479" s="77">
        <f t="shared" si="49"/>
        <v>452</v>
      </c>
      <c r="Q479" s="78">
        <f t="shared" si="50"/>
        <v>83.653333333333336</v>
      </c>
      <c r="R479" s="78">
        <f t="shared" si="51"/>
        <v>28.228759765625</v>
      </c>
      <c r="S479" s="78">
        <f t="shared" si="52"/>
        <v>21</v>
      </c>
      <c r="T479" s="78">
        <f t="shared" si="53"/>
        <v>19.519111111111112</v>
      </c>
      <c r="U479" s="78" t="str">
        <f t="shared" si="54"/>
        <v>&lt;35</v>
      </c>
      <c r="V479" s="78" t="str">
        <f t="shared" si="55"/>
        <v>21-30 Гб</v>
      </c>
    </row>
    <row r="480" spans="1:22" x14ac:dyDescent="0.25">
      <c r="A480" t="s">
        <v>987</v>
      </c>
      <c r="B480" s="43">
        <v>36743</v>
      </c>
      <c r="C480" t="s">
        <v>50</v>
      </c>
      <c r="D480" t="s">
        <v>51</v>
      </c>
      <c r="E480" t="s">
        <v>52</v>
      </c>
      <c r="F480" t="s">
        <v>63</v>
      </c>
      <c r="G480" s="43">
        <v>43362</v>
      </c>
      <c r="H480">
        <v>5</v>
      </c>
      <c r="I480">
        <v>17040</v>
      </c>
      <c r="J480">
        <v>148000000</v>
      </c>
      <c r="P480" s="77">
        <f t="shared" si="49"/>
        <v>1320</v>
      </c>
      <c r="Q480" s="78">
        <f t="shared" si="50"/>
        <v>56.8</v>
      </c>
      <c r="R480" s="78">
        <f t="shared" si="51"/>
        <v>28.228759765625</v>
      </c>
      <c r="S480" s="78">
        <f t="shared" si="52"/>
        <v>21</v>
      </c>
      <c r="T480" s="78">
        <f t="shared" si="53"/>
        <v>13.253333333333332</v>
      </c>
      <c r="U480" s="78" t="str">
        <f t="shared" si="54"/>
        <v>&lt;35</v>
      </c>
      <c r="V480" s="78" t="str">
        <f t="shared" si="55"/>
        <v>21-30 Гб</v>
      </c>
    </row>
    <row r="481" spans="1:22" x14ac:dyDescent="0.25">
      <c r="A481" t="s">
        <v>1177</v>
      </c>
      <c r="B481" s="43">
        <v>36740</v>
      </c>
      <c r="C481" t="s">
        <v>50</v>
      </c>
      <c r="D481" t="s">
        <v>51</v>
      </c>
      <c r="E481" t="s">
        <v>54</v>
      </c>
      <c r="F481" t="s">
        <v>69</v>
      </c>
      <c r="G481" s="43">
        <v>42875</v>
      </c>
      <c r="H481">
        <v>5</v>
      </c>
      <c r="I481">
        <v>31440</v>
      </c>
      <c r="J481">
        <v>12000000</v>
      </c>
      <c r="P481" s="77">
        <f t="shared" si="49"/>
        <v>1807</v>
      </c>
      <c r="Q481" s="78">
        <f t="shared" si="50"/>
        <v>104.8</v>
      </c>
      <c r="R481" s="78">
        <f t="shared" si="51"/>
        <v>2.288818359375</v>
      </c>
      <c r="S481" s="78">
        <f t="shared" si="52"/>
        <v>21</v>
      </c>
      <c r="T481" s="78">
        <f t="shared" si="53"/>
        <v>24.453333333333333</v>
      </c>
      <c r="U481" s="78" t="str">
        <f t="shared" si="54"/>
        <v>&lt;35</v>
      </c>
      <c r="V481" s="78" t="str">
        <f t="shared" si="55"/>
        <v>&lt;10 Гб</v>
      </c>
    </row>
    <row r="482" spans="1:22" x14ac:dyDescent="0.25">
      <c r="A482" t="s">
        <v>368</v>
      </c>
      <c r="B482" s="43">
        <v>36739</v>
      </c>
      <c r="C482" t="s">
        <v>50</v>
      </c>
      <c r="D482" t="s">
        <v>51</v>
      </c>
      <c r="E482" t="s">
        <v>54</v>
      </c>
      <c r="F482" t="s">
        <v>56</v>
      </c>
      <c r="G482" s="43">
        <v>43916</v>
      </c>
      <c r="H482">
        <v>5</v>
      </c>
      <c r="I482">
        <v>56832</v>
      </c>
      <c r="J482">
        <v>136000000</v>
      </c>
      <c r="L482">
        <v>1</v>
      </c>
      <c r="P482" s="77">
        <f t="shared" si="49"/>
        <v>766</v>
      </c>
      <c r="Q482" s="78">
        <f t="shared" si="50"/>
        <v>189.44</v>
      </c>
      <c r="R482" s="78">
        <f t="shared" si="51"/>
        <v>25.93994140625</v>
      </c>
      <c r="S482" s="78">
        <f t="shared" si="52"/>
        <v>21</v>
      </c>
      <c r="T482" s="78">
        <f t="shared" si="53"/>
        <v>44.202666666666666</v>
      </c>
      <c r="U482" s="78" t="str">
        <f t="shared" si="54"/>
        <v>35-60</v>
      </c>
      <c r="V482" s="78" t="str">
        <f t="shared" si="55"/>
        <v>21-30 Гб</v>
      </c>
    </row>
    <row r="483" spans="1:22" x14ac:dyDescent="0.25">
      <c r="A483" t="s">
        <v>1116</v>
      </c>
      <c r="B483" s="43">
        <v>36738</v>
      </c>
      <c r="C483" t="s">
        <v>50</v>
      </c>
      <c r="D483" t="s">
        <v>51</v>
      </c>
      <c r="E483" t="s">
        <v>52</v>
      </c>
      <c r="F483" t="s">
        <v>69</v>
      </c>
      <c r="G483" s="43">
        <v>44215</v>
      </c>
      <c r="H483">
        <v>5</v>
      </c>
      <c r="I483">
        <v>7704</v>
      </c>
      <c r="J483">
        <v>16000000</v>
      </c>
      <c r="P483" s="77">
        <f t="shared" si="49"/>
        <v>467</v>
      </c>
      <c r="Q483" s="78">
        <f t="shared" si="50"/>
        <v>25.68</v>
      </c>
      <c r="R483" s="78">
        <f t="shared" si="51"/>
        <v>3.0517578125</v>
      </c>
      <c r="S483" s="78">
        <f t="shared" si="52"/>
        <v>21</v>
      </c>
      <c r="T483" s="78">
        <f t="shared" si="53"/>
        <v>5.992</v>
      </c>
      <c r="U483" s="78" t="str">
        <f t="shared" si="54"/>
        <v>&lt;35</v>
      </c>
      <c r="V483" s="78" t="str">
        <f t="shared" si="55"/>
        <v>&lt;10 Гб</v>
      </c>
    </row>
    <row r="484" spans="1:22" x14ac:dyDescent="0.25">
      <c r="A484" t="s">
        <v>804</v>
      </c>
      <c r="B484" s="43">
        <v>36737</v>
      </c>
      <c r="C484" t="s">
        <v>58</v>
      </c>
      <c r="D484" t="s">
        <v>51</v>
      </c>
      <c r="E484" t="s">
        <v>54</v>
      </c>
      <c r="F484" t="s">
        <v>57</v>
      </c>
      <c r="G484" s="43">
        <v>42829</v>
      </c>
      <c r="H484">
        <v>5</v>
      </c>
      <c r="I484">
        <v>54788</v>
      </c>
      <c r="J484">
        <v>92000000</v>
      </c>
      <c r="P484" s="77">
        <f t="shared" si="49"/>
        <v>1853</v>
      </c>
      <c r="Q484" s="78">
        <f t="shared" si="50"/>
        <v>182.62666666666667</v>
      </c>
      <c r="R484" s="78">
        <f t="shared" si="51"/>
        <v>17.547607421875</v>
      </c>
      <c r="S484" s="78">
        <f t="shared" si="52"/>
        <v>21</v>
      </c>
      <c r="T484" s="78">
        <f t="shared" si="53"/>
        <v>42.612888888888889</v>
      </c>
      <c r="U484" s="78" t="str">
        <f t="shared" si="54"/>
        <v>35-60</v>
      </c>
      <c r="V484" s="78" t="str">
        <f t="shared" si="55"/>
        <v>10-20 Гб</v>
      </c>
    </row>
    <row r="485" spans="1:22" x14ac:dyDescent="0.25">
      <c r="A485" t="s">
        <v>1064</v>
      </c>
      <c r="B485" s="43">
        <v>36735</v>
      </c>
      <c r="C485" t="s">
        <v>58</v>
      </c>
      <c r="D485" t="s">
        <v>51</v>
      </c>
      <c r="E485" t="s">
        <v>52</v>
      </c>
      <c r="F485" t="s">
        <v>63</v>
      </c>
      <c r="G485" s="43">
        <v>44514</v>
      </c>
      <c r="H485">
        <v>5</v>
      </c>
      <c r="I485">
        <v>34324</v>
      </c>
      <c r="J485">
        <v>136000000</v>
      </c>
      <c r="L485">
        <v>1</v>
      </c>
      <c r="M485">
        <v>1</v>
      </c>
      <c r="P485" s="77">
        <f t="shared" si="49"/>
        <v>168</v>
      </c>
      <c r="Q485" s="78">
        <f t="shared" si="50"/>
        <v>114.41333333333333</v>
      </c>
      <c r="R485" s="78">
        <f t="shared" si="51"/>
        <v>25.93994140625</v>
      </c>
      <c r="S485" s="78">
        <f t="shared" si="52"/>
        <v>21</v>
      </c>
      <c r="T485" s="78">
        <f t="shared" si="53"/>
        <v>26.696444444444445</v>
      </c>
      <c r="U485" s="78" t="str">
        <f t="shared" si="54"/>
        <v>&lt;35</v>
      </c>
      <c r="V485" s="78" t="str">
        <f t="shared" si="55"/>
        <v>21-30 Гб</v>
      </c>
    </row>
    <row r="486" spans="1:22" x14ac:dyDescent="0.25">
      <c r="A486" t="s">
        <v>924</v>
      </c>
      <c r="B486" s="43">
        <v>36732</v>
      </c>
      <c r="C486" t="s">
        <v>58</v>
      </c>
      <c r="D486" t="s">
        <v>51</v>
      </c>
      <c r="E486" t="s">
        <v>54</v>
      </c>
      <c r="F486" t="s">
        <v>63</v>
      </c>
      <c r="G486" s="43">
        <v>43286</v>
      </c>
      <c r="H486">
        <v>5</v>
      </c>
      <c r="I486">
        <v>10664</v>
      </c>
      <c r="J486">
        <v>8000000</v>
      </c>
      <c r="P486" s="77">
        <f t="shared" si="49"/>
        <v>1396</v>
      </c>
      <c r="Q486" s="78">
        <f t="shared" si="50"/>
        <v>35.546666666666667</v>
      </c>
      <c r="R486" s="78">
        <f t="shared" si="51"/>
        <v>1.52587890625</v>
      </c>
      <c r="S486" s="78">
        <f t="shared" si="52"/>
        <v>21</v>
      </c>
      <c r="T486" s="78">
        <f t="shared" si="53"/>
        <v>8.2942222222222224</v>
      </c>
      <c r="U486" s="78" t="str">
        <f t="shared" si="54"/>
        <v>&lt;35</v>
      </c>
      <c r="V486" s="78" t="str">
        <f t="shared" si="55"/>
        <v>&lt;10 Гб</v>
      </c>
    </row>
    <row r="487" spans="1:22" x14ac:dyDescent="0.25">
      <c r="A487" t="s">
        <v>81</v>
      </c>
      <c r="B487" s="43">
        <v>36725</v>
      </c>
      <c r="C487" t="s">
        <v>58</v>
      </c>
      <c r="D487" t="s">
        <v>51</v>
      </c>
      <c r="E487" t="s">
        <v>54</v>
      </c>
      <c r="F487" t="s">
        <v>57</v>
      </c>
      <c r="G487" s="43">
        <v>44629</v>
      </c>
      <c r="H487">
        <v>1</v>
      </c>
      <c r="I487">
        <v>21982</v>
      </c>
      <c r="J487">
        <v>31800000</v>
      </c>
      <c r="P487" s="77">
        <f t="shared" si="49"/>
        <v>53</v>
      </c>
      <c r="Q487" s="78">
        <f t="shared" si="50"/>
        <v>207.37735849056602</v>
      </c>
      <c r="R487" s="78">
        <f t="shared" si="51"/>
        <v>17.1661376953125</v>
      </c>
      <c r="S487" s="78">
        <f t="shared" si="52"/>
        <v>21</v>
      </c>
      <c r="T487" s="78">
        <f t="shared" si="53"/>
        <v>48.38805031446541</v>
      </c>
      <c r="U487" s="78" t="str">
        <f t="shared" si="54"/>
        <v>35-60</v>
      </c>
      <c r="V487" s="78" t="str">
        <f t="shared" si="55"/>
        <v>10-20 Гб</v>
      </c>
    </row>
    <row r="488" spans="1:22" x14ac:dyDescent="0.25">
      <c r="A488" t="s">
        <v>212</v>
      </c>
      <c r="B488" s="43">
        <v>36722</v>
      </c>
      <c r="C488" t="s">
        <v>50</v>
      </c>
      <c r="D488" t="s">
        <v>51</v>
      </c>
      <c r="E488" t="s">
        <v>52</v>
      </c>
      <c r="F488" t="s">
        <v>56</v>
      </c>
      <c r="G488" s="43">
        <v>43894</v>
      </c>
      <c r="H488">
        <v>5</v>
      </c>
      <c r="I488">
        <v>96160</v>
      </c>
      <c r="J488">
        <v>92000000</v>
      </c>
      <c r="P488" s="77">
        <f t="shared" si="49"/>
        <v>788</v>
      </c>
      <c r="Q488" s="78">
        <f t="shared" si="50"/>
        <v>320.53333333333336</v>
      </c>
      <c r="R488" s="78">
        <f t="shared" si="51"/>
        <v>17.547607421875</v>
      </c>
      <c r="S488" s="78">
        <f t="shared" si="52"/>
        <v>21</v>
      </c>
      <c r="T488" s="78">
        <f t="shared" si="53"/>
        <v>74.791111111111121</v>
      </c>
      <c r="U488" s="78" t="str">
        <f t="shared" si="54"/>
        <v>61-90</v>
      </c>
      <c r="V488" s="78" t="str">
        <f t="shared" si="55"/>
        <v>10-20 Гб</v>
      </c>
    </row>
    <row r="489" spans="1:22" x14ac:dyDescent="0.25">
      <c r="A489" t="s">
        <v>354</v>
      </c>
      <c r="B489" s="43">
        <v>36720</v>
      </c>
      <c r="C489" t="s">
        <v>58</v>
      </c>
      <c r="D489" t="s">
        <v>51</v>
      </c>
      <c r="E489" t="s">
        <v>52</v>
      </c>
      <c r="F489" t="s">
        <v>56</v>
      </c>
      <c r="G489" s="43">
        <v>42965</v>
      </c>
      <c r="H489">
        <v>5</v>
      </c>
      <c r="I489">
        <v>103484</v>
      </c>
      <c r="J489">
        <v>128000000</v>
      </c>
      <c r="K489">
        <v>1</v>
      </c>
      <c r="L489">
        <v>1</v>
      </c>
      <c r="P489" s="77">
        <f t="shared" si="49"/>
        <v>1717</v>
      </c>
      <c r="Q489" s="78">
        <f t="shared" si="50"/>
        <v>344.94666666666666</v>
      </c>
      <c r="R489" s="78">
        <f t="shared" si="51"/>
        <v>24.4140625</v>
      </c>
      <c r="S489" s="78">
        <f t="shared" si="52"/>
        <v>21</v>
      </c>
      <c r="T489" s="78">
        <f t="shared" si="53"/>
        <v>80.487555555555545</v>
      </c>
      <c r="U489" s="78" t="str">
        <f t="shared" si="54"/>
        <v>61-90</v>
      </c>
      <c r="V489" s="78" t="str">
        <f t="shared" si="55"/>
        <v>21-30 Гб</v>
      </c>
    </row>
    <row r="490" spans="1:22" x14ac:dyDescent="0.25">
      <c r="A490" t="s">
        <v>597</v>
      </c>
      <c r="B490" s="43">
        <v>36717</v>
      </c>
      <c r="C490" t="s">
        <v>58</v>
      </c>
      <c r="D490" t="s">
        <v>51</v>
      </c>
      <c r="E490" t="s">
        <v>52</v>
      </c>
      <c r="F490" t="s">
        <v>57</v>
      </c>
      <c r="G490" s="43">
        <v>43409</v>
      </c>
      <c r="H490">
        <v>5</v>
      </c>
      <c r="I490">
        <v>42952</v>
      </c>
      <c r="J490">
        <v>96000000</v>
      </c>
      <c r="P490" s="77">
        <f t="shared" si="49"/>
        <v>1273</v>
      </c>
      <c r="Q490" s="78">
        <f t="shared" si="50"/>
        <v>143.17333333333335</v>
      </c>
      <c r="R490" s="78">
        <f t="shared" si="51"/>
        <v>18.310546875</v>
      </c>
      <c r="S490" s="78">
        <f t="shared" si="52"/>
        <v>21</v>
      </c>
      <c r="T490" s="78">
        <f t="shared" si="53"/>
        <v>33.407111111111114</v>
      </c>
      <c r="U490" s="78" t="str">
        <f t="shared" si="54"/>
        <v>&lt;35</v>
      </c>
      <c r="V490" s="78" t="str">
        <f t="shared" si="55"/>
        <v>10-20 Гб</v>
      </c>
    </row>
    <row r="491" spans="1:22" x14ac:dyDescent="0.25">
      <c r="A491" t="s">
        <v>462</v>
      </c>
      <c r="B491" s="43">
        <v>36711</v>
      </c>
      <c r="C491" t="s">
        <v>50</v>
      </c>
      <c r="D491" t="s">
        <v>51</v>
      </c>
      <c r="E491" t="s">
        <v>52</v>
      </c>
      <c r="F491" t="s">
        <v>57</v>
      </c>
      <c r="G491" s="43">
        <v>42743</v>
      </c>
      <c r="H491">
        <v>5</v>
      </c>
      <c r="I491">
        <v>4452</v>
      </c>
      <c r="J491">
        <v>64000000</v>
      </c>
      <c r="L491">
        <v>1</v>
      </c>
      <c r="P491" s="77">
        <f t="shared" si="49"/>
        <v>1939</v>
      </c>
      <c r="Q491" s="78">
        <f t="shared" si="50"/>
        <v>14.84</v>
      </c>
      <c r="R491" s="78">
        <f t="shared" si="51"/>
        <v>12.20703125</v>
      </c>
      <c r="S491" s="78">
        <f t="shared" si="52"/>
        <v>21</v>
      </c>
      <c r="T491" s="78">
        <f t="shared" si="53"/>
        <v>3.4626666666666663</v>
      </c>
      <c r="U491" s="78" t="str">
        <f t="shared" si="54"/>
        <v>&lt;35</v>
      </c>
      <c r="V491" s="78" t="str">
        <f t="shared" si="55"/>
        <v>10-20 Гб</v>
      </c>
    </row>
    <row r="492" spans="1:22" x14ac:dyDescent="0.25">
      <c r="A492" t="s">
        <v>373</v>
      </c>
      <c r="B492" s="43">
        <v>36709</v>
      </c>
      <c r="C492" t="s">
        <v>50</v>
      </c>
      <c r="D492" t="s">
        <v>51</v>
      </c>
      <c r="E492" t="s">
        <v>52</v>
      </c>
      <c r="F492" t="s">
        <v>56</v>
      </c>
      <c r="G492" s="43">
        <v>43559</v>
      </c>
      <c r="H492">
        <v>5</v>
      </c>
      <c r="I492">
        <v>61780</v>
      </c>
      <c r="J492">
        <v>136000000</v>
      </c>
      <c r="K492">
        <v>1</v>
      </c>
      <c r="P492" s="77">
        <f t="shared" si="49"/>
        <v>1123</v>
      </c>
      <c r="Q492" s="78">
        <f t="shared" si="50"/>
        <v>205.93333333333334</v>
      </c>
      <c r="R492" s="78">
        <f t="shared" si="51"/>
        <v>25.93994140625</v>
      </c>
      <c r="S492" s="78">
        <f t="shared" si="52"/>
        <v>21</v>
      </c>
      <c r="T492" s="78">
        <f t="shared" si="53"/>
        <v>48.051111111111112</v>
      </c>
      <c r="U492" s="78" t="str">
        <f t="shared" si="54"/>
        <v>35-60</v>
      </c>
      <c r="V492" s="78" t="str">
        <f t="shared" si="55"/>
        <v>21-30 Гб</v>
      </c>
    </row>
    <row r="493" spans="1:22" x14ac:dyDescent="0.25">
      <c r="A493" t="s">
        <v>788</v>
      </c>
      <c r="B493" s="43">
        <v>36707</v>
      </c>
      <c r="C493" t="s">
        <v>50</v>
      </c>
      <c r="D493" t="s">
        <v>51</v>
      </c>
      <c r="E493" t="s">
        <v>54</v>
      </c>
      <c r="F493" t="s">
        <v>57</v>
      </c>
      <c r="G493" s="43">
        <v>42924</v>
      </c>
      <c r="H493">
        <v>5</v>
      </c>
      <c r="I493">
        <v>47916</v>
      </c>
      <c r="J493">
        <v>84000000</v>
      </c>
      <c r="P493" s="77">
        <f t="shared" si="49"/>
        <v>1758</v>
      </c>
      <c r="Q493" s="78">
        <f t="shared" si="50"/>
        <v>159.72</v>
      </c>
      <c r="R493" s="78">
        <f t="shared" si="51"/>
        <v>16.021728515625</v>
      </c>
      <c r="S493" s="78">
        <f t="shared" si="52"/>
        <v>21</v>
      </c>
      <c r="T493" s="78">
        <f t="shared" si="53"/>
        <v>37.268000000000001</v>
      </c>
      <c r="U493" s="78" t="str">
        <f t="shared" si="54"/>
        <v>35-60</v>
      </c>
      <c r="V493" s="78" t="str">
        <f t="shared" si="55"/>
        <v>10-20 Гб</v>
      </c>
    </row>
    <row r="494" spans="1:22" x14ac:dyDescent="0.25">
      <c r="A494" t="s">
        <v>410</v>
      </c>
      <c r="B494" s="43">
        <v>36705</v>
      </c>
      <c r="C494" t="s">
        <v>50</v>
      </c>
      <c r="D494" t="s">
        <v>51</v>
      </c>
      <c r="E494" t="s">
        <v>52</v>
      </c>
      <c r="F494" t="s">
        <v>56</v>
      </c>
      <c r="G494" s="43">
        <v>42958</v>
      </c>
      <c r="H494">
        <v>5</v>
      </c>
      <c r="I494">
        <v>70692</v>
      </c>
      <c r="J494">
        <v>132000000</v>
      </c>
      <c r="P494" s="77">
        <f t="shared" si="49"/>
        <v>1724</v>
      </c>
      <c r="Q494" s="78">
        <f t="shared" si="50"/>
        <v>235.64</v>
      </c>
      <c r="R494" s="78">
        <f t="shared" si="51"/>
        <v>25.177001953125</v>
      </c>
      <c r="S494" s="78">
        <f t="shared" si="52"/>
        <v>21</v>
      </c>
      <c r="T494" s="78">
        <f t="shared" si="53"/>
        <v>54.982666666666667</v>
      </c>
      <c r="U494" s="78" t="str">
        <f t="shared" si="54"/>
        <v>35-60</v>
      </c>
      <c r="V494" s="78" t="str">
        <f t="shared" si="55"/>
        <v>21-30 Гб</v>
      </c>
    </row>
    <row r="495" spans="1:22" x14ac:dyDescent="0.25">
      <c r="A495" t="s">
        <v>636</v>
      </c>
      <c r="B495" s="43">
        <v>36705</v>
      </c>
      <c r="C495" t="s">
        <v>50</v>
      </c>
      <c r="D495" t="s">
        <v>51</v>
      </c>
      <c r="E495" t="s">
        <v>54</v>
      </c>
      <c r="F495" t="s">
        <v>57</v>
      </c>
      <c r="G495" s="43">
        <v>43875</v>
      </c>
      <c r="H495">
        <v>5</v>
      </c>
      <c r="I495">
        <v>58976</v>
      </c>
      <c r="J495">
        <v>96000000</v>
      </c>
      <c r="P495" s="77">
        <f t="shared" si="49"/>
        <v>807</v>
      </c>
      <c r="Q495" s="78">
        <f t="shared" si="50"/>
        <v>196.58666666666667</v>
      </c>
      <c r="R495" s="78">
        <f t="shared" si="51"/>
        <v>18.310546875</v>
      </c>
      <c r="S495" s="78">
        <f t="shared" si="52"/>
        <v>21</v>
      </c>
      <c r="T495" s="78">
        <f t="shared" si="53"/>
        <v>45.870222222222225</v>
      </c>
      <c r="U495" s="78" t="str">
        <f t="shared" si="54"/>
        <v>35-60</v>
      </c>
      <c r="V495" s="78" t="str">
        <f t="shared" si="55"/>
        <v>10-20 Гб</v>
      </c>
    </row>
    <row r="496" spans="1:22" x14ac:dyDescent="0.25">
      <c r="A496" t="s">
        <v>994</v>
      </c>
      <c r="B496" s="43">
        <v>36703</v>
      </c>
      <c r="C496" t="s">
        <v>58</v>
      </c>
      <c r="D496" t="s">
        <v>51</v>
      </c>
      <c r="E496" t="s">
        <v>52</v>
      </c>
      <c r="F496" t="s">
        <v>63</v>
      </c>
      <c r="G496" s="43">
        <v>43551</v>
      </c>
      <c r="H496">
        <v>5</v>
      </c>
      <c r="I496">
        <v>2872</v>
      </c>
      <c r="J496">
        <v>156000000</v>
      </c>
      <c r="P496" s="77">
        <f t="shared" si="49"/>
        <v>1131</v>
      </c>
      <c r="Q496" s="78">
        <f t="shared" si="50"/>
        <v>9.5733333333333341</v>
      </c>
      <c r="R496" s="78">
        <f t="shared" si="51"/>
        <v>29.754638671875</v>
      </c>
      <c r="S496" s="78">
        <f t="shared" si="52"/>
        <v>21</v>
      </c>
      <c r="T496" s="78">
        <f t="shared" si="53"/>
        <v>2.2337777777777776</v>
      </c>
      <c r="U496" s="78" t="str">
        <f t="shared" si="54"/>
        <v>&lt;35</v>
      </c>
      <c r="V496" s="78" t="str">
        <f t="shared" si="55"/>
        <v>21-30 Гб</v>
      </c>
    </row>
    <row r="497" spans="1:22" x14ac:dyDescent="0.25">
      <c r="A497" t="s">
        <v>731</v>
      </c>
      <c r="B497" s="43">
        <v>36699</v>
      </c>
      <c r="C497" t="s">
        <v>50</v>
      </c>
      <c r="D497" t="s">
        <v>51</v>
      </c>
      <c r="E497" t="s">
        <v>52</v>
      </c>
      <c r="F497" t="s">
        <v>63</v>
      </c>
      <c r="G497" s="43">
        <v>43979</v>
      </c>
      <c r="H497">
        <v>5</v>
      </c>
      <c r="I497">
        <v>19620</v>
      </c>
      <c r="J497">
        <v>140000000</v>
      </c>
      <c r="P497" s="77">
        <f t="shared" si="49"/>
        <v>703</v>
      </c>
      <c r="Q497" s="78">
        <f t="shared" si="50"/>
        <v>65.400000000000006</v>
      </c>
      <c r="R497" s="78">
        <f t="shared" si="51"/>
        <v>26.702880859375</v>
      </c>
      <c r="S497" s="78">
        <f t="shared" si="52"/>
        <v>21</v>
      </c>
      <c r="T497" s="78">
        <f t="shared" si="53"/>
        <v>15.260000000000002</v>
      </c>
      <c r="U497" s="78" t="str">
        <f t="shared" si="54"/>
        <v>&lt;35</v>
      </c>
      <c r="V497" s="78" t="str">
        <f t="shared" si="55"/>
        <v>21-30 Гб</v>
      </c>
    </row>
    <row r="498" spans="1:22" x14ac:dyDescent="0.25">
      <c r="A498" t="s">
        <v>615</v>
      </c>
      <c r="B498" s="43">
        <v>36698</v>
      </c>
      <c r="C498" t="s">
        <v>58</v>
      </c>
      <c r="D498" t="s">
        <v>51</v>
      </c>
      <c r="E498" t="s">
        <v>54</v>
      </c>
      <c r="F498" t="s">
        <v>57</v>
      </c>
      <c r="G498" s="43">
        <v>44141</v>
      </c>
      <c r="H498">
        <v>5</v>
      </c>
      <c r="I498">
        <v>33100</v>
      </c>
      <c r="J498">
        <v>4000000</v>
      </c>
      <c r="P498" s="77">
        <f t="shared" si="49"/>
        <v>541</v>
      </c>
      <c r="Q498" s="78">
        <f t="shared" si="50"/>
        <v>110.33333333333333</v>
      </c>
      <c r="R498" s="78">
        <f t="shared" si="51"/>
        <v>0.762939453125</v>
      </c>
      <c r="S498" s="78">
        <f t="shared" si="52"/>
        <v>21</v>
      </c>
      <c r="T498" s="78">
        <f t="shared" si="53"/>
        <v>25.744444444444444</v>
      </c>
      <c r="U498" s="78" t="str">
        <f t="shared" si="54"/>
        <v>&lt;35</v>
      </c>
      <c r="V498" s="78" t="str">
        <f t="shared" si="55"/>
        <v>&lt;10 Гб</v>
      </c>
    </row>
    <row r="499" spans="1:22" x14ac:dyDescent="0.25">
      <c r="A499" t="s">
        <v>728</v>
      </c>
      <c r="B499" s="43">
        <v>36692</v>
      </c>
      <c r="C499" t="s">
        <v>58</v>
      </c>
      <c r="D499" t="s">
        <v>51</v>
      </c>
      <c r="E499" t="s">
        <v>54</v>
      </c>
      <c r="F499" t="s">
        <v>63</v>
      </c>
      <c r="G499" s="43">
        <v>42879</v>
      </c>
      <c r="H499">
        <v>5</v>
      </c>
      <c r="I499">
        <v>18236</v>
      </c>
      <c r="J499">
        <v>152000000</v>
      </c>
      <c r="P499" s="77">
        <f t="shared" si="49"/>
        <v>1803</v>
      </c>
      <c r="Q499" s="78">
        <f t="shared" si="50"/>
        <v>60.786666666666669</v>
      </c>
      <c r="R499" s="78">
        <f t="shared" si="51"/>
        <v>28.99169921875</v>
      </c>
      <c r="S499" s="78">
        <f t="shared" si="52"/>
        <v>21</v>
      </c>
      <c r="T499" s="78">
        <f t="shared" si="53"/>
        <v>14.183555555555555</v>
      </c>
      <c r="U499" s="78" t="str">
        <f t="shared" si="54"/>
        <v>&lt;35</v>
      </c>
      <c r="V499" s="78" t="str">
        <f t="shared" si="55"/>
        <v>21-30 Гб</v>
      </c>
    </row>
    <row r="500" spans="1:22" x14ac:dyDescent="0.25">
      <c r="A500" t="s">
        <v>222</v>
      </c>
      <c r="B500" s="43">
        <v>36691</v>
      </c>
      <c r="C500" t="s">
        <v>50</v>
      </c>
      <c r="D500" t="s">
        <v>51</v>
      </c>
      <c r="E500" t="s">
        <v>52</v>
      </c>
      <c r="F500" t="s">
        <v>56</v>
      </c>
      <c r="G500" s="43">
        <v>42863</v>
      </c>
      <c r="H500">
        <v>5</v>
      </c>
      <c r="I500">
        <v>16932</v>
      </c>
      <c r="J500">
        <v>120000000</v>
      </c>
      <c r="P500" s="77">
        <f t="shared" si="49"/>
        <v>1819</v>
      </c>
      <c r="Q500" s="78">
        <f t="shared" si="50"/>
        <v>56.44</v>
      </c>
      <c r="R500" s="78">
        <f t="shared" si="51"/>
        <v>22.88818359375</v>
      </c>
      <c r="S500" s="78">
        <f t="shared" si="52"/>
        <v>21</v>
      </c>
      <c r="T500" s="78">
        <f t="shared" si="53"/>
        <v>13.169333333333332</v>
      </c>
      <c r="U500" s="78" t="str">
        <f t="shared" si="54"/>
        <v>&lt;35</v>
      </c>
      <c r="V500" s="78" t="str">
        <f t="shared" si="55"/>
        <v>21-30 Гб</v>
      </c>
    </row>
    <row r="501" spans="1:22" x14ac:dyDescent="0.25">
      <c r="A501" t="s">
        <v>337</v>
      </c>
      <c r="B501" s="43">
        <v>36691</v>
      </c>
      <c r="C501" t="s">
        <v>50</v>
      </c>
      <c r="D501" t="s">
        <v>51</v>
      </c>
      <c r="E501" t="s">
        <v>52</v>
      </c>
      <c r="F501" t="s">
        <v>56</v>
      </c>
      <c r="G501" s="43">
        <v>44248</v>
      </c>
      <c r="H501">
        <v>5</v>
      </c>
      <c r="I501">
        <v>119692</v>
      </c>
      <c r="J501">
        <v>136000000</v>
      </c>
      <c r="P501" s="77">
        <f t="shared" si="49"/>
        <v>434</v>
      </c>
      <c r="Q501" s="78">
        <f t="shared" si="50"/>
        <v>398.97333333333336</v>
      </c>
      <c r="R501" s="78">
        <f t="shared" si="51"/>
        <v>25.93994140625</v>
      </c>
      <c r="S501" s="78">
        <f t="shared" si="52"/>
        <v>21</v>
      </c>
      <c r="T501" s="78">
        <f t="shared" si="53"/>
        <v>93.093777777777788</v>
      </c>
      <c r="U501" s="78" t="str">
        <f t="shared" si="54"/>
        <v>91-120</v>
      </c>
      <c r="V501" s="78" t="str">
        <f t="shared" si="55"/>
        <v>21-30 Гб</v>
      </c>
    </row>
    <row r="502" spans="1:22" x14ac:dyDescent="0.25">
      <c r="A502" t="s">
        <v>812</v>
      </c>
      <c r="B502" s="43">
        <v>36690</v>
      </c>
      <c r="C502" t="s">
        <v>50</v>
      </c>
      <c r="D502" t="s">
        <v>51</v>
      </c>
      <c r="E502" t="s">
        <v>52</v>
      </c>
      <c r="F502" t="s">
        <v>57</v>
      </c>
      <c r="G502" s="43">
        <v>43670</v>
      </c>
      <c r="H502">
        <v>5</v>
      </c>
      <c r="I502">
        <v>28248</v>
      </c>
      <c r="J502">
        <v>36000000</v>
      </c>
      <c r="L502">
        <v>1</v>
      </c>
      <c r="P502" s="77">
        <f t="shared" si="49"/>
        <v>1012</v>
      </c>
      <c r="Q502" s="78">
        <f t="shared" si="50"/>
        <v>94.16</v>
      </c>
      <c r="R502" s="78">
        <f t="shared" si="51"/>
        <v>6.866455078125</v>
      </c>
      <c r="S502" s="78">
        <f t="shared" si="52"/>
        <v>21</v>
      </c>
      <c r="T502" s="78">
        <f t="shared" si="53"/>
        <v>21.970666666666666</v>
      </c>
      <c r="U502" s="78" t="str">
        <f t="shared" si="54"/>
        <v>&lt;35</v>
      </c>
      <c r="V502" s="78" t="str">
        <f t="shared" si="55"/>
        <v>&lt;10 Гб</v>
      </c>
    </row>
    <row r="503" spans="1:22" x14ac:dyDescent="0.25">
      <c r="A503" t="s">
        <v>1022</v>
      </c>
      <c r="B503" s="43">
        <v>36688</v>
      </c>
      <c r="C503" t="s">
        <v>58</v>
      </c>
      <c r="D503" t="s">
        <v>51</v>
      </c>
      <c r="E503" t="s">
        <v>54</v>
      </c>
      <c r="F503" t="s">
        <v>63</v>
      </c>
      <c r="G503" s="43">
        <v>44421</v>
      </c>
      <c r="H503">
        <v>5</v>
      </c>
      <c r="I503">
        <v>32684</v>
      </c>
      <c r="J503">
        <v>104000000</v>
      </c>
      <c r="L503">
        <v>1</v>
      </c>
      <c r="P503" s="77">
        <f t="shared" si="49"/>
        <v>261</v>
      </c>
      <c r="Q503" s="78">
        <f t="shared" si="50"/>
        <v>108.94666666666667</v>
      </c>
      <c r="R503" s="78">
        <f t="shared" si="51"/>
        <v>19.83642578125</v>
      </c>
      <c r="S503" s="78">
        <f t="shared" si="52"/>
        <v>21</v>
      </c>
      <c r="T503" s="78">
        <f t="shared" si="53"/>
        <v>25.420888888888889</v>
      </c>
      <c r="U503" s="78" t="str">
        <f t="shared" si="54"/>
        <v>&lt;35</v>
      </c>
      <c r="V503" s="78" t="str">
        <f t="shared" si="55"/>
        <v>10-20 Гб</v>
      </c>
    </row>
    <row r="504" spans="1:22" x14ac:dyDescent="0.25">
      <c r="A504" t="s">
        <v>237</v>
      </c>
      <c r="B504" s="43">
        <v>36683</v>
      </c>
      <c r="C504" t="s">
        <v>58</v>
      </c>
      <c r="D504" t="s">
        <v>51</v>
      </c>
      <c r="E504" t="s">
        <v>54</v>
      </c>
      <c r="F504" t="s">
        <v>56</v>
      </c>
      <c r="G504" s="43">
        <v>43347</v>
      </c>
      <c r="H504">
        <v>5</v>
      </c>
      <c r="I504">
        <v>40276</v>
      </c>
      <c r="J504">
        <v>128000000</v>
      </c>
      <c r="P504" s="77">
        <f t="shared" si="49"/>
        <v>1335</v>
      </c>
      <c r="Q504" s="78">
        <f t="shared" si="50"/>
        <v>134.25333333333333</v>
      </c>
      <c r="R504" s="78">
        <f t="shared" si="51"/>
        <v>24.4140625</v>
      </c>
      <c r="S504" s="78">
        <f t="shared" si="52"/>
        <v>21</v>
      </c>
      <c r="T504" s="78">
        <f t="shared" si="53"/>
        <v>31.325777777777777</v>
      </c>
      <c r="U504" s="78" t="str">
        <f t="shared" si="54"/>
        <v>&lt;35</v>
      </c>
      <c r="V504" s="78" t="str">
        <f t="shared" si="55"/>
        <v>21-30 Гб</v>
      </c>
    </row>
    <row r="505" spans="1:22" x14ac:dyDescent="0.25">
      <c r="A505" t="s">
        <v>784</v>
      </c>
      <c r="B505" s="43">
        <v>36683</v>
      </c>
      <c r="C505" t="s">
        <v>50</v>
      </c>
      <c r="D505" t="s">
        <v>51</v>
      </c>
      <c r="E505" t="s">
        <v>54</v>
      </c>
      <c r="F505" t="s">
        <v>57</v>
      </c>
      <c r="G505" s="43">
        <v>43949</v>
      </c>
      <c r="H505">
        <v>5</v>
      </c>
      <c r="I505">
        <v>87844</v>
      </c>
      <c r="J505">
        <v>80000000</v>
      </c>
      <c r="P505" s="77">
        <f t="shared" si="49"/>
        <v>733</v>
      </c>
      <c r="Q505" s="78">
        <f t="shared" si="50"/>
        <v>292.81333333333333</v>
      </c>
      <c r="R505" s="78">
        <f t="shared" si="51"/>
        <v>15.2587890625</v>
      </c>
      <c r="S505" s="78">
        <f t="shared" si="52"/>
        <v>21</v>
      </c>
      <c r="T505" s="78">
        <f t="shared" si="53"/>
        <v>68.323111111111103</v>
      </c>
      <c r="U505" s="78" t="str">
        <f t="shared" si="54"/>
        <v>61-90</v>
      </c>
      <c r="V505" s="78" t="str">
        <f t="shared" si="55"/>
        <v>10-20 Гб</v>
      </c>
    </row>
    <row r="506" spans="1:22" x14ac:dyDescent="0.25">
      <c r="A506" t="s">
        <v>66</v>
      </c>
      <c r="B506" s="43">
        <v>36681</v>
      </c>
      <c r="C506" t="s">
        <v>50</v>
      </c>
      <c r="D506" t="s">
        <v>51</v>
      </c>
      <c r="E506" t="s">
        <v>52</v>
      </c>
      <c r="F506" t="s">
        <v>57</v>
      </c>
      <c r="G506" s="43">
        <v>44664</v>
      </c>
      <c r="H506">
        <v>0</v>
      </c>
      <c r="I506">
        <v>3061</v>
      </c>
      <c r="J506">
        <v>2400000</v>
      </c>
      <c r="N506">
        <v>1</v>
      </c>
      <c r="P506" s="77">
        <f t="shared" si="49"/>
        <v>18</v>
      </c>
      <c r="Q506" s="78">
        <f t="shared" si="50"/>
        <v>85.027777777777771</v>
      </c>
      <c r="R506" s="78">
        <f t="shared" si="51"/>
        <v>3.814697265625</v>
      </c>
      <c r="S506" s="78">
        <f t="shared" si="52"/>
        <v>21</v>
      </c>
      <c r="T506" s="78">
        <f t="shared" si="53"/>
        <v>19.839814814814812</v>
      </c>
      <c r="U506" s="78" t="str">
        <f t="shared" si="54"/>
        <v>&lt;35</v>
      </c>
      <c r="V506" s="78" t="str">
        <f t="shared" si="55"/>
        <v>&lt;10 Гб</v>
      </c>
    </row>
    <row r="507" spans="1:22" x14ac:dyDescent="0.25">
      <c r="A507" t="s">
        <v>353</v>
      </c>
      <c r="B507" s="43">
        <v>36681</v>
      </c>
      <c r="C507" t="s">
        <v>58</v>
      </c>
      <c r="D507" t="s">
        <v>51</v>
      </c>
      <c r="E507" t="s">
        <v>52</v>
      </c>
      <c r="F507" t="s">
        <v>56</v>
      </c>
      <c r="G507" s="43">
        <v>43657</v>
      </c>
      <c r="H507">
        <v>5</v>
      </c>
      <c r="I507">
        <v>118292</v>
      </c>
      <c r="J507">
        <v>132000000</v>
      </c>
      <c r="N507">
        <v>1</v>
      </c>
      <c r="P507" s="77">
        <f t="shared" si="49"/>
        <v>1025</v>
      </c>
      <c r="Q507" s="78">
        <f t="shared" si="50"/>
        <v>394.30666666666667</v>
      </c>
      <c r="R507" s="78">
        <f t="shared" si="51"/>
        <v>25.177001953125</v>
      </c>
      <c r="S507" s="78">
        <f t="shared" si="52"/>
        <v>21</v>
      </c>
      <c r="T507" s="78">
        <f t="shared" si="53"/>
        <v>92.004888888888885</v>
      </c>
      <c r="U507" s="78" t="str">
        <f t="shared" si="54"/>
        <v>91-120</v>
      </c>
      <c r="V507" s="78" t="str">
        <f t="shared" si="55"/>
        <v>21-30 Гб</v>
      </c>
    </row>
    <row r="508" spans="1:22" x14ac:dyDescent="0.25">
      <c r="A508" t="s">
        <v>592</v>
      </c>
      <c r="B508" s="43">
        <v>36681</v>
      </c>
      <c r="C508" t="s">
        <v>50</v>
      </c>
      <c r="D508" t="s">
        <v>51</v>
      </c>
      <c r="E508" t="s">
        <v>54</v>
      </c>
      <c r="F508" t="s">
        <v>57</v>
      </c>
      <c r="G508" s="43">
        <v>43900</v>
      </c>
      <c r="H508">
        <v>5</v>
      </c>
      <c r="I508">
        <v>73884</v>
      </c>
      <c r="J508">
        <v>116000000</v>
      </c>
      <c r="P508" s="77">
        <f t="shared" si="49"/>
        <v>782</v>
      </c>
      <c r="Q508" s="78">
        <f t="shared" si="50"/>
        <v>246.28</v>
      </c>
      <c r="R508" s="78">
        <f t="shared" si="51"/>
        <v>22.125244140625</v>
      </c>
      <c r="S508" s="78">
        <f t="shared" si="52"/>
        <v>21</v>
      </c>
      <c r="T508" s="78">
        <f t="shared" si="53"/>
        <v>57.465333333333334</v>
      </c>
      <c r="U508" s="78" t="str">
        <f t="shared" si="54"/>
        <v>35-60</v>
      </c>
      <c r="V508" s="78" t="str">
        <f t="shared" si="55"/>
        <v>21-30 Гб</v>
      </c>
    </row>
    <row r="509" spans="1:22" x14ac:dyDescent="0.25">
      <c r="A509" t="s">
        <v>913</v>
      </c>
      <c r="B509" s="43">
        <v>36681</v>
      </c>
      <c r="C509" t="s">
        <v>58</v>
      </c>
      <c r="D509" t="s">
        <v>51</v>
      </c>
      <c r="E509" t="s">
        <v>54</v>
      </c>
      <c r="F509" t="s">
        <v>63</v>
      </c>
      <c r="G509" s="43">
        <v>43527</v>
      </c>
      <c r="H509">
        <v>5</v>
      </c>
      <c r="I509">
        <v>16184</v>
      </c>
      <c r="J509">
        <v>152000000</v>
      </c>
      <c r="P509" s="77">
        <f t="shared" si="49"/>
        <v>1155</v>
      </c>
      <c r="Q509" s="78">
        <f t="shared" si="50"/>
        <v>53.946666666666665</v>
      </c>
      <c r="R509" s="78">
        <f t="shared" si="51"/>
        <v>28.99169921875</v>
      </c>
      <c r="S509" s="78">
        <f t="shared" si="52"/>
        <v>21</v>
      </c>
      <c r="T509" s="78">
        <f t="shared" si="53"/>
        <v>12.587555555555555</v>
      </c>
      <c r="U509" s="78" t="str">
        <f t="shared" si="54"/>
        <v>&lt;35</v>
      </c>
      <c r="V509" s="78" t="str">
        <f t="shared" si="55"/>
        <v>21-30 Гб</v>
      </c>
    </row>
    <row r="510" spans="1:22" x14ac:dyDescent="0.25">
      <c r="A510" t="s">
        <v>470</v>
      </c>
      <c r="B510" s="43">
        <v>36680</v>
      </c>
      <c r="C510" t="s">
        <v>50</v>
      </c>
      <c r="D510" t="s">
        <v>51</v>
      </c>
      <c r="E510" t="s">
        <v>54</v>
      </c>
      <c r="F510" t="s">
        <v>57</v>
      </c>
      <c r="G510" s="43">
        <v>43840</v>
      </c>
      <c r="H510">
        <v>5</v>
      </c>
      <c r="I510">
        <v>87748</v>
      </c>
      <c r="J510">
        <v>48000000</v>
      </c>
      <c r="K510">
        <v>1</v>
      </c>
      <c r="O510">
        <v>1</v>
      </c>
      <c r="P510" s="77">
        <f t="shared" si="49"/>
        <v>842</v>
      </c>
      <c r="Q510" s="78">
        <f t="shared" si="50"/>
        <v>292.49333333333334</v>
      </c>
      <c r="R510" s="78">
        <f t="shared" si="51"/>
        <v>9.1552734375</v>
      </c>
      <c r="S510" s="78">
        <f t="shared" si="52"/>
        <v>21</v>
      </c>
      <c r="T510" s="78">
        <f t="shared" si="53"/>
        <v>68.248444444444445</v>
      </c>
      <c r="U510" s="78" t="str">
        <f t="shared" si="54"/>
        <v>61-90</v>
      </c>
      <c r="V510" s="78" t="str">
        <f t="shared" si="55"/>
        <v>&lt;10 Гб</v>
      </c>
    </row>
    <row r="511" spans="1:22" x14ac:dyDescent="0.25">
      <c r="A511" t="s">
        <v>472</v>
      </c>
      <c r="B511" s="43">
        <v>36677</v>
      </c>
      <c r="C511" t="s">
        <v>50</v>
      </c>
      <c r="D511" t="s">
        <v>51</v>
      </c>
      <c r="E511" t="s">
        <v>54</v>
      </c>
      <c r="F511" t="s">
        <v>57</v>
      </c>
      <c r="G511" s="43">
        <v>43303</v>
      </c>
      <c r="H511">
        <v>5</v>
      </c>
      <c r="I511">
        <v>54640</v>
      </c>
      <c r="J511">
        <v>48000000</v>
      </c>
      <c r="P511" s="77">
        <f t="shared" si="49"/>
        <v>1379</v>
      </c>
      <c r="Q511" s="78">
        <f t="shared" si="50"/>
        <v>182.13333333333333</v>
      </c>
      <c r="R511" s="78">
        <f t="shared" si="51"/>
        <v>9.1552734375</v>
      </c>
      <c r="S511" s="78">
        <f t="shared" si="52"/>
        <v>21</v>
      </c>
      <c r="T511" s="78">
        <f t="shared" si="53"/>
        <v>42.497777777777777</v>
      </c>
      <c r="U511" s="78" t="str">
        <f t="shared" si="54"/>
        <v>35-60</v>
      </c>
      <c r="V511" s="78" t="str">
        <f t="shared" si="55"/>
        <v>&lt;10 Гб</v>
      </c>
    </row>
    <row r="512" spans="1:22" x14ac:dyDescent="0.25">
      <c r="A512" t="s">
        <v>1063</v>
      </c>
      <c r="B512" s="43">
        <v>36673</v>
      </c>
      <c r="C512" t="s">
        <v>50</v>
      </c>
      <c r="D512" t="s">
        <v>51</v>
      </c>
      <c r="E512" t="s">
        <v>52</v>
      </c>
      <c r="F512" t="s">
        <v>63</v>
      </c>
      <c r="G512" s="43">
        <v>43095</v>
      </c>
      <c r="H512">
        <v>5</v>
      </c>
      <c r="I512">
        <v>9888</v>
      </c>
      <c r="J512">
        <v>156000000</v>
      </c>
      <c r="K512">
        <v>1</v>
      </c>
      <c r="P512" s="77">
        <f t="shared" ref="P512:P575" si="56">DATEDIF(G512,$C$2,"D")</f>
        <v>1587</v>
      </c>
      <c r="Q512" s="78">
        <f t="shared" ref="Q512:Q575" si="57">IF(P512&lt;DATEDIF($C$3,$C$2,"D"),I512/(60*(P512/30)),I512/(60*5))</f>
        <v>32.96</v>
      </c>
      <c r="R512" s="78">
        <f t="shared" ref="R512:R575" si="58">IF(P512&lt;DATEDIF($C$3,$C$2,"D"),J512/(1048576*(P512/30)),J512/(1048576*5))</f>
        <v>29.754638671875</v>
      </c>
      <c r="S512" s="78">
        <f t="shared" ref="S512:S575" si="59">DATEDIF(B512,$C$2,"Y")</f>
        <v>21</v>
      </c>
      <c r="T512" s="78">
        <f t="shared" si="53"/>
        <v>7.690666666666667</v>
      </c>
      <c r="U512" s="78" t="str">
        <f t="shared" si="54"/>
        <v>&lt;35</v>
      </c>
      <c r="V512" s="78" t="str">
        <f t="shared" si="55"/>
        <v>21-30 Гб</v>
      </c>
    </row>
    <row r="513" spans="1:22" x14ac:dyDescent="0.25">
      <c r="A513" t="s">
        <v>963</v>
      </c>
      <c r="B513" s="43">
        <v>36672</v>
      </c>
      <c r="C513" t="s">
        <v>58</v>
      </c>
      <c r="D513" t="s">
        <v>51</v>
      </c>
      <c r="E513" t="s">
        <v>54</v>
      </c>
      <c r="F513" t="s">
        <v>63</v>
      </c>
      <c r="G513" s="43">
        <v>43116</v>
      </c>
      <c r="H513">
        <v>5</v>
      </c>
      <c r="I513">
        <v>6688</v>
      </c>
      <c r="J513">
        <v>156000000</v>
      </c>
      <c r="P513" s="77">
        <f t="shared" si="56"/>
        <v>1566</v>
      </c>
      <c r="Q513" s="78">
        <f t="shared" si="57"/>
        <v>22.293333333333333</v>
      </c>
      <c r="R513" s="78">
        <f t="shared" si="58"/>
        <v>29.754638671875</v>
      </c>
      <c r="S513" s="78">
        <f t="shared" si="59"/>
        <v>21</v>
      </c>
      <c r="T513" s="78">
        <f t="shared" si="53"/>
        <v>5.2017777777777781</v>
      </c>
      <c r="U513" s="78" t="str">
        <f t="shared" si="54"/>
        <v>&lt;35</v>
      </c>
      <c r="V513" s="78" t="str">
        <f t="shared" si="55"/>
        <v>21-30 Гб</v>
      </c>
    </row>
    <row r="514" spans="1:22" x14ac:dyDescent="0.25">
      <c r="A514" t="s">
        <v>476</v>
      </c>
      <c r="B514" s="43">
        <v>36671</v>
      </c>
      <c r="C514" t="s">
        <v>58</v>
      </c>
      <c r="D514" t="s">
        <v>51</v>
      </c>
      <c r="E514" t="s">
        <v>52</v>
      </c>
      <c r="F514" t="s">
        <v>57</v>
      </c>
      <c r="G514" s="43">
        <v>44355</v>
      </c>
      <c r="H514">
        <v>5</v>
      </c>
      <c r="I514">
        <v>94796</v>
      </c>
      <c r="J514">
        <v>92000000</v>
      </c>
      <c r="P514" s="77">
        <f t="shared" si="56"/>
        <v>327</v>
      </c>
      <c r="Q514" s="78">
        <f t="shared" si="57"/>
        <v>315.98666666666668</v>
      </c>
      <c r="R514" s="78">
        <f t="shared" si="58"/>
        <v>17.547607421875</v>
      </c>
      <c r="S514" s="78">
        <f t="shared" si="59"/>
        <v>21</v>
      </c>
      <c r="T514" s="78">
        <f t="shared" si="53"/>
        <v>73.730222222222224</v>
      </c>
      <c r="U514" s="78" t="str">
        <f t="shared" si="54"/>
        <v>61-90</v>
      </c>
      <c r="V514" s="78" t="str">
        <f t="shared" si="55"/>
        <v>10-20 Гб</v>
      </c>
    </row>
    <row r="515" spans="1:22" x14ac:dyDescent="0.25">
      <c r="A515" t="s">
        <v>722</v>
      </c>
      <c r="B515" s="43">
        <v>36671</v>
      </c>
      <c r="C515" t="s">
        <v>58</v>
      </c>
      <c r="D515" t="s">
        <v>51</v>
      </c>
      <c r="E515" t="s">
        <v>52</v>
      </c>
      <c r="F515" t="s">
        <v>63</v>
      </c>
      <c r="G515" s="43">
        <v>42874</v>
      </c>
      <c r="H515">
        <v>5</v>
      </c>
      <c r="I515">
        <v>30200</v>
      </c>
      <c r="J515">
        <v>148000000</v>
      </c>
      <c r="L515">
        <v>1</v>
      </c>
      <c r="O515">
        <v>1</v>
      </c>
      <c r="P515" s="77">
        <f t="shared" si="56"/>
        <v>1808</v>
      </c>
      <c r="Q515" s="78">
        <f t="shared" si="57"/>
        <v>100.66666666666667</v>
      </c>
      <c r="R515" s="78">
        <f t="shared" si="58"/>
        <v>28.228759765625</v>
      </c>
      <c r="S515" s="78">
        <f t="shared" si="59"/>
        <v>21</v>
      </c>
      <c r="T515" s="78">
        <f t="shared" si="53"/>
        <v>23.488888888888891</v>
      </c>
      <c r="U515" s="78" t="str">
        <f t="shared" si="54"/>
        <v>&lt;35</v>
      </c>
      <c r="V515" s="78" t="str">
        <f t="shared" si="55"/>
        <v>21-30 Гб</v>
      </c>
    </row>
    <row r="516" spans="1:22" x14ac:dyDescent="0.25">
      <c r="A516" t="s">
        <v>783</v>
      </c>
      <c r="B516" s="43">
        <v>36671</v>
      </c>
      <c r="C516" t="s">
        <v>58</v>
      </c>
      <c r="D516" t="s">
        <v>51</v>
      </c>
      <c r="E516" t="s">
        <v>52</v>
      </c>
      <c r="F516" t="s">
        <v>57</v>
      </c>
      <c r="G516" s="43">
        <v>43590</v>
      </c>
      <c r="H516">
        <v>5</v>
      </c>
      <c r="I516">
        <v>67260</v>
      </c>
      <c r="J516">
        <v>120000000</v>
      </c>
      <c r="P516" s="77">
        <f t="shared" si="56"/>
        <v>1092</v>
      </c>
      <c r="Q516" s="78">
        <f t="shared" si="57"/>
        <v>224.2</v>
      </c>
      <c r="R516" s="78">
        <f t="shared" si="58"/>
        <v>22.88818359375</v>
      </c>
      <c r="S516" s="78">
        <f t="shared" si="59"/>
        <v>21</v>
      </c>
      <c r="T516" s="78">
        <f t="shared" si="53"/>
        <v>52.313333333333325</v>
      </c>
      <c r="U516" s="78" t="str">
        <f t="shared" si="54"/>
        <v>35-60</v>
      </c>
      <c r="V516" s="78" t="str">
        <f t="shared" si="55"/>
        <v>21-30 Гб</v>
      </c>
    </row>
    <row r="517" spans="1:22" x14ac:dyDescent="0.25">
      <c r="A517" t="s">
        <v>939</v>
      </c>
      <c r="B517" s="43">
        <v>36671</v>
      </c>
      <c r="C517" t="s">
        <v>50</v>
      </c>
      <c r="D517" t="s">
        <v>51</v>
      </c>
      <c r="E517" t="s">
        <v>54</v>
      </c>
      <c r="F517" t="s">
        <v>63</v>
      </c>
      <c r="G517" s="43">
        <v>44329</v>
      </c>
      <c r="H517">
        <v>5</v>
      </c>
      <c r="I517">
        <v>33540</v>
      </c>
      <c r="J517">
        <v>148000000</v>
      </c>
      <c r="L517">
        <v>1</v>
      </c>
      <c r="P517" s="77">
        <f t="shared" si="56"/>
        <v>353</v>
      </c>
      <c r="Q517" s="78">
        <f t="shared" si="57"/>
        <v>111.8</v>
      </c>
      <c r="R517" s="78">
        <f t="shared" si="58"/>
        <v>28.228759765625</v>
      </c>
      <c r="S517" s="78">
        <f t="shared" si="59"/>
        <v>21</v>
      </c>
      <c r="T517" s="78">
        <f t="shared" si="53"/>
        <v>26.086666666666666</v>
      </c>
      <c r="U517" s="78" t="str">
        <f t="shared" si="54"/>
        <v>&lt;35</v>
      </c>
      <c r="V517" s="78" t="str">
        <f t="shared" si="55"/>
        <v>21-30 Гб</v>
      </c>
    </row>
    <row r="518" spans="1:22" x14ac:dyDescent="0.25">
      <c r="A518" t="s">
        <v>620</v>
      </c>
      <c r="B518" s="43">
        <v>36668</v>
      </c>
      <c r="C518" t="s">
        <v>58</v>
      </c>
      <c r="D518" t="s">
        <v>51</v>
      </c>
      <c r="E518" t="s">
        <v>54</v>
      </c>
      <c r="F518" t="s">
        <v>57</v>
      </c>
      <c r="G518" s="43">
        <v>42915</v>
      </c>
      <c r="H518">
        <v>5</v>
      </c>
      <c r="I518">
        <v>28160</v>
      </c>
      <c r="J518">
        <v>24000000</v>
      </c>
      <c r="P518" s="77">
        <f t="shared" si="56"/>
        <v>1767</v>
      </c>
      <c r="Q518" s="78">
        <f t="shared" si="57"/>
        <v>93.86666666666666</v>
      </c>
      <c r="R518" s="78">
        <f t="shared" si="58"/>
        <v>4.57763671875</v>
      </c>
      <c r="S518" s="78">
        <f t="shared" si="59"/>
        <v>21</v>
      </c>
      <c r="T518" s="78">
        <f t="shared" si="53"/>
        <v>21.902222222222221</v>
      </c>
      <c r="U518" s="78" t="str">
        <f t="shared" si="54"/>
        <v>&lt;35</v>
      </c>
      <c r="V518" s="78" t="str">
        <f t="shared" si="55"/>
        <v>&lt;10 Гб</v>
      </c>
    </row>
    <row r="519" spans="1:22" x14ac:dyDescent="0.25">
      <c r="A519" t="s">
        <v>601</v>
      </c>
      <c r="B519" s="43">
        <v>36665</v>
      </c>
      <c r="C519" t="s">
        <v>50</v>
      </c>
      <c r="D519" t="s">
        <v>51</v>
      </c>
      <c r="E519" t="s">
        <v>54</v>
      </c>
      <c r="F519" t="s">
        <v>57</v>
      </c>
      <c r="G519" s="43">
        <v>42823</v>
      </c>
      <c r="H519">
        <v>5</v>
      </c>
      <c r="I519">
        <v>36556</v>
      </c>
      <c r="J519">
        <v>96000000</v>
      </c>
      <c r="P519" s="77">
        <f t="shared" si="56"/>
        <v>1859</v>
      </c>
      <c r="Q519" s="78">
        <f t="shared" si="57"/>
        <v>121.85333333333334</v>
      </c>
      <c r="R519" s="78">
        <f t="shared" si="58"/>
        <v>18.310546875</v>
      </c>
      <c r="S519" s="78">
        <f t="shared" si="59"/>
        <v>21</v>
      </c>
      <c r="T519" s="78">
        <f t="shared" ref="T519:T582" si="60">(Q519*7)/30</f>
        <v>28.432444444444446</v>
      </c>
      <c r="U519" s="78" t="str">
        <f t="shared" ref="U519:U582" si="61">IF(T519&gt;120,"120+",IF(T519&gt;90,"91-120",IF(T519&gt;60,"61-90",IF(T519&gt;35,"35-60","&lt;35"))))</f>
        <v>&lt;35</v>
      </c>
      <c r="V519" s="78" t="str">
        <f t="shared" ref="V519:V582" si="62">IF(R519&gt;40,"40+ Гб",IF(R519&gt;30,"31-40 Гб",IF(R519&gt;20,"21-30 Гб",IF(R519&gt;10,"10-20 Гб","&lt;10 Гб"))))</f>
        <v>10-20 Гб</v>
      </c>
    </row>
    <row r="520" spans="1:22" x14ac:dyDescent="0.25">
      <c r="A520" t="s">
        <v>211</v>
      </c>
      <c r="B520" s="43">
        <v>36660</v>
      </c>
      <c r="C520" t="s">
        <v>58</v>
      </c>
      <c r="D520" t="s">
        <v>51</v>
      </c>
      <c r="E520" t="s">
        <v>52</v>
      </c>
      <c r="F520" t="s">
        <v>56</v>
      </c>
      <c r="G520" s="43">
        <v>43320</v>
      </c>
      <c r="H520">
        <v>5</v>
      </c>
      <c r="I520">
        <v>1460</v>
      </c>
      <c r="J520">
        <v>20000000</v>
      </c>
      <c r="M520">
        <v>1</v>
      </c>
      <c r="P520" s="77">
        <f t="shared" si="56"/>
        <v>1362</v>
      </c>
      <c r="Q520" s="78">
        <f t="shared" si="57"/>
        <v>4.8666666666666663</v>
      </c>
      <c r="R520" s="78">
        <f t="shared" si="58"/>
        <v>3.814697265625</v>
      </c>
      <c r="S520" s="78">
        <f t="shared" si="59"/>
        <v>21</v>
      </c>
      <c r="T520" s="78">
        <f t="shared" si="60"/>
        <v>1.1355555555555554</v>
      </c>
      <c r="U520" s="78" t="str">
        <f t="shared" si="61"/>
        <v>&lt;35</v>
      </c>
      <c r="V520" s="78" t="str">
        <f t="shared" si="62"/>
        <v>&lt;10 Гб</v>
      </c>
    </row>
    <row r="521" spans="1:22" x14ac:dyDescent="0.25">
      <c r="A521" t="s">
        <v>889</v>
      </c>
      <c r="B521" s="43">
        <v>36656</v>
      </c>
      <c r="C521" t="s">
        <v>58</v>
      </c>
      <c r="D521" t="s">
        <v>51</v>
      </c>
      <c r="E521" t="s">
        <v>52</v>
      </c>
      <c r="F521" t="s">
        <v>63</v>
      </c>
      <c r="G521" s="43">
        <v>44296</v>
      </c>
      <c r="H521">
        <v>5</v>
      </c>
      <c r="I521">
        <v>24040</v>
      </c>
      <c r="J521">
        <v>36000000</v>
      </c>
      <c r="P521" s="77">
        <f t="shared" si="56"/>
        <v>386</v>
      </c>
      <c r="Q521" s="78">
        <f t="shared" si="57"/>
        <v>80.13333333333334</v>
      </c>
      <c r="R521" s="78">
        <f t="shared" si="58"/>
        <v>6.866455078125</v>
      </c>
      <c r="S521" s="78">
        <f t="shared" si="59"/>
        <v>21</v>
      </c>
      <c r="T521" s="78">
        <f t="shared" si="60"/>
        <v>18.69777777777778</v>
      </c>
      <c r="U521" s="78" t="str">
        <f t="shared" si="61"/>
        <v>&lt;35</v>
      </c>
      <c r="V521" s="78" t="str">
        <f t="shared" si="62"/>
        <v>&lt;10 Гб</v>
      </c>
    </row>
    <row r="522" spans="1:22" x14ac:dyDescent="0.25">
      <c r="A522" t="s">
        <v>427</v>
      </c>
      <c r="B522" s="43">
        <v>36654</v>
      </c>
      <c r="C522" t="s">
        <v>58</v>
      </c>
      <c r="D522" t="s">
        <v>51</v>
      </c>
      <c r="E522" t="s">
        <v>54</v>
      </c>
      <c r="F522" t="s">
        <v>57</v>
      </c>
      <c r="G522" s="43">
        <v>43363</v>
      </c>
      <c r="H522">
        <v>5</v>
      </c>
      <c r="I522">
        <v>70676</v>
      </c>
      <c r="J522">
        <v>104000000</v>
      </c>
      <c r="K522">
        <v>1</v>
      </c>
      <c r="P522" s="77">
        <f t="shared" si="56"/>
        <v>1319</v>
      </c>
      <c r="Q522" s="78">
        <f t="shared" si="57"/>
        <v>235.58666666666667</v>
      </c>
      <c r="R522" s="78">
        <f t="shared" si="58"/>
        <v>19.83642578125</v>
      </c>
      <c r="S522" s="78">
        <f t="shared" si="59"/>
        <v>21</v>
      </c>
      <c r="T522" s="78">
        <f t="shared" si="60"/>
        <v>54.970222222222226</v>
      </c>
      <c r="U522" s="78" t="str">
        <f t="shared" si="61"/>
        <v>35-60</v>
      </c>
      <c r="V522" s="78" t="str">
        <f t="shared" si="62"/>
        <v>10-20 Гб</v>
      </c>
    </row>
    <row r="523" spans="1:22" x14ac:dyDescent="0.25">
      <c r="A523" t="s">
        <v>1193</v>
      </c>
      <c r="B523" s="43">
        <v>36654</v>
      </c>
      <c r="C523" t="s">
        <v>50</v>
      </c>
      <c r="D523" t="s">
        <v>51</v>
      </c>
      <c r="E523" t="s">
        <v>52</v>
      </c>
      <c r="F523" t="s">
        <v>69</v>
      </c>
      <c r="G523" s="43">
        <v>43592</v>
      </c>
      <c r="H523">
        <v>5</v>
      </c>
      <c r="I523">
        <v>1392</v>
      </c>
      <c r="J523">
        <v>16000000</v>
      </c>
      <c r="K523">
        <v>1</v>
      </c>
      <c r="P523" s="77">
        <f t="shared" si="56"/>
        <v>1090</v>
      </c>
      <c r="Q523" s="78">
        <f t="shared" si="57"/>
        <v>4.6399999999999997</v>
      </c>
      <c r="R523" s="78">
        <f t="shared" si="58"/>
        <v>3.0517578125</v>
      </c>
      <c r="S523" s="78">
        <f t="shared" si="59"/>
        <v>21</v>
      </c>
      <c r="T523" s="78">
        <f t="shared" si="60"/>
        <v>1.0826666666666667</v>
      </c>
      <c r="U523" s="78" t="str">
        <f t="shared" si="61"/>
        <v>&lt;35</v>
      </c>
      <c r="V523" s="78" t="str">
        <f t="shared" si="62"/>
        <v>&lt;10 Гб</v>
      </c>
    </row>
    <row r="524" spans="1:22" x14ac:dyDescent="0.25">
      <c r="A524" t="s">
        <v>773</v>
      </c>
      <c r="B524" s="43">
        <v>36653</v>
      </c>
      <c r="C524" t="s">
        <v>58</v>
      </c>
      <c r="D524" t="s">
        <v>51</v>
      </c>
      <c r="E524" t="s">
        <v>52</v>
      </c>
      <c r="F524" t="s">
        <v>63</v>
      </c>
      <c r="G524" s="43">
        <v>44036</v>
      </c>
      <c r="H524">
        <v>5</v>
      </c>
      <c r="I524">
        <v>8368</v>
      </c>
      <c r="J524">
        <v>160000000</v>
      </c>
      <c r="K524">
        <v>1</v>
      </c>
      <c r="L524">
        <v>1</v>
      </c>
      <c r="P524" s="77">
        <f t="shared" si="56"/>
        <v>646</v>
      </c>
      <c r="Q524" s="78">
        <f t="shared" si="57"/>
        <v>27.893333333333334</v>
      </c>
      <c r="R524" s="78">
        <f t="shared" si="58"/>
        <v>30.517578125</v>
      </c>
      <c r="S524" s="78">
        <f t="shared" si="59"/>
        <v>21</v>
      </c>
      <c r="T524" s="78">
        <f t="shared" si="60"/>
        <v>6.5084444444444447</v>
      </c>
      <c r="U524" s="78" t="str">
        <f t="shared" si="61"/>
        <v>&lt;35</v>
      </c>
      <c r="V524" s="78" t="str">
        <f t="shared" si="62"/>
        <v>31-40 Гб</v>
      </c>
    </row>
    <row r="525" spans="1:22" x14ac:dyDescent="0.25">
      <c r="A525" t="s">
        <v>85</v>
      </c>
      <c r="B525" s="43">
        <v>36648</v>
      </c>
      <c r="C525" t="s">
        <v>50</v>
      </c>
      <c r="D525" t="s">
        <v>51</v>
      </c>
      <c r="E525" t="s">
        <v>52</v>
      </c>
      <c r="F525" t="s">
        <v>57</v>
      </c>
      <c r="G525" s="43">
        <v>44650</v>
      </c>
      <c r="H525">
        <v>1</v>
      </c>
      <c r="I525">
        <v>21557</v>
      </c>
      <c r="J525">
        <v>24533333</v>
      </c>
      <c r="P525" s="77">
        <f t="shared" si="56"/>
        <v>32</v>
      </c>
      <c r="Q525" s="78">
        <f t="shared" si="57"/>
        <v>336.828125</v>
      </c>
      <c r="R525" s="78">
        <f t="shared" si="58"/>
        <v>21.934508979320526</v>
      </c>
      <c r="S525" s="78">
        <f t="shared" si="59"/>
        <v>21</v>
      </c>
      <c r="T525" s="78">
        <f t="shared" si="60"/>
        <v>78.59322916666666</v>
      </c>
      <c r="U525" s="78" t="str">
        <f t="shared" si="61"/>
        <v>61-90</v>
      </c>
      <c r="V525" s="78" t="str">
        <f t="shared" si="62"/>
        <v>21-30 Гб</v>
      </c>
    </row>
    <row r="526" spans="1:22" x14ac:dyDescent="0.25">
      <c r="A526" t="s">
        <v>805</v>
      </c>
      <c r="B526" s="43">
        <v>36648</v>
      </c>
      <c r="C526" t="s">
        <v>50</v>
      </c>
      <c r="D526" t="s">
        <v>51</v>
      </c>
      <c r="E526" t="s">
        <v>54</v>
      </c>
      <c r="F526" t="s">
        <v>57</v>
      </c>
      <c r="G526" s="43">
        <v>43593</v>
      </c>
      <c r="H526">
        <v>5</v>
      </c>
      <c r="I526">
        <v>83924</v>
      </c>
      <c r="J526">
        <v>116000000</v>
      </c>
      <c r="L526">
        <v>1</v>
      </c>
      <c r="N526">
        <v>1</v>
      </c>
      <c r="P526" s="77">
        <f t="shared" si="56"/>
        <v>1089</v>
      </c>
      <c r="Q526" s="78">
        <f t="shared" si="57"/>
        <v>279.74666666666667</v>
      </c>
      <c r="R526" s="78">
        <f t="shared" si="58"/>
        <v>22.125244140625</v>
      </c>
      <c r="S526" s="78">
        <f t="shared" si="59"/>
        <v>21</v>
      </c>
      <c r="T526" s="78">
        <f t="shared" si="60"/>
        <v>65.274222222222221</v>
      </c>
      <c r="U526" s="78" t="str">
        <f t="shared" si="61"/>
        <v>61-90</v>
      </c>
      <c r="V526" s="78" t="str">
        <f t="shared" si="62"/>
        <v>21-30 Гб</v>
      </c>
    </row>
    <row r="527" spans="1:22" x14ac:dyDescent="0.25">
      <c r="A527" t="s">
        <v>274</v>
      </c>
      <c r="B527" s="43">
        <v>36644</v>
      </c>
      <c r="C527" t="s">
        <v>50</v>
      </c>
      <c r="D527" t="s">
        <v>51</v>
      </c>
      <c r="E527" t="s">
        <v>52</v>
      </c>
      <c r="F527" t="s">
        <v>56</v>
      </c>
      <c r="G527" s="43">
        <v>44069</v>
      </c>
      <c r="H527">
        <v>5</v>
      </c>
      <c r="I527">
        <v>109440</v>
      </c>
      <c r="J527">
        <v>8000000</v>
      </c>
      <c r="K527">
        <v>1</v>
      </c>
      <c r="O527">
        <v>1</v>
      </c>
      <c r="P527" s="77">
        <f t="shared" si="56"/>
        <v>613</v>
      </c>
      <c r="Q527" s="78">
        <f t="shared" si="57"/>
        <v>364.8</v>
      </c>
      <c r="R527" s="78">
        <f t="shared" si="58"/>
        <v>1.52587890625</v>
      </c>
      <c r="S527" s="78">
        <f t="shared" si="59"/>
        <v>22</v>
      </c>
      <c r="T527" s="78">
        <f t="shared" si="60"/>
        <v>85.11999999999999</v>
      </c>
      <c r="U527" s="78" t="str">
        <f t="shared" si="61"/>
        <v>61-90</v>
      </c>
      <c r="V527" s="78" t="str">
        <f t="shared" si="62"/>
        <v>&lt;10 Гб</v>
      </c>
    </row>
    <row r="528" spans="1:22" x14ac:dyDescent="0.25">
      <c r="A528" t="s">
        <v>1024</v>
      </c>
      <c r="B528" s="43">
        <v>36644</v>
      </c>
      <c r="C528" t="s">
        <v>50</v>
      </c>
      <c r="D528" t="s">
        <v>51</v>
      </c>
      <c r="E528" t="s">
        <v>54</v>
      </c>
      <c r="F528" t="s">
        <v>63</v>
      </c>
      <c r="G528" s="43">
        <v>44020</v>
      </c>
      <c r="H528">
        <v>5</v>
      </c>
      <c r="I528">
        <v>21452</v>
      </c>
      <c r="J528">
        <v>152000000</v>
      </c>
      <c r="L528">
        <v>1</v>
      </c>
      <c r="P528" s="77">
        <f t="shared" si="56"/>
        <v>662</v>
      </c>
      <c r="Q528" s="78">
        <f t="shared" si="57"/>
        <v>71.506666666666661</v>
      </c>
      <c r="R528" s="78">
        <f t="shared" si="58"/>
        <v>28.99169921875</v>
      </c>
      <c r="S528" s="78">
        <f t="shared" si="59"/>
        <v>22</v>
      </c>
      <c r="T528" s="78">
        <f t="shared" si="60"/>
        <v>16.684888888888889</v>
      </c>
      <c r="U528" s="78" t="str">
        <f t="shared" si="61"/>
        <v>&lt;35</v>
      </c>
      <c r="V528" s="78" t="str">
        <f t="shared" si="62"/>
        <v>21-30 Гб</v>
      </c>
    </row>
    <row r="529" spans="1:22" x14ac:dyDescent="0.25">
      <c r="A529" t="s">
        <v>1102</v>
      </c>
      <c r="B529" s="43">
        <v>36641</v>
      </c>
      <c r="C529" t="s">
        <v>50</v>
      </c>
      <c r="D529" t="s">
        <v>51</v>
      </c>
      <c r="E529" t="s">
        <v>52</v>
      </c>
      <c r="F529" t="s">
        <v>63</v>
      </c>
      <c r="G529" s="43">
        <v>43375</v>
      </c>
      <c r="H529">
        <v>5</v>
      </c>
      <c r="I529">
        <v>10588</v>
      </c>
      <c r="J529">
        <v>108000000</v>
      </c>
      <c r="K529">
        <v>1</v>
      </c>
      <c r="P529" s="77">
        <f t="shared" si="56"/>
        <v>1307</v>
      </c>
      <c r="Q529" s="78">
        <f t="shared" si="57"/>
        <v>35.293333333333337</v>
      </c>
      <c r="R529" s="78">
        <f t="shared" si="58"/>
        <v>20.599365234375</v>
      </c>
      <c r="S529" s="78">
        <f t="shared" si="59"/>
        <v>22</v>
      </c>
      <c r="T529" s="78">
        <f t="shared" si="60"/>
        <v>8.2351111111111113</v>
      </c>
      <c r="U529" s="78" t="str">
        <f t="shared" si="61"/>
        <v>&lt;35</v>
      </c>
      <c r="V529" s="78" t="str">
        <f t="shared" si="62"/>
        <v>21-30 Гб</v>
      </c>
    </row>
    <row r="530" spans="1:22" x14ac:dyDescent="0.25">
      <c r="A530" t="s">
        <v>1094</v>
      </c>
      <c r="B530" s="43">
        <v>36639</v>
      </c>
      <c r="C530" t="s">
        <v>50</v>
      </c>
      <c r="D530" t="s">
        <v>51</v>
      </c>
      <c r="E530" t="s">
        <v>52</v>
      </c>
      <c r="F530" t="s">
        <v>63</v>
      </c>
      <c r="G530" s="43">
        <v>44354</v>
      </c>
      <c r="H530">
        <v>5</v>
      </c>
      <c r="I530">
        <v>29172</v>
      </c>
      <c r="J530">
        <v>128000000</v>
      </c>
      <c r="P530" s="77">
        <f t="shared" si="56"/>
        <v>328</v>
      </c>
      <c r="Q530" s="78">
        <f t="shared" si="57"/>
        <v>97.24</v>
      </c>
      <c r="R530" s="78">
        <f t="shared" si="58"/>
        <v>24.4140625</v>
      </c>
      <c r="S530" s="78">
        <f t="shared" si="59"/>
        <v>22</v>
      </c>
      <c r="T530" s="78">
        <f t="shared" si="60"/>
        <v>22.68933333333333</v>
      </c>
      <c r="U530" s="78" t="str">
        <f t="shared" si="61"/>
        <v>&lt;35</v>
      </c>
      <c r="V530" s="78" t="str">
        <f t="shared" si="62"/>
        <v>21-30 Гб</v>
      </c>
    </row>
    <row r="531" spans="1:22" x14ac:dyDescent="0.25">
      <c r="A531" t="s">
        <v>420</v>
      </c>
      <c r="B531" s="43">
        <v>36638</v>
      </c>
      <c r="C531" t="s">
        <v>50</v>
      </c>
      <c r="D531" t="s">
        <v>51</v>
      </c>
      <c r="E531" t="s">
        <v>54</v>
      </c>
      <c r="F531" t="s">
        <v>56</v>
      </c>
      <c r="G531" s="43">
        <v>44139</v>
      </c>
      <c r="H531">
        <v>5</v>
      </c>
      <c r="I531">
        <v>58720</v>
      </c>
      <c r="J531">
        <v>8000000</v>
      </c>
      <c r="P531" s="77">
        <f t="shared" si="56"/>
        <v>543</v>
      </c>
      <c r="Q531" s="78">
        <f t="shared" si="57"/>
        <v>195.73333333333332</v>
      </c>
      <c r="R531" s="78">
        <f t="shared" si="58"/>
        <v>1.52587890625</v>
      </c>
      <c r="S531" s="78">
        <f t="shared" si="59"/>
        <v>22</v>
      </c>
      <c r="T531" s="78">
        <f t="shared" si="60"/>
        <v>45.671111111111109</v>
      </c>
      <c r="U531" s="78" t="str">
        <f t="shared" si="61"/>
        <v>35-60</v>
      </c>
      <c r="V531" s="78" t="str">
        <f t="shared" si="62"/>
        <v>&lt;10 Гб</v>
      </c>
    </row>
    <row r="532" spans="1:22" x14ac:dyDescent="0.25">
      <c r="A532" t="s">
        <v>409</v>
      </c>
      <c r="B532" s="43">
        <v>36635</v>
      </c>
      <c r="C532" t="s">
        <v>50</v>
      </c>
      <c r="D532" t="s">
        <v>51</v>
      </c>
      <c r="E532" t="s">
        <v>52</v>
      </c>
      <c r="F532" t="s">
        <v>56</v>
      </c>
      <c r="G532" s="43">
        <v>43625</v>
      </c>
      <c r="H532">
        <v>5</v>
      </c>
      <c r="I532">
        <v>109168</v>
      </c>
      <c r="J532">
        <v>80000000</v>
      </c>
      <c r="P532" s="77">
        <f t="shared" si="56"/>
        <v>1057</v>
      </c>
      <c r="Q532" s="78">
        <f t="shared" si="57"/>
        <v>363.89333333333332</v>
      </c>
      <c r="R532" s="78">
        <f t="shared" si="58"/>
        <v>15.2587890625</v>
      </c>
      <c r="S532" s="78">
        <f t="shared" si="59"/>
        <v>22</v>
      </c>
      <c r="T532" s="78">
        <f t="shared" si="60"/>
        <v>84.908444444444442</v>
      </c>
      <c r="U532" s="78" t="str">
        <f t="shared" si="61"/>
        <v>61-90</v>
      </c>
      <c r="V532" s="78" t="str">
        <f t="shared" si="62"/>
        <v>10-20 Гб</v>
      </c>
    </row>
    <row r="533" spans="1:22" x14ac:dyDescent="0.25">
      <c r="A533" t="s">
        <v>786</v>
      </c>
      <c r="B533" s="43">
        <v>36635</v>
      </c>
      <c r="C533" t="s">
        <v>50</v>
      </c>
      <c r="D533" t="s">
        <v>51</v>
      </c>
      <c r="E533" t="s">
        <v>52</v>
      </c>
      <c r="F533" t="s">
        <v>57</v>
      </c>
      <c r="G533" s="43">
        <v>43698</v>
      </c>
      <c r="H533">
        <v>5</v>
      </c>
      <c r="I533">
        <v>45972</v>
      </c>
      <c r="J533">
        <v>112000000</v>
      </c>
      <c r="L533">
        <v>1</v>
      </c>
      <c r="P533" s="77">
        <f t="shared" si="56"/>
        <v>984</v>
      </c>
      <c r="Q533" s="78">
        <f t="shared" si="57"/>
        <v>153.24</v>
      </c>
      <c r="R533" s="78">
        <f t="shared" si="58"/>
        <v>21.3623046875</v>
      </c>
      <c r="S533" s="78">
        <f t="shared" si="59"/>
        <v>22</v>
      </c>
      <c r="T533" s="78">
        <f t="shared" si="60"/>
        <v>35.756</v>
      </c>
      <c r="U533" s="78" t="str">
        <f t="shared" si="61"/>
        <v>35-60</v>
      </c>
      <c r="V533" s="78" t="str">
        <f t="shared" si="62"/>
        <v>21-30 Гб</v>
      </c>
    </row>
    <row r="534" spans="1:22" x14ac:dyDescent="0.25">
      <c r="A534" t="s">
        <v>938</v>
      </c>
      <c r="B534" s="43">
        <v>36635</v>
      </c>
      <c r="C534" t="s">
        <v>58</v>
      </c>
      <c r="D534" t="s">
        <v>51</v>
      </c>
      <c r="E534" t="s">
        <v>52</v>
      </c>
      <c r="F534" t="s">
        <v>63</v>
      </c>
      <c r="G534" s="43">
        <v>44414</v>
      </c>
      <c r="H534">
        <v>5</v>
      </c>
      <c r="I534">
        <v>14024</v>
      </c>
      <c r="J534">
        <v>148000000</v>
      </c>
      <c r="P534" s="77">
        <f t="shared" si="56"/>
        <v>268</v>
      </c>
      <c r="Q534" s="78">
        <f t="shared" si="57"/>
        <v>46.74666666666667</v>
      </c>
      <c r="R534" s="78">
        <f t="shared" si="58"/>
        <v>28.228759765625</v>
      </c>
      <c r="S534" s="78">
        <f t="shared" si="59"/>
        <v>22</v>
      </c>
      <c r="T534" s="78">
        <f t="shared" si="60"/>
        <v>10.907555555555556</v>
      </c>
      <c r="U534" s="78" t="str">
        <f t="shared" si="61"/>
        <v>&lt;35</v>
      </c>
      <c r="V534" s="78" t="str">
        <f t="shared" si="62"/>
        <v>21-30 Гб</v>
      </c>
    </row>
    <row r="535" spans="1:22" x14ac:dyDescent="0.25">
      <c r="A535" t="s">
        <v>538</v>
      </c>
      <c r="B535" s="43">
        <v>36634</v>
      </c>
      <c r="C535" t="s">
        <v>58</v>
      </c>
      <c r="D535" t="s">
        <v>51</v>
      </c>
      <c r="E535" t="s">
        <v>52</v>
      </c>
      <c r="F535" t="s">
        <v>57</v>
      </c>
      <c r="G535" s="43">
        <v>43803</v>
      </c>
      <c r="H535">
        <v>5</v>
      </c>
      <c r="I535">
        <v>69796</v>
      </c>
      <c r="J535">
        <v>84000000</v>
      </c>
      <c r="P535" s="77">
        <f t="shared" si="56"/>
        <v>879</v>
      </c>
      <c r="Q535" s="78">
        <f t="shared" si="57"/>
        <v>232.65333333333334</v>
      </c>
      <c r="R535" s="78">
        <f t="shared" si="58"/>
        <v>16.021728515625</v>
      </c>
      <c r="S535" s="78">
        <f t="shared" si="59"/>
        <v>22</v>
      </c>
      <c r="T535" s="78">
        <f t="shared" si="60"/>
        <v>54.285777777777774</v>
      </c>
      <c r="U535" s="78" t="str">
        <f t="shared" si="61"/>
        <v>35-60</v>
      </c>
      <c r="V535" s="78" t="str">
        <f t="shared" si="62"/>
        <v>10-20 Гб</v>
      </c>
    </row>
    <row r="536" spans="1:22" x14ac:dyDescent="0.25">
      <c r="A536" t="s">
        <v>175</v>
      </c>
      <c r="B536" s="43">
        <v>36631</v>
      </c>
      <c r="C536" t="s">
        <v>50</v>
      </c>
      <c r="D536" t="s">
        <v>51</v>
      </c>
      <c r="E536" t="s">
        <v>52</v>
      </c>
      <c r="F536" t="s">
        <v>53</v>
      </c>
      <c r="G536" s="43">
        <v>43296</v>
      </c>
      <c r="H536">
        <v>5</v>
      </c>
      <c r="I536">
        <v>130996</v>
      </c>
      <c r="J536">
        <v>76000000</v>
      </c>
      <c r="M536">
        <v>1</v>
      </c>
      <c r="P536" s="77">
        <f t="shared" si="56"/>
        <v>1386</v>
      </c>
      <c r="Q536" s="78">
        <f t="shared" si="57"/>
        <v>436.65333333333331</v>
      </c>
      <c r="R536" s="78">
        <f t="shared" si="58"/>
        <v>14.495849609375</v>
      </c>
      <c r="S536" s="78">
        <f t="shared" si="59"/>
        <v>22</v>
      </c>
      <c r="T536" s="78">
        <f t="shared" si="60"/>
        <v>101.88577777777778</v>
      </c>
      <c r="U536" s="78" t="str">
        <f t="shared" si="61"/>
        <v>91-120</v>
      </c>
      <c r="V536" s="78" t="str">
        <f t="shared" si="62"/>
        <v>10-20 Гб</v>
      </c>
    </row>
    <row r="537" spans="1:22" x14ac:dyDescent="0.25">
      <c r="A537" t="s">
        <v>623</v>
      </c>
      <c r="B537" s="43">
        <v>36630</v>
      </c>
      <c r="C537" t="s">
        <v>50</v>
      </c>
      <c r="D537" t="s">
        <v>51</v>
      </c>
      <c r="E537" t="s">
        <v>52</v>
      </c>
      <c r="F537" t="s">
        <v>57</v>
      </c>
      <c r="G537" s="43">
        <v>42986</v>
      </c>
      <c r="H537">
        <v>5</v>
      </c>
      <c r="I537">
        <v>81228</v>
      </c>
      <c r="J537">
        <v>100000000</v>
      </c>
      <c r="O537">
        <v>1</v>
      </c>
      <c r="P537" s="77">
        <f t="shared" si="56"/>
        <v>1696</v>
      </c>
      <c r="Q537" s="78">
        <f t="shared" si="57"/>
        <v>270.76</v>
      </c>
      <c r="R537" s="78">
        <f t="shared" si="58"/>
        <v>19.073486328125</v>
      </c>
      <c r="S537" s="78">
        <f t="shared" si="59"/>
        <v>22</v>
      </c>
      <c r="T537" s="78">
        <f t="shared" si="60"/>
        <v>63.17733333333333</v>
      </c>
      <c r="U537" s="78" t="str">
        <f t="shared" si="61"/>
        <v>61-90</v>
      </c>
      <c r="V537" s="78" t="str">
        <f t="shared" si="62"/>
        <v>10-20 Гб</v>
      </c>
    </row>
    <row r="538" spans="1:22" x14ac:dyDescent="0.25">
      <c r="A538" t="s">
        <v>245</v>
      </c>
      <c r="B538" s="43">
        <v>36629</v>
      </c>
      <c r="C538" t="s">
        <v>50</v>
      </c>
      <c r="D538" t="s">
        <v>51</v>
      </c>
      <c r="E538" t="s">
        <v>52</v>
      </c>
      <c r="F538" t="s">
        <v>56</v>
      </c>
      <c r="G538" s="43">
        <v>43396</v>
      </c>
      <c r="H538">
        <v>5</v>
      </c>
      <c r="I538">
        <v>80040</v>
      </c>
      <c r="J538">
        <v>136000000</v>
      </c>
      <c r="P538" s="77">
        <f t="shared" si="56"/>
        <v>1286</v>
      </c>
      <c r="Q538" s="78">
        <f t="shared" si="57"/>
        <v>266.8</v>
      </c>
      <c r="R538" s="78">
        <f t="shared" si="58"/>
        <v>25.93994140625</v>
      </c>
      <c r="S538" s="78">
        <f t="shared" si="59"/>
        <v>22</v>
      </c>
      <c r="T538" s="78">
        <f t="shared" si="60"/>
        <v>62.253333333333337</v>
      </c>
      <c r="U538" s="78" t="str">
        <f t="shared" si="61"/>
        <v>61-90</v>
      </c>
      <c r="V538" s="78" t="str">
        <f t="shared" si="62"/>
        <v>21-30 Гб</v>
      </c>
    </row>
    <row r="539" spans="1:22" x14ac:dyDescent="0.25">
      <c r="A539" t="s">
        <v>781</v>
      </c>
      <c r="B539" s="43">
        <v>36629</v>
      </c>
      <c r="C539" t="s">
        <v>58</v>
      </c>
      <c r="D539" t="s">
        <v>51</v>
      </c>
      <c r="E539" t="s">
        <v>54</v>
      </c>
      <c r="F539" t="s">
        <v>57</v>
      </c>
      <c r="G539" s="43">
        <v>44465</v>
      </c>
      <c r="H539">
        <v>5</v>
      </c>
      <c r="I539">
        <v>68652</v>
      </c>
      <c r="J539">
        <v>112000000</v>
      </c>
      <c r="L539">
        <v>1</v>
      </c>
      <c r="P539" s="77">
        <f t="shared" si="56"/>
        <v>217</v>
      </c>
      <c r="Q539" s="78">
        <f t="shared" si="57"/>
        <v>228.84</v>
      </c>
      <c r="R539" s="78">
        <f t="shared" si="58"/>
        <v>21.3623046875</v>
      </c>
      <c r="S539" s="78">
        <f t="shared" si="59"/>
        <v>22</v>
      </c>
      <c r="T539" s="78">
        <f t="shared" si="60"/>
        <v>53.396000000000001</v>
      </c>
      <c r="U539" s="78" t="str">
        <f t="shared" si="61"/>
        <v>35-60</v>
      </c>
      <c r="V539" s="78" t="str">
        <f t="shared" si="62"/>
        <v>21-30 Гб</v>
      </c>
    </row>
    <row r="540" spans="1:22" x14ac:dyDescent="0.25">
      <c r="A540" t="s">
        <v>1126</v>
      </c>
      <c r="B540" s="43">
        <v>36628</v>
      </c>
      <c r="C540" t="s">
        <v>58</v>
      </c>
      <c r="D540" t="s">
        <v>51</v>
      </c>
      <c r="E540" t="s">
        <v>54</v>
      </c>
      <c r="F540" t="s">
        <v>69</v>
      </c>
      <c r="G540" s="43">
        <v>43280</v>
      </c>
      <c r="H540">
        <v>5</v>
      </c>
      <c r="I540">
        <v>28500</v>
      </c>
      <c r="J540">
        <v>4000000</v>
      </c>
      <c r="P540" s="77">
        <f t="shared" si="56"/>
        <v>1402</v>
      </c>
      <c r="Q540" s="78">
        <f t="shared" si="57"/>
        <v>95</v>
      </c>
      <c r="R540" s="78">
        <f t="shared" si="58"/>
        <v>0.762939453125</v>
      </c>
      <c r="S540" s="78">
        <f t="shared" si="59"/>
        <v>22</v>
      </c>
      <c r="T540" s="78">
        <f t="shared" si="60"/>
        <v>22.166666666666668</v>
      </c>
      <c r="U540" s="78" t="str">
        <f t="shared" si="61"/>
        <v>&lt;35</v>
      </c>
      <c r="V540" s="78" t="str">
        <f t="shared" si="62"/>
        <v>&lt;10 Гб</v>
      </c>
    </row>
    <row r="541" spans="1:22" x14ac:dyDescent="0.25">
      <c r="A541" t="s">
        <v>60</v>
      </c>
      <c r="B541" s="43">
        <v>36627</v>
      </c>
      <c r="C541" t="s">
        <v>58</v>
      </c>
      <c r="D541" t="s">
        <v>51</v>
      </c>
      <c r="E541" t="s">
        <v>54</v>
      </c>
      <c r="F541" t="s">
        <v>56</v>
      </c>
      <c r="G541" s="43">
        <v>44681</v>
      </c>
      <c r="H541">
        <v>0</v>
      </c>
      <c r="I541">
        <v>666</v>
      </c>
      <c r="J541">
        <v>966667</v>
      </c>
      <c r="K541">
        <v>1</v>
      </c>
      <c r="M541">
        <v>1</v>
      </c>
      <c r="P541" s="77">
        <f t="shared" si="56"/>
        <v>1</v>
      </c>
      <c r="Q541" s="78">
        <f t="shared" si="57"/>
        <v>333</v>
      </c>
      <c r="R541" s="78">
        <f t="shared" si="58"/>
        <v>27.656564712524414</v>
      </c>
      <c r="S541" s="78">
        <f t="shared" si="59"/>
        <v>22</v>
      </c>
      <c r="T541" s="78">
        <f t="shared" si="60"/>
        <v>77.7</v>
      </c>
      <c r="U541" s="78" t="str">
        <f t="shared" si="61"/>
        <v>61-90</v>
      </c>
      <c r="V541" s="78" t="str">
        <f t="shared" si="62"/>
        <v>21-30 Гб</v>
      </c>
    </row>
    <row r="542" spans="1:22" x14ac:dyDescent="0.25">
      <c r="A542" t="s">
        <v>126</v>
      </c>
      <c r="B542" s="43">
        <v>36625</v>
      </c>
      <c r="C542" t="s">
        <v>58</v>
      </c>
      <c r="D542" t="s">
        <v>51</v>
      </c>
      <c r="E542" t="s">
        <v>52</v>
      </c>
      <c r="F542" t="s">
        <v>63</v>
      </c>
      <c r="G542" s="43">
        <v>44580</v>
      </c>
      <c r="H542">
        <v>3</v>
      </c>
      <c r="I542">
        <v>25210</v>
      </c>
      <c r="J542">
        <v>115600000</v>
      </c>
      <c r="P542" s="77">
        <f t="shared" si="56"/>
        <v>102</v>
      </c>
      <c r="Q542" s="78">
        <f t="shared" si="57"/>
        <v>123.57843137254902</v>
      </c>
      <c r="R542" s="78">
        <f t="shared" si="58"/>
        <v>32.4249267578125</v>
      </c>
      <c r="S542" s="78">
        <f t="shared" si="59"/>
        <v>22</v>
      </c>
      <c r="T542" s="78">
        <f t="shared" si="60"/>
        <v>28.834967320261438</v>
      </c>
      <c r="U542" s="78" t="str">
        <f t="shared" si="61"/>
        <v>&lt;35</v>
      </c>
      <c r="V542" s="78" t="str">
        <f t="shared" si="62"/>
        <v>31-40 Гб</v>
      </c>
    </row>
    <row r="543" spans="1:22" x14ac:dyDescent="0.25">
      <c r="A543" t="s">
        <v>992</v>
      </c>
      <c r="B543" s="43">
        <v>36624</v>
      </c>
      <c r="C543" t="s">
        <v>58</v>
      </c>
      <c r="D543" t="s">
        <v>51</v>
      </c>
      <c r="E543" t="s">
        <v>54</v>
      </c>
      <c r="F543" t="s">
        <v>63</v>
      </c>
      <c r="G543" s="43">
        <v>43590</v>
      </c>
      <c r="H543">
        <v>5</v>
      </c>
      <c r="I543">
        <v>17884</v>
      </c>
      <c r="J543">
        <v>152000000</v>
      </c>
      <c r="L543">
        <v>1</v>
      </c>
      <c r="N543">
        <v>1</v>
      </c>
      <c r="P543" s="77">
        <f t="shared" si="56"/>
        <v>1092</v>
      </c>
      <c r="Q543" s="78">
        <f t="shared" si="57"/>
        <v>59.613333333333337</v>
      </c>
      <c r="R543" s="78">
        <f t="shared" si="58"/>
        <v>28.99169921875</v>
      </c>
      <c r="S543" s="78">
        <f t="shared" si="59"/>
        <v>22</v>
      </c>
      <c r="T543" s="78">
        <f t="shared" si="60"/>
        <v>13.909777777777778</v>
      </c>
      <c r="U543" s="78" t="str">
        <f t="shared" si="61"/>
        <v>&lt;35</v>
      </c>
      <c r="V543" s="78" t="str">
        <f t="shared" si="62"/>
        <v>21-30 Гб</v>
      </c>
    </row>
    <row r="544" spans="1:22" x14ac:dyDescent="0.25">
      <c r="A544" t="s">
        <v>1083</v>
      </c>
      <c r="B544" s="43">
        <v>36624</v>
      </c>
      <c r="C544" t="s">
        <v>58</v>
      </c>
      <c r="D544" t="s">
        <v>51</v>
      </c>
      <c r="E544" t="s">
        <v>52</v>
      </c>
      <c r="F544" t="s">
        <v>63</v>
      </c>
      <c r="G544" s="43">
        <v>44478</v>
      </c>
      <c r="H544">
        <v>5</v>
      </c>
      <c r="I544">
        <v>9020</v>
      </c>
      <c r="J544">
        <v>160000000</v>
      </c>
      <c r="K544">
        <v>1</v>
      </c>
      <c r="P544" s="77">
        <f t="shared" si="56"/>
        <v>204</v>
      </c>
      <c r="Q544" s="78">
        <f t="shared" si="57"/>
        <v>30.066666666666666</v>
      </c>
      <c r="R544" s="78">
        <f t="shared" si="58"/>
        <v>30.517578125</v>
      </c>
      <c r="S544" s="78">
        <f t="shared" si="59"/>
        <v>22</v>
      </c>
      <c r="T544" s="78">
        <f t="shared" si="60"/>
        <v>7.0155555555555553</v>
      </c>
      <c r="U544" s="78" t="str">
        <f t="shared" si="61"/>
        <v>&lt;35</v>
      </c>
      <c r="V544" s="78" t="str">
        <f t="shared" si="62"/>
        <v>31-40 Гб</v>
      </c>
    </row>
    <row r="545" spans="1:22" x14ac:dyDescent="0.25">
      <c r="A545" t="s">
        <v>980</v>
      </c>
      <c r="B545" s="43">
        <v>36612</v>
      </c>
      <c r="C545" t="s">
        <v>58</v>
      </c>
      <c r="D545" t="s">
        <v>51</v>
      </c>
      <c r="E545" t="s">
        <v>52</v>
      </c>
      <c r="F545" t="s">
        <v>63</v>
      </c>
      <c r="G545" s="43">
        <v>44478</v>
      </c>
      <c r="H545">
        <v>5</v>
      </c>
      <c r="I545">
        <v>13564</v>
      </c>
      <c r="J545">
        <v>160000000</v>
      </c>
      <c r="P545" s="77">
        <f t="shared" si="56"/>
        <v>204</v>
      </c>
      <c r="Q545" s="78">
        <f t="shared" si="57"/>
        <v>45.213333333333331</v>
      </c>
      <c r="R545" s="78">
        <f t="shared" si="58"/>
        <v>30.517578125</v>
      </c>
      <c r="S545" s="78">
        <f t="shared" si="59"/>
        <v>22</v>
      </c>
      <c r="T545" s="78">
        <f t="shared" si="60"/>
        <v>10.549777777777779</v>
      </c>
      <c r="U545" s="78" t="str">
        <f t="shared" si="61"/>
        <v>&lt;35</v>
      </c>
      <c r="V545" s="78" t="str">
        <f t="shared" si="62"/>
        <v>31-40 Гб</v>
      </c>
    </row>
    <row r="546" spans="1:22" x14ac:dyDescent="0.25">
      <c r="A546" t="s">
        <v>861</v>
      </c>
      <c r="B546" s="43">
        <v>36606</v>
      </c>
      <c r="C546" t="s">
        <v>58</v>
      </c>
      <c r="D546" t="s">
        <v>51</v>
      </c>
      <c r="E546" t="s">
        <v>54</v>
      </c>
      <c r="F546" t="s">
        <v>63</v>
      </c>
      <c r="G546" s="43">
        <v>43917</v>
      </c>
      <c r="H546">
        <v>5</v>
      </c>
      <c r="I546">
        <v>14344</v>
      </c>
      <c r="J546">
        <v>76000000</v>
      </c>
      <c r="P546" s="77">
        <f t="shared" si="56"/>
        <v>765</v>
      </c>
      <c r="Q546" s="78">
        <f t="shared" si="57"/>
        <v>47.813333333333333</v>
      </c>
      <c r="R546" s="78">
        <f t="shared" si="58"/>
        <v>14.495849609375</v>
      </c>
      <c r="S546" s="78">
        <f t="shared" si="59"/>
        <v>22</v>
      </c>
      <c r="T546" s="78">
        <f t="shared" si="60"/>
        <v>11.156444444444444</v>
      </c>
      <c r="U546" s="78" t="str">
        <f t="shared" si="61"/>
        <v>&lt;35</v>
      </c>
      <c r="V546" s="78" t="str">
        <f t="shared" si="62"/>
        <v>10-20 Гб</v>
      </c>
    </row>
    <row r="547" spans="1:22" x14ac:dyDescent="0.25">
      <c r="A547" t="s">
        <v>929</v>
      </c>
      <c r="B547" s="43">
        <v>36602</v>
      </c>
      <c r="C547" t="s">
        <v>58</v>
      </c>
      <c r="D547" t="s">
        <v>51</v>
      </c>
      <c r="E547" t="s">
        <v>54</v>
      </c>
      <c r="F547" t="s">
        <v>63</v>
      </c>
      <c r="G547" s="43">
        <v>43533</v>
      </c>
      <c r="H547">
        <v>5</v>
      </c>
      <c r="I547">
        <v>5304</v>
      </c>
      <c r="J547">
        <v>160000000</v>
      </c>
      <c r="K547">
        <v>1</v>
      </c>
      <c r="O547">
        <v>1</v>
      </c>
      <c r="P547" s="77">
        <f t="shared" si="56"/>
        <v>1149</v>
      </c>
      <c r="Q547" s="78">
        <f t="shared" si="57"/>
        <v>17.68</v>
      </c>
      <c r="R547" s="78">
        <f t="shared" si="58"/>
        <v>30.517578125</v>
      </c>
      <c r="S547" s="78">
        <f t="shared" si="59"/>
        <v>22</v>
      </c>
      <c r="T547" s="78">
        <f t="shared" si="60"/>
        <v>4.1253333333333329</v>
      </c>
      <c r="U547" s="78" t="str">
        <f t="shared" si="61"/>
        <v>&lt;35</v>
      </c>
      <c r="V547" s="78" t="str">
        <f t="shared" si="62"/>
        <v>31-40 Гб</v>
      </c>
    </row>
    <row r="548" spans="1:22" x14ac:dyDescent="0.25">
      <c r="A548" t="s">
        <v>607</v>
      </c>
      <c r="B548" s="43">
        <v>36600</v>
      </c>
      <c r="C548" t="s">
        <v>58</v>
      </c>
      <c r="D548" t="s">
        <v>51</v>
      </c>
      <c r="E548" t="s">
        <v>52</v>
      </c>
      <c r="F548" t="s">
        <v>57</v>
      </c>
      <c r="G548" s="43">
        <v>44363</v>
      </c>
      <c r="H548">
        <v>5</v>
      </c>
      <c r="I548">
        <v>8764</v>
      </c>
      <c r="J548">
        <v>12000000</v>
      </c>
      <c r="K548">
        <v>1</v>
      </c>
      <c r="P548" s="77">
        <f t="shared" si="56"/>
        <v>319</v>
      </c>
      <c r="Q548" s="78">
        <f t="shared" si="57"/>
        <v>29.213333333333335</v>
      </c>
      <c r="R548" s="78">
        <f t="shared" si="58"/>
        <v>2.288818359375</v>
      </c>
      <c r="S548" s="78">
        <f t="shared" si="59"/>
        <v>22</v>
      </c>
      <c r="T548" s="78">
        <f t="shared" si="60"/>
        <v>6.8164444444444445</v>
      </c>
      <c r="U548" s="78" t="str">
        <f t="shared" si="61"/>
        <v>&lt;35</v>
      </c>
      <c r="V548" s="78" t="str">
        <f t="shared" si="62"/>
        <v>&lt;10 Гб</v>
      </c>
    </row>
    <row r="549" spans="1:22" x14ac:dyDescent="0.25">
      <c r="A549" t="s">
        <v>370</v>
      </c>
      <c r="B549" s="43">
        <v>36599</v>
      </c>
      <c r="C549" t="s">
        <v>58</v>
      </c>
      <c r="D549" t="s">
        <v>51</v>
      </c>
      <c r="E549" t="s">
        <v>54</v>
      </c>
      <c r="F549" t="s">
        <v>56</v>
      </c>
      <c r="G549" s="43">
        <v>44421</v>
      </c>
      <c r="H549">
        <v>5</v>
      </c>
      <c r="I549">
        <v>119504</v>
      </c>
      <c r="J549">
        <v>100000000</v>
      </c>
      <c r="P549" s="77">
        <f t="shared" si="56"/>
        <v>261</v>
      </c>
      <c r="Q549" s="78">
        <f t="shared" si="57"/>
        <v>398.34666666666669</v>
      </c>
      <c r="R549" s="78">
        <f t="shared" si="58"/>
        <v>19.073486328125</v>
      </c>
      <c r="S549" s="78">
        <f t="shared" si="59"/>
        <v>22</v>
      </c>
      <c r="T549" s="78">
        <f t="shared" si="60"/>
        <v>92.947555555555553</v>
      </c>
      <c r="U549" s="78" t="str">
        <f t="shared" si="61"/>
        <v>91-120</v>
      </c>
      <c r="V549" s="78" t="str">
        <f t="shared" si="62"/>
        <v>10-20 Гб</v>
      </c>
    </row>
    <row r="550" spans="1:22" x14ac:dyDescent="0.25">
      <c r="A550" t="s">
        <v>627</v>
      </c>
      <c r="B550" s="43">
        <v>36598</v>
      </c>
      <c r="C550" t="s">
        <v>58</v>
      </c>
      <c r="D550" t="s">
        <v>51</v>
      </c>
      <c r="E550" t="s">
        <v>52</v>
      </c>
      <c r="F550" t="s">
        <v>57</v>
      </c>
      <c r="G550" s="43">
        <v>43136</v>
      </c>
      <c r="H550">
        <v>5</v>
      </c>
      <c r="I550">
        <v>95804</v>
      </c>
      <c r="J550">
        <v>112000000</v>
      </c>
      <c r="P550" s="77">
        <f t="shared" si="56"/>
        <v>1546</v>
      </c>
      <c r="Q550" s="78">
        <f t="shared" si="57"/>
        <v>319.34666666666669</v>
      </c>
      <c r="R550" s="78">
        <f t="shared" si="58"/>
        <v>21.3623046875</v>
      </c>
      <c r="S550" s="78">
        <f t="shared" si="59"/>
        <v>22</v>
      </c>
      <c r="T550" s="78">
        <f t="shared" si="60"/>
        <v>74.51422222222223</v>
      </c>
      <c r="U550" s="78" t="str">
        <f t="shared" si="61"/>
        <v>61-90</v>
      </c>
      <c r="V550" s="78" t="str">
        <f t="shared" si="62"/>
        <v>21-30 Гб</v>
      </c>
    </row>
    <row r="551" spans="1:22" x14ac:dyDescent="0.25">
      <c r="A551" t="s">
        <v>807</v>
      </c>
      <c r="B551" s="43">
        <v>36598</v>
      </c>
      <c r="C551" t="s">
        <v>50</v>
      </c>
      <c r="D551" t="s">
        <v>51</v>
      </c>
      <c r="E551" t="s">
        <v>54</v>
      </c>
      <c r="F551" t="s">
        <v>57</v>
      </c>
      <c r="G551" s="43">
        <v>42790</v>
      </c>
      <c r="H551">
        <v>5</v>
      </c>
      <c r="I551">
        <v>39856</v>
      </c>
      <c r="J551">
        <v>92000000</v>
      </c>
      <c r="K551">
        <v>1</v>
      </c>
      <c r="L551">
        <v>1</v>
      </c>
      <c r="P551" s="77">
        <f t="shared" si="56"/>
        <v>1892</v>
      </c>
      <c r="Q551" s="78">
        <f t="shared" si="57"/>
        <v>132.85333333333332</v>
      </c>
      <c r="R551" s="78">
        <f t="shared" si="58"/>
        <v>17.547607421875</v>
      </c>
      <c r="S551" s="78">
        <f t="shared" si="59"/>
        <v>22</v>
      </c>
      <c r="T551" s="78">
        <f t="shared" si="60"/>
        <v>30.999111111111109</v>
      </c>
      <c r="U551" s="78" t="str">
        <f t="shared" si="61"/>
        <v>&lt;35</v>
      </c>
      <c r="V551" s="78" t="str">
        <f t="shared" si="62"/>
        <v>10-20 Гб</v>
      </c>
    </row>
    <row r="552" spans="1:22" x14ac:dyDescent="0.25">
      <c r="A552" t="s">
        <v>841</v>
      </c>
      <c r="B552" s="43">
        <v>36596</v>
      </c>
      <c r="C552" t="s">
        <v>50</v>
      </c>
      <c r="D552" t="s">
        <v>51</v>
      </c>
      <c r="E552" t="s">
        <v>54</v>
      </c>
      <c r="F552" t="s">
        <v>63</v>
      </c>
      <c r="G552" s="43">
        <v>44287</v>
      </c>
      <c r="H552">
        <v>5</v>
      </c>
      <c r="I552">
        <v>8232</v>
      </c>
      <c r="J552">
        <v>124000000</v>
      </c>
      <c r="P552" s="77">
        <f t="shared" si="56"/>
        <v>395</v>
      </c>
      <c r="Q552" s="78">
        <f t="shared" si="57"/>
        <v>27.44</v>
      </c>
      <c r="R552" s="78">
        <f t="shared" si="58"/>
        <v>23.651123046875</v>
      </c>
      <c r="S552" s="78">
        <f t="shared" si="59"/>
        <v>22</v>
      </c>
      <c r="T552" s="78">
        <f t="shared" si="60"/>
        <v>6.4026666666666667</v>
      </c>
      <c r="U552" s="78" t="str">
        <f t="shared" si="61"/>
        <v>&lt;35</v>
      </c>
      <c r="V552" s="78" t="str">
        <f t="shared" si="62"/>
        <v>21-30 Гб</v>
      </c>
    </row>
    <row r="553" spans="1:22" x14ac:dyDescent="0.25">
      <c r="A553" t="s">
        <v>467</v>
      </c>
      <c r="B553" s="43">
        <v>36594</v>
      </c>
      <c r="C553" t="s">
        <v>50</v>
      </c>
      <c r="D553" t="s">
        <v>51</v>
      </c>
      <c r="E553" t="s">
        <v>54</v>
      </c>
      <c r="F553" t="s">
        <v>57</v>
      </c>
      <c r="G553" s="43">
        <v>43727</v>
      </c>
      <c r="H553">
        <v>5</v>
      </c>
      <c r="I553">
        <v>85084</v>
      </c>
      <c r="J553">
        <v>92000000</v>
      </c>
      <c r="P553" s="77">
        <f t="shared" si="56"/>
        <v>955</v>
      </c>
      <c r="Q553" s="78">
        <f t="shared" si="57"/>
        <v>283.61333333333334</v>
      </c>
      <c r="R553" s="78">
        <f t="shared" si="58"/>
        <v>17.547607421875</v>
      </c>
      <c r="S553" s="78">
        <f t="shared" si="59"/>
        <v>22</v>
      </c>
      <c r="T553" s="78">
        <f t="shared" si="60"/>
        <v>66.176444444444456</v>
      </c>
      <c r="U553" s="78" t="str">
        <f t="shared" si="61"/>
        <v>61-90</v>
      </c>
      <c r="V553" s="78" t="str">
        <f t="shared" si="62"/>
        <v>10-20 Гб</v>
      </c>
    </row>
    <row r="554" spans="1:22" x14ac:dyDescent="0.25">
      <c r="A554" t="s">
        <v>1082</v>
      </c>
      <c r="B554" s="43">
        <v>36593</v>
      </c>
      <c r="C554" t="s">
        <v>58</v>
      </c>
      <c r="D554" t="s">
        <v>51</v>
      </c>
      <c r="E554" t="s">
        <v>52</v>
      </c>
      <c r="F554" t="s">
        <v>63</v>
      </c>
      <c r="G554" s="43">
        <v>43635</v>
      </c>
      <c r="H554">
        <v>5</v>
      </c>
      <c r="I554">
        <v>34256</v>
      </c>
      <c r="J554">
        <v>132000000</v>
      </c>
      <c r="P554" s="77">
        <f t="shared" si="56"/>
        <v>1047</v>
      </c>
      <c r="Q554" s="78">
        <f t="shared" si="57"/>
        <v>114.18666666666667</v>
      </c>
      <c r="R554" s="78">
        <f t="shared" si="58"/>
        <v>25.177001953125</v>
      </c>
      <c r="S554" s="78">
        <f t="shared" si="59"/>
        <v>22</v>
      </c>
      <c r="T554" s="78">
        <f t="shared" si="60"/>
        <v>26.643555555555555</v>
      </c>
      <c r="U554" s="78" t="str">
        <f t="shared" si="61"/>
        <v>&lt;35</v>
      </c>
      <c r="V554" s="78" t="str">
        <f t="shared" si="62"/>
        <v>21-30 Гб</v>
      </c>
    </row>
    <row r="555" spans="1:22" x14ac:dyDescent="0.25">
      <c r="A555" t="s">
        <v>760</v>
      </c>
      <c r="B555" s="43">
        <v>36592</v>
      </c>
      <c r="C555" t="s">
        <v>58</v>
      </c>
      <c r="D555" t="s">
        <v>51</v>
      </c>
      <c r="E555" t="s">
        <v>54</v>
      </c>
      <c r="F555" t="s">
        <v>63</v>
      </c>
      <c r="G555" s="43">
        <v>43491</v>
      </c>
      <c r="H555">
        <v>5</v>
      </c>
      <c r="I555">
        <v>2472</v>
      </c>
      <c r="J555">
        <v>160000000</v>
      </c>
      <c r="P555" s="77">
        <f t="shared" si="56"/>
        <v>1191</v>
      </c>
      <c r="Q555" s="78">
        <f t="shared" si="57"/>
        <v>8.24</v>
      </c>
      <c r="R555" s="78">
        <f t="shared" si="58"/>
        <v>30.517578125</v>
      </c>
      <c r="S555" s="78">
        <f t="shared" si="59"/>
        <v>22</v>
      </c>
      <c r="T555" s="78">
        <f t="shared" si="60"/>
        <v>1.9226666666666667</v>
      </c>
      <c r="U555" s="78" t="str">
        <f t="shared" si="61"/>
        <v>&lt;35</v>
      </c>
      <c r="V555" s="78" t="str">
        <f t="shared" si="62"/>
        <v>31-40 Гб</v>
      </c>
    </row>
    <row r="556" spans="1:22" x14ac:dyDescent="0.25">
      <c r="A556" t="s">
        <v>1084</v>
      </c>
      <c r="B556" s="43">
        <v>36586</v>
      </c>
      <c r="C556" t="s">
        <v>58</v>
      </c>
      <c r="D556" t="s">
        <v>51</v>
      </c>
      <c r="E556" t="s">
        <v>54</v>
      </c>
      <c r="F556" t="s">
        <v>63</v>
      </c>
      <c r="G556" s="43">
        <v>43153</v>
      </c>
      <c r="H556">
        <v>5</v>
      </c>
      <c r="I556">
        <v>34692</v>
      </c>
      <c r="J556">
        <v>40000000</v>
      </c>
      <c r="M556">
        <v>1</v>
      </c>
      <c r="P556" s="77">
        <f t="shared" si="56"/>
        <v>1529</v>
      </c>
      <c r="Q556" s="78">
        <f t="shared" si="57"/>
        <v>115.64</v>
      </c>
      <c r="R556" s="78">
        <f t="shared" si="58"/>
        <v>7.62939453125</v>
      </c>
      <c r="S556" s="78">
        <f t="shared" si="59"/>
        <v>22</v>
      </c>
      <c r="T556" s="78">
        <f t="shared" si="60"/>
        <v>26.982666666666667</v>
      </c>
      <c r="U556" s="78" t="str">
        <f t="shared" si="61"/>
        <v>&lt;35</v>
      </c>
      <c r="V556" s="78" t="str">
        <f t="shared" si="62"/>
        <v>&lt;10 Гб</v>
      </c>
    </row>
    <row r="557" spans="1:22" x14ac:dyDescent="0.25">
      <c r="A557" t="s">
        <v>995</v>
      </c>
      <c r="B557" s="43">
        <v>36584</v>
      </c>
      <c r="C557" t="s">
        <v>50</v>
      </c>
      <c r="D557" t="s">
        <v>51</v>
      </c>
      <c r="E557" t="s">
        <v>54</v>
      </c>
      <c r="F557" t="s">
        <v>63</v>
      </c>
      <c r="G557" s="43">
        <v>43888</v>
      </c>
      <c r="H557">
        <v>5</v>
      </c>
      <c r="I557">
        <v>14668</v>
      </c>
      <c r="J557">
        <v>152000000</v>
      </c>
      <c r="P557" s="77">
        <f t="shared" si="56"/>
        <v>794</v>
      </c>
      <c r="Q557" s="78">
        <f t="shared" si="57"/>
        <v>48.893333333333331</v>
      </c>
      <c r="R557" s="78">
        <f t="shared" si="58"/>
        <v>28.99169921875</v>
      </c>
      <c r="S557" s="78">
        <f t="shared" si="59"/>
        <v>22</v>
      </c>
      <c r="T557" s="78">
        <f t="shared" si="60"/>
        <v>11.408444444444445</v>
      </c>
      <c r="U557" s="78" t="str">
        <f t="shared" si="61"/>
        <v>&lt;35</v>
      </c>
      <c r="V557" s="78" t="str">
        <f t="shared" si="62"/>
        <v>21-30 Гб</v>
      </c>
    </row>
    <row r="558" spans="1:22" x14ac:dyDescent="0.25">
      <c r="A558" t="s">
        <v>92</v>
      </c>
      <c r="B558" s="43">
        <v>36583</v>
      </c>
      <c r="C558" t="s">
        <v>58</v>
      </c>
      <c r="D558" t="s">
        <v>51</v>
      </c>
      <c r="E558" t="s">
        <v>54</v>
      </c>
      <c r="F558" t="s">
        <v>63</v>
      </c>
      <c r="G558" s="43">
        <v>44628</v>
      </c>
      <c r="H558">
        <v>1</v>
      </c>
      <c r="I558">
        <v>408</v>
      </c>
      <c r="J558">
        <v>57600000</v>
      </c>
      <c r="P558" s="77">
        <f t="shared" si="56"/>
        <v>54</v>
      </c>
      <c r="Q558" s="78">
        <f t="shared" si="57"/>
        <v>3.7777777777777777</v>
      </c>
      <c r="R558" s="78">
        <f t="shared" si="58"/>
        <v>30.517578125</v>
      </c>
      <c r="S558" s="78">
        <f t="shared" si="59"/>
        <v>22</v>
      </c>
      <c r="T558" s="78">
        <f t="shared" si="60"/>
        <v>0.88148148148148142</v>
      </c>
      <c r="U558" s="78" t="str">
        <f t="shared" si="61"/>
        <v>&lt;35</v>
      </c>
      <c r="V558" s="78" t="str">
        <f t="shared" si="62"/>
        <v>31-40 Гб</v>
      </c>
    </row>
    <row r="559" spans="1:22" x14ac:dyDescent="0.25">
      <c r="A559" t="s">
        <v>1191</v>
      </c>
      <c r="B559" s="43">
        <v>36583</v>
      </c>
      <c r="C559" t="s">
        <v>58</v>
      </c>
      <c r="D559" t="s">
        <v>51</v>
      </c>
      <c r="E559" t="s">
        <v>52</v>
      </c>
      <c r="F559" t="s">
        <v>69</v>
      </c>
      <c r="G559" s="43">
        <v>44107</v>
      </c>
      <c r="H559">
        <v>5</v>
      </c>
      <c r="I559">
        <v>29068</v>
      </c>
      <c r="J559">
        <v>4000000</v>
      </c>
      <c r="L559">
        <v>1</v>
      </c>
      <c r="N559">
        <v>1</v>
      </c>
      <c r="P559" s="77">
        <f t="shared" si="56"/>
        <v>575</v>
      </c>
      <c r="Q559" s="78">
        <f t="shared" si="57"/>
        <v>96.893333333333331</v>
      </c>
      <c r="R559" s="78">
        <f t="shared" si="58"/>
        <v>0.762939453125</v>
      </c>
      <c r="S559" s="78">
        <f t="shared" si="59"/>
        <v>22</v>
      </c>
      <c r="T559" s="78">
        <f t="shared" si="60"/>
        <v>22.608444444444444</v>
      </c>
      <c r="U559" s="78" t="str">
        <f t="shared" si="61"/>
        <v>&lt;35</v>
      </c>
      <c r="V559" s="78" t="str">
        <f t="shared" si="62"/>
        <v>&lt;10 Гб</v>
      </c>
    </row>
    <row r="560" spans="1:22" x14ac:dyDescent="0.25">
      <c r="A560" t="s">
        <v>721</v>
      </c>
      <c r="B560" s="43">
        <v>36577</v>
      </c>
      <c r="C560" t="s">
        <v>50</v>
      </c>
      <c r="D560" t="s">
        <v>51</v>
      </c>
      <c r="E560" t="s">
        <v>54</v>
      </c>
      <c r="F560" t="s">
        <v>63</v>
      </c>
      <c r="G560" s="43">
        <v>43623</v>
      </c>
      <c r="H560">
        <v>5</v>
      </c>
      <c r="I560">
        <v>30192</v>
      </c>
      <c r="J560">
        <v>152000000</v>
      </c>
      <c r="P560" s="77">
        <f t="shared" si="56"/>
        <v>1059</v>
      </c>
      <c r="Q560" s="78">
        <f t="shared" si="57"/>
        <v>100.64</v>
      </c>
      <c r="R560" s="78">
        <f t="shared" si="58"/>
        <v>28.99169921875</v>
      </c>
      <c r="S560" s="78">
        <f t="shared" si="59"/>
        <v>22</v>
      </c>
      <c r="T560" s="78">
        <f t="shared" si="60"/>
        <v>23.482666666666667</v>
      </c>
      <c r="U560" s="78" t="str">
        <f t="shared" si="61"/>
        <v>&lt;35</v>
      </c>
      <c r="V560" s="78" t="str">
        <f t="shared" si="62"/>
        <v>21-30 Гб</v>
      </c>
    </row>
    <row r="561" spans="1:22" x14ac:dyDescent="0.25">
      <c r="A561" t="s">
        <v>317</v>
      </c>
      <c r="B561" s="43">
        <v>36575</v>
      </c>
      <c r="C561" t="s">
        <v>58</v>
      </c>
      <c r="D561" t="s">
        <v>51</v>
      </c>
      <c r="E561" t="s">
        <v>54</v>
      </c>
      <c r="F561" t="s">
        <v>56</v>
      </c>
      <c r="G561" s="43">
        <v>43802</v>
      </c>
      <c r="H561">
        <v>5</v>
      </c>
      <c r="I561">
        <v>96572</v>
      </c>
      <c r="J561">
        <v>128000000</v>
      </c>
      <c r="P561" s="77">
        <f t="shared" si="56"/>
        <v>880</v>
      </c>
      <c r="Q561" s="78">
        <f t="shared" si="57"/>
        <v>321.90666666666669</v>
      </c>
      <c r="R561" s="78">
        <f t="shared" si="58"/>
        <v>24.4140625</v>
      </c>
      <c r="S561" s="78">
        <f t="shared" si="59"/>
        <v>22</v>
      </c>
      <c r="T561" s="78">
        <f t="shared" si="60"/>
        <v>75.111555555555555</v>
      </c>
      <c r="U561" s="78" t="str">
        <f t="shared" si="61"/>
        <v>61-90</v>
      </c>
      <c r="V561" s="78" t="str">
        <f t="shared" si="62"/>
        <v>21-30 Гб</v>
      </c>
    </row>
    <row r="562" spans="1:22" x14ac:dyDescent="0.25">
      <c r="A562" t="s">
        <v>708</v>
      </c>
      <c r="B562" s="43">
        <v>36575</v>
      </c>
      <c r="C562" t="s">
        <v>58</v>
      </c>
      <c r="D562" t="s">
        <v>51</v>
      </c>
      <c r="E562" t="s">
        <v>52</v>
      </c>
      <c r="F562" t="s">
        <v>63</v>
      </c>
      <c r="G562" s="43">
        <v>43445</v>
      </c>
      <c r="H562">
        <v>5</v>
      </c>
      <c r="I562">
        <v>18424</v>
      </c>
      <c r="J562">
        <v>140000000</v>
      </c>
      <c r="P562" s="77">
        <f t="shared" si="56"/>
        <v>1237</v>
      </c>
      <c r="Q562" s="78">
        <f t="shared" si="57"/>
        <v>61.413333333333334</v>
      </c>
      <c r="R562" s="78">
        <f t="shared" si="58"/>
        <v>26.702880859375</v>
      </c>
      <c r="S562" s="78">
        <f t="shared" si="59"/>
        <v>22</v>
      </c>
      <c r="T562" s="78">
        <f t="shared" si="60"/>
        <v>14.329777777777776</v>
      </c>
      <c r="U562" s="78" t="str">
        <f t="shared" si="61"/>
        <v>&lt;35</v>
      </c>
      <c r="V562" s="78" t="str">
        <f t="shared" si="62"/>
        <v>21-30 Гб</v>
      </c>
    </row>
    <row r="563" spans="1:22" x14ac:dyDescent="0.25">
      <c r="A563" t="s">
        <v>1106</v>
      </c>
      <c r="B563" s="43">
        <v>36574</v>
      </c>
      <c r="C563" t="s">
        <v>58</v>
      </c>
      <c r="D563" t="s">
        <v>51</v>
      </c>
      <c r="E563" t="s">
        <v>52</v>
      </c>
      <c r="F563" t="s">
        <v>69</v>
      </c>
      <c r="G563" s="43">
        <v>44010</v>
      </c>
      <c r="H563">
        <v>5</v>
      </c>
      <c r="I563">
        <v>39684</v>
      </c>
      <c r="J563">
        <v>4000000</v>
      </c>
      <c r="L563">
        <v>1</v>
      </c>
      <c r="M563">
        <v>1</v>
      </c>
      <c r="P563" s="77">
        <f t="shared" si="56"/>
        <v>672</v>
      </c>
      <c r="Q563" s="78">
        <f t="shared" si="57"/>
        <v>132.28</v>
      </c>
      <c r="R563" s="78">
        <f t="shared" si="58"/>
        <v>0.762939453125</v>
      </c>
      <c r="S563" s="78">
        <f t="shared" si="59"/>
        <v>22</v>
      </c>
      <c r="T563" s="78">
        <f t="shared" si="60"/>
        <v>30.865333333333336</v>
      </c>
      <c r="U563" s="78" t="str">
        <f t="shared" si="61"/>
        <v>&lt;35</v>
      </c>
      <c r="V563" s="78" t="str">
        <f t="shared" si="62"/>
        <v>&lt;10 Гб</v>
      </c>
    </row>
    <row r="564" spans="1:22" x14ac:dyDescent="0.25">
      <c r="A564" t="s">
        <v>463</v>
      </c>
      <c r="B564" s="43">
        <v>36571</v>
      </c>
      <c r="C564" t="s">
        <v>50</v>
      </c>
      <c r="D564" t="s">
        <v>51</v>
      </c>
      <c r="E564" t="s">
        <v>52</v>
      </c>
      <c r="F564" t="s">
        <v>57</v>
      </c>
      <c r="G564" s="43">
        <v>43252</v>
      </c>
      <c r="H564">
        <v>5</v>
      </c>
      <c r="I564">
        <v>64004</v>
      </c>
      <c r="J564">
        <v>56000000</v>
      </c>
      <c r="P564" s="77">
        <f t="shared" si="56"/>
        <v>1430</v>
      </c>
      <c r="Q564" s="78">
        <f t="shared" si="57"/>
        <v>213.34666666666666</v>
      </c>
      <c r="R564" s="78">
        <f t="shared" si="58"/>
        <v>10.68115234375</v>
      </c>
      <c r="S564" s="78">
        <f t="shared" si="59"/>
        <v>22</v>
      </c>
      <c r="T564" s="78">
        <f t="shared" si="60"/>
        <v>49.780888888888889</v>
      </c>
      <c r="U564" s="78" t="str">
        <f t="shared" si="61"/>
        <v>35-60</v>
      </c>
      <c r="V564" s="78" t="str">
        <f t="shared" si="62"/>
        <v>10-20 Гб</v>
      </c>
    </row>
    <row r="565" spans="1:22" x14ac:dyDescent="0.25">
      <c r="A565" t="s">
        <v>914</v>
      </c>
      <c r="B565" s="43">
        <v>36570</v>
      </c>
      <c r="C565" t="s">
        <v>50</v>
      </c>
      <c r="D565" t="s">
        <v>51</v>
      </c>
      <c r="E565" t="s">
        <v>52</v>
      </c>
      <c r="F565" t="s">
        <v>63</v>
      </c>
      <c r="G565" s="43">
        <v>42852</v>
      </c>
      <c r="H565">
        <v>5</v>
      </c>
      <c r="I565">
        <v>35472</v>
      </c>
      <c r="J565">
        <v>136000000</v>
      </c>
      <c r="K565">
        <v>1</v>
      </c>
      <c r="L565">
        <v>1</v>
      </c>
      <c r="P565" s="77">
        <f t="shared" si="56"/>
        <v>1830</v>
      </c>
      <c r="Q565" s="78">
        <f t="shared" si="57"/>
        <v>118.24</v>
      </c>
      <c r="R565" s="78">
        <f t="shared" si="58"/>
        <v>25.93994140625</v>
      </c>
      <c r="S565" s="78">
        <f t="shared" si="59"/>
        <v>22</v>
      </c>
      <c r="T565" s="78">
        <f t="shared" si="60"/>
        <v>27.589333333333332</v>
      </c>
      <c r="U565" s="78" t="str">
        <f t="shared" si="61"/>
        <v>&lt;35</v>
      </c>
      <c r="V565" s="78" t="str">
        <f t="shared" si="62"/>
        <v>21-30 Гб</v>
      </c>
    </row>
    <row r="566" spans="1:22" x14ac:dyDescent="0.25">
      <c r="A566" t="s">
        <v>619</v>
      </c>
      <c r="B566" s="43">
        <v>36568</v>
      </c>
      <c r="C566" t="s">
        <v>50</v>
      </c>
      <c r="D566" t="s">
        <v>51</v>
      </c>
      <c r="E566" t="s">
        <v>52</v>
      </c>
      <c r="F566" t="s">
        <v>57</v>
      </c>
      <c r="G566" s="43">
        <v>43010</v>
      </c>
      <c r="H566">
        <v>5</v>
      </c>
      <c r="I566">
        <v>35748</v>
      </c>
      <c r="J566">
        <v>28000000</v>
      </c>
      <c r="P566" s="77">
        <f t="shared" si="56"/>
        <v>1672</v>
      </c>
      <c r="Q566" s="78">
        <f t="shared" si="57"/>
        <v>119.16</v>
      </c>
      <c r="R566" s="78">
        <f t="shared" si="58"/>
        <v>5.340576171875</v>
      </c>
      <c r="S566" s="78">
        <f t="shared" si="59"/>
        <v>22</v>
      </c>
      <c r="T566" s="78">
        <f t="shared" si="60"/>
        <v>27.803999999999998</v>
      </c>
      <c r="U566" s="78" t="str">
        <f t="shared" si="61"/>
        <v>&lt;35</v>
      </c>
      <c r="V566" s="78" t="str">
        <f t="shared" si="62"/>
        <v>&lt;10 Гб</v>
      </c>
    </row>
    <row r="567" spans="1:22" x14ac:dyDescent="0.25">
      <c r="A567" t="s">
        <v>316</v>
      </c>
      <c r="B567" s="43">
        <v>36563</v>
      </c>
      <c r="C567" t="s">
        <v>50</v>
      </c>
      <c r="D567" t="s">
        <v>51</v>
      </c>
      <c r="E567" t="s">
        <v>54</v>
      </c>
      <c r="F567" t="s">
        <v>56</v>
      </c>
      <c r="G567" s="43">
        <v>43230</v>
      </c>
      <c r="H567">
        <v>5</v>
      </c>
      <c r="I567">
        <v>66088</v>
      </c>
      <c r="J567">
        <v>12000000</v>
      </c>
      <c r="P567" s="77">
        <f t="shared" si="56"/>
        <v>1452</v>
      </c>
      <c r="Q567" s="78">
        <f t="shared" si="57"/>
        <v>220.29333333333332</v>
      </c>
      <c r="R567" s="78">
        <f t="shared" si="58"/>
        <v>2.288818359375</v>
      </c>
      <c r="S567" s="78">
        <f t="shared" si="59"/>
        <v>22</v>
      </c>
      <c r="T567" s="78">
        <f t="shared" si="60"/>
        <v>51.401777777777774</v>
      </c>
      <c r="U567" s="78" t="str">
        <f t="shared" si="61"/>
        <v>35-60</v>
      </c>
      <c r="V567" s="78" t="str">
        <f t="shared" si="62"/>
        <v>&lt;10 Гб</v>
      </c>
    </row>
    <row r="568" spans="1:22" x14ac:dyDescent="0.25">
      <c r="A568" t="s">
        <v>1148</v>
      </c>
      <c r="B568" s="43">
        <v>36554</v>
      </c>
      <c r="C568" t="s">
        <v>50</v>
      </c>
      <c r="D568" t="s">
        <v>51</v>
      </c>
      <c r="E568" t="s">
        <v>52</v>
      </c>
      <c r="F568" t="s">
        <v>69</v>
      </c>
      <c r="G568" s="43">
        <v>43174</v>
      </c>
      <c r="H568">
        <v>5</v>
      </c>
      <c r="I568">
        <v>21812</v>
      </c>
      <c r="J568">
        <v>12000000</v>
      </c>
      <c r="P568" s="77">
        <f t="shared" si="56"/>
        <v>1508</v>
      </c>
      <c r="Q568" s="78">
        <f t="shared" si="57"/>
        <v>72.706666666666663</v>
      </c>
      <c r="R568" s="78">
        <f t="shared" si="58"/>
        <v>2.288818359375</v>
      </c>
      <c r="S568" s="78">
        <f t="shared" si="59"/>
        <v>22</v>
      </c>
      <c r="T568" s="78">
        <f t="shared" si="60"/>
        <v>16.96488888888889</v>
      </c>
      <c r="U568" s="78" t="str">
        <f t="shared" si="61"/>
        <v>&lt;35</v>
      </c>
      <c r="V568" s="78" t="str">
        <f t="shared" si="62"/>
        <v>&lt;10 Гб</v>
      </c>
    </row>
    <row r="569" spans="1:22" x14ac:dyDescent="0.25">
      <c r="A569" t="s">
        <v>160</v>
      </c>
      <c r="B569" s="43">
        <v>36552</v>
      </c>
      <c r="C569" t="s">
        <v>58</v>
      </c>
      <c r="D569" t="s">
        <v>51</v>
      </c>
      <c r="E569" t="s">
        <v>52</v>
      </c>
      <c r="F569" t="s">
        <v>53</v>
      </c>
      <c r="G569" s="43">
        <v>44437</v>
      </c>
      <c r="H569">
        <v>5</v>
      </c>
      <c r="I569">
        <v>158956</v>
      </c>
      <c r="J569">
        <v>136000000</v>
      </c>
      <c r="K569">
        <v>1</v>
      </c>
      <c r="L569">
        <v>1</v>
      </c>
      <c r="N569">
        <v>1</v>
      </c>
      <c r="O569">
        <v>1</v>
      </c>
      <c r="P569" s="77">
        <f t="shared" si="56"/>
        <v>245</v>
      </c>
      <c r="Q569" s="78">
        <f t="shared" si="57"/>
        <v>529.85333333333335</v>
      </c>
      <c r="R569" s="78">
        <f t="shared" si="58"/>
        <v>25.93994140625</v>
      </c>
      <c r="S569" s="78">
        <f t="shared" si="59"/>
        <v>22</v>
      </c>
      <c r="T569" s="78">
        <f t="shared" si="60"/>
        <v>123.63244444444445</v>
      </c>
      <c r="U569" s="78" t="str">
        <f t="shared" si="61"/>
        <v>120+</v>
      </c>
      <c r="V569" s="78" t="str">
        <f t="shared" si="62"/>
        <v>21-30 Гб</v>
      </c>
    </row>
    <row r="570" spans="1:22" x14ac:dyDescent="0.25">
      <c r="A570" t="s">
        <v>405</v>
      </c>
      <c r="B570" s="43">
        <v>36549</v>
      </c>
      <c r="C570" t="s">
        <v>58</v>
      </c>
      <c r="D570" t="s">
        <v>51</v>
      </c>
      <c r="E570" t="s">
        <v>54</v>
      </c>
      <c r="F570" t="s">
        <v>56</v>
      </c>
      <c r="G570" s="43">
        <v>43819</v>
      </c>
      <c r="H570">
        <v>5</v>
      </c>
      <c r="I570">
        <v>99504</v>
      </c>
      <c r="J570">
        <v>104000000</v>
      </c>
      <c r="P570" s="77">
        <f t="shared" si="56"/>
        <v>863</v>
      </c>
      <c r="Q570" s="78">
        <f t="shared" si="57"/>
        <v>331.68</v>
      </c>
      <c r="R570" s="78">
        <f t="shared" si="58"/>
        <v>19.83642578125</v>
      </c>
      <c r="S570" s="78">
        <f t="shared" si="59"/>
        <v>22</v>
      </c>
      <c r="T570" s="78">
        <f t="shared" si="60"/>
        <v>77.39200000000001</v>
      </c>
      <c r="U570" s="78" t="str">
        <f t="shared" si="61"/>
        <v>61-90</v>
      </c>
      <c r="V570" s="78" t="str">
        <f t="shared" si="62"/>
        <v>10-20 Гб</v>
      </c>
    </row>
    <row r="571" spans="1:22" x14ac:dyDescent="0.25">
      <c r="A571" t="s">
        <v>1059</v>
      </c>
      <c r="B571" s="43">
        <v>36549</v>
      </c>
      <c r="C571" t="s">
        <v>50</v>
      </c>
      <c r="D571" t="s">
        <v>51</v>
      </c>
      <c r="E571" t="s">
        <v>54</v>
      </c>
      <c r="F571" t="s">
        <v>63</v>
      </c>
      <c r="G571" s="43">
        <v>44306</v>
      </c>
      <c r="H571">
        <v>5</v>
      </c>
      <c r="I571">
        <v>26592</v>
      </c>
      <c r="J571">
        <v>148000000</v>
      </c>
      <c r="K571">
        <v>1</v>
      </c>
      <c r="L571">
        <v>1</v>
      </c>
      <c r="N571">
        <v>1</v>
      </c>
      <c r="P571" s="77">
        <f t="shared" si="56"/>
        <v>376</v>
      </c>
      <c r="Q571" s="78">
        <f t="shared" si="57"/>
        <v>88.64</v>
      </c>
      <c r="R571" s="78">
        <f t="shared" si="58"/>
        <v>28.228759765625</v>
      </c>
      <c r="S571" s="78">
        <f t="shared" si="59"/>
        <v>22</v>
      </c>
      <c r="T571" s="78">
        <f t="shared" si="60"/>
        <v>20.682666666666666</v>
      </c>
      <c r="U571" s="78" t="str">
        <f t="shared" si="61"/>
        <v>&lt;35</v>
      </c>
      <c r="V571" s="78" t="str">
        <f t="shared" si="62"/>
        <v>21-30 Гб</v>
      </c>
    </row>
    <row r="572" spans="1:22" x14ac:dyDescent="0.25">
      <c r="A572" t="s">
        <v>379</v>
      </c>
      <c r="B572" s="43">
        <v>36548</v>
      </c>
      <c r="C572" t="s">
        <v>50</v>
      </c>
      <c r="D572" t="s">
        <v>51</v>
      </c>
      <c r="E572" t="s">
        <v>52</v>
      </c>
      <c r="F572" t="s">
        <v>56</v>
      </c>
      <c r="G572" s="43">
        <v>43684</v>
      </c>
      <c r="H572">
        <v>5</v>
      </c>
      <c r="I572">
        <v>67824</v>
      </c>
      <c r="J572">
        <v>52000000</v>
      </c>
      <c r="P572" s="77">
        <f t="shared" si="56"/>
        <v>998</v>
      </c>
      <c r="Q572" s="78">
        <f t="shared" si="57"/>
        <v>226.08</v>
      </c>
      <c r="R572" s="78">
        <f t="shared" si="58"/>
        <v>9.918212890625</v>
      </c>
      <c r="S572" s="78">
        <f t="shared" si="59"/>
        <v>22</v>
      </c>
      <c r="T572" s="78">
        <f t="shared" si="60"/>
        <v>52.752000000000002</v>
      </c>
      <c r="U572" s="78" t="str">
        <f t="shared" si="61"/>
        <v>35-60</v>
      </c>
      <c r="V572" s="78" t="str">
        <f t="shared" si="62"/>
        <v>&lt;10 Гб</v>
      </c>
    </row>
    <row r="573" spans="1:22" x14ac:dyDescent="0.25">
      <c r="A573" t="s">
        <v>562</v>
      </c>
      <c r="B573" s="43">
        <v>36548</v>
      </c>
      <c r="C573" t="s">
        <v>58</v>
      </c>
      <c r="D573" t="s">
        <v>51</v>
      </c>
      <c r="E573" t="s">
        <v>54</v>
      </c>
      <c r="F573" t="s">
        <v>57</v>
      </c>
      <c r="G573" s="43">
        <v>43391</v>
      </c>
      <c r="H573">
        <v>5</v>
      </c>
      <c r="I573">
        <v>15328</v>
      </c>
      <c r="J573">
        <v>112000000</v>
      </c>
      <c r="P573" s="77">
        <f t="shared" si="56"/>
        <v>1291</v>
      </c>
      <c r="Q573" s="78">
        <f t="shared" si="57"/>
        <v>51.093333333333334</v>
      </c>
      <c r="R573" s="78">
        <f t="shared" si="58"/>
        <v>21.3623046875</v>
      </c>
      <c r="S573" s="78">
        <f t="shared" si="59"/>
        <v>22</v>
      </c>
      <c r="T573" s="78">
        <f t="shared" si="60"/>
        <v>11.921777777777777</v>
      </c>
      <c r="U573" s="78" t="str">
        <f t="shared" si="61"/>
        <v>&lt;35</v>
      </c>
      <c r="V573" s="78" t="str">
        <f t="shared" si="62"/>
        <v>21-30 Гб</v>
      </c>
    </row>
    <row r="574" spans="1:22" x14ac:dyDescent="0.25">
      <c r="A574" t="s">
        <v>278</v>
      </c>
      <c r="B574" s="43">
        <v>36544</v>
      </c>
      <c r="C574" t="s">
        <v>58</v>
      </c>
      <c r="D574" t="s">
        <v>51</v>
      </c>
      <c r="E574" t="s">
        <v>52</v>
      </c>
      <c r="F574" t="s">
        <v>56</v>
      </c>
      <c r="G574" s="43">
        <v>43728</v>
      </c>
      <c r="H574">
        <v>5</v>
      </c>
      <c r="I574">
        <v>110376</v>
      </c>
      <c r="J574">
        <v>120000000</v>
      </c>
      <c r="P574" s="77">
        <f t="shared" si="56"/>
        <v>954</v>
      </c>
      <c r="Q574" s="78">
        <f t="shared" si="57"/>
        <v>367.92</v>
      </c>
      <c r="R574" s="78">
        <f t="shared" si="58"/>
        <v>22.88818359375</v>
      </c>
      <c r="S574" s="78">
        <f t="shared" si="59"/>
        <v>22</v>
      </c>
      <c r="T574" s="78">
        <f t="shared" si="60"/>
        <v>85.847999999999999</v>
      </c>
      <c r="U574" s="78" t="str">
        <f t="shared" si="61"/>
        <v>61-90</v>
      </c>
      <c r="V574" s="78" t="str">
        <f t="shared" si="62"/>
        <v>21-30 Гб</v>
      </c>
    </row>
    <row r="575" spans="1:22" x14ac:dyDescent="0.25">
      <c r="A575" t="s">
        <v>842</v>
      </c>
      <c r="B575" s="43">
        <v>36543</v>
      </c>
      <c r="C575" t="s">
        <v>58</v>
      </c>
      <c r="D575" t="s">
        <v>51</v>
      </c>
      <c r="E575" t="s">
        <v>54</v>
      </c>
      <c r="F575" t="s">
        <v>63</v>
      </c>
      <c r="G575" s="43">
        <v>44387</v>
      </c>
      <c r="H575">
        <v>5</v>
      </c>
      <c r="I575">
        <v>28100</v>
      </c>
      <c r="J575">
        <v>144000000</v>
      </c>
      <c r="P575" s="77">
        <f t="shared" si="56"/>
        <v>295</v>
      </c>
      <c r="Q575" s="78">
        <f t="shared" si="57"/>
        <v>93.666666666666671</v>
      </c>
      <c r="R575" s="78">
        <f t="shared" si="58"/>
        <v>27.4658203125</v>
      </c>
      <c r="S575" s="78">
        <f t="shared" si="59"/>
        <v>22</v>
      </c>
      <c r="T575" s="78">
        <f t="shared" si="60"/>
        <v>21.855555555555558</v>
      </c>
      <c r="U575" s="78" t="str">
        <f t="shared" si="61"/>
        <v>&lt;35</v>
      </c>
      <c r="V575" s="78" t="str">
        <f t="shared" si="62"/>
        <v>21-30 Гб</v>
      </c>
    </row>
    <row r="576" spans="1:22" x14ac:dyDescent="0.25">
      <c r="A576" t="s">
        <v>1172</v>
      </c>
      <c r="B576" s="43">
        <v>36542</v>
      </c>
      <c r="C576" t="s">
        <v>58</v>
      </c>
      <c r="D576" t="s">
        <v>51</v>
      </c>
      <c r="E576" t="s">
        <v>52</v>
      </c>
      <c r="F576" t="s">
        <v>69</v>
      </c>
      <c r="G576" s="43">
        <v>43255</v>
      </c>
      <c r="H576">
        <v>5</v>
      </c>
      <c r="I576">
        <v>5408</v>
      </c>
      <c r="J576">
        <v>20000000</v>
      </c>
      <c r="P576" s="77">
        <f t="shared" ref="P576:P639" si="63">DATEDIF(G576,$C$2,"D")</f>
        <v>1427</v>
      </c>
      <c r="Q576" s="78">
        <f t="shared" ref="Q576:Q639" si="64">IF(P576&lt;DATEDIF($C$3,$C$2,"D"),I576/(60*(P576/30)),I576/(60*5))</f>
        <v>18.026666666666667</v>
      </c>
      <c r="R576" s="78">
        <f t="shared" ref="R576:R639" si="65">IF(P576&lt;DATEDIF($C$3,$C$2,"D"),J576/(1048576*(P576/30)),J576/(1048576*5))</f>
        <v>3.814697265625</v>
      </c>
      <c r="S576" s="78">
        <f t="shared" ref="S576:S639" si="66">DATEDIF(B576,$C$2,"Y")</f>
        <v>22</v>
      </c>
      <c r="T576" s="78">
        <f t="shared" si="60"/>
        <v>4.2062222222222223</v>
      </c>
      <c r="U576" s="78" t="str">
        <f t="shared" si="61"/>
        <v>&lt;35</v>
      </c>
      <c r="V576" s="78" t="str">
        <f t="shared" si="62"/>
        <v>&lt;10 Гб</v>
      </c>
    </row>
    <row r="577" spans="1:22" x14ac:dyDescent="0.25">
      <c r="A577" t="s">
        <v>308</v>
      </c>
      <c r="B577" s="43">
        <v>36510</v>
      </c>
      <c r="C577" t="s">
        <v>58</v>
      </c>
      <c r="D577" t="s">
        <v>51</v>
      </c>
      <c r="E577" t="s">
        <v>52</v>
      </c>
      <c r="F577" t="s">
        <v>63</v>
      </c>
      <c r="G577" s="43">
        <v>43135</v>
      </c>
      <c r="H577">
        <v>5</v>
      </c>
      <c r="I577">
        <v>29484</v>
      </c>
      <c r="J577">
        <v>4000000</v>
      </c>
      <c r="K577">
        <v>1</v>
      </c>
      <c r="O577">
        <v>1</v>
      </c>
      <c r="P577" s="77">
        <f t="shared" si="63"/>
        <v>1547</v>
      </c>
      <c r="Q577" s="78">
        <f t="shared" si="64"/>
        <v>98.28</v>
      </c>
      <c r="R577" s="78">
        <f t="shared" si="65"/>
        <v>0.762939453125</v>
      </c>
      <c r="S577" s="78">
        <f t="shared" si="66"/>
        <v>22</v>
      </c>
      <c r="T577" s="78">
        <f t="shared" si="60"/>
        <v>22.932000000000002</v>
      </c>
      <c r="U577" s="78" t="str">
        <f t="shared" si="61"/>
        <v>&lt;35</v>
      </c>
      <c r="V577" s="78" t="str">
        <f t="shared" si="62"/>
        <v>&lt;10 Гб</v>
      </c>
    </row>
    <row r="578" spans="1:22" x14ac:dyDescent="0.25">
      <c r="A578" t="s">
        <v>376</v>
      </c>
      <c r="B578" s="43">
        <v>36510</v>
      </c>
      <c r="C578" t="s">
        <v>50</v>
      </c>
      <c r="D578" t="s">
        <v>51</v>
      </c>
      <c r="E578" t="s">
        <v>54</v>
      </c>
      <c r="F578" t="s">
        <v>56</v>
      </c>
      <c r="G578" s="43">
        <v>43987</v>
      </c>
      <c r="H578">
        <v>5</v>
      </c>
      <c r="I578">
        <v>102236</v>
      </c>
      <c r="J578">
        <v>120000000</v>
      </c>
      <c r="M578">
        <v>1</v>
      </c>
      <c r="P578" s="77">
        <f t="shared" si="63"/>
        <v>695</v>
      </c>
      <c r="Q578" s="78">
        <f t="shared" si="64"/>
        <v>340.78666666666669</v>
      </c>
      <c r="R578" s="78">
        <f t="shared" si="65"/>
        <v>22.88818359375</v>
      </c>
      <c r="S578" s="78">
        <f t="shared" si="66"/>
        <v>22</v>
      </c>
      <c r="T578" s="78">
        <f t="shared" si="60"/>
        <v>79.516888888888886</v>
      </c>
      <c r="U578" s="78" t="str">
        <f t="shared" si="61"/>
        <v>61-90</v>
      </c>
      <c r="V578" s="78" t="str">
        <f t="shared" si="62"/>
        <v>21-30 Гб</v>
      </c>
    </row>
    <row r="579" spans="1:22" x14ac:dyDescent="0.25">
      <c r="A579" t="s">
        <v>614</v>
      </c>
      <c r="B579" s="43">
        <v>36510</v>
      </c>
      <c r="C579" t="s">
        <v>58</v>
      </c>
      <c r="D579" t="s">
        <v>51</v>
      </c>
      <c r="E579" t="s">
        <v>54</v>
      </c>
      <c r="F579" t="s">
        <v>57</v>
      </c>
      <c r="G579" s="43">
        <v>44445</v>
      </c>
      <c r="H579">
        <v>5</v>
      </c>
      <c r="I579">
        <v>53688</v>
      </c>
      <c r="J579">
        <v>112000000</v>
      </c>
      <c r="P579" s="77">
        <f t="shared" si="63"/>
        <v>237</v>
      </c>
      <c r="Q579" s="78">
        <f t="shared" si="64"/>
        <v>178.96</v>
      </c>
      <c r="R579" s="78">
        <f t="shared" si="65"/>
        <v>21.3623046875</v>
      </c>
      <c r="S579" s="78">
        <f t="shared" si="66"/>
        <v>22</v>
      </c>
      <c r="T579" s="78">
        <f t="shared" si="60"/>
        <v>41.757333333333335</v>
      </c>
      <c r="U579" s="78" t="str">
        <f t="shared" si="61"/>
        <v>35-60</v>
      </c>
      <c r="V579" s="78" t="str">
        <f t="shared" si="62"/>
        <v>21-30 Гб</v>
      </c>
    </row>
    <row r="580" spans="1:22" x14ac:dyDescent="0.25">
      <c r="A580" t="s">
        <v>1175</v>
      </c>
      <c r="B580" s="43">
        <v>36507</v>
      </c>
      <c r="C580" t="s">
        <v>50</v>
      </c>
      <c r="D580" t="s">
        <v>51</v>
      </c>
      <c r="E580" t="s">
        <v>52</v>
      </c>
      <c r="F580" t="s">
        <v>69</v>
      </c>
      <c r="G580" s="43">
        <v>43193</v>
      </c>
      <c r="H580">
        <v>5</v>
      </c>
      <c r="I580">
        <v>37696</v>
      </c>
      <c r="J580">
        <v>12000000</v>
      </c>
      <c r="P580" s="77">
        <f t="shared" si="63"/>
        <v>1489</v>
      </c>
      <c r="Q580" s="78">
        <f t="shared" si="64"/>
        <v>125.65333333333334</v>
      </c>
      <c r="R580" s="78">
        <f t="shared" si="65"/>
        <v>2.288818359375</v>
      </c>
      <c r="S580" s="78">
        <f t="shared" si="66"/>
        <v>22</v>
      </c>
      <c r="T580" s="78">
        <f t="shared" si="60"/>
        <v>29.319111111111113</v>
      </c>
      <c r="U580" s="78" t="str">
        <f t="shared" si="61"/>
        <v>&lt;35</v>
      </c>
      <c r="V580" s="78" t="str">
        <f t="shared" si="62"/>
        <v>&lt;10 Гб</v>
      </c>
    </row>
    <row r="581" spans="1:22" x14ac:dyDescent="0.25">
      <c r="A581" t="s">
        <v>170</v>
      </c>
      <c r="B581" s="43">
        <v>36506</v>
      </c>
      <c r="C581" t="s">
        <v>58</v>
      </c>
      <c r="D581" t="s">
        <v>51</v>
      </c>
      <c r="E581" t="s">
        <v>52</v>
      </c>
      <c r="F581" t="s">
        <v>53</v>
      </c>
      <c r="G581" s="43">
        <v>43616</v>
      </c>
      <c r="H581">
        <v>5</v>
      </c>
      <c r="I581">
        <v>166708</v>
      </c>
      <c r="J581">
        <v>188000000</v>
      </c>
      <c r="P581" s="77">
        <f t="shared" si="63"/>
        <v>1066</v>
      </c>
      <c r="Q581" s="78">
        <f t="shared" si="64"/>
        <v>555.69333333333338</v>
      </c>
      <c r="R581" s="78">
        <f t="shared" si="65"/>
        <v>35.858154296875</v>
      </c>
      <c r="S581" s="78">
        <f t="shared" si="66"/>
        <v>22</v>
      </c>
      <c r="T581" s="78">
        <f t="shared" si="60"/>
        <v>129.66177777777779</v>
      </c>
      <c r="U581" s="78" t="str">
        <f t="shared" si="61"/>
        <v>120+</v>
      </c>
      <c r="V581" s="78" t="str">
        <f t="shared" si="62"/>
        <v>31-40 Гб</v>
      </c>
    </row>
    <row r="582" spans="1:22" x14ac:dyDescent="0.25">
      <c r="A582" t="s">
        <v>1141</v>
      </c>
      <c r="B582" s="43">
        <v>36504</v>
      </c>
      <c r="C582" t="s">
        <v>50</v>
      </c>
      <c r="D582" t="s">
        <v>51</v>
      </c>
      <c r="E582" t="s">
        <v>52</v>
      </c>
      <c r="F582" t="s">
        <v>69</v>
      </c>
      <c r="G582" s="43">
        <v>43401</v>
      </c>
      <c r="H582">
        <v>5</v>
      </c>
      <c r="I582">
        <v>41416</v>
      </c>
      <c r="J582">
        <v>8000000</v>
      </c>
      <c r="P582" s="77">
        <f t="shared" si="63"/>
        <v>1281</v>
      </c>
      <c r="Q582" s="78">
        <f t="shared" si="64"/>
        <v>138.05333333333334</v>
      </c>
      <c r="R582" s="78">
        <f t="shared" si="65"/>
        <v>1.52587890625</v>
      </c>
      <c r="S582" s="78">
        <f t="shared" si="66"/>
        <v>22</v>
      </c>
      <c r="T582" s="78">
        <f t="shared" si="60"/>
        <v>32.212444444444451</v>
      </c>
      <c r="U582" s="78" t="str">
        <f t="shared" si="61"/>
        <v>&lt;35</v>
      </c>
      <c r="V582" s="78" t="str">
        <f t="shared" si="62"/>
        <v>&lt;10 Гб</v>
      </c>
    </row>
    <row r="583" spans="1:22" x14ac:dyDescent="0.25">
      <c r="A583" t="s">
        <v>838</v>
      </c>
      <c r="B583" s="43">
        <v>36501</v>
      </c>
      <c r="C583" t="s">
        <v>50</v>
      </c>
      <c r="D583" t="s">
        <v>51</v>
      </c>
      <c r="E583" t="s">
        <v>52</v>
      </c>
      <c r="F583" t="s">
        <v>63</v>
      </c>
      <c r="G583" s="43">
        <v>43930</v>
      </c>
      <c r="H583">
        <v>5</v>
      </c>
      <c r="I583">
        <v>6888</v>
      </c>
      <c r="J583">
        <v>108000000</v>
      </c>
      <c r="L583">
        <v>1</v>
      </c>
      <c r="P583" s="77">
        <f t="shared" si="63"/>
        <v>752</v>
      </c>
      <c r="Q583" s="78">
        <f t="shared" si="64"/>
        <v>22.96</v>
      </c>
      <c r="R583" s="78">
        <f t="shared" si="65"/>
        <v>20.599365234375</v>
      </c>
      <c r="S583" s="78">
        <f t="shared" si="66"/>
        <v>22</v>
      </c>
      <c r="T583" s="78">
        <f t="shared" ref="T583:T646" si="67">(Q583*7)/30</f>
        <v>5.3573333333333331</v>
      </c>
      <c r="U583" s="78" t="str">
        <f t="shared" ref="U583:U646" si="68">IF(T583&gt;120,"120+",IF(T583&gt;90,"91-120",IF(T583&gt;60,"61-90",IF(T583&gt;35,"35-60","&lt;35"))))</f>
        <v>&lt;35</v>
      </c>
      <c r="V583" s="78" t="str">
        <f t="shared" ref="V583:V646" si="69">IF(R583&gt;40,"40+ Гб",IF(R583&gt;30,"31-40 Гб",IF(R583&gt;20,"21-30 Гб",IF(R583&gt;10,"10-20 Гб","&lt;10 Гб"))))</f>
        <v>21-30 Гб</v>
      </c>
    </row>
    <row r="584" spans="1:22" x14ac:dyDescent="0.25">
      <c r="A584" t="s">
        <v>292</v>
      </c>
      <c r="B584" s="43">
        <v>36499</v>
      </c>
      <c r="C584" t="s">
        <v>50</v>
      </c>
      <c r="D584" t="s">
        <v>51</v>
      </c>
      <c r="E584" t="s">
        <v>52</v>
      </c>
      <c r="F584" t="s">
        <v>63</v>
      </c>
      <c r="G584" s="43">
        <v>43635</v>
      </c>
      <c r="H584">
        <v>5</v>
      </c>
      <c r="I584">
        <v>24904</v>
      </c>
      <c r="J584">
        <v>120000000</v>
      </c>
      <c r="L584">
        <v>1</v>
      </c>
      <c r="P584" s="77">
        <f t="shared" si="63"/>
        <v>1047</v>
      </c>
      <c r="Q584" s="78">
        <f t="shared" si="64"/>
        <v>83.013333333333335</v>
      </c>
      <c r="R584" s="78">
        <f t="shared" si="65"/>
        <v>22.88818359375</v>
      </c>
      <c r="S584" s="78">
        <f t="shared" si="66"/>
        <v>22</v>
      </c>
      <c r="T584" s="78">
        <f t="shared" si="67"/>
        <v>19.369777777777777</v>
      </c>
      <c r="U584" s="78" t="str">
        <f t="shared" si="68"/>
        <v>&lt;35</v>
      </c>
      <c r="V584" s="78" t="str">
        <f t="shared" si="69"/>
        <v>21-30 Гб</v>
      </c>
    </row>
    <row r="585" spans="1:22" x14ac:dyDescent="0.25">
      <c r="A585" t="s">
        <v>408</v>
      </c>
      <c r="B585" s="43">
        <v>36495</v>
      </c>
      <c r="C585" t="s">
        <v>50</v>
      </c>
      <c r="D585" t="s">
        <v>51</v>
      </c>
      <c r="E585" t="s">
        <v>52</v>
      </c>
      <c r="F585" t="s">
        <v>56</v>
      </c>
      <c r="G585" s="43">
        <v>44480</v>
      </c>
      <c r="H585">
        <v>5</v>
      </c>
      <c r="I585">
        <v>90404</v>
      </c>
      <c r="J585">
        <v>44000000</v>
      </c>
      <c r="K585">
        <v>1</v>
      </c>
      <c r="N585">
        <v>1</v>
      </c>
      <c r="P585" s="77">
        <f t="shared" si="63"/>
        <v>202</v>
      </c>
      <c r="Q585" s="78">
        <f t="shared" si="64"/>
        <v>301.34666666666669</v>
      </c>
      <c r="R585" s="78">
        <f t="shared" si="65"/>
        <v>8.392333984375</v>
      </c>
      <c r="S585" s="78">
        <f t="shared" si="66"/>
        <v>22</v>
      </c>
      <c r="T585" s="78">
        <f t="shared" si="67"/>
        <v>70.314222222222227</v>
      </c>
      <c r="U585" s="78" t="str">
        <f t="shared" si="68"/>
        <v>61-90</v>
      </c>
      <c r="V585" s="78" t="str">
        <f t="shared" si="69"/>
        <v>&lt;10 Гб</v>
      </c>
    </row>
    <row r="586" spans="1:22" x14ac:dyDescent="0.25">
      <c r="A586" t="s">
        <v>911</v>
      </c>
      <c r="B586" s="43">
        <v>36492</v>
      </c>
      <c r="C586" t="s">
        <v>50</v>
      </c>
      <c r="D586" t="s">
        <v>51</v>
      </c>
      <c r="E586" t="s">
        <v>54</v>
      </c>
      <c r="F586" t="s">
        <v>63</v>
      </c>
      <c r="G586" s="43">
        <v>44343</v>
      </c>
      <c r="H586">
        <v>5</v>
      </c>
      <c r="I586">
        <v>30196</v>
      </c>
      <c r="J586">
        <v>144000000</v>
      </c>
      <c r="P586" s="77">
        <f t="shared" si="63"/>
        <v>339</v>
      </c>
      <c r="Q586" s="78">
        <f t="shared" si="64"/>
        <v>100.65333333333334</v>
      </c>
      <c r="R586" s="78">
        <f t="shared" si="65"/>
        <v>27.4658203125</v>
      </c>
      <c r="S586" s="78">
        <f t="shared" si="66"/>
        <v>22</v>
      </c>
      <c r="T586" s="78">
        <f t="shared" si="67"/>
        <v>23.485777777777781</v>
      </c>
      <c r="U586" s="78" t="str">
        <f t="shared" si="68"/>
        <v>&lt;35</v>
      </c>
      <c r="V586" s="78" t="str">
        <f t="shared" si="69"/>
        <v>21-30 Гб</v>
      </c>
    </row>
    <row r="587" spans="1:22" x14ac:dyDescent="0.25">
      <c r="A587" t="s">
        <v>813</v>
      </c>
      <c r="B587" s="43">
        <v>36490</v>
      </c>
      <c r="C587" t="s">
        <v>58</v>
      </c>
      <c r="D587" t="s">
        <v>51</v>
      </c>
      <c r="E587" t="s">
        <v>54</v>
      </c>
      <c r="F587" t="s">
        <v>57</v>
      </c>
      <c r="G587" s="43">
        <v>44194</v>
      </c>
      <c r="H587">
        <v>5</v>
      </c>
      <c r="I587">
        <v>94968</v>
      </c>
      <c r="J587">
        <v>84000000</v>
      </c>
      <c r="P587" s="77">
        <f t="shared" si="63"/>
        <v>488</v>
      </c>
      <c r="Q587" s="78">
        <f t="shared" si="64"/>
        <v>316.56</v>
      </c>
      <c r="R587" s="78">
        <f t="shared" si="65"/>
        <v>16.021728515625</v>
      </c>
      <c r="S587" s="78">
        <f t="shared" si="66"/>
        <v>22</v>
      </c>
      <c r="T587" s="78">
        <f t="shared" si="67"/>
        <v>73.864000000000004</v>
      </c>
      <c r="U587" s="78" t="str">
        <f t="shared" si="68"/>
        <v>61-90</v>
      </c>
      <c r="V587" s="78" t="str">
        <f t="shared" si="69"/>
        <v>10-20 Гб</v>
      </c>
    </row>
    <row r="588" spans="1:22" x14ac:dyDescent="0.25">
      <c r="A588" t="s">
        <v>665</v>
      </c>
      <c r="B588" s="43">
        <v>36489</v>
      </c>
      <c r="C588" t="s">
        <v>50</v>
      </c>
      <c r="D588" t="s">
        <v>51</v>
      </c>
      <c r="E588" t="s">
        <v>52</v>
      </c>
      <c r="F588" t="s">
        <v>63</v>
      </c>
      <c r="G588" s="43">
        <v>43860</v>
      </c>
      <c r="H588">
        <v>5</v>
      </c>
      <c r="I588">
        <v>35408</v>
      </c>
      <c r="J588">
        <v>148000000</v>
      </c>
      <c r="P588" s="77">
        <f t="shared" si="63"/>
        <v>822</v>
      </c>
      <c r="Q588" s="78">
        <f t="shared" si="64"/>
        <v>118.02666666666667</v>
      </c>
      <c r="R588" s="78">
        <f t="shared" si="65"/>
        <v>28.228759765625</v>
      </c>
      <c r="S588" s="78">
        <f t="shared" si="66"/>
        <v>22</v>
      </c>
      <c r="T588" s="78">
        <f t="shared" si="67"/>
        <v>27.539555555555559</v>
      </c>
      <c r="U588" s="78" t="str">
        <f t="shared" si="68"/>
        <v>&lt;35</v>
      </c>
      <c r="V588" s="78" t="str">
        <f t="shared" si="69"/>
        <v>21-30 Гб</v>
      </c>
    </row>
    <row r="589" spans="1:22" x14ac:dyDescent="0.25">
      <c r="A589" t="s">
        <v>1023</v>
      </c>
      <c r="B589" s="43">
        <v>36482</v>
      </c>
      <c r="C589" t="s">
        <v>50</v>
      </c>
      <c r="D589" t="s">
        <v>51</v>
      </c>
      <c r="E589" t="s">
        <v>52</v>
      </c>
      <c r="F589" t="s">
        <v>63</v>
      </c>
      <c r="G589" s="43">
        <v>43301</v>
      </c>
      <c r="H589">
        <v>5</v>
      </c>
      <c r="I589">
        <v>22852</v>
      </c>
      <c r="J589">
        <v>152000000</v>
      </c>
      <c r="P589" s="77">
        <f t="shared" si="63"/>
        <v>1381</v>
      </c>
      <c r="Q589" s="78">
        <f t="shared" si="64"/>
        <v>76.173333333333332</v>
      </c>
      <c r="R589" s="78">
        <f t="shared" si="65"/>
        <v>28.99169921875</v>
      </c>
      <c r="S589" s="78">
        <f t="shared" si="66"/>
        <v>22</v>
      </c>
      <c r="T589" s="78">
        <f t="shared" si="67"/>
        <v>17.773777777777777</v>
      </c>
      <c r="U589" s="78" t="str">
        <f t="shared" si="68"/>
        <v>&lt;35</v>
      </c>
      <c r="V589" s="78" t="str">
        <f t="shared" si="69"/>
        <v>21-30 Гб</v>
      </c>
    </row>
    <row r="590" spans="1:22" x14ac:dyDescent="0.25">
      <c r="A590" t="s">
        <v>1103</v>
      </c>
      <c r="B590" s="43">
        <v>36481</v>
      </c>
      <c r="C590" t="s">
        <v>58</v>
      </c>
      <c r="D590" t="s">
        <v>51</v>
      </c>
      <c r="E590" t="s">
        <v>54</v>
      </c>
      <c r="F590" t="s">
        <v>63</v>
      </c>
      <c r="G590" s="43">
        <v>43360</v>
      </c>
      <c r="H590">
        <v>5</v>
      </c>
      <c r="I590">
        <v>7796</v>
      </c>
      <c r="J590">
        <v>72000000</v>
      </c>
      <c r="N590">
        <v>1</v>
      </c>
      <c r="P590" s="77">
        <f t="shared" si="63"/>
        <v>1322</v>
      </c>
      <c r="Q590" s="78">
        <f t="shared" si="64"/>
        <v>25.986666666666668</v>
      </c>
      <c r="R590" s="78">
        <f t="shared" si="65"/>
        <v>13.73291015625</v>
      </c>
      <c r="S590" s="78">
        <f t="shared" si="66"/>
        <v>22</v>
      </c>
      <c r="T590" s="78">
        <f t="shared" si="67"/>
        <v>6.0635555555555554</v>
      </c>
      <c r="U590" s="78" t="str">
        <f t="shared" si="68"/>
        <v>&lt;35</v>
      </c>
      <c r="V590" s="78" t="str">
        <f t="shared" si="69"/>
        <v>10-20 Гб</v>
      </c>
    </row>
    <row r="591" spans="1:22" x14ac:dyDescent="0.25">
      <c r="A591" t="s">
        <v>396</v>
      </c>
      <c r="B591" s="43">
        <v>36480</v>
      </c>
      <c r="C591" t="s">
        <v>58</v>
      </c>
      <c r="D591" t="s">
        <v>51</v>
      </c>
      <c r="E591" t="s">
        <v>52</v>
      </c>
      <c r="F591" t="s">
        <v>56</v>
      </c>
      <c r="G591" s="43">
        <v>43583</v>
      </c>
      <c r="H591">
        <v>5</v>
      </c>
      <c r="I591">
        <v>61840</v>
      </c>
      <c r="J591">
        <v>68000000</v>
      </c>
      <c r="N591">
        <v>1</v>
      </c>
      <c r="P591" s="77">
        <f t="shared" si="63"/>
        <v>1099</v>
      </c>
      <c r="Q591" s="78">
        <f t="shared" si="64"/>
        <v>206.13333333333333</v>
      </c>
      <c r="R591" s="78">
        <f t="shared" si="65"/>
        <v>12.969970703125</v>
      </c>
      <c r="S591" s="78">
        <f t="shared" si="66"/>
        <v>22</v>
      </c>
      <c r="T591" s="78">
        <f t="shared" si="67"/>
        <v>48.097777777777779</v>
      </c>
      <c r="U591" s="78" t="str">
        <f t="shared" si="68"/>
        <v>35-60</v>
      </c>
      <c r="V591" s="78" t="str">
        <f t="shared" si="69"/>
        <v>10-20 Гб</v>
      </c>
    </row>
    <row r="592" spans="1:22" x14ac:dyDescent="0.25">
      <c r="A592" t="s">
        <v>765</v>
      </c>
      <c r="B592" s="43">
        <v>36480</v>
      </c>
      <c r="C592" t="s">
        <v>50</v>
      </c>
      <c r="D592" t="s">
        <v>51</v>
      </c>
      <c r="E592" t="s">
        <v>52</v>
      </c>
      <c r="F592" t="s">
        <v>63</v>
      </c>
      <c r="G592" s="43">
        <v>43698</v>
      </c>
      <c r="H592">
        <v>5</v>
      </c>
      <c r="I592">
        <v>8796</v>
      </c>
      <c r="J592">
        <v>152000000</v>
      </c>
      <c r="P592" s="77">
        <f t="shared" si="63"/>
        <v>984</v>
      </c>
      <c r="Q592" s="78">
        <f t="shared" si="64"/>
        <v>29.32</v>
      </c>
      <c r="R592" s="78">
        <f t="shared" si="65"/>
        <v>28.99169921875</v>
      </c>
      <c r="S592" s="78">
        <f t="shared" si="66"/>
        <v>22</v>
      </c>
      <c r="T592" s="78">
        <f t="shared" si="67"/>
        <v>6.8413333333333339</v>
      </c>
      <c r="U592" s="78" t="str">
        <f t="shared" si="68"/>
        <v>&lt;35</v>
      </c>
      <c r="V592" s="78" t="str">
        <f t="shared" si="69"/>
        <v>21-30 Гб</v>
      </c>
    </row>
    <row r="593" spans="1:22" x14ac:dyDescent="0.25">
      <c r="A593" t="s">
        <v>1044</v>
      </c>
      <c r="B593" s="43">
        <v>36476</v>
      </c>
      <c r="C593" t="s">
        <v>58</v>
      </c>
      <c r="D593" t="s">
        <v>51</v>
      </c>
      <c r="E593" t="s">
        <v>52</v>
      </c>
      <c r="F593" t="s">
        <v>63</v>
      </c>
      <c r="G593" s="43">
        <v>43309</v>
      </c>
      <c r="H593">
        <v>5</v>
      </c>
      <c r="I593">
        <v>19332</v>
      </c>
      <c r="J593">
        <v>152000000</v>
      </c>
      <c r="P593" s="77">
        <f t="shared" si="63"/>
        <v>1373</v>
      </c>
      <c r="Q593" s="78">
        <f t="shared" si="64"/>
        <v>64.44</v>
      </c>
      <c r="R593" s="78">
        <f t="shared" si="65"/>
        <v>28.99169921875</v>
      </c>
      <c r="S593" s="78">
        <f t="shared" si="66"/>
        <v>22</v>
      </c>
      <c r="T593" s="78">
        <f t="shared" si="67"/>
        <v>15.036</v>
      </c>
      <c r="U593" s="78" t="str">
        <f t="shared" si="68"/>
        <v>&lt;35</v>
      </c>
      <c r="V593" s="78" t="str">
        <f t="shared" si="69"/>
        <v>21-30 Гб</v>
      </c>
    </row>
    <row r="594" spans="1:22" x14ac:dyDescent="0.25">
      <c r="A594" t="s">
        <v>435</v>
      </c>
      <c r="B594" s="43">
        <v>36475</v>
      </c>
      <c r="C594" t="s">
        <v>50</v>
      </c>
      <c r="D594" t="s">
        <v>51</v>
      </c>
      <c r="E594" t="s">
        <v>54</v>
      </c>
      <c r="F594" t="s">
        <v>57</v>
      </c>
      <c r="G594" s="43">
        <v>44402</v>
      </c>
      <c r="H594">
        <v>5</v>
      </c>
      <c r="I594">
        <v>66212</v>
      </c>
      <c r="J594">
        <v>112000000</v>
      </c>
      <c r="M594">
        <v>1</v>
      </c>
      <c r="P594" s="77">
        <f t="shared" si="63"/>
        <v>280</v>
      </c>
      <c r="Q594" s="78">
        <f t="shared" si="64"/>
        <v>220.70666666666668</v>
      </c>
      <c r="R594" s="78">
        <f t="shared" si="65"/>
        <v>21.3623046875</v>
      </c>
      <c r="S594" s="78">
        <f t="shared" si="66"/>
        <v>22</v>
      </c>
      <c r="T594" s="78">
        <f t="shared" si="67"/>
        <v>51.498222222222225</v>
      </c>
      <c r="U594" s="78" t="str">
        <f t="shared" si="68"/>
        <v>35-60</v>
      </c>
      <c r="V594" s="78" t="str">
        <f t="shared" si="69"/>
        <v>21-30 Гб</v>
      </c>
    </row>
    <row r="595" spans="1:22" x14ac:dyDescent="0.25">
      <c r="A595" t="s">
        <v>513</v>
      </c>
      <c r="B595" s="43">
        <v>36475</v>
      </c>
      <c r="C595" t="s">
        <v>58</v>
      </c>
      <c r="D595" t="s">
        <v>51</v>
      </c>
      <c r="E595" t="s">
        <v>52</v>
      </c>
      <c r="F595" t="s">
        <v>57</v>
      </c>
      <c r="G595" s="43">
        <v>43113</v>
      </c>
      <c r="H595">
        <v>5</v>
      </c>
      <c r="I595">
        <v>23820</v>
      </c>
      <c r="J595">
        <v>84000000</v>
      </c>
      <c r="K595">
        <v>1</v>
      </c>
      <c r="O595">
        <v>1</v>
      </c>
      <c r="P595" s="77">
        <f t="shared" si="63"/>
        <v>1569</v>
      </c>
      <c r="Q595" s="78">
        <f t="shared" si="64"/>
        <v>79.400000000000006</v>
      </c>
      <c r="R595" s="78">
        <f t="shared" si="65"/>
        <v>16.021728515625</v>
      </c>
      <c r="S595" s="78">
        <f t="shared" si="66"/>
        <v>22</v>
      </c>
      <c r="T595" s="78">
        <f t="shared" si="67"/>
        <v>18.526666666666667</v>
      </c>
      <c r="U595" s="78" t="str">
        <f t="shared" si="68"/>
        <v>&lt;35</v>
      </c>
      <c r="V595" s="78" t="str">
        <f t="shared" si="69"/>
        <v>10-20 Гб</v>
      </c>
    </row>
    <row r="596" spans="1:22" x14ac:dyDescent="0.25">
      <c r="A596" t="s">
        <v>566</v>
      </c>
      <c r="B596" s="43">
        <v>36475</v>
      </c>
      <c r="C596" t="s">
        <v>50</v>
      </c>
      <c r="D596" t="s">
        <v>51</v>
      </c>
      <c r="E596" t="s">
        <v>54</v>
      </c>
      <c r="F596" t="s">
        <v>57</v>
      </c>
      <c r="G596" s="43">
        <v>42972</v>
      </c>
      <c r="H596">
        <v>5</v>
      </c>
      <c r="I596">
        <v>84476</v>
      </c>
      <c r="J596">
        <v>80000000</v>
      </c>
      <c r="M596">
        <v>1</v>
      </c>
      <c r="P596" s="77">
        <f t="shared" si="63"/>
        <v>1710</v>
      </c>
      <c r="Q596" s="78">
        <f t="shared" si="64"/>
        <v>281.58666666666664</v>
      </c>
      <c r="R596" s="78">
        <f t="shared" si="65"/>
        <v>15.2587890625</v>
      </c>
      <c r="S596" s="78">
        <f t="shared" si="66"/>
        <v>22</v>
      </c>
      <c r="T596" s="78">
        <f t="shared" si="67"/>
        <v>65.703555555555553</v>
      </c>
      <c r="U596" s="78" t="str">
        <f t="shared" si="68"/>
        <v>61-90</v>
      </c>
      <c r="V596" s="78" t="str">
        <f t="shared" si="69"/>
        <v>10-20 Гб</v>
      </c>
    </row>
    <row r="597" spans="1:22" x14ac:dyDescent="0.25">
      <c r="A597" t="s">
        <v>1188</v>
      </c>
      <c r="B597" s="43">
        <v>36463</v>
      </c>
      <c r="C597" t="s">
        <v>50</v>
      </c>
      <c r="D597" t="s">
        <v>51</v>
      </c>
      <c r="E597" t="s">
        <v>54</v>
      </c>
      <c r="F597" t="s">
        <v>69</v>
      </c>
      <c r="G597" s="43">
        <v>44150</v>
      </c>
      <c r="H597">
        <v>5</v>
      </c>
      <c r="I597">
        <v>25832</v>
      </c>
      <c r="J597">
        <v>0</v>
      </c>
      <c r="M597">
        <v>1</v>
      </c>
      <c r="P597" s="77">
        <f t="shared" si="63"/>
        <v>532</v>
      </c>
      <c r="Q597" s="78">
        <f t="shared" si="64"/>
        <v>86.106666666666669</v>
      </c>
      <c r="R597" s="78">
        <f t="shared" si="65"/>
        <v>0</v>
      </c>
      <c r="S597" s="78">
        <f t="shared" si="66"/>
        <v>22</v>
      </c>
      <c r="T597" s="78">
        <f t="shared" si="67"/>
        <v>20.091555555555555</v>
      </c>
      <c r="U597" s="78" t="str">
        <f t="shared" si="68"/>
        <v>&lt;35</v>
      </c>
      <c r="V597" s="78" t="str">
        <f t="shared" si="69"/>
        <v>&lt;10 Гб</v>
      </c>
    </row>
    <row r="598" spans="1:22" x14ac:dyDescent="0.25">
      <c r="A598" t="s">
        <v>178</v>
      </c>
      <c r="B598" s="43">
        <v>36462</v>
      </c>
      <c r="C598" t="s">
        <v>58</v>
      </c>
      <c r="D598" t="s">
        <v>51</v>
      </c>
      <c r="E598" t="s">
        <v>52</v>
      </c>
      <c r="F598" t="s">
        <v>53</v>
      </c>
      <c r="G598" s="43">
        <v>43059</v>
      </c>
      <c r="H598">
        <v>5</v>
      </c>
      <c r="I598">
        <v>136844</v>
      </c>
      <c r="J598">
        <v>180000000</v>
      </c>
      <c r="K598">
        <v>1</v>
      </c>
      <c r="L598">
        <v>1</v>
      </c>
      <c r="P598" s="77">
        <f t="shared" si="63"/>
        <v>1623</v>
      </c>
      <c r="Q598" s="78">
        <f t="shared" si="64"/>
        <v>456.14666666666665</v>
      </c>
      <c r="R598" s="78">
        <f t="shared" si="65"/>
        <v>34.332275390625</v>
      </c>
      <c r="S598" s="78">
        <f t="shared" si="66"/>
        <v>22</v>
      </c>
      <c r="T598" s="78">
        <f t="shared" si="67"/>
        <v>106.43422222222222</v>
      </c>
      <c r="U598" s="78" t="str">
        <f t="shared" si="68"/>
        <v>91-120</v>
      </c>
      <c r="V598" s="78" t="str">
        <f t="shared" si="69"/>
        <v>31-40 Гб</v>
      </c>
    </row>
    <row r="599" spans="1:22" x14ac:dyDescent="0.25">
      <c r="A599" t="s">
        <v>132</v>
      </c>
      <c r="B599" s="43">
        <v>36461</v>
      </c>
      <c r="C599" t="s">
        <v>50</v>
      </c>
      <c r="D599" t="s">
        <v>51</v>
      </c>
      <c r="E599" t="s">
        <v>54</v>
      </c>
      <c r="F599" t="s">
        <v>63</v>
      </c>
      <c r="G599" s="43">
        <v>44569</v>
      </c>
      <c r="H599">
        <v>3</v>
      </c>
      <c r="I599">
        <v>3580</v>
      </c>
      <c r="J599">
        <v>128066667</v>
      </c>
      <c r="P599" s="77">
        <f t="shared" si="63"/>
        <v>113</v>
      </c>
      <c r="Q599" s="78">
        <f t="shared" si="64"/>
        <v>15.840707964601769</v>
      </c>
      <c r="R599" s="78">
        <f t="shared" si="65"/>
        <v>32.424926842208457</v>
      </c>
      <c r="S599" s="78">
        <f t="shared" si="66"/>
        <v>22</v>
      </c>
      <c r="T599" s="78">
        <f t="shared" si="67"/>
        <v>3.696165191740413</v>
      </c>
      <c r="U599" s="78" t="str">
        <f t="shared" si="68"/>
        <v>&lt;35</v>
      </c>
      <c r="V599" s="78" t="str">
        <f t="shared" si="69"/>
        <v>31-40 Гб</v>
      </c>
    </row>
    <row r="600" spans="1:22" x14ac:dyDescent="0.25">
      <c r="A600" t="s">
        <v>412</v>
      </c>
      <c r="B600" s="43">
        <v>36456</v>
      </c>
      <c r="C600" t="s">
        <v>50</v>
      </c>
      <c r="D600" t="s">
        <v>51</v>
      </c>
      <c r="E600" t="s">
        <v>52</v>
      </c>
      <c r="F600" t="s">
        <v>56</v>
      </c>
      <c r="G600" s="43">
        <v>43819</v>
      </c>
      <c r="H600">
        <v>5</v>
      </c>
      <c r="I600">
        <v>118476</v>
      </c>
      <c r="J600">
        <v>120000000</v>
      </c>
      <c r="P600" s="77">
        <f t="shared" si="63"/>
        <v>863</v>
      </c>
      <c r="Q600" s="78">
        <f t="shared" si="64"/>
        <v>394.92</v>
      </c>
      <c r="R600" s="78">
        <f t="shared" si="65"/>
        <v>22.88818359375</v>
      </c>
      <c r="S600" s="78">
        <f t="shared" si="66"/>
        <v>22</v>
      </c>
      <c r="T600" s="78">
        <f t="shared" si="67"/>
        <v>92.147999999999996</v>
      </c>
      <c r="U600" s="78" t="str">
        <f t="shared" si="68"/>
        <v>91-120</v>
      </c>
      <c r="V600" s="78" t="str">
        <f t="shared" si="69"/>
        <v>21-30 Гб</v>
      </c>
    </row>
    <row r="601" spans="1:22" x14ac:dyDescent="0.25">
      <c r="A601" t="s">
        <v>1185</v>
      </c>
      <c r="B601" s="43">
        <v>36455</v>
      </c>
      <c r="C601" t="s">
        <v>50</v>
      </c>
      <c r="D601" t="s">
        <v>51</v>
      </c>
      <c r="E601" t="s">
        <v>52</v>
      </c>
      <c r="F601" t="s">
        <v>69</v>
      </c>
      <c r="G601" s="43">
        <v>43714</v>
      </c>
      <c r="H601">
        <v>5</v>
      </c>
      <c r="I601">
        <v>30312</v>
      </c>
      <c r="J601">
        <v>8000000</v>
      </c>
      <c r="K601">
        <v>1</v>
      </c>
      <c r="P601" s="77">
        <f t="shared" si="63"/>
        <v>968</v>
      </c>
      <c r="Q601" s="78">
        <f t="shared" si="64"/>
        <v>101.04</v>
      </c>
      <c r="R601" s="78">
        <f t="shared" si="65"/>
        <v>1.52587890625</v>
      </c>
      <c r="S601" s="78">
        <f t="shared" si="66"/>
        <v>22</v>
      </c>
      <c r="T601" s="78">
        <f t="shared" si="67"/>
        <v>23.576000000000004</v>
      </c>
      <c r="U601" s="78" t="str">
        <f t="shared" si="68"/>
        <v>&lt;35</v>
      </c>
      <c r="V601" s="78" t="str">
        <f t="shared" si="69"/>
        <v>&lt;10 Гб</v>
      </c>
    </row>
    <row r="602" spans="1:22" x14ac:dyDescent="0.25">
      <c r="A602" t="s">
        <v>505</v>
      </c>
      <c r="B602" s="43">
        <v>36453</v>
      </c>
      <c r="C602" t="s">
        <v>50</v>
      </c>
      <c r="D602" t="s">
        <v>51</v>
      </c>
      <c r="E602" t="s">
        <v>54</v>
      </c>
      <c r="F602" t="s">
        <v>57</v>
      </c>
      <c r="G602" s="43">
        <v>44032</v>
      </c>
      <c r="H602">
        <v>5</v>
      </c>
      <c r="I602">
        <v>84096</v>
      </c>
      <c r="J602">
        <v>104000000</v>
      </c>
      <c r="L602">
        <v>1</v>
      </c>
      <c r="P602" s="77">
        <f t="shared" si="63"/>
        <v>650</v>
      </c>
      <c r="Q602" s="78">
        <f t="shared" si="64"/>
        <v>280.32</v>
      </c>
      <c r="R602" s="78">
        <f t="shared" si="65"/>
        <v>19.83642578125</v>
      </c>
      <c r="S602" s="78">
        <f t="shared" si="66"/>
        <v>22</v>
      </c>
      <c r="T602" s="78">
        <f t="shared" si="67"/>
        <v>65.408000000000001</v>
      </c>
      <c r="U602" s="78" t="str">
        <f t="shared" si="68"/>
        <v>61-90</v>
      </c>
      <c r="V602" s="78" t="str">
        <f t="shared" si="69"/>
        <v>10-20 Гб</v>
      </c>
    </row>
    <row r="603" spans="1:22" x14ac:dyDescent="0.25">
      <c r="A603" t="s">
        <v>587</v>
      </c>
      <c r="B603" s="43">
        <v>36453</v>
      </c>
      <c r="C603" t="s">
        <v>58</v>
      </c>
      <c r="D603" t="s">
        <v>51</v>
      </c>
      <c r="E603" t="s">
        <v>52</v>
      </c>
      <c r="F603" t="s">
        <v>57</v>
      </c>
      <c r="G603" s="43">
        <v>43747</v>
      </c>
      <c r="H603">
        <v>5</v>
      </c>
      <c r="I603">
        <v>12724</v>
      </c>
      <c r="J603">
        <v>84000000</v>
      </c>
      <c r="P603" s="77">
        <f t="shared" si="63"/>
        <v>935</v>
      </c>
      <c r="Q603" s="78">
        <f t="shared" si="64"/>
        <v>42.413333333333334</v>
      </c>
      <c r="R603" s="78">
        <f t="shared" si="65"/>
        <v>16.021728515625</v>
      </c>
      <c r="S603" s="78">
        <f t="shared" si="66"/>
        <v>22</v>
      </c>
      <c r="T603" s="78">
        <f t="shared" si="67"/>
        <v>9.8964444444444446</v>
      </c>
      <c r="U603" s="78" t="str">
        <f t="shared" si="68"/>
        <v>&lt;35</v>
      </c>
      <c r="V603" s="78" t="str">
        <f t="shared" si="69"/>
        <v>10-20 Гб</v>
      </c>
    </row>
    <row r="604" spans="1:22" x14ac:dyDescent="0.25">
      <c r="A604" t="s">
        <v>203</v>
      </c>
      <c r="B604" s="43">
        <v>36451</v>
      </c>
      <c r="C604" t="s">
        <v>50</v>
      </c>
      <c r="D604" t="s">
        <v>51</v>
      </c>
      <c r="E604" t="s">
        <v>54</v>
      </c>
      <c r="F604" t="s">
        <v>53</v>
      </c>
      <c r="G604" s="43">
        <v>43868</v>
      </c>
      <c r="H604">
        <v>5</v>
      </c>
      <c r="I604">
        <v>151848</v>
      </c>
      <c r="J604">
        <v>168000000</v>
      </c>
      <c r="P604" s="77">
        <f t="shared" si="63"/>
        <v>814</v>
      </c>
      <c r="Q604" s="78">
        <f t="shared" si="64"/>
        <v>506.16</v>
      </c>
      <c r="R604" s="78">
        <f t="shared" si="65"/>
        <v>32.04345703125</v>
      </c>
      <c r="S604" s="78">
        <f t="shared" si="66"/>
        <v>22</v>
      </c>
      <c r="T604" s="78">
        <f t="shared" si="67"/>
        <v>118.10400000000001</v>
      </c>
      <c r="U604" s="78" t="str">
        <f t="shared" si="68"/>
        <v>91-120</v>
      </c>
      <c r="V604" s="78" t="str">
        <f t="shared" si="69"/>
        <v>31-40 Гб</v>
      </c>
    </row>
    <row r="605" spans="1:22" x14ac:dyDescent="0.25">
      <c r="A605" t="s">
        <v>268</v>
      </c>
      <c r="B605" s="43">
        <v>36449</v>
      </c>
      <c r="C605" t="s">
        <v>50</v>
      </c>
      <c r="D605" t="s">
        <v>51</v>
      </c>
      <c r="E605" t="s">
        <v>52</v>
      </c>
      <c r="F605" t="s">
        <v>63</v>
      </c>
      <c r="G605" s="43">
        <v>43431</v>
      </c>
      <c r="H605">
        <v>5</v>
      </c>
      <c r="I605">
        <v>19752</v>
      </c>
      <c r="J605">
        <v>28000000</v>
      </c>
      <c r="M605">
        <v>1</v>
      </c>
      <c r="N605">
        <v>1</v>
      </c>
      <c r="P605" s="77">
        <f t="shared" si="63"/>
        <v>1251</v>
      </c>
      <c r="Q605" s="78">
        <f t="shared" si="64"/>
        <v>65.84</v>
      </c>
      <c r="R605" s="78">
        <f t="shared" si="65"/>
        <v>5.340576171875</v>
      </c>
      <c r="S605" s="78">
        <f t="shared" si="66"/>
        <v>22</v>
      </c>
      <c r="T605" s="78">
        <f t="shared" si="67"/>
        <v>15.362666666666666</v>
      </c>
      <c r="U605" s="78" t="str">
        <f t="shared" si="68"/>
        <v>&lt;35</v>
      </c>
      <c r="V605" s="78" t="str">
        <f t="shared" si="69"/>
        <v>&lt;10 Гб</v>
      </c>
    </row>
    <row r="606" spans="1:22" x14ac:dyDescent="0.25">
      <c r="A606" t="s">
        <v>622</v>
      </c>
      <c r="B606" s="43">
        <v>36449</v>
      </c>
      <c r="C606" t="s">
        <v>50</v>
      </c>
      <c r="D606" t="s">
        <v>51</v>
      </c>
      <c r="E606" t="s">
        <v>54</v>
      </c>
      <c r="F606" t="s">
        <v>57</v>
      </c>
      <c r="G606" s="43">
        <v>43194</v>
      </c>
      <c r="H606">
        <v>5</v>
      </c>
      <c r="I606">
        <v>54300</v>
      </c>
      <c r="J606">
        <v>84000000</v>
      </c>
      <c r="P606" s="77">
        <f t="shared" si="63"/>
        <v>1488</v>
      </c>
      <c r="Q606" s="78">
        <f t="shared" si="64"/>
        <v>181</v>
      </c>
      <c r="R606" s="78">
        <f t="shared" si="65"/>
        <v>16.021728515625</v>
      </c>
      <c r="S606" s="78">
        <f t="shared" si="66"/>
        <v>22</v>
      </c>
      <c r="T606" s="78">
        <f t="shared" si="67"/>
        <v>42.233333333333334</v>
      </c>
      <c r="U606" s="78" t="str">
        <f t="shared" si="68"/>
        <v>35-60</v>
      </c>
      <c r="V606" s="78" t="str">
        <f t="shared" si="69"/>
        <v>10-20 Гб</v>
      </c>
    </row>
    <row r="607" spans="1:22" x14ac:dyDescent="0.25">
      <c r="A607" t="s">
        <v>239</v>
      </c>
      <c r="B607" s="43">
        <v>36447</v>
      </c>
      <c r="C607" t="s">
        <v>50</v>
      </c>
      <c r="D607" t="s">
        <v>51</v>
      </c>
      <c r="E607" t="s">
        <v>52</v>
      </c>
      <c r="F607" t="s">
        <v>56</v>
      </c>
      <c r="G607" s="43">
        <v>43727</v>
      </c>
      <c r="H607">
        <v>5</v>
      </c>
      <c r="I607">
        <v>60960</v>
      </c>
      <c r="J607">
        <v>44000000</v>
      </c>
      <c r="L607">
        <v>1</v>
      </c>
      <c r="N607">
        <v>1</v>
      </c>
      <c r="P607" s="77">
        <f t="shared" si="63"/>
        <v>955</v>
      </c>
      <c r="Q607" s="78">
        <f t="shared" si="64"/>
        <v>203.2</v>
      </c>
      <c r="R607" s="78">
        <f t="shared" si="65"/>
        <v>8.392333984375</v>
      </c>
      <c r="S607" s="78">
        <f t="shared" si="66"/>
        <v>22</v>
      </c>
      <c r="T607" s="78">
        <f t="shared" si="67"/>
        <v>47.413333333333327</v>
      </c>
      <c r="U607" s="78" t="str">
        <f t="shared" si="68"/>
        <v>35-60</v>
      </c>
      <c r="V607" s="78" t="str">
        <f t="shared" si="69"/>
        <v>&lt;10 Гб</v>
      </c>
    </row>
    <row r="608" spans="1:22" x14ac:dyDescent="0.25">
      <c r="A608" t="s">
        <v>1108</v>
      </c>
      <c r="B608" s="43">
        <v>36447</v>
      </c>
      <c r="C608" t="s">
        <v>50</v>
      </c>
      <c r="D608" t="s">
        <v>51</v>
      </c>
      <c r="E608" t="s">
        <v>52</v>
      </c>
      <c r="F608" t="s">
        <v>69</v>
      </c>
      <c r="G608" s="43">
        <v>43867</v>
      </c>
      <c r="H608">
        <v>5</v>
      </c>
      <c r="I608">
        <v>18892</v>
      </c>
      <c r="J608">
        <v>12000000</v>
      </c>
      <c r="P608" s="77">
        <f t="shared" si="63"/>
        <v>815</v>
      </c>
      <c r="Q608" s="78">
        <f t="shared" si="64"/>
        <v>62.973333333333336</v>
      </c>
      <c r="R608" s="78">
        <f t="shared" si="65"/>
        <v>2.288818359375</v>
      </c>
      <c r="S608" s="78">
        <f t="shared" si="66"/>
        <v>22</v>
      </c>
      <c r="T608" s="78">
        <f t="shared" si="67"/>
        <v>14.693777777777777</v>
      </c>
      <c r="U608" s="78" t="str">
        <f t="shared" si="68"/>
        <v>&lt;35</v>
      </c>
      <c r="V608" s="78" t="str">
        <f t="shared" si="69"/>
        <v>&lt;10 Гб</v>
      </c>
    </row>
    <row r="609" spans="1:22" x14ac:dyDescent="0.25">
      <c r="A609" t="s">
        <v>1007</v>
      </c>
      <c r="B609" s="43">
        <v>36446</v>
      </c>
      <c r="C609" t="s">
        <v>50</v>
      </c>
      <c r="D609" t="s">
        <v>51</v>
      </c>
      <c r="E609" t="s">
        <v>54</v>
      </c>
      <c r="F609" t="s">
        <v>63</v>
      </c>
      <c r="G609" s="43">
        <v>44510</v>
      </c>
      <c r="H609">
        <v>5</v>
      </c>
      <c r="I609">
        <v>5568</v>
      </c>
      <c r="J609">
        <v>156000000</v>
      </c>
      <c r="P609" s="77">
        <f t="shared" si="63"/>
        <v>172</v>
      </c>
      <c r="Q609" s="78">
        <f t="shared" si="64"/>
        <v>18.559999999999999</v>
      </c>
      <c r="R609" s="78">
        <f t="shared" si="65"/>
        <v>29.754638671875</v>
      </c>
      <c r="S609" s="78">
        <f t="shared" si="66"/>
        <v>22</v>
      </c>
      <c r="T609" s="78">
        <f t="shared" si="67"/>
        <v>4.3306666666666667</v>
      </c>
      <c r="U609" s="78" t="str">
        <f t="shared" si="68"/>
        <v>&lt;35</v>
      </c>
      <c r="V609" s="78" t="str">
        <f t="shared" si="69"/>
        <v>21-30 Гб</v>
      </c>
    </row>
    <row r="610" spans="1:22" x14ac:dyDescent="0.25">
      <c r="A610" t="s">
        <v>458</v>
      </c>
      <c r="B610" s="43">
        <v>36444</v>
      </c>
      <c r="C610" t="s">
        <v>58</v>
      </c>
      <c r="D610" t="s">
        <v>51</v>
      </c>
      <c r="E610" t="s">
        <v>54</v>
      </c>
      <c r="F610" t="s">
        <v>57</v>
      </c>
      <c r="G610" s="43">
        <v>43140</v>
      </c>
      <c r="H610">
        <v>5</v>
      </c>
      <c r="I610">
        <v>70436</v>
      </c>
      <c r="J610">
        <v>120000000</v>
      </c>
      <c r="K610">
        <v>1</v>
      </c>
      <c r="L610">
        <v>1</v>
      </c>
      <c r="M610">
        <v>1</v>
      </c>
      <c r="P610" s="77">
        <f t="shared" si="63"/>
        <v>1542</v>
      </c>
      <c r="Q610" s="78">
        <f t="shared" si="64"/>
        <v>234.78666666666666</v>
      </c>
      <c r="R610" s="78">
        <f t="shared" si="65"/>
        <v>22.88818359375</v>
      </c>
      <c r="S610" s="78">
        <f t="shared" si="66"/>
        <v>22</v>
      </c>
      <c r="T610" s="78">
        <f t="shared" si="67"/>
        <v>54.783555555555559</v>
      </c>
      <c r="U610" s="78" t="str">
        <f t="shared" si="68"/>
        <v>35-60</v>
      </c>
      <c r="V610" s="78" t="str">
        <f t="shared" si="69"/>
        <v>21-30 Гб</v>
      </c>
    </row>
    <row r="611" spans="1:22" x14ac:dyDescent="0.25">
      <c r="A611" t="s">
        <v>1160</v>
      </c>
      <c r="B611" s="43">
        <v>36443</v>
      </c>
      <c r="C611" t="s">
        <v>50</v>
      </c>
      <c r="D611" t="s">
        <v>51</v>
      </c>
      <c r="E611" t="s">
        <v>54</v>
      </c>
      <c r="F611" t="s">
        <v>69</v>
      </c>
      <c r="G611" s="43">
        <v>43477</v>
      </c>
      <c r="H611">
        <v>5</v>
      </c>
      <c r="I611">
        <v>11492</v>
      </c>
      <c r="J611">
        <v>16000000</v>
      </c>
      <c r="L611">
        <v>1</v>
      </c>
      <c r="P611" s="77">
        <f t="shared" si="63"/>
        <v>1205</v>
      </c>
      <c r="Q611" s="78">
        <f t="shared" si="64"/>
        <v>38.306666666666665</v>
      </c>
      <c r="R611" s="78">
        <f t="shared" si="65"/>
        <v>3.0517578125</v>
      </c>
      <c r="S611" s="78">
        <f t="shared" si="66"/>
        <v>22</v>
      </c>
      <c r="T611" s="78">
        <f t="shared" si="67"/>
        <v>8.9382222222222207</v>
      </c>
      <c r="U611" s="78" t="str">
        <f t="shared" si="68"/>
        <v>&lt;35</v>
      </c>
      <c r="V611" s="78" t="str">
        <f t="shared" si="69"/>
        <v>&lt;10 Гб</v>
      </c>
    </row>
    <row r="612" spans="1:22" x14ac:dyDescent="0.25">
      <c r="A612" t="s">
        <v>117</v>
      </c>
      <c r="B612" s="43">
        <v>36441</v>
      </c>
      <c r="C612" t="s">
        <v>58</v>
      </c>
      <c r="D612" t="s">
        <v>51</v>
      </c>
      <c r="E612" t="s">
        <v>52</v>
      </c>
      <c r="F612" t="s">
        <v>57</v>
      </c>
      <c r="G612" s="43">
        <v>44592</v>
      </c>
      <c r="H612">
        <v>3</v>
      </c>
      <c r="I612">
        <v>72000</v>
      </c>
      <c r="J612">
        <v>18000000</v>
      </c>
      <c r="P612" s="77">
        <f t="shared" si="63"/>
        <v>90</v>
      </c>
      <c r="Q612" s="78">
        <f t="shared" si="64"/>
        <v>400</v>
      </c>
      <c r="R612" s="78">
        <f t="shared" si="65"/>
        <v>5.7220458984375</v>
      </c>
      <c r="S612" s="78">
        <f t="shared" si="66"/>
        <v>22</v>
      </c>
      <c r="T612" s="78">
        <f t="shared" si="67"/>
        <v>93.333333333333329</v>
      </c>
      <c r="U612" s="78" t="str">
        <f t="shared" si="68"/>
        <v>91-120</v>
      </c>
      <c r="V612" s="78" t="str">
        <f t="shared" si="69"/>
        <v>&lt;10 Гб</v>
      </c>
    </row>
    <row r="613" spans="1:22" x14ac:dyDescent="0.25">
      <c r="A613" t="s">
        <v>789</v>
      </c>
      <c r="B613" s="43">
        <v>36440</v>
      </c>
      <c r="C613" t="s">
        <v>50</v>
      </c>
      <c r="D613" t="s">
        <v>51</v>
      </c>
      <c r="E613" t="s">
        <v>54</v>
      </c>
      <c r="F613" t="s">
        <v>63</v>
      </c>
      <c r="G613" s="43">
        <v>42980</v>
      </c>
      <c r="H613">
        <v>5</v>
      </c>
      <c r="I613">
        <v>6888</v>
      </c>
      <c r="J613">
        <v>160000000</v>
      </c>
      <c r="P613" s="77">
        <f t="shared" si="63"/>
        <v>1702</v>
      </c>
      <c r="Q613" s="78">
        <f t="shared" si="64"/>
        <v>22.96</v>
      </c>
      <c r="R613" s="78">
        <f t="shared" si="65"/>
        <v>30.517578125</v>
      </c>
      <c r="S613" s="78">
        <f t="shared" si="66"/>
        <v>22</v>
      </c>
      <c r="T613" s="78">
        <f t="shared" si="67"/>
        <v>5.3573333333333331</v>
      </c>
      <c r="U613" s="78" t="str">
        <f t="shared" si="68"/>
        <v>&lt;35</v>
      </c>
      <c r="V613" s="78" t="str">
        <f t="shared" si="69"/>
        <v>31-40 Гб</v>
      </c>
    </row>
    <row r="614" spans="1:22" x14ac:dyDescent="0.25">
      <c r="A614" t="s">
        <v>404</v>
      </c>
      <c r="B614" s="43">
        <v>36436</v>
      </c>
      <c r="C614" t="s">
        <v>50</v>
      </c>
      <c r="D614" t="s">
        <v>51</v>
      </c>
      <c r="E614" t="s">
        <v>54</v>
      </c>
      <c r="F614" t="s">
        <v>56</v>
      </c>
      <c r="G614" s="43">
        <v>43491</v>
      </c>
      <c r="H614">
        <v>5</v>
      </c>
      <c r="I614">
        <v>118116</v>
      </c>
      <c r="J614">
        <v>28000000</v>
      </c>
      <c r="P614" s="77">
        <f t="shared" si="63"/>
        <v>1191</v>
      </c>
      <c r="Q614" s="78">
        <f t="shared" si="64"/>
        <v>393.72</v>
      </c>
      <c r="R614" s="78">
        <f t="shared" si="65"/>
        <v>5.340576171875</v>
      </c>
      <c r="S614" s="78">
        <f t="shared" si="66"/>
        <v>22</v>
      </c>
      <c r="T614" s="78">
        <f t="shared" si="67"/>
        <v>91.867999999999995</v>
      </c>
      <c r="U614" s="78" t="str">
        <f t="shared" si="68"/>
        <v>91-120</v>
      </c>
      <c r="V614" s="78" t="str">
        <f t="shared" si="69"/>
        <v>&lt;10 Гб</v>
      </c>
    </row>
    <row r="615" spans="1:22" x14ac:dyDescent="0.25">
      <c r="A615" t="s">
        <v>522</v>
      </c>
      <c r="B615" s="43">
        <v>36436</v>
      </c>
      <c r="C615" t="s">
        <v>58</v>
      </c>
      <c r="D615" t="s">
        <v>51</v>
      </c>
      <c r="E615" t="s">
        <v>54</v>
      </c>
      <c r="F615" t="s">
        <v>57</v>
      </c>
      <c r="G615" s="43">
        <v>44408</v>
      </c>
      <c r="H615">
        <v>5</v>
      </c>
      <c r="I615">
        <v>22748</v>
      </c>
      <c r="J615">
        <v>108000000</v>
      </c>
      <c r="N615">
        <v>1</v>
      </c>
      <c r="P615" s="77">
        <f t="shared" si="63"/>
        <v>274</v>
      </c>
      <c r="Q615" s="78">
        <f t="shared" si="64"/>
        <v>75.826666666666668</v>
      </c>
      <c r="R615" s="78">
        <f t="shared" si="65"/>
        <v>20.599365234375</v>
      </c>
      <c r="S615" s="78">
        <f t="shared" si="66"/>
        <v>22</v>
      </c>
      <c r="T615" s="78">
        <f t="shared" si="67"/>
        <v>17.692888888888888</v>
      </c>
      <c r="U615" s="78" t="str">
        <f t="shared" si="68"/>
        <v>&lt;35</v>
      </c>
      <c r="V615" s="78" t="str">
        <f t="shared" si="69"/>
        <v>21-30 Гб</v>
      </c>
    </row>
    <row r="616" spans="1:22" x14ac:dyDescent="0.25">
      <c r="A616" t="s">
        <v>688</v>
      </c>
      <c r="B616" s="43">
        <v>36435</v>
      </c>
      <c r="C616" t="s">
        <v>50</v>
      </c>
      <c r="D616" t="s">
        <v>51</v>
      </c>
      <c r="E616" t="s">
        <v>54</v>
      </c>
      <c r="F616" t="s">
        <v>63</v>
      </c>
      <c r="G616" s="43">
        <v>42999</v>
      </c>
      <c r="H616">
        <v>5</v>
      </c>
      <c r="I616">
        <v>35420</v>
      </c>
      <c r="J616">
        <v>148000000</v>
      </c>
      <c r="P616" s="77">
        <f t="shared" si="63"/>
        <v>1683</v>
      </c>
      <c r="Q616" s="78">
        <f t="shared" si="64"/>
        <v>118.06666666666666</v>
      </c>
      <c r="R616" s="78">
        <f t="shared" si="65"/>
        <v>28.228759765625</v>
      </c>
      <c r="S616" s="78">
        <f t="shared" si="66"/>
        <v>22</v>
      </c>
      <c r="T616" s="78">
        <f t="shared" si="67"/>
        <v>27.548888888888889</v>
      </c>
      <c r="U616" s="78" t="str">
        <f t="shared" si="68"/>
        <v>&lt;35</v>
      </c>
      <c r="V616" s="78" t="str">
        <f t="shared" si="69"/>
        <v>21-30 Гб</v>
      </c>
    </row>
    <row r="617" spans="1:22" x14ac:dyDescent="0.25">
      <c r="A617" t="s">
        <v>236</v>
      </c>
      <c r="B617" s="43">
        <v>36428</v>
      </c>
      <c r="C617" t="s">
        <v>50</v>
      </c>
      <c r="D617" t="s">
        <v>51</v>
      </c>
      <c r="E617" t="s">
        <v>52</v>
      </c>
      <c r="F617" t="s">
        <v>56</v>
      </c>
      <c r="G617" s="43">
        <v>43007</v>
      </c>
      <c r="H617">
        <v>5</v>
      </c>
      <c r="I617">
        <v>66812</v>
      </c>
      <c r="J617">
        <v>92000000</v>
      </c>
      <c r="K617">
        <v>1</v>
      </c>
      <c r="P617" s="77">
        <f t="shared" si="63"/>
        <v>1675</v>
      </c>
      <c r="Q617" s="78">
        <f t="shared" si="64"/>
        <v>222.70666666666668</v>
      </c>
      <c r="R617" s="78">
        <f t="shared" si="65"/>
        <v>17.547607421875</v>
      </c>
      <c r="S617" s="78">
        <f t="shared" si="66"/>
        <v>22</v>
      </c>
      <c r="T617" s="78">
        <f t="shared" si="67"/>
        <v>51.964888888888893</v>
      </c>
      <c r="U617" s="78" t="str">
        <f t="shared" si="68"/>
        <v>35-60</v>
      </c>
      <c r="V617" s="78" t="str">
        <f t="shared" si="69"/>
        <v>10-20 Гб</v>
      </c>
    </row>
    <row r="618" spans="1:22" x14ac:dyDescent="0.25">
      <c r="A618" t="s">
        <v>349</v>
      </c>
      <c r="B618" s="43">
        <v>36427</v>
      </c>
      <c r="C618" t="s">
        <v>58</v>
      </c>
      <c r="D618" t="s">
        <v>51</v>
      </c>
      <c r="E618" t="s">
        <v>52</v>
      </c>
      <c r="F618" t="s">
        <v>56</v>
      </c>
      <c r="G618" s="43">
        <v>44303</v>
      </c>
      <c r="H618">
        <v>5</v>
      </c>
      <c r="I618">
        <v>100692</v>
      </c>
      <c r="J618">
        <v>104000000</v>
      </c>
      <c r="K618">
        <v>1</v>
      </c>
      <c r="L618">
        <v>1</v>
      </c>
      <c r="O618">
        <v>1</v>
      </c>
      <c r="P618" s="77">
        <f t="shared" si="63"/>
        <v>379</v>
      </c>
      <c r="Q618" s="78">
        <f t="shared" si="64"/>
        <v>335.64</v>
      </c>
      <c r="R618" s="78">
        <f t="shared" si="65"/>
        <v>19.83642578125</v>
      </c>
      <c r="S618" s="78">
        <f t="shared" si="66"/>
        <v>22</v>
      </c>
      <c r="T618" s="78">
        <f t="shared" si="67"/>
        <v>78.316000000000003</v>
      </c>
      <c r="U618" s="78" t="str">
        <f t="shared" si="68"/>
        <v>61-90</v>
      </c>
      <c r="V618" s="78" t="str">
        <f t="shared" si="69"/>
        <v>10-20 Гб</v>
      </c>
    </row>
    <row r="619" spans="1:22" x14ac:dyDescent="0.25">
      <c r="A619" t="s">
        <v>771</v>
      </c>
      <c r="B619" s="43">
        <v>36427</v>
      </c>
      <c r="C619" t="s">
        <v>50</v>
      </c>
      <c r="D619" t="s">
        <v>51</v>
      </c>
      <c r="E619" t="s">
        <v>52</v>
      </c>
      <c r="F619" t="s">
        <v>63</v>
      </c>
      <c r="G619" s="43">
        <v>44060</v>
      </c>
      <c r="H619">
        <v>5</v>
      </c>
      <c r="I619">
        <v>20880</v>
      </c>
      <c r="J619">
        <v>144000000</v>
      </c>
      <c r="P619" s="77">
        <f t="shared" si="63"/>
        <v>622</v>
      </c>
      <c r="Q619" s="78">
        <f t="shared" si="64"/>
        <v>69.599999999999994</v>
      </c>
      <c r="R619" s="78">
        <f t="shared" si="65"/>
        <v>27.4658203125</v>
      </c>
      <c r="S619" s="78">
        <f t="shared" si="66"/>
        <v>22</v>
      </c>
      <c r="T619" s="78">
        <f t="shared" si="67"/>
        <v>16.239999999999998</v>
      </c>
      <c r="U619" s="78" t="str">
        <f t="shared" si="68"/>
        <v>&lt;35</v>
      </c>
      <c r="V619" s="78" t="str">
        <f t="shared" si="69"/>
        <v>21-30 Гб</v>
      </c>
    </row>
    <row r="620" spans="1:22" x14ac:dyDescent="0.25">
      <c r="A620" t="s">
        <v>999</v>
      </c>
      <c r="B620" s="43">
        <v>36419</v>
      </c>
      <c r="C620" t="s">
        <v>58</v>
      </c>
      <c r="D620" t="s">
        <v>51</v>
      </c>
      <c r="E620" t="s">
        <v>54</v>
      </c>
      <c r="F620" t="s">
        <v>63</v>
      </c>
      <c r="G620" s="43">
        <v>43554</v>
      </c>
      <c r="H620">
        <v>5</v>
      </c>
      <c r="I620">
        <v>15708</v>
      </c>
      <c r="J620">
        <v>152000000</v>
      </c>
      <c r="K620">
        <v>1</v>
      </c>
      <c r="L620">
        <v>1</v>
      </c>
      <c r="O620">
        <v>1</v>
      </c>
      <c r="P620" s="77">
        <f t="shared" si="63"/>
        <v>1128</v>
      </c>
      <c r="Q620" s="78">
        <f t="shared" si="64"/>
        <v>52.36</v>
      </c>
      <c r="R620" s="78">
        <f t="shared" si="65"/>
        <v>28.99169921875</v>
      </c>
      <c r="S620" s="78">
        <f t="shared" si="66"/>
        <v>22</v>
      </c>
      <c r="T620" s="78">
        <f t="shared" si="67"/>
        <v>12.217333333333332</v>
      </c>
      <c r="U620" s="78" t="str">
        <f t="shared" si="68"/>
        <v>&lt;35</v>
      </c>
      <c r="V620" s="78" t="str">
        <f t="shared" si="69"/>
        <v>21-30 Гб</v>
      </c>
    </row>
    <row r="621" spans="1:22" x14ac:dyDescent="0.25">
      <c r="A621" t="s">
        <v>755</v>
      </c>
      <c r="B621" s="43">
        <v>36417</v>
      </c>
      <c r="C621" t="s">
        <v>50</v>
      </c>
      <c r="D621" t="s">
        <v>51</v>
      </c>
      <c r="E621" t="s">
        <v>54</v>
      </c>
      <c r="F621" t="s">
        <v>63</v>
      </c>
      <c r="G621" s="43">
        <v>44293</v>
      </c>
      <c r="H621">
        <v>5</v>
      </c>
      <c r="I621">
        <v>14864</v>
      </c>
      <c r="J621">
        <v>140000000</v>
      </c>
      <c r="P621" s="77">
        <f t="shared" si="63"/>
        <v>389</v>
      </c>
      <c r="Q621" s="78">
        <f t="shared" si="64"/>
        <v>49.546666666666667</v>
      </c>
      <c r="R621" s="78">
        <f t="shared" si="65"/>
        <v>26.702880859375</v>
      </c>
      <c r="S621" s="78">
        <f t="shared" si="66"/>
        <v>22</v>
      </c>
      <c r="T621" s="78">
        <f t="shared" si="67"/>
        <v>11.560888888888888</v>
      </c>
      <c r="U621" s="78" t="str">
        <f t="shared" si="68"/>
        <v>&lt;35</v>
      </c>
      <c r="V621" s="78" t="str">
        <f t="shared" si="69"/>
        <v>21-30 Гб</v>
      </c>
    </row>
    <row r="622" spans="1:22" x14ac:dyDescent="0.25">
      <c r="A622" t="s">
        <v>273</v>
      </c>
      <c r="B622" s="43">
        <v>36414</v>
      </c>
      <c r="C622" t="s">
        <v>58</v>
      </c>
      <c r="D622" t="s">
        <v>51</v>
      </c>
      <c r="E622" t="s">
        <v>54</v>
      </c>
      <c r="F622" t="s">
        <v>63</v>
      </c>
      <c r="G622" s="43">
        <v>44024</v>
      </c>
      <c r="H622">
        <v>5</v>
      </c>
      <c r="I622">
        <v>12640</v>
      </c>
      <c r="J622">
        <v>132000000</v>
      </c>
      <c r="P622" s="77">
        <f t="shared" si="63"/>
        <v>658</v>
      </c>
      <c r="Q622" s="78">
        <f t="shared" si="64"/>
        <v>42.133333333333333</v>
      </c>
      <c r="R622" s="78">
        <f t="shared" si="65"/>
        <v>25.177001953125</v>
      </c>
      <c r="S622" s="78">
        <f t="shared" si="66"/>
        <v>22</v>
      </c>
      <c r="T622" s="78">
        <f t="shared" si="67"/>
        <v>9.8311111111111114</v>
      </c>
      <c r="U622" s="78" t="str">
        <f t="shared" si="68"/>
        <v>&lt;35</v>
      </c>
      <c r="V622" s="78" t="str">
        <f t="shared" si="69"/>
        <v>21-30 Гб</v>
      </c>
    </row>
    <row r="623" spans="1:22" x14ac:dyDescent="0.25">
      <c r="A623" t="s">
        <v>953</v>
      </c>
      <c r="B623" s="43">
        <v>36409</v>
      </c>
      <c r="C623" t="s">
        <v>50</v>
      </c>
      <c r="D623" t="s">
        <v>51</v>
      </c>
      <c r="E623" t="s">
        <v>52</v>
      </c>
      <c r="F623" t="s">
        <v>63</v>
      </c>
      <c r="G623" s="43">
        <v>44296</v>
      </c>
      <c r="H623">
        <v>5</v>
      </c>
      <c r="I623">
        <v>13348</v>
      </c>
      <c r="J623">
        <v>144000000</v>
      </c>
      <c r="P623" s="77">
        <f t="shared" si="63"/>
        <v>386</v>
      </c>
      <c r="Q623" s="78">
        <f t="shared" si="64"/>
        <v>44.493333333333332</v>
      </c>
      <c r="R623" s="78">
        <f t="shared" si="65"/>
        <v>27.4658203125</v>
      </c>
      <c r="S623" s="78">
        <f t="shared" si="66"/>
        <v>22</v>
      </c>
      <c r="T623" s="78">
        <f t="shared" si="67"/>
        <v>10.381777777777778</v>
      </c>
      <c r="U623" s="78" t="str">
        <f t="shared" si="68"/>
        <v>&lt;35</v>
      </c>
      <c r="V623" s="78" t="str">
        <f t="shared" si="69"/>
        <v>21-30 Гб</v>
      </c>
    </row>
    <row r="624" spans="1:22" x14ac:dyDescent="0.25">
      <c r="A624" t="s">
        <v>1155</v>
      </c>
      <c r="B624" s="43">
        <v>36409</v>
      </c>
      <c r="C624" t="s">
        <v>50</v>
      </c>
      <c r="D624" t="s">
        <v>51</v>
      </c>
      <c r="E624" t="s">
        <v>52</v>
      </c>
      <c r="F624" t="s">
        <v>69</v>
      </c>
      <c r="G624" s="43">
        <v>43571</v>
      </c>
      <c r="H624">
        <v>5</v>
      </c>
      <c r="I624">
        <v>820</v>
      </c>
      <c r="J624">
        <v>8000000</v>
      </c>
      <c r="K624">
        <v>1</v>
      </c>
      <c r="N624">
        <v>1</v>
      </c>
      <c r="P624" s="77">
        <f t="shared" si="63"/>
        <v>1111</v>
      </c>
      <c r="Q624" s="78">
        <f t="shared" si="64"/>
        <v>2.7333333333333334</v>
      </c>
      <c r="R624" s="78">
        <f t="shared" si="65"/>
        <v>1.52587890625</v>
      </c>
      <c r="S624" s="78">
        <f t="shared" si="66"/>
        <v>22</v>
      </c>
      <c r="T624" s="78">
        <f t="shared" si="67"/>
        <v>0.63777777777777778</v>
      </c>
      <c r="U624" s="78" t="str">
        <f t="shared" si="68"/>
        <v>&lt;35</v>
      </c>
      <c r="V624" s="78" t="str">
        <f t="shared" si="69"/>
        <v>&lt;10 Гб</v>
      </c>
    </row>
    <row r="625" spans="1:22" x14ac:dyDescent="0.25">
      <c r="A625" t="s">
        <v>568</v>
      </c>
      <c r="B625" s="43">
        <v>36407</v>
      </c>
      <c r="C625" t="s">
        <v>50</v>
      </c>
      <c r="D625" t="s">
        <v>51</v>
      </c>
      <c r="E625" t="s">
        <v>52</v>
      </c>
      <c r="F625" t="s">
        <v>57</v>
      </c>
      <c r="G625" s="43">
        <v>44131</v>
      </c>
      <c r="H625">
        <v>5</v>
      </c>
      <c r="I625">
        <v>71696</v>
      </c>
      <c r="J625">
        <v>108000000</v>
      </c>
      <c r="L625">
        <v>1</v>
      </c>
      <c r="P625" s="77">
        <f t="shared" si="63"/>
        <v>551</v>
      </c>
      <c r="Q625" s="78">
        <f t="shared" si="64"/>
        <v>238.98666666666668</v>
      </c>
      <c r="R625" s="78">
        <f t="shared" si="65"/>
        <v>20.599365234375</v>
      </c>
      <c r="S625" s="78">
        <f t="shared" si="66"/>
        <v>22</v>
      </c>
      <c r="T625" s="78">
        <f t="shared" si="67"/>
        <v>55.763555555555556</v>
      </c>
      <c r="U625" s="78" t="str">
        <f t="shared" si="68"/>
        <v>35-60</v>
      </c>
      <c r="V625" s="78" t="str">
        <f t="shared" si="69"/>
        <v>21-30 Гб</v>
      </c>
    </row>
    <row r="626" spans="1:22" x14ac:dyDescent="0.25">
      <c r="A626" t="s">
        <v>269</v>
      </c>
      <c r="B626" s="43">
        <v>36402</v>
      </c>
      <c r="C626" t="s">
        <v>58</v>
      </c>
      <c r="D626" t="s">
        <v>51</v>
      </c>
      <c r="E626" t="s">
        <v>54</v>
      </c>
      <c r="F626" t="s">
        <v>63</v>
      </c>
      <c r="G626" s="43">
        <v>42833</v>
      </c>
      <c r="H626">
        <v>5</v>
      </c>
      <c r="I626">
        <v>30216</v>
      </c>
      <c r="J626">
        <v>152000000</v>
      </c>
      <c r="P626" s="77">
        <f t="shared" si="63"/>
        <v>1849</v>
      </c>
      <c r="Q626" s="78">
        <f t="shared" si="64"/>
        <v>100.72</v>
      </c>
      <c r="R626" s="78">
        <f t="shared" si="65"/>
        <v>28.99169921875</v>
      </c>
      <c r="S626" s="78">
        <f t="shared" si="66"/>
        <v>22</v>
      </c>
      <c r="T626" s="78">
        <f t="shared" si="67"/>
        <v>23.501333333333331</v>
      </c>
      <c r="U626" s="78" t="str">
        <f t="shared" si="68"/>
        <v>&lt;35</v>
      </c>
      <c r="V626" s="78" t="str">
        <f t="shared" si="69"/>
        <v>21-30 Гб</v>
      </c>
    </row>
    <row r="627" spans="1:22" x14ac:dyDescent="0.25">
      <c r="A627" t="s">
        <v>1111</v>
      </c>
      <c r="B627" s="43">
        <v>36394</v>
      </c>
      <c r="C627" t="s">
        <v>50</v>
      </c>
      <c r="D627" t="s">
        <v>51</v>
      </c>
      <c r="E627" t="s">
        <v>54</v>
      </c>
      <c r="F627" t="s">
        <v>69</v>
      </c>
      <c r="G627" s="43">
        <v>44284</v>
      </c>
      <c r="H627">
        <v>5</v>
      </c>
      <c r="I627">
        <v>42068</v>
      </c>
      <c r="J627">
        <v>8000000</v>
      </c>
      <c r="K627">
        <v>1</v>
      </c>
      <c r="L627">
        <v>1</v>
      </c>
      <c r="O627">
        <v>1</v>
      </c>
      <c r="P627" s="77">
        <f t="shared" si="63"/>
        <v>398</v>
      </c>
      <c r="Q627" s="78">
        <f t="shared" si="64"/>
        <v>140.22666666666666</v>
      </c>
      <c r="R627" s="78">
        <f t="shared" si="65"/>
        <v>1.52587890625</v>
      </c>
      <c r="S627" s="78">
        <f t="shared" si="66"/>
        <v>22</v>
      </c>
      <c r="T627" s="78">
        <f t="shared" si="67"/>
        <v>32.719555555555552</v>
      </c>
      <c r="U627" s="78" t="str">
        <f t="shared" si="68"/>
        <v>&lt;35</v>
      </c>
      <c r="V627" s="78" t="str">
        <f t="shared" si="69"/>
        <v>&lt;10 Гб</v>
      </c>
    </row>
    <row r="628" spans="1:22" x14ac:dyDescent="0.25">
      <c r="A628" t="s">
        <v>103</v>
      </c>
      <c r="B628" s="43">
        <v>36385</v>
      </c>
      <c r="C628" t="s">
        <v>50</v>
      </c>
      <c r="D628" t="s">
        <v>51</v>
      </c>
      <c r="E628" t="s">
        <v>52</v>
      </c>
      <c r="F628" t="s">
        <v>57</v>
      </c>
      <c r="G628" s="43">
        <v>44598</v>
      </c>
      <c r="H628">
        <v>2</v>
      </c>
      <c r="I628">
        <v>67200</v>
      </c>
      <c r="J628">
        <v>53200000</v>
      </c>
      <c r="P628" s="77">
        <f t="shared" si="63"/>
        <v>84</v>
      </c>
      <c r="Q628" s="78">
        <f t="shared" si="64"/>
        <v>400</v>
      </c>
      <c r="R628" s="78">
        <f t="shared" si="65"/>
        <v>18.11981201171875</v>
      </c>
      <c r="S628" s="78">
        <f t="shared" si="66"/>
        <v>22</v>
      </c>
      <c r="T628" s="78">
        <f t="shared" si="67"/>
        <v>93.333333333333329</v>
      </c>
      <c r="U628" s="78" t="str">
        <f t="shared" si="68"/>
        <v>91-120</v>
      </c>
      <c r="V628" s="78" t="str">
        <f t="shared" si="69"/>
        <v>10-20 Гб</v>
      </c>
    </row>
    <row r="629" spans="1:22" x14ac:dyDescent="0.25">
      <c r="A629" t="s">
        <v>1182</v>
      </c>
      <c r="B629" s="43">
        <v>36383</v>
      </c>
      <c r="C629" t="s">
        <v>50</v>
      </c>
      <c r="D629" t="s">
        <v>51</v>
      </c>
      <c r="E629" t="s">
        <v>52</v>
      </c>
      <c r="F629" t="s">
        <v>69</v>
      </c>
      <c r="G629" s="43">
        <v>43894</v>
      </c>
      <c r="H629">
        <v>5</v>
      </c>
      <c r="I629">
        <v>18676</v>
      </c>
      <c r="J629">
        <v>4000000</v>
      </c>
      <c r="L629">
        <v>1</v>
      </c>
      <c r="P629" s="77">
        <f t="shared" si="63"/>
        <v>788</v>
      </c>
      <c r="Q629" s="78">
        <f t="shared" si="64"/>
        <v>62.25333333333333</v>
      </c>
      <c r="R629" s="78">
        <f t="shared" si="65"/>
        <v>0.762939453125</v>
      </c>
      <c r="S629" s="78">
        <f t="shared" si="66"/>
        <v>22</v>
      </c>
      <c r="T629" s="78">
        <f t="shared" si="67"/>
        <v>14.525777777777778</v>
      </c>
      <c r="U629" s="78" t="str">
        <f t="shared" si="68"/>
        <v>&lt;35</v>
      </c>
      <c r="V629" s="78" t="str">
        <f t="shared" si="69"/>
        <v>&lt;10 Гб</v>
      </c>
    </row>
    <row r="630" spans="1:22" x14ac:dyDescent="0.25">
      <c r="A630" t="s">
        <v>147</v>
      </c>
      <c r="B630" s="43">
        <v>36382</v>
      </c>
      <c r="C630" t="s">
        <v>58</v>
      </c>
      <c r="D630" t="s">
        <v>51</v>
      </c>
      <c r="E630" t="s">
        <v>54</v>
      </c>
      <c r="F630" t="s">
        <v>63</v>
      </c>
      <c r="G630" s="43">
        <v>44556</v>
      </c>
      <c r="H630">
        <v>4</v>
      </c>
      <c r="I630">
        <v>37800</v>
      </c>
      <c r="J630">
        <v>144000000</v>
      </c>
      <c r="K630">
        <v>1</v>
      </c>
      <c r="P630" s="77">
        <f t="shared" si="63"/>
        <v>126</v>
      </c>
      <c r="Q630" s="78">
        <f t="shared" si="64"/>
        <v>126</v>
      </c>
      <c r="R630" s="78">
        <f t="shared" si="65"/>
        <v>27.4658203125</v>
      </c>
      <c r="S630" s="78">
        <f t="shared" si="66"/>
        <v>22</v>
      </c>
      <c r="T630" s="78">
        <f t="shared" si="67"/>
        <v>29.4</v>
      </c>
      <c r="U630" s="78" t="str">
        <f t="shared" si="68"/>
        <v>&lt;35</v>
      </c>
      <c r="V630" s="78" t="str">
        <f t="shared" si="69"/>
        <v>21-30 Гб</v>
      </c>
    </row>
    <row r="631" spans="1:22" x14ac:dyDescent="0.25">
      <c r="A631" t="s">
        <v>743</v>
      </c>
      <c r="B631" s="43">
        <v>36382</v>
      </c>
      <c r="C631" t="s">
        <v>50</v>
      </c>
      <c r="D631" t="s">
        <v>51</v>
      </c>
      <c r="E631" t="s">
        <v>52</v>
      </c>
      <c r="F631" t="s">
        <v>63</v>
      </c>
      <c r="G631" s="43">
        <v>44216</v>
      </c>
      <c r="H631">
        <v>5</v>
      </c>
      <c r="I631">
        <v>25584</v>
      </c>
      <c r="J631">
        <v>160000000</v>
      </c>
      <c r="K631">
        <v>1</v>
      </c>
      <c r="O631">
        <v>1</v>
      </c>
      <c r="P631" s="77">
        <f t="shared" si="63"/>
        <v>466</v>
      </c>
      <c r="Q631" s="78">
        <f t="shared" si="64"/>
        <v>85.28</v>
      </c>
      <c r="R631" s="78">
        <f t="shared" si="65"/>
        <v>30.517578125</v>
      </c>
      <c r="S631" s="78">
        <f t="shared" si="66"/>
        <v>22</v>
      </c>
      <c r="T631" s="78">
        <f t="shared" si="67"/>
        <v>19.898666666666667</v>
      </c>
      <c r="U631" s="78" t="str">
        <f t="shared" si="68"/>
        <v>&lt;35</v>
      </c>
      <c r="V631" s="78" t="str">
        <f t="shared" si="69"/>
        <v>31-40 Гб</v>
      </c>
    </row>
    <row r="632" spans="1:22" x14ac:dyDescent="0.25">
      <c r="A632" t="s">
        <v>589</v>
      </c>
      <c r="B632" s="43">
        <v>36377</v>
      </c>
      <c r="C632" t="s">
        <v>58</v>
      </c>
      <c r="D632" t="s">
        <v>51</v>
      </c>
      <c r="E632" t="s">
        <v>54</v>
      </c>
      <c r="F632" t="s">
        <v>57</v>
      </c>
      <c r="G632" s="43">
        <v>43232</v>
      </c>
      <c r="H632">
        <v>5</v>
      </c>
      <c r="I632">
        <v>50104</v>
      </c>
      <c r="J632">
        <v>96000000</v>
      </c>
      <c r="P632" s="77">
        <f t="shared" si="63"/>
        <v>1450</v>
      </c>
      <c r="Q632" s="78">
        <f t="shared" si="64"/>
        <v>167.01333333333332</v>
      </c>
      <c r="R632" s="78">
        <f t="shared" si="65"/>
        <v>18.310546875</v>
      </c>
      <c r="S632" s="78">
        <f t="shared" si="66"/>
        <v>22</v>
      </c>
      <c r="T632" s="78">
        <f t="shared" si="67"/>
        <v>38.969777777777772</v>
      </c>
      <c r="U632" s="78" t="str">
        <f t="shared" si="68"/>
        <v>35-60</v>
      </c>
      <c r="V632" s="78" t="str">
        <f t="shared" si="69"/>
        <v>10-20 Гб</v>
      </c>
    </row>
    <row r="633" spans="1:22" x14ac:dyDescent="0.25">
      <c r="A633" t="s">
        <v>785</v>
      </c>
      <c r="B633" s="43">
        <v>36376</v>
      </c>
      <c r="C633" t="s">
        <v>50</v>
      </c>
      <c r="D633" t="s">
        <v>51</v>
      </c>
      <c r="E633" t="s">
        <v>52</v>
      </c>
      <c r="F633" t="s">
        <v>63</v>
      </c>
      <c r="G633" s="43">
        <v>42976</v>
      </c>
      <c r="H633">
        <v>5</v>
      </c>
      <c r="I633">
        <v>1484</v>
      </c>
      <c r="J633">
        <v>152000000</v>
      </c>
      <c r="P633" s="77">
        <f t="shared" si="63"/>
        <v>1706</v>
      </c>
      <c r="Q633" s="78">
        <f t="shared" si="64"/>
        <v>4.9466666666666663</v>
      </c>
      <c r="R633" s="78">
        <f t="shared" si="65"/>
        <v>28.99169921875</v>
      </c>
      <c r="S633" s="78">
        <f t="shared" si="66"/>
        <v>22</v>
      </c>
      <c r="T633" s="78">
        <f t="shared" si="67"/>
        <v>1.1542222222222223</v>
      </c>
      <c r="U633" s="78" t="str">
        <f t="shared" si="68"/>
        <v>&lt;35</v>
      </c>
      <c r="V633" s="78" t="str">
        <f t="shared" si="69"/>
        <v>21-30 Гб</v>
      </c>
    </row>
    <row r="634" spans="1:22" x14ac:dyDescent="0.25">
      <c r="A634" t="s">
        <v>1037</v>
      </c>
      <c r="B634" s="43">
        <v>36374</v>
      </c>
      <c r="C634" t="s">
        <v>58</v>
      </c>
      <c r="D634" t="s">
        <v>51</v>
      </c>
      <c r="E634" t="s">
        <v>54</v>
      </c>
      <c r="F634" t="s">
        <v>63</v>
      </c>
      <c r="G634" s="43">
        <v>43677</v>
      </c>
      <c r="H634">
        <v>5</v>
      </c>
      <c r="I634">
        <v>25420</v>
      </c>
      <c r="J634">
        <v>144000000</v>
      </c>
      <c r="L634">
        <v>1</v>
      </c>
      <c r="M634">
        <v>1</v>
      </c>
      <c r="P634" s="77">
        <f t="shared" si="63"/>
        <v>1005</v>
      </c>
      <c r="Q634" s="78">
        <f t="shared" si="64"/>
        <v>84.733333333333334</v>
      </c>
      <c r="R634" s="78">
        <f t="shared" si="65"/>
        <v>27.4658203125</v>
      </c>
      <c r="S634" s="78">
        <f t="shared" si="66"/>
        <v>22</v>
      </c>
      <c r="T634" s="78">
        <f t="shared" si="67"/>
        <v>19.771111111111111</v>
      </c>
      <c r="U634" s="78" t="str">
        <f t="shared" si="68"/>
        <v>&lt;35</v>
      </c>
      <c r="V634" s="78" t="str">
        <f t="shared" si="69"/>
        <v>21-30 Гб</v>
      </c>
    </row>
    <row r="635" spans="1:22" x14ac:dyDescent="0.25">
      <c r="A635" t="s">
        <v>949</v>
      </c>
      <c r="B635" s="43">
        <v>36373</v>
      </c>
      <c r="C635" t="s">
        <v>50</v>
      </c>
      <c r="D635" t="s">
        <v>51</v>
      </c>
      <c r="E635" t="s">
        <v>54</v>
      </c>
      <c r="F635" t="s">
        <v>63</v>
      </c>
      <c r="G635" s="43">
        <v>43865</v>
      </c>
      <c r="H635">
        <v>5</v>
      </c>
      <c r="I635">
        <v>24000</v>
      </c>
      <c r="J635">
        <v>152000000</v>
      </c>
      <c r="P635" s="77">
        <f t="shared" si="63"/>
        <v>817</v>
      </c>
      <c r="Q635" s="78">
        <f t="shared" si="64"/>
        <v>80</v>
      </c>
      <c r="R635" s="78">
        <f t="shared" si="65"/>
        <v>28.99169921875</v>
      </c>
      <c r="S635" s="78">
        <f t="shared" si="66"/>
        <v>22</v>
      </c>
      <c r="T635" s="78">
        <f t="shared" si="67"/>
        <v>18.666666666666668</v>
      </c>
      <c r="U635" s="78" t="str">
        <f t="shared" si="68"/>
        <v>&lt;35</v>
      </c>
      <c r="V635" s="78" t="str">
        <f t="shared" si="69"/>
        <v>21-30 Гб</v>
      </c>
    </row>
    <row r="636" spans="1:22" x14ac:dyDescent="0.25">
      <c r="A636" t="s">
        <v>776</v>
      </c>
      <c r="B636" s="43">
        <v>36372</v>
      </c>
      <c r="C636" t="s">
        <v>50</v>
      </c>
      <c r="D636" t="s">
        <v>51</v>
      </c>
      <c r="E636" t="s">
        <v>52</v>
      </c>
      <c r="F636" t="s">
        <v>63</v>
      </c>
      <c r="G636" s="43">
        <v>42738</v>
      </c>
      <c r="H636">
        <v>5</v>
      </c>
      <c r="I636">
        <v>18256</v>
      </c>
      <c r="J636">
        <v>152000000</v>
      </c>
      <c r="P636" s="77">
        <f t="shared" si="63"/>
        <v>1944</v>
      </c>
      <c r="Q636" s="78">
        <f t="shared" si="64"/>
        <v>60.853333333333332</v>
      </c>
      <c r="R636" s="78">
        <f t="shared" si="65"/>
        <v>28.99169921875</v>
      </c>
      <c r="S636" s="78">
        <f t="shared" si="66"/>
        <v>22</v>
      </c>
      <c r="T636" s="78">
        <f t="shared" si="67"/>
        <v>14.19911111111111</v>
      </c>
      <c r="U636" s="78" t="str">
        <f t="shared" si="68"/>
        <v>&lt;35</v>
      </c>
      <c r="V636" s="78" t="str">
        <f t="shared" si="69"/>
        <v>21-30 Гб</v>
      </c>
    </row>
    <row r="637" spans="1:22" x14ac:dyDescent="0.25">
      <c r="A637" t="s">
        <v>99</v>
      </c>
      <c r="B637" s="43">
        <v>36371</v>
      </c>
      <c r="C637" t="s">
        <v>50</v>
      </c>
      <c r="D637" t="s">
        <v>51</v>
      </c>
      <c r="E637" t="s">
        <v>54</v>
      </c>
      <c r="F637" t="s">
        <v>56</v>
      </c>
      <c r="G637" s="43">
        <v>44602</v>
      </c>
      <c r="H637">
        <v>2</v>
      </c>
      <c r="I637">
        <v>9812</v>
      </c>
      <c r="J637">
        <v>90666667</v>
      </c>
      <c r="L637">
        <v>1</v>
      </c>
      <c r="P637" s="77">
        <f t="shared" si="63"/>
        <v>80</v>
      </c>
      <c r="Q637" s="78">
        <f t="shared" si="64"/>
        <v>61.325000000000003</v>
      </c>
      <c r="R637" s="78">
        <f t="shared" si="65"/>
        <v>32.42492687702179</v>
      </c>
      <c r="S637" s="78">
        <f t="shared" si="66"/>
        <v>22</v>
      </c>
      <c r="T637" s="78">
        <f t="shared" si="67"/>
        <v>14.309166666666668</v>
      </c>
      <c r="U637" s="78" t="str">
        <f t="shared" si="68"/>
        <v>&lt;35</v>
      </c>
      <c r="V637" s="78" t="str">
        <f t="shared" si="69"/>
        <v>31-40 Гб</v>
      </c>
    </row>
    <row r="638" spans="1:22" x14ac:dyDescent="0.25">
      <c r="A638" t="s">
        <v>171</v>
      </c>
      <c r="B638" s="43">
        <v>36370</v>
      </c>
      <c r="C638" t="s">
        <v>50</v>
      </c>
      <c r="D638" t="s">
        <v>51</v>
      </c>
      <c r="E638" t="s">
        <v>54</v>
      </c>
      <c r="F638" t="s">
        <v>53</v>
      </c>
      <c r="G638" s="43">
        <v>43809</v>
      </c>
      <c r="H638">
        <v>5</v>
      </c>
      <c r="I638">
        <v>153720</v>
      </c>
      <c r="J638">
        <v>152000000</v>
      </c>
      <c r="P638" s="77">
        <f t="shared" si="63"/>
        <v>873</v>
      </c>
      <c r="Q638" s="78">
        <f t="shared" si="64"/>
        <v>512.4</v>
      </c>
      <c r="R638" s="78">
        <f t="shared" si="65"/>
        <v>28.99169921875</v>
      </c>
      <c r="S638" s="78">
        <f t="shared" si="66"/>
        <v>22</v>
      </c>
      <c r="T638" s="78">
        <f t="shared" si="67"/>
        <v>119.55999999999999</v>
      </c>
      <c r="U638" s="78" t="str">
        <f t="shared" si="68"/>
        <v>91-120</v>
      </c>
      <c r="V638" s="78" t="str">
        <f t="shared" si="69"/>
        <v>21-30 Гб</v>
      </c>
    </row>
    <row r="639" spans="1:22" x14ac:dyDescent="0.25">
      <c r="A639" t="s">
        <v>968</v>
      </c>
      <c r="B639" s="43">
        <v>36370</v>
      </c>
      <c r="C639" t="s">
        <v>50</v>
      </c>
      <c r="D639" t="s">
        <v>51</v>
      </c>
      <c r="E639" t="s">
        <v>52</v>
      </c>
      <c r="F639" t="s">
        <v>63</v>
      </c>
      <c r="G639" s="43">
        <v>42741</v>
      </c>
      <c r="H639">
        <v>5</v>
      </c>
      <c r="I639">
        <v>32732</v>
      </c>
      <c r="J639">
        <v>152000000</v>
      </c>
      <c r="K639">
        <v>1</v>
      </c>
      <c r="O639">
        <v>1</v>
      </c>
      <c r="P639" s="77">
        <f t="shared" si="63"/>
        <v>1941</v>
      </c>
      <c r="Q639" s="78">
        <f t="shared" si="64"/>
        <v>109.10666666666667</v>
      </c>
      <c r="R639" s="78">
        <f t="shared" si="65"/>
        <v>28.99169921875</v>
      </c>
      <c r="S639" s="78">
        <f t="shared" si="66"/>
        <v>22</v>
      </c>
      <c r="T639" s="78">
        <f t="shared" si="67"/>
        <v>25.458222222222222</v>
      </c>
      <c r="U639" s="78" t="str">
        <f t="shared" si="68"/>
        <v>&lt;35</v>
      </c>
      <c r="V639" s="78" t="str">
        <f t="shared" si="69"/>
        <v>21-30 Гб</v>
      </c>
    </row>
    <row r="640" spans="1:22" x14ac:dyDescent="0.25">
      <c r="A640" t="s">
        <v>603</v>
      </c>
      <c r="B640" s="43">
        <v>36368</v>
      </c>
      <c r="C640" t="s">
        <v>58</v>
      </c>
      <c r="D640" t="s">
        <v>51</v>
      </c>
      <c r="E640" t="s">
        <v>52</v>
      </c>
      <c r="F640" t="s">
        <v>57</v>
      </c>
      <c r="G640" s="43">
        <v>43622</v>
      </c>
      <c r="H640">
        <v>5</v>
      </c>
      <c r="I640">
        <v>60700</v>
      </c>
      <c r="J640">
        <v>84000000</v>
      </c>
      <c r="P640" s="77">
        <f t="shared" ref="P640:P703" si="70">DATEDIF(G640,$C$2,"D")</f>
        <v>1060</v>
      </c>
      <c r="Q640" s="78">
        <f t="shared" ref="Q640:Q703" si="71">IF(P640&lt;DATEDIF($C$3,$C$2,"D"),I640/(60*(P640/30)),I640/(60*5))</f>
        <v>202.33333333333334</v>
      </c>
      <c r="R640" s="78">
        <f t="shared" ref="R640:R703" si="72">IF(P640&lt;DATEDIF($C$3,$C$2,"D"),J640/(1048576*(P640/30)),J640/(1048576*5))</f>
        <v>16.021728515625</v>
      </c>
      <c r="S640" s="78">
        <f t="shared" ref="S640:S703" si="73">DATEDIF(B640,$C$2,"Y")</f>
        <v>22</v>
      </c>
      <c r="T640" s="78">
        <f t="shared" si="67"/>
        <v>47.211111111111116</v>
      </c>
      <c r="U640" s="78" t="str">
        <f t="shared" si="68"/>
        <v>35-60</v>
      </c>
      <c r="V640" s="78" t="str">
        <f t="shared" si="69"/>
        <v>10-20 Гб</v>
      </c>
    </row>
    <row r="641" spans="1:22" x14ac:dyDescent="0.25">
      <c r="A641" t="s">
        <v>703</v>
      </c>
      <c r="B641" s="43">
        <v>36366</v>
      </c>
      <c r="C641" t="s">
        <v>58</v>
      </c>
      <c r="D641" t="s">
        <v>51</v>
      </c>
      <c r="E641" t="s">
        <v>54</v>
      </c>
      <c r="F641" t="s">
        <v>63</v>
      </c>
      <c r="G641" s="43">
        <v>44493</v>
      </c>
      <c r="H641">
        <v>5</v>
      </c>
      <c r="I641">
        <v>15708</v>
      </c>
      <c r="J641">
        <v>144000000</v>
      </c>
      <c r="L641">
        <v>1</v>
      </c>
      <c r="P641" s="77">
        <f t="shared" si="70"/>
        <v>189</v>
      </c>
      <c r="Q641" s="78">
        <f t="shared" si="71"/>
        <v>52.36</v>
      </c>
      <c r="R641" s="78">
        <f t="shared" si="72"/>
        <v>27.4658203125</v>
      </c>
      <c r="S641" s="78">
        <f t="shared" si="73"/>
        <v>22</v>
      </c>
      <c r="T641" s="78">
        <f t="shared" si="67"/>
        <v>12.217333333333332</v>
      </c>
      <c r="U641" s="78" t="str">
        <f t="shared" si="68"/>
        <v>&lt;35</v>
      </c>
      <c r="V641" s="78" t="str">
        <f t="shared" si="69"/>
        <v>21-30 Гб</v>
      </c>
    </row>
    <row r="642" spans="1:22" x14ac:dyDescent="0.25">
      <c r="A642" t="s">
        <v>764</v>
      </c>
      <c r="B642" s="43">
        <v>36364</v>
      </c>
      <c r="C642" t="s">
        <v>58</v>
      </c>
      <c r="D642" t="s">
        <v>51</v>
      </c>
      <c r="E642" t="s">
        <v>52</v>
      </c>
      <c r="F642" t="s">
        <v>63</v>
      </c>
      <c r="G642" s="43">
        <v>43717</v>
      </c>
      <c r="H642">
        <v>5</v>
      </c>
      <c r="I642">
        <v>21100</v>
      </c>
      <c r="J642">
        <v>140000000</v>
      </c>
      <c r="P642" s="77">
        <f t="shared" si="70"/>
        <v>965</v>
      </c>
      <c r="Q642" s="78">
        <f t="shared" si="71"/>
        <v>70.333333333333329</v>
      </c>
      <c r="R642" s="78">
        <f t="shared" si="72"/>
        <v>26.702880859375</v>
      </c>
      <c r="S642" s="78">
        <f t="shared" si="73"/>
        <v>22</v>
      </c>
      <c r="T642" s="78">
        <f t="shared" si="67"/>
        <v>16.411111111111111</v>
      </c>
      <c r="U642" s="78" t="str">
        <f t="shared" si="68"/>
        <v>&lt;35</v>
      </c>
      <c r="V642" s="78" t="str">
        <f t="shared" si="69"/>
        <v>21-30 Гб</v>
      </c>
    </row>
    <row r="643" spans="1:22" x14ac:dyDescent="0.25">
      <c r="A643" t="s">
        <v>78</v>
      </c>
      <c r="B643" s="43">
        <v>36362</v>
      </c>
      <c r="C643" t="s">
        <v>50</v>
      </c>
      <c r="D643" t="s">
        <v>51</v>
      </c>
      <c r="E643" t="s">
        <v>52</v>
      </c>
      <c r="F643" t="s">
        <v>56</v>
      </c>
      <c r="G643" s="43">
        <v>44645</v>
      </c>
      <c r="H643">
        <v>1</v>
      </c>
      <c r="I643">
        <v>29597</v>
      </c>
      <c r="J643">
        <v>43166667</v>
      </c>
      <c r="K643">
        <v>1</v>
      </c>
      <c r="O643">
        <v>1</v>
      </c>
      <c r="P643" s="77">
        <f t="shared" si="70"/>
        <v>37</v>
      </c>
      <c r="Q643" s="78">
        <f t="shared" si="71"/>
        <v>399.95945945945948</v>
      </c>
      <c r="R643" s="78">
        <f t="shared" si="72"/>
        <v>33.378601331968561</v>
      </c>
      <c r="S643" s="78">
        <f t="shared" si="73"/>
        <v>22</v>
      </c>
      <c r="T643" s="78">
        <f t="shared" si="67"/>
        <v>93.323873873873879</v>
      </c>
      <c r="U643" s="78" t="str">
        <f t="shared" si="68"/>
        <v>91-120</v>
      </c>
      <c r="V643" s="78" t="str">
        <f t="shared" si="69"/>
        <v>31-40 Гб</v>
      </c>
    </row>
    <row r="644" spans="1:22" x14ac:dyDescent="0.25">
      <c r="A644" t="s">
        <v>563</v>
      </c>
      <c r="B644" s="43">
        <v>36361</v>
      </c>
      <c r="C644" t="s">
        <v>58</v>
      </c>
      <c r="D644" t="s">
        <v>51</v>
      </c>
      <c r="E644" t="s">
        <v>52</v>
      </c>
      <c r="F644" t="s">
        <v>57</v>
      </c>
      <c r="G644" s="43">
        <v>43416</v>
      </c>
      <c r="H644">
        <v>5</v>
      </c>
      <c r="I644">
        <v>78496</v>
      </c>
      <c r="J644">
        <v>16000000</v>
      </c>
      <c r="P644" s="77">
        <f t="shared" si="70"/>
        <v>1266</v>
      </c>
      <c r="Q644" s="78">
        <f t="shared" si="71"/>
        <v>261.65333333333331</v>
      </c>
      <c r="R644" s="78">
        <f t="shared" si="72"/>
        <v>3.0517578125</v>
      </c>
      <c r="S644" s="78">
        <f t="shared" si="73"/>
        <v>22</v>
      </c>
      <c r="T644" s="78">
        <f t="shared" si="67"/>
        <v>61.05244444444444</v>
      </c>
      <c r="U644" s="78" t="str">
        <f t="shared" si="68"/>
        <v>61-90</v>
      </c>
      <c r="V644" s="78" t="str">
        <f t="shared" si="69"/>
        <v>&lt;10 Гб</v>
      </c>
    </row>
    <row r="645" spans="1:22" x14ac:dyDescent="0.25">
      <c r="A645" t="s">
        <v>1053</v>
      </c>
      <c r="B645" s="43">
        <v>36359</v>
      </c>
      <c r="C645" t="s">
        <v>58</v>
      </c>
      <c r="D645" t="s">
        <v>51</v>
      </c>
      <c r="E645" t="s">
        <v>52</v>
      </c>
      <c r="F645" t="s">
        <v>63</v>
      </c>
      <c r="G645" s="43">
        <v>43476</v>
      </c>
      <c r="H645">
        <v>5</v>
      </c>
      <c r="I645">
        <v>26720</v>
      </c>
      <c r="J645">
        <v>12000000</v>
      </c>
      <c r="P645" s="77">
        <f t="shared" si="70"/>
        <v>1206</v>
      </c>
      <c r="Q645" s="78">
        <f t="shared" si="71"/>
        <v>89.066666666666663</v>
      </c>
      <c r="R645" s="78">
        <f t="shared" si="72"/>
        <v>2.288818359375</v>
      </c>
      <c r="S645" s="78">
        <f t="shared" si="73"/>
        <v>22</v>
      </c>
      <c r="T645" s="78">
        <f t="shared" si="67"/>
        <v>20.782222222222224</v>
      </c>
      <c r="U645" s="78" t="str">
        <f t="shared" si="68"/>
        <v>&lt;35</v>
      </c>
      <c r="V645" s="78" t="str">
        <f t="shared" si="69"/>
        <v>&lt;10 Гб</v>
      </c>
    </row>
    <row r="646" spans="1:22" x14ac:dyDescent="0.25">
      <c r="A646" t="s">
        <v>486</v>
      </c>
      <c r="B646" s="43">
        <v>36352</v>
      </c>
      <c r="C646" t="s">
        <v>50</v>
      </c>
      <c r="D646" t="s">
        <v>51</v>
      </c>
      <c r="E646" t="s">
        <v>52</v>
      </c>
      <c r="F646" t="s">
        <v>57</v>
      </c>
      <c r="G646" s="43">
        <v>43401</v>
      </c>
      <c r="H646">
        <v>5</v>
      </c>
      <c r="I646">
        <v>66632</v>
      </c>
      <c r="J646">
        <v>96000000</v>
      </c>
      <c r="P646" s="77">
        <f t="shared" si="70"/>
        <v>1281</v>
      </c>
      <c r="Q646" s="78">
        <f t="shared" si="71"/>
        <v>222.10666666666665</v>
      </c>
      <c r="R646" s="78">
        <f t="shared" si="72"/>
        <v>18.310546875</v>
      </c>
      <c r="S646" s="78">
        <f t="shared" si="73"/>
        <v>22</v>
      </c>
      <c r="T646" s="78">
        <f t="shared" si="67"/>
        <v>51.824888888888886</v>
      </c>
      <c r="U646" s="78" t="str">
        <f t="shared" si="68"/>
        <v>35-60</v>
      </c>
      <c r="V646" s="78" t="str">
        <f t="shared" si="69"/>
        <v>10-20 Гб</v>
      </c>
    </row>
    <row r="647" spans="1:22" x14ac:dyDescent="0.25">
      <c r="A647" t="s">
        <v>746</v>
      </c>
      <c r="B647" s="43">
        <v>36352</v>
      </c>
      <c r="C647" t="s">
        <v>58</v>
      </c>
      <c r="D647" t="s">
        <v>51</v>
      </c>
      <c r="E647" t="s">
        <v>52</v>
      </c>
      <c r="F647" t="s">
        <v>63</v>
      </c>
      <c r="G647" s="43">
        <v>43486</v>
      </c>
      <c r="H647">
        <v>5</v>
      </c>
      <c r="I647">
        <v>23864</v>
      </c>
      <c r="J647">
        <v>156000000</v>
      </c>
      <c r="K647">
        <v>1</v>
      </c>
      <c r="P647" s="77">
        <f t="shared" si="70"/>
        <v>1196</v>
      </c>
      <c r="Q647" s="78">
        <f t="shared" si="71"/>
        <v>79.546666666666667</v>
      </c>
      <c r="R647" s="78">
        <f t="shared" si="72"/>
        <v>29.754638671875</v>
      </c>
      <c r="S647" s="78">
        <f t="shared" si="73"/>
        <v>22</v>
      </c>
      <c r="T647" s="78">
        <f t="shared" ref="T647:T710" si="74">(Q647*7)/30</f>
        <v>18.56088888888889</v>
      </c>
      <c r="U647" s="78" t="str">
        <f t="shared" ref="U647:U710" si="75">IF(T647&gt;120,"120+",IF(T647&gt;90,"91-120",IF(T647&gt;60,"61-90",IF(T647&gt;35,"35-60","&lt;35"))))</f>
        <v>&lt;35</v>
      </c>
      <c r="V647" s="78" t="str">
        <f t="shared" ref="V647:V710" si="76">IF(R647&gt;40,"40+ Гб",IF(R647&gt;30,"31-40 Гб",IF(R647&gt;20,"21-30 Гб",IF(R647&gt;10,"10-20 Гб","&lt;10 Гб"))))</f>
        <v>21-30 Гб</v>
      </c>
    </row>
    <row r="648" spans="1:22" x14ac:dyDescent="0.25">
      <c r="A648" t="s">
        <v>610</v>
      </c>
      <c r="B648" s="43">
        <v>36350</v>
      </c>
      <c r="C648" t="s">
        <v>50</v>
      </c>
      <c r="D648" t="s">
        <v>51</v>
      </c>
      <c r="E648" t="s">
        <v>54</v>
      </c>
      <c r="F648" t="s">
        <v>57</v>
      </c>
      <c r="G648" s="43">
        <v>43768</v>
      </c>
      <c r="H648">
        <v>5</v>
      </c>
      <c r="I648">
        <v>35636</v>
      </c>
      <c r="J648">
        <v>96000000</v>
      </c>
      <c r="P648" s="77">
        <f t="shared" si="70"/>
        <v>914</v>
      </c>
      <c r="Q648" s="78">
        <f t="shared" si="71"/>
        <v>118.78666666666666</v>
      </c>
      <c r="R648" s="78">
        <f t="shared" si="72"/>
        <v>18.310546875</v>
      </c>
      <c r="S648" s="78">
        <f t="shared" si="73"/>
        <v>22</v>
      </c>
      <c r="T648" s="78">
        <f t="shared" si="74"/>
        <v>27.716888888888889</v>
      </c>
      <c r="U648" s="78" t="str">
        <f t="shared" si="75"/>
        <v>&lt;35</v>
      </c>
      <c r="V648" s="78" t="str">
        <f t="shared" si="76"/>
        <v>10-20 Гб</v>
      </c>
    </row>
    <row r="649" spans="1:22" x14ac:dyDescent="0.25">
      <c r="A649" t="s">
        <v>164</v>
      </c>
      <c r="B649" s="43">
        <v>36346</v>
      </c>
      <c r="C649" t="s">
        <v>50</v>
      </c>
      <c r="D649" t="s">
        <v>51</v>
      </c>
      <c r="E649" t="s">
        <v>52</v>
      </c>
      <c r="F649" t="s">
        <v>53</v>
      </c>
      <c r="G649" s="43">
        <v>44082</v>
      </c>
      <c r="H649">
        <v>5</v>
      </c>
      <c r="I649">
        <v>136228</v>
      </c>
      <c r="J649">
        <v>168000000</v>
      </c>
      <c r="P649" s="77">
        <f t="shared" si="70"/>
        <v>600</v>
      </c>
      <c r="Q649" s="78">
        <f t="shared" si="71"/>
        <v>454.09333333333331</v>
      </c>
      <c r="R649" s="78">
        <f t="shared" si="72"/>
        <v>32.04345703125</v>
      </c>
      <c r="S649" s="78">
        <f t="shared" si="73"/>
        <v>22</v>
      </c>
      <c r="T649" s="78">
        <f t="shared" si="74"/>
        <v>105.95511111111111</v>
      </c>
      <c r="U649" s="78" t="str">
        <f t="shared" si="75"/>
        <v>91-120</v>
      </c>
      <c r="V649" s="78" t="str">
        <f t="shared" si="76"/>
        <v>31-40 Гб</v>
      </c>
    </row>
    <row r="650" spans="1:22" x14ac:dyDescent="0.25">
      <c r="A650" t="s">
        <v>649</v>
      </c>
      <c r="B650" s="43">
        <v>36339</v>
      </c>
      <c r="C650" t="s">
        <v>58</v>
      </c>
      <c r="D650" t="s">
        <v>51</v>
      </c>
      <c r="E650" t="s">
        <v>52</v>
      </c>
      <c r="F650" t="s">
        <v>57</v>
      </c>
      <c r="G650" s="43">
        <v>42989</v>
      </c>
      <c r="H650">
        <v>5</v>
      </c>
      <c r="I650">
        <v>26596</v>
      </c>
      <c r="J650">
        <v>80000000</v>
      </c>
      <c r="P650" s="77">
        <f t="shared" si="70"/>
        <v>1693</v>
      </c>
      <c r="Q650" s="78">
        <f t="shared" si="71"/>
        <v>88.653333333333336</v>
      </c>
      <c r="R650" s="78">
        <f t="shared" si="72"/>
        <v>15.2587890625</v>
      </c>
      <c r="S650" s="78">
        <f t="shared" si="73"/>
        <v>22</v>
      </c>
      <c r="T650" s="78">
        <f t="shared" si="74"/>
        <v>20.68577777777778</v>
      </c>
      <c r="U650" s="78" t="str">
        <f t="shared" si="75"/>
        <v>&lt;35</v>
      </c>
      <c r="V650" s="78" t="str">
        <f t="shared" si="76"/>
        <v>10-20 Гб</v>
      </c>
    </row>
    <row r="651" spans="1:22" x14ac:dyDescent="0.25">
      <c r="A651" t="s">
        <v>1162</v>
      </c>
      <c r="B651" s="43">
        <v>36337</v>
      </c>
      <c r="C651" t="s">
        <v>58</v>
      </c>
      <c r="D651" t="s">
        <v>51</v>
      </c>
      <c r="E651" t="s">
        <v>52</v>
      </c>
      <c r="F651" t="s">
        <v>69</v>
      </c>
      <c r="G651" s="43">
        <v>43262</v>
      </c>
      <c r="H651">
        <v>5</v>
      </c>
      <c r="I651">
        <v>27044</v>
      </c>
      <c r="J651">
        <v>16000000</v>
      </c>
      <c r="L651">
        <v>1</v>
      </c>
      <c r="P651" s="77">
        <f t="shared" si="70"/>
        <v>1420</v>
      </c>
      <c r="Q651" s="78">
        <f t="shared" si="71"/>
        <v>90.146666666666661</v>
      </c>
      <c r="R651" s="78">
        <f t="shared" si="72"/>
        <v>3.0517578125</v>
      </c>
      <c r="S651" s="78">
        <f t="shared" si="73"/>
        <v>22</v>
      </c>
      <c r="T651" s="78">
        <f t="shared" si="74"/>
        <v>21.034222222222223</v>
      </c>
      <c r="U651" s="78" t="str">
        <f t="shared" si="75"/>
        <v>&lt;35</v>
      </c>
      <c r="V651" s="78" t="str">
        <f t="shared" si="76"/>
        <v>&lt;10 Гб</v>
      </c>
    </row>
    <row r="652" spans="1:22" x14ac:dyDescent="0.25">
      <c r="A652" t="s">
        <v>445</v>
      </c>
      <c r="B652" s="43">
        <v>36330</v>
      </c>
      <c r="C652" t="s">
        <v>58</v>
      </c>
      <c r="D652" t="s">
        <v>51</v>
      </c>
      <c r="E652" t="s">
        <v>52</v>
      </c>
      <c r="F652" t="s">
        <v>57</v>
      </c>
      <c r="G652" s="43">
        <v>44530</v>
      </c>
      <c r="H652">
        <v>5</v>
      </c>
      <c r="I652">
        <v>13896</v>
      </c>
      <c r="J652">
        <v>84000000</v>
      </c>
      <c r="N652">
        <v>1</v>
      </c>
      <c r="P652" s="77">
        <f t="shared" si="70"/>
        <v>152</v>
      </c>
      <c r="Q652" s="78">
        <f t="shared" si="71"/>
        <v>46.32</v>
      </c>
      <c r="R652" s="78">
        <f t="shared" si="72"/>
        <v>16.021728515625</v>
      </c>
      <c r="S652" s="78">
        <f t="shared" si="73"/>
        <v>22</v>
      </c>
      <c r="T652" s="78">
        <f t="shared" si="74"/>
        <v>10.808</v>
      </c>
      <c r="U652" s="78" t="str">
        <f t="shared" si="75"/>
        <v>&lt;35</v>
      </c>
      <c r="V652" s="78" t="str">
        <f t="shared" si="76"/>
        <v>10-20 Гб</v>
      </c>
    </row>
    <row r="653" spans="1:22" x14ac:dyDescent="0.25">
      <c r="A653" t="s">
        <v>907</v>
      </c>
      <c r="B653" s="43">
        <v>36330</v>
      </c>
      <c r="C653" t="s">
        <v>50</v>
      </c>
      <c r="D653" t="s">
        <v>51</v>
      </c>
      <c r="E653" t="s">
        <v>54</v>
      </c>
      <c r="F653" t="s">
        <v>63</v>
      </c>
      <c r="G653" s="43">
        <v>42780</v>
      </c>
      <c r="H653">
        <v>5</v>
      </c>
      <c r="I653">
        <v>29188</v>
      </c>
      <c r="J653">
        <v>8000000</v>
      </c>
      <c r="K653">
        <v>1</v>
      </c>
      <c r="O653">
        <v>1</v>
      </c>
      <c r="P653" s="77">
        <f t="shared" si="70"/>
        <v>1902</v>
      </c>
      <c r="Q653" s="78">
        <f t="shared" si="71"/>
        <v>97.293333333333337</v>
      </c>
      <c r="R653" s="78">
        <f t="shared" si="72"/>
        <v>1.52587890625</v>
      </c>
      <c r="S653" s="78">
        <f t="shared" si="73"/>
        <v>22</v>
      </c>
      <c r="T653" s="78">
        <f t="shared" si="74"/>
        <v>22.701777777777782</v>
      </c>
      <c r="U653" s="78" t="str">
        <f t="shared" si="75"/>
        <v>&lt;35</v>
      </c>
      <c r="V653" s="78" t="str">
        <f t="shared" si="76"/>
        <v>&lt;10 Гб</v>
      </c>
    </row>
    <row r="654" spans="1:22" x14ac:dyDescent="0.25">
      <c r="A654" t="s">
        <v>1195</v>
      </c>
      <c r="B654" s="43">
        <v>36320</v>
      </c>
      <c r="C654" t="s">
        <v>58</v>
      </c>
      <c r="D654" t="s">
        <v>51</v>
      </c>
      <c r="E654" t="s">
        <v>52</v>
      </c>
      <c r="F654" t="s">
        <v>69</v>
      </c>
      <c r="G654" s="43">
        <v>43708</v>
      </c>
      <c r="H654">
        <v>5</v>
      </c>
      <c r="I654">
        <v>25948</v>
      </c>
      <c r="J654">
        <v>12000000</v>
      </c>
      <c r="P654" s="77">
        <f t="shared" si="70"/>
        <v>974</v>
      </c>
      <c r="Q654" s="78">
        <f t="shared" si="71"/>
        <v>86.493333333333339</v>
      </c>
      <c r="R654" s="78">
        <f t="shared" si="72"/>
        <v>2.288818359375</v>
      </c>
      <c r="S654" s="78">
        <f t="shared" si="73"/>
        <v>22</v>
      </c>
      <c r="T654" s="78">
        <f t="shared" si="74"/>
        <v>20.181777777777778</v>
      </c>
      <c r="U654" s="78" t="str">
        <f t="shared" si="75"/>
        <v>&lt;35</v>
      </c>
      <c r="V654" s="78" t="str">
        <f t="shared" si="76"/>
        <v>&lt;10 Гб</v>
      </c>
    </row>
    <row r="655" spans="1:22" x14ac:dyDescent="0.25">
      <c r="A655" t="s">
        <v>659</v>
      </c>
      <c r="B655" s="43">
        <v>36319</v>
      </c>
      <c r="C655" t="s">
        <v>50</v>
      </c>
      <c r="D655" t="s">
        <v>51</v>
      </c>
      <c r="E655" t="s">
        <v>52</v>
      </c>
      <c r="F655" t="s">
        <v>57</v>
      </c>
      <c r="G655" s="43">
        <v>44226</v>
      </c>
      <c r="H655">
        <v>5</v>
      </c>
      <c r="I655">
        <v>43816</v>
      </c>
      <c r="J655">
        <v>28000000</v>
      </c>
      <c r="P655" s="77">
        <f t="shared" si="70"/>
        <v>456</v>
      </c>
      <c r="Q655" s="78">
        <f t="shared" si="71"/>
        <v>146.05333333333334</v>
      </c>
      <c r="R655" s="78">
        <f t="shared" si="72"/>
        <v>5.340576171875</v>
      </c>
      <c r="S655" s="78">
        <f t="shared" si="73"/>
        <v>22</v>
      </c>
      <c r="T655" s="78">
        <f t="shared" si="74"/>
        <v>34.079111111111118</v>
      </c>
      <c r="U655" s="78" t="str">
        <f t="shared" si="75"/>
        <v>&lt;35</v>
      </c>
      <c r="V655" s="78" t="str">
        <f t="shared" si="76"/>
        <v>&lt;10 Гб</v>
      </c>
    </row>
    <row r="656" spans="1:22" x14ac:dyDescent="0.25">
      <c r="A656" t="s">
        <v>140</v>
      </c>
      <c r="B656" s="43">
        <v>36317</v>
      </c>
      <c r="C656" t="s">
        <v>50</v>
      </c>
      <c r="D656" t="s">
        <v>51</v>
      </c>
      <c r="E656" t="s">
        <v>52</v>
      </c>
      <c r="F656" t="s">
        <v>63</v>
      </c>
      <c r="G656" s="43">
        <v>44537</v>
      </c>
      <c r="H656">
        <v>4</v>
      </c>
      <c r="I656">
        <v>43500</v>
      </c>
      <c r="J656">
        <v>4000000</v>
      </c>
      <c r="P656" s="77">
        <f t="shared" si="70"/>
        <v>145</v>
      </c>
      <c r="Q656" s="78">
        <f t="shared" si="71"/>
        <v>145</v>
      </c>
      <c r="R656" s="78">
        <f t="shared" si="72"/>
        <v>0.762939453125</v>
      </c>
      <c r="S656" s="78">
        <f t="shared" si="73"/>
        <v>22</v>
      </c>
      <c r="T656" s="78">
        <f t="shared" si="74"/>
        <v>33.833333333333336</v>
      </c>
      <c r="U656" s="78" t="str">
        <f t="shared" si="75"/>
        <v>&lt;35</v>
      </c>
      <c r="V656" s="78" t="str">
        <f t="shared" si="76"/>
        <v>&lt;10 Гб</v>
      </c>
    </row>
    <row r="657" spans="1:22" x14ac:dyDescent="0.25">
      <c r="A657" t="s">
        <v>108</v>
      </c>
      <c r="B657" s="43">
        <v>36316</v>
      </c>
      <c r="C657" t="s">
        <v>58</v>
      </c>
      <c r="D657" t="s">
        <v>51</v>
      </c>
      <c r="E657" t="s">
        <v>52</v>
      </c>
      <c r="F657" t="s">
        <v>63</v>
      </c>
      <c r="G657" s="43">
        <v>44614</v>
      </c>
      <c r="H657">
        <v>2</v>
      </c>
      <c r="I657">
        <v>20400</v>
      </c>
      <c r="J657">
        <v>83866667</v>
      </c>
      <c r="P657" s="77">
        <f t="shared" si="70"/>
        <v>68</v>
      </c>
      <c r="Q657" s="78">
        <f t="shared" si="71"/>
        <v>150</v>
      </c>
      <c r="R657" s="78">
        <f t="shared" si="72"/>
        <v>35.285949847277472</v>
      </c>
      <c r="S657" s="78">
        <f t="shared" si="73"/>
        <v>22</v>
      </c>
      <c r="T657" s="78">
        <f t="shared" si="74"/>
        <v>35</v>
      </c>
      <c r="U657" s="78" t="str">
        <f t="shared" si="75"/>
        <v>&lt;35</v>
      </c>
      <c r="V657" s="78" t="str">
        <f t="shared" si="76"/>
        <v>31-40 Гб</v>
      </c>
    </row>
    <row r="658" spans="1:22" x14ac:dyDescent="0.25">
      <c r="A658" t="s">
        <v>240</v>
      </c>
      <c r="B658" s="43">
        <v>36314</v>
      </c>
      <c r="C658" t="s">
        <v>50</v>
      </c>
      <c r="D658" t="s">
        <v>51</v>
      </c>
      <c r="E658" t="s">
        <v>54</v>
      </c>
      <c r="F658" t="s">
        <v>56</v>
      </c>
      <c r="G658" s="43">
        <v>44056</v>
      </c>
      <c r="H658">
        <v>5</v>
      </c>
      <c r="I658">
        <v>106212</v>
      </c>
      <c r="J658">
        <v>92000000</v>
      </c>
      <c r="K658">
        <v>1</v>
      </c>
      <c r="P658" s="77">
        <f t="shared" si="70"/>
        <v>626</v>
      </c>
      <c r="Q658" s="78">
        <f t="shared" si="71"/>
        <v>354.04</v>
      </c>
      <c r="R658" s="78">
        <f t="shared" si="72"/>
        <v>17.547607421875</v>
      </c>
      <c r="S658" s="78">
        <f t="shared" si="73"/>
        <v>22</v>
      </c>
      <c r="T658" s="78">
        <f t="shared" si="74"/>
        <v>82.609333333333339</v>
      </c>
      <c r="U658" s="78" t="str">
        <f t="shared" si="75"/>
        <v>61-90</v>
      </c>
      <c r="V658" s="78" t="str">
        <f t="shared" si="76"/>
        <v>10-20 Гб</v>
      </c>
    </row>
    <row r="659" spans="1:22" x14ac:dyDescent="0.25">
      <c r="A659" t="s">
        <v>706</v>
      </c>
      <c r="B659" s="43">
        <v>36313</v>
      </c>
      <c r="C659" t="s">
        <v>50</v>
      </c>
      <c r="D659" t="s">
        <v>51</v>
      </c>
      <c r="E659" t="s">
        <v>54</v>
      </c>
      <c r="F659" t="s">
        <v>63</v>
      </c>
      <c r="G659" s="43">
        <v>43770</v>
      </c>
      <c r="H659">
        <v>5</v>
      </c>
      <c r="I659">
        <v>7976</v>
      </c>
      <c r="J659">
        <v>156000000</v>
      </c>
      <c r="L659">
        <v>1</v>
      </c>
      <c r="N659">
        <v>1</v>
      </c>
      <c r="P659" s="77">
        <f t="shared" si="70"/>
        <v>912</v>
      </c>
      <c r="Q659" s="78">
        <f t="shared" si="71"/>
        <v>26.586666666666666</v>
      </c>
      <c r="R659" s="78">
        <f t="shared" si="72"/>
        <v>29.754638671875</v>
      </c>
      <c r="S659" s="78">
        <f t="shared" si="73"/>
        <v>22</v>
      </c>
      <c r="T659" s="78">
        <f t="shared" si="74"/>
        <v>6.203555555555555</v>
      </c>
      <c r="U659" s="78" t="str">
        <f t="shared" si="75"/>
        <v>&lt;35</v>
      </c>
      <c r="V659" s="78" t="str">
        <f t="shared" si="76"/>
        <v>21-30 Гб</v>
      </c>
    </row>
    <row r="660" spans="1:22" x14ac:dyDescent="0.25">
      <c r="A660" t="s">
        <v>1015</v>
      </c>
      <c r="B660" s="43">
        <v>36313</v>
      </c>
      <c r="C660" t="s">
        <v>50</v>
      </c>
      <c r="D660" t="s">
        <v>51</v>
      </c>
      <c r="E660" t="s">
        <v>54</v>
      </c>
      <c r="F660" t="s">
        <v>63</v>
      </c>
      <c r="G660" s="43">
        <v>44459</v>
      </c>
      <c r="H660">
        <v>5</v>
      </c>
      <c r="I660">
        <v>20816</v>
      </c>
      <c r="J660">
        <v>128000000</v>
      </c>
      <c r="P660" s="77">
        <f t="shared" si="70"/>
        <v>223</v>
      </c>
      <c r="Q660" s="78">
        <f t="shared" si="71"/>
        <v>69.38666666666667</v>
      </c>
      <c r="R660" s="78">
        <f t="shared" si="72"/>
        <v>24.4140625</v>
      </c>
      <c r="S660" s="78">
        <f t="shared" si="73"/>
        <v>22</v>
      </c>
      <c r="T660" s="78">
        <f t="shared" si="74"/>
        <v>16.190222222222225</v>
      </c>
      <c r="U660" s="78" t="str">
        <f t="shared" si="75"/>
        <v>&lt;35</v>
      </c>
      <c r="V660" s="78" t="str">
        <f t="shared" si="76"/>
        <v>21-30 Гб</v>
      </c>
    </row>
    <row r="661" spans="1:22" x14ac:dyDescent="0.25">
      <c r="A661" t="s">
        <v>844</v>
      </c>
      <c r="B661" s="43">
        <v>36310</v>
      </c>
      <c r="C661" t="s">
        <v>50</v>
      </c>
      <c r="D661" t="s">
        <v>51</v>
      </c>
      <c r="E661" t="s">
        <v>52</v>
      </c>
      <c r="F661" t="s">
        <v>63</v>
      </c>
      <c r="G661" s="43">
        <v>44346</v>
      </c>
      <c r="H661">
        <v>5</v>
      </c>
      <c r="I661">
        <v>21696</v>
      </c>
      <c r="J661">
        <v>124000000</v>
      </c>
      <c r="P661" s="77">
        <f t="shared" si="70"/>
        <v>336</v>
      </c>
      <c r="Q661" s="78">
        <f t="shared" si="71"/>
        <v>72.319999999999993</v>
      </c>
      <c r="R661" s="78">
        <f t="shared" si="72"/>
        <v>23.651123046875</v>
      </c>
      <c r="S661" s="78">
        <f t="shared" si="73"/>
        <v>22</v>
      </c>
      <c r="T661" s="78">
        <f t="shared" si="74"/>
        <v>16.874666666666666</v>
      </c>
      <c r="U661" s="78" t="str">
        <f t="shared" si="75"/>
        <v>&lt;35</v>
      </c>
      <c r="V661" s="78" t="str">
        <f t="shared" si="76"/>
        <v>21-30 Гб</v>
      </c>
    </row>
    <row r="662" spans="1:22" x14ac:dyDescent="0.25">
      <c r="A662" t="s">
        <v>869</v>
      </c>
      <c r="B662" s="43">
        <v>36304</v>
      </c>
      <c r="C662" t="s">
        <v>50</v>
      </c>
      <c r="D662" t="s">
        <v>51</v>
      </c>
      <c r="E662" t="s">
        <v>52</v>
      </c>
      <c r="F662" t="s">
        <v>63</v>
      </c>
      <c r="G662" s="43">
        <v>43949</v>
      </c>
      <c r="H662">
        <v>5</v>
      </c>
      <c r="I662">
        <v>35496</v>
      </c>
      <c r="J662">
        <v>148000000</v>
      </c>
      <c r="K662">
        <v>1</v>
      </c>
      <c r="L662">
        <v>1</v>
      </c>
      <c r="O662">
        <v>1</v>
      </c>
      <c r="P662" s="77">
        <f t="shared" si="70"/>
        <v>733</v>
      </c>
      <c r="Q662" s="78">
        <f t="shared" si="71"/>
        <v>118.32</v>
      </c>
      <c r="R662" s="78">
        <f t="shared" si="72"/>
        <v>28.228759765625</v>
      </c>
      <c r="S662" s="78">
        <f t="shared" si="73"/>
        <v>22</v>
      </c>
      <c r="T662" s="78">
        <f t="shared" si="74"/>
        <v>27.608000000000001</v>
      </c>
      <c r="U662" s="78" t="str">
        <f t="shared" si="75"/>
        <v>&lt;35</v>
      </c>
      <c r="V662" s="78" t="str">
        <f t="shared" si="76"/>
        <v>21-30 Гб</v>
      </c>
    </row>
    <row r="663" spans="1:22" x14ac:dyDescent="0.25">
      <c r="A663" t="s">
        <v>683</v>
      </c>
      <c r="B663" s="43">
        <v>36293</v>
      </c>
      <c r="C663" t="s">
        <v>58</v>
      </c>
      <c r="D663" t="s">
        <v>51</v>
      </c>
      <c r="E663" t="s">
        <v>52</v>
      </c>
      <c r="F663" t="s">
        <v>63</v>
      </c>
      <c r="G663" s="43">
        <v>44526</v>
      </c>
      <c r="H663">
        <v>5</v>
      </c>
      <c r="I663">
        <v>22996</v>
      </c>
      <c r="J663">
        <v>148000000</v>
      </c>
      <c r="K663">
        <v>1</v>
      </c>
      <c r="L663">
        <v>1</v>
      </c>
      <c r="O663">
        <v>1</v>
      </c>
      <c r="P663" s="77">
        <f t="shared" si="70"/>
        <v>156</v>
      </c>
      <c r="Q663" s="78">
        <f t="shared" si="71"/>
        <v>76.653333333333336</v>
      </c>
      <c r="R663" s="78">
        <f t="shared" si="72"/>
        <v>28.228759765625</v>
      </c>
      <c r="S663" s="78">
        <f t="shared" si="73"/>
        <v>22</v>
      </c>
      <c r="T663" s="78">
        <f t="shared" si="74"/>
        <v>17.885777777777779</v>
      </c>
      <c r="U663" s="78" t="str">
        <f t="shared" si="75"/>
        <v>&lt;35</v>
      </c>
      <c r="V663" s="78" t="str">
        <f t="shared" si="76"/>
        <v>21-30 Гб</v>
      </c>
    </row>
    <row r="664" spans="1:22" x14ac:dyDescent="0.25">
      <c r="A664" t="s">
        <v>335</v>
      </c>
      <c r="B664" s="43">
        <v>36288</v>
      </c>
      <c r="C664" t="s">
        <v>50</v>
      </c>
      <c r="D664" t="s">
        <v>51</v>
      </c>
      <c r="E664" t="s">
        <v>52</v>
      </c>
      <c r="F664" t="s">
        <v>63</v>
      </c>
      <c r="G664" s="43">
        <v>44010</v>
      </c>
      <c r="H664">
        <v>5</v>
      </c>
      <c r="I664">
        <v>21400</v>
      </c>
      <c r="J664">
        <v>136000000</v>
      </c>
      <c r="P664" s="77">
        <f t="shared" si="70"/>
        <v>672</v>
      </c>
      <c r="Q664" s="78">
        <f t="shared" si="71"/>
        <v>71.333333333333329</v>
      </c>
      <c r="R664" s="78">
        <f t="shared" si="72"/>
        <v>25.93994140625</v>
      </c>
      <c r="S664" s="78">
        <f t="shared" si="73"/>
        <v>22</v>
      </c>
      <c r="T664" s="78">
        <f t="shared" si="74"/>
        <v>16.644444444444442</v>
      </c>
      <c r="U664" s="78" t="str">
        <f t="shared" si="75"/>
        <v>&lt;35</v>
      </c>
      <c r="V664" s="78" t="str">
        <f t="shared" si="76"/>
        <v>21-30 Гб</v>
      </c>
    </row>
    <row r="665" spans="1:22" x14ac:dyDescent="0.25">
      <c r="A665" t="s">
        <v>572</v>
      </c>
      <c r="B665" s="43">
        <v>36288</v>
      </c>
      <c r="C665" t="s">
        <v>58</v>
      </c>
      <c r="D665" t="s">
        <v>51</v>
      </c>
      <c r="E665" t="s">
        <v>52</v>
      </c>
      <c r="F665" t="s">
        <v>57</v>
      </c>
      <c r="G665" s="43">
        <v>43150</v>
      </c>
      <c r="H665">
        <v>5</v>
      </c>
      <c r="I665">
        <v>34760</v>
      </c>
      <c r="J665">
        <v>32000000</v>
      </c>
      <c r="N665">
        <v>1</v>
      </c>
      <c r="P665" s="77">
        <f t="shared" si="70"/>
        <v>1532</v>
      </c>
      <c r="Q665" s="78">
        <f t="shared" si="71"/>
        <v>115.86666666666666</v>
      </c>
      <c r="R665" s="78">
        <f t="shared" si="72"/>
        <v>6.103515625</v>
      </c>
      <c r="S665" s="78">
        <f t="shared" si="73"/>
        <v>22</v>
      </c>
      <c r="T665" s="78">
        <f t="shared" si="74"/>
        <v>27.035555555555554</v>
      </c>
      <c r="U665" s="78" t="str">
        <f t="shared" si="75"/>
        <v>&lt;35</v>
      </c>
      <c r="V665" s="78" t="str">
        <f t="shared" si="76"/>
        <v>&lt;10 Гб</v>
      </c>
    </row>
    <row r="666" spans="1:22" x14ac:dyDescent="0.25">
      <c r="A666" t="s">
        <v>243</v>
      </c>
      <c r="B666" s="43">
        <v>36286</v>
      </c>
      <c r="C666" t="s">
        <v>50</v>
      </c>
      <c r="D666" t="s">
        <v>51</v>
      </c>
      <c r="E666" t="s">
        <v>52</v>
      </c>
      <c r="F666" t="s">
        <v>56</v>
      </c>
      <c r="G666" s="43">
        <v>43238</v>
      </c>
      <c r="H666">
        <v>5</v>
      </c>
      <c r="I666">
        <v>106952</v>
      </c>
      <c r="J666">
        <v>68000000</v>
      </c>
      <c r="P666" s="77">
        <f t="shared" si="70"/>
        <v>1444</v>
      </c>
      <c r="Q666" s="78">
        <f t="shared" si="71"/>
        <v>356.50666666666666</v>
      </c>
      <c r="R666" s="78">
        <f t="shared" si="72"/>
        <v>12.969970703125</v>
      </c>
      <c r="S666" s="78">
        <f t="shared" si="73"/>
        <v>22</v>
      </c>
      <c r="T666" s="78">
        <f t="shared" si="74"/>
        <v>83.184888888888892</v>
      </c>
      <c r="U666" s="78" t="str">
        <f t="shared" si="75"/>
        <v>61-90</v>
      </c>
      <c r="V666" s="78" t="str">
        <f t="shared" si="76"/>
        <v>10-20 Гб</v>
      </c>
    </row>
    <row r="667" spans="1:22" x14ac:dyDescent="0.25">
      <c r="A667" t="s">
        <v>729</v>
      </c>
      <c r="B667" s="43">
        <v>36285</v>
      </c>
      <c r="C667" t="s">
        <v>50</v>
      </c>
      <c r="D667" t="s">
        <v>51</v>
      </c>
      <c r="E667" t="s">
        <v>52</v>
      </c>
      <c r="F667" t="s">
        <v>63</v>
      </c>
      <c r="G667" s="43">
        <v>44250</v>
      </c>
      <c r="H667">
        <v>5</v>
      </c>
      <c r="I667">
        <v>9348</v>
      </c>
      <c r="J667">
        <v>140000000</v>
      </c>
      <c r="O667">
        <v>1</v>
      </c>
      <c r="P667" s="77">
        <f t="shared" si="70"/>
        <v>432</v>
      </c>
      <c r="Q667" s="78">
        <f t="shared" si="71"/>
        <v>31.16</v>
      </c>
      <c r="R667" s="78">
        <f t="shared" si="72"/>
        <v>26.702880859375</v>
      </c>
      <c r="S667" s="78">
        <f t="shared" si="73"/>
        <v>22</v>
      </c>
      <c r="T667" s="78">
        <f t="shared" si="74"/>
        <v>7.2706666666666671</v>
      </c>
      <c r="U667" s="78" t="str">
        <f t="shared" si="75"/>
        <v>&lt;35</v>
      </c>
      <c r="V667" s="78" t="str">
        <f t="shared" si="76"/>
        <v>21-30 Гб</v>
      </c>
    </row>
    <row r="668" spans="1:22" x14ac:dyDescent="0.25">
      <c r="A668" t="s">
        <v>956</v>
      </c>
      <c r="B668" s="43">
        <v>36280</v>
      </c>
      <c r="C668" t="s">
        <v>58</v>
      </c>
      <c r="D668" t="s">
        <v>51</v>
      </c>
      <c r="E668" t="s">
        <v>52</v>
      </c>
      <c r="F668" t="s">
        <v>63</v>
      </c>
      <c r="G668" s="43">
        <v>42836</v>
      </c>
      <c r="H668">
        <v>5</v>
      </c>
      <c r="I668">
        <v>7696</v>
      </c>
      <c r="J668">
        <v>148000000</v>
      </c>
      <c r="K668">
        <v>1</v>
      </c>
      <c r="L668">
        <v>1</v>
      </c>
      <c r="P668" s="77">
        <f t="shared" si="70"/>
        <v>1846</v>
      </c>
      <c r="Q668" s="78">
        <f t="shared" si="71"/>
        <v>25.653333333333332</v>
      </c>
      <c r="R668" s="78">
        <f t="shared" si="72"/>
        <v>28.228759765625</v>
      </c>
      <c r="S668" s="78">
        <f t="shared" si="73"/>
        <v>23</v>
      </c>
      <c r="T668" s="78">
        <f t="shared" si="74"/>
        <v>5.9857777777777779</v>
      </c>
      <c r="U668" s="78" t="str">
        <f t="shared" si="75"/>
        <v>&lt;35</v>
      </c>
      <c r="V668" s="78" t="str">
        <f t="shared" si="76"/>
        <v>21-30 Гб</v>
      </c>
    </row>
    <row r="669" spans="1:22" x14ac:dyDescent="0.25">
      <c r="A669" t="s">
        <v>187</v>
      </c>
      <c r="B669" s="43">
        <v>36278</v>
      </c>
      <c r="C669" t="s">
        <v>58</v>
      </c>
      <c r="D669" t="s">
        <v>51</v>
      </c>
      <c r="E669" t="s">
        <v>52</v>
      </c>
      <c r="F669" t="s">
        <v>53</v>
      </c>
      <c r="G669" s="43">
        <v>43253</v>
      </c>
      <c r="H669">
        <v>5</v>
      </c>
      <c r="I669">
        <v>43776</v>
      </c>
      <c r="J669">
        <v>168000000</v>
      </c>
      <c r="N669">
        <v>1</v>
      </c>
      <c r="P669" s="77">
        <f t="shared" si="70"/>
        <v>1429</v>
      </c>
      <c r="Q669" s="78">
        <f t="shared" si="71"/>
        <v>145.91999999999999</v>
      </c>
      <c r="R669" s="78">
        <f t="shared" si="72"/>
        <v>32.04345703125</v>
      </c>
      <c r="S669" s="78">
        <f t="shared" si="73"/>
        <v>23</v>
      </c>
      <c r="T669" s="78">
        <f t="shared" si="74"/>
        <v>34.047999999999995</v>
      </c>
      <c r="U669" s="78" t="str">
        <f t="shared" si="75"/>
        <v>&lt;35</v>
      </c>
      <c r="V669" s="78" t="str">
        <f t="shared" si="76"/>
        <v>31-40 Гб</v>
      </c>
    </row>
    <row r="670" spans="1:22" x14ac:dyDescent="0.25">
      <c r="A670" t="s">
        <v>1157</v>
      </c>
      <c r="B670" s="43">
        <v>36278</v>
      </c>
      <c r="C670" t="s">
        <v>50</v>
      </c>
      <c r="D670" t="s">
        <v>51</v>
      </c>
      <c r="E670" t="s">
        <v>54</v>
      </c>
      <c r="F670" t="s">
        <v>69</v>
      </c>
      <c r="G670" s="43">
        <v>43922</v>
      </c>
      <c r="H670">
        <v>5</v>
      </c>
      <c r="I670">
        <v>46504</v>
      </c>
      <c r="J670">
        <v>4000000</v>
      </c>
      <c r="P670" s="77">
        <f t="shared" si="70"/>
        <v>760</v>
      </c>
      <c r="Q670" s="78">
        <f t="shared" si="71"/>
        <v>155.01333333333332</v>
      </c>
      <c r="R670" s="78">
        <f t="shared" si="72"/>
        <v>0.762939453125</v>
      </c>
      <c r="S670" s="78">
        <f t="shared" si="73"/>
        <v>23</v>
      </c>
      <c r="T670" s="78">
        <f t="shared" si="74"/>
        <v>36.169777777777774</v>
      </c>
      <c r="U670" s="78" t="str">
        <f t="shared" si="75"/>
        <v>35-60</v>
      </c>
      <c r="V670" s="78" t="str">
        <f t="shared" si="76"/>
        <v>&lt;10 Гб</v>
      </c>
    </row>
    <row r="671" spans="1:22" x14ac:dyDescent="0.25">
      <c r="A671" t="s">
        <v>692</v>
      </c>
      <c r="B671" s="43">
        <v>36277</v>
      </c>
      <c r="C671" t="s">
        <v>50</v>
      </c>
      <c r="D671" t="s">
        <v>51</v>
      </c>
      <c r="E671" t="s">
        <v>52</v>
      </c>
      <c r="F671" t="s">
        <v>63</v>
      </c>
      <c r="G671" s="43">
        <v>43473</v>
      </c>
      <c r="H671">
        <v>5</v>
      </c>
      <c r="I671">
        <v>18096</v>
      </c>
      <c r="J671">
        <v>152000000</v>
      </c>
      <c r="K671">
        <v>1</v>
      </c>
      <c r="L671">
        <v>1</v>
      </c>
      <c r="O671">
        <v>1</v>
      </c>
      <c r="P671" s="77">
        <f t="shared" si="70"/>
        <v>1209</v>
      </c>
      <c r="Q671" s="78">
        <f t="shared" si="71"/>
        <v>60.32</v>
      </c>
      <c r="R671" s="78">
        <f t="shared" si="72"/>
        <v>28.99169921875</v>
      </c>
      <c r="S671" s="78">
        <f t="shared" si="73"/>
        <v>23</v>
      </c>
      <c r="T671" s="78">
        <f t="shared" si="74"/>
        <v>14.074666666666667</v>
      </c>
      <c r="U671" s="78" t="str">
        <f t="shared" si="75"/>
        <v>&lt;35</v>
      </c>
      <c r="V671" s="78" t="str">
        <f t="shared" si="76"/>
        <v>21-30 Гб</v>
      </c>
    </row>
    <row r="672" spans="1:22" x14ac:dyDescent="0.25">
      <c r="A672" t="s">
        <v>880</v>
      </c>
      <c r="B672" s="43">
        <v>36273</v>
      </c>
      <c r="C672" t="s">
        <v>58</v>
      </c>
      <c r="D672" t="s">
        <v>51</v>
      </c>
      <c r="E672" t="s">
        <v>54</v>
      </c>
      <c r="F672" t="s">
        <v>63</v>
      </c>
      <c r="G672" s="43">
        <v>44106</v>
      </c>
      <c r="H672">
        <v>5</v>
      </c>
      <c r="I672">
        <v>28320</v>
      </c>
      <c r="J672">
        <v>104000000</v>
      </c>
      <c r="P672" s="77">
        <f t="shared" si="70"/>
        <v>576</v>
      </c>
      <c r="Q672" s="78">
        <f t="shared" si="71"/>
        <v>94.4</v>
      </c>
      <c r="R672" s="78">
        <f t="shared" si="72"/>
        <v>19.83642578125</v>
      </c>
      <c r="S672" s="78">
        <f t="shared" si="73"/>
        <v>23</v>
      </c>
      <c r="T672" s="78">
        <f t="shared" si="74"/>
        <v>22.026666666666667</v>
      </c>
      <c r="U672" s="78" t="str">
        <f t="shared" si="75"/>
        <v>&lt;35</v>
      </c>
      <c r="V672" s="78" t="str">
        <f t="shared" si="76"/>
        <v>10-20 Гб</v>
      </c>
    </row>
    <row r="673" spans="1:22" x14ac:dyDescent="0.25">
      <c r="A673" t="s">
        <v>451</v>
      </c>
      <c r="B673" s="43">
        <v>36272</v>
      </c>
      <c r="C673" t="s">
        <v>58</v>
      </c>
      <c r="D673" t="s">
        <v>51</v>
      </c>
      <c r="E673" t="s">
        <v>54</v>
      </c>
      <c r="F673" t="s">
        <v>57</v>
      </c>
      <c r="G673" s="43">
        <v>42771</v>
      </c>
      <c r="H673">
        <v>5</v>
      </c>
      <c r="I673">
        <v>62924</v>
      </c>
      <c r="J673">
        <v>96000000</v>
      </c>
      <c r="K673">
        <v>1</v>
      </c>
      <c r="L673">
        <v>1</v>
      </c>
      <c r="P673" s="77">
        <f t="shared" si="70"/>
        <v>1911</v>
      </c>
      <c r="Q673" s="78">
        <f t="shared" si="71"/>
        <v>209.74666666666667</v>
      </c>
      <c r="R673" s="78">
        <f t="shared" si="72"/>
        <v>18.310546875</v>
      </c>
      <c r="S673" s="78">
        <f t="shared" si="73"/>
        <v>23</v>
      </c>
      <c r="T673" s="78">
        <f t="shared" si="74"/>
        <v>48.940888888888892</v>
      </c>
      <c r="U673" s="78" t="str">
        <f t="shared" si="75"/>
        <v>35-60</v>
      </c>
      <c r="V673" s="78" t="str">
        <f t="shared" si="76"/>
        <v>10-20 Гб</v>
      </c>
    </row>
    <row r="674" spans="1:22" x14ac:dyDescent="0.25">
      <c r="A674" t="s">
        <v>166</v>
      </c>
      <c r="B674" s="43">
        <v>36270</v>
      </c>
      <c r="C674" t="s">
        <v>50</v>
      </c>
      <c r="D674" t="s">
        <v>51</v>
      </c>
      <c r="E674" t="s">
        <v>52</v>
      </c>
      <c r="F674" t="s">
        <v>53</v>
      </c>
      <c r="G674" s="43">
        <v>43545</v>
      </c>
      <c r="H674">
        <v>5</v>
      </c>
      <c r="I674">
        <v>127080</v>
      </c>
      <c r="J674">
        <v>64000000</v>
      </c>
      <c r="P674" s="77">
        <f t="shared" si="70"/>
        <v>1137</v>
      </c>
      <c r="Q674" s="78">
        <f t="shared" si="71"/>
        <v>423.6</v>
      </c>
      <c r="R674" s="78">
        <f t="shared" si="72"/>
        <v>12.20703125</v>
      </c>
      <c r="S674" s="78">
        <f t="shared" si="73"/>
        <v>23</v>
      </c>
      <c r="T674" s="78">
        <f t="shared" si="74"/>
        <v>98.84</v>
      </c>
      <c r="U674" s="78" t="str">
        <f t="shared" si="75"/>
        <v>91-120</v>
      </c>
      <c r="V674" s="78" t="str">
        <f t="shared" si="76"/>
        <v>10-20 Гб</v>
      </c>
    </row>
    <row r="675" spans="1:22" x14ac:dyDescent="0.25">
      <c r="A675" t="s">
        <v>790</v>
      </c>
      <c r="B675" s="43">
        <v>36269</v>
      </c>
      <c r="C675" t="s">
        <v>50</v>
      </c>
      <c r="D675" t="s">
        <v>51</v>
      </c>
      <c r="E675" t="s">
        <v>54</v>
      </c>
      <c r="F675" t="s">
        <v>57</v>
      </c>
      <c r="G675" s="43">
        <v>42746</v>
      </c>
      <c r="H675">
        <v>5</v>
      </c>
      <c r="I675">
        <v>55264</v>
      </c>
      <c r="J675">
        <v>44000000</v>
      </c>
      <c r="P675" s="77">
        <f t="shared" si="70"/>
        <v>1936</v>
      </c>
      <c r="Q675" s="78">
        <f t="shared" si="71"/>
        <v>184.21333333333334</v>
      </c>
      <c r="R675" s="78">
        <f t="shared" si="72"/>
        <v>8.392333984375</v>
      </c>
      <c r="S675" s="78">
        <f t="shared" si="73"/>
        <v>23</v>
      </c>
      <c r="T675" s="78">
        <f t="shared" si="74"/>
        <v>42.983111111111114</v>
      </c>
      <c r="U675" s="78" t="str">
        <f t="shared" si="75"/>
        <v>35-60</v>
      </c>
      <c r="V675" s="78" t="str">
        <f t="shared" si="76"/>
        <v>&lt;10 Гб</v>
      </c>
    </row>
    <row r="676" spans="1:22" x14ac:dyDescent="0.25">
      <c r="A676" t="s">
        <v>196</v>
      </c>
      <c r="B676" s="43">
        <v>36268</v>
      </c>
      <c r="C676" t="s">
        <v>50</v>
      </c>
      <c r="D676" t="s">
        <v>51</v>
      </c>
      <c r="E676" t="s">
        <v>52</v>
      </c>
      <c r="F676" t="s">
        <v>53</v>
      </c>
      <c r="G676" s="43">
        <v>44079</v>
      </c>
      <c r="H676">
        <v>5</v>
      </c>
      <c r="I676">
        <v>133052</v>
      </c>
      <c r="J676">
        <v>172000000</v>
      </c>
      <c r="P676" s="77">
        <f t="shared" si="70"/>
        <v>603</v>
      </c>
      <c r="Q676" s="78">
        <f t="shared" si="71"/>
        <v>443.50666666666666</v>
      </c>
      <c r="R676" s="78">
        <f t="shared" si="72"/>
        <v>32.806396484375</v>
      </c>
      <c r="S676" s="78">
        <f t="shared" si="73"/>
        <v>23</v>
      </c>
      <c r="T676" s="78">
        <f t="shared" si="74"/>
        <v>103.48488888888889</v>
      </c>
      <c r="U676" s="78" t="str">
        <f t="shared" si="75"/>
        <v>91-120</v>
      </c>
      <c r="V676" s="78" t="str">
        <f t="shared" si="76"/>
        <v>31-40 Гб</v>
      </c>
    </row>
    <row r="677" spans="1:22" x14ac:dyDescent="0.25">
      <c r="A677" t="s">
        <v>415</v>
      </c>
      <c r="B677" s="43">
        <v>36266</v>
      </c>
      <c r="C677" t="s">
        <v>50</v>
      </c>
      <c r="D677" t="s">
        <v>51</v>
      </c>
      <c r="E677" t="s">
        <v>54</v>
      </c>
      <c r="F677" t="s">
        <v>56</v>
      </c>
      <c r="G677" s="43">
        <v>43355</v>
      </c>
      <c r="H677">
        <v>5</v>
      </c>
      <c r="I677">
        <v>104700</v>
      </c>
      <c r="J677">
        <v>8000000</v>
      </c>
      <c r="P677" s="77">
        <f t="shared" si="70"/>
        <v>1327</v>
      </c>
      <c r="Q677" s="78">
        <f t="shared" si="71"/>
        <v>349</v>
      </c>
      <c r="R677" s="78">
        <f t="shared" si="72"/>
        <v>1.52587890625</v>
      </c>
      <c r="S677" s="78">
        <f t="shared" si="73"/>
        <v>23</v>
      </c>
      <c r="T677" s="78">
        <f t="shared" si="74"/>
        <v>81.433333333333337</v>
      </c>
      <c r="U677" s="78" t="str">
        <f t="shared" si="75"/>
        <v>61-90</v>
      </c>
      <c r="V677" s="78" t="str">
        <f t="shared" si="76"/>
        <v>&lt;10 Гб</v>
      </c>
    </row>
    <row r="678" spans="1:22" x14ac:dyDescent="0.25">
      <c r="A678" t="s">
        <v>1068</v>
      </c>
      <c r="B678" s="43">
        <v>36266</v>
      </c>
      <c r="C678" t="s">
        <v>50</v>
      </c>
      <c r="D678" t="s">
        <v>51</v>
      </c>
      <c r="E678" t="s">
        <v>52</v>
      </c>
      <c r="F678" t="s">
        <v>63</v>
      </c>
      <c r="G678" s="43">
        <v>43748</v>
      </c>
      <c r="H678">
        <v>5</v>
      </c>
      <c r="I678">
        <v>30492</v>
      </c>
      <c r="J678">
        <v>156000000</v>
      </c>
      <c r="K678">
        <v>1</v>
      </c>
      <c r="M678">
        <v>1</v>
      </c>
      <c r="P678" s="77">
        <f t="shared" si="70"/>
        <v>934</v>
      </c>
      <c r="Q678" s="78">
        <f t="shared" si="71"/>
        <v>101.64</v>
      </c>
      <c r="R678" s="78">
        <f t="shared" si="72"/>
        <v>29.754638671875</v>
      </c>
      <c r="S678" s="78">
        <f t="shared" si="73"/>
        <v>23</v>
      </c>
      <c r="T678" s="78">
        <f t="shared" si="74"/>
        <v>23.716000000000001</v>
      </c>
      <c r="U678" s="78" t="str">
        <f t="shared" si="75"/>
        <v>&lt;35</v>
      </c>
      <c r="V678" s="78" t="str">
        <f t="shared" si="76"/>
        <v>21-30 Гб</v>
      </c>
    </row>
    <row r="679" spans="1:22" x14ac:dyDescent="0.25">
      <c r="A679" t="s">
        <v>514</v>
      </c>
      <c r="B679" s="43">
        <v>36265</v>
      </c>
      <c r="C679" t="s">
        <v>50</v>
      </c>
      <c r="D679" t="s">
        <v>51</v>
      </c>
      <c r="E679" t="s">
        <v>54</v>
      </c>
      <c r="F679" t="s">
        <v>57</v>
      </c>
      <c r="G679" s="43">
        <v>44516</v>
      </c>
      <c r="H679">
        <v>5</v>
      </c>
      <c r="I679">
        <v>28968</v>
      </c>
      <c r="J679">
        <v>32000000</v>
      </c>
      <c r="P679" s="77">
        <f t="shared" si="70"/>
        <v>166</v>
      </c>
      <c r="Q679" s="78">
        <f t="shared" si="71"/>
        <v>96.56</v>
      </c>
      <c r="R679" s="78">
        <f t="shared" si="72"/>
        <v>6.103515625</v>
      </c>
      <c r="S679" s="78">
        <f t="shared" si="73"/>
        <v>23</v>
      </c>
      <c r="T679" s="78">
        <f t="shared" si="74"/>
        <v>22.530666666666669</v>
      </c>
      <c r="U679" s="78" t="str">
        <f t="shared" si="75"/>
        <v>&lt;35</v>
      </c>
      <c r="V679" s="78" t="str">
        <f t="shared" si="76"/>
        <v>&lt;10 Гб</v>
      </c>
    </row>
    <row r="680" spans="1:22" x14ac:dyDescent="0.25">
      <c r="A680" t="s">
        <v>342</v>
      </c>
      <c r="B680" s="43">
        <v>36264</v>
      </c>
      <c r="C680" t="s">
        <v>50</v>
      </c>
      <c r="D680" t="s">
        <v>51</v>
      </c>
      <c r="E680" t="s">
        <v>52</v>
      </c>
      <c r="F680" t="s">
        <v>63</v>
      </c>
      <c r="G680" s="43">
        <v>43452</v>
      </c>
      <c r="H680">
        <v>5</v>
      </c>
      <c r="I680">
        <v>19460</v>
      </c>
      <c r="J680">
        <v>12000000</v>
      </c>
      <c r="P680" s="77">
        <f t="shared" si="70"/>
        <v>1230</v>
      </c>
      <c r="Q680" s="78">
        <f t="shared" si="71"/>
        <v>64.86666666666666</v>
      </c>
      <c r="R680" s="78">
        <f t="shared" si="72"/>
        <v>2.288818359375</v>
      </c>
      <c r="S680" s="78">
        <f t="shared" si="73"/>
        <v>23</v>
      </c>
      <c r="T680" s="78">
        <f t="shared" si="74"/>
        <v>15.135555555555554</v>
      </c>
      <c r="U680" s="78" t="str">
        <f t="shared" si="75"/>
        <v>&lt;35</v>
      </c>
      <c r="V680" s="78" t="str">
        <f t="shared" si="76"/>
        <v>&lt;10 Гб</v>
      </c>
    </row>
    <row r="681" spans="1:22" x14ac:dyDescent="0.25">
      <c r="A681" t="s">
        <v>159</v>
      </c>
      <c r="B681" s="43">
        <v>36256</v>
      </c>
      <c r="C681" t="s">
        <v>58</v>
      </c>
      <c r="D681" t="s">
        <v>51</v>
      </c>
      <c r="E681" t="s">
        <v>52</v>
      </c>
      <c r="F681" t="s">
        <v>53</v>
      </c>
      <c r="G681" s="43">
        <v>43477</v>
      </c>
      <c r="H681">
        <v>5</v>
      </c>
      <c r="I681">
        <v>148216</v>
      </c>
      <c r="J681">
        <v>8000000</v>
      </c>
      <c r="P681" s="77">
        <f t="shared" si="70"/>
        <v>1205</v>
      </c>
      <c r="Q681" s="78">
        <f t="shared" si="71"/>
        <v>494.05333333333334</v>
      </c>
      <c r="R681" s="78">
        <f t="shared" si="72"/>
        <v>1.52587890625</v>
      </c>
      <c r="S681" s="78">
        <f t="shared" si="73"/>
        <v>23</v>
      </c>
      <c r="T681" s="78">
        <f t="shared" si="74"/>
        <v>115.27911111111112</v>
      </c>
      <c r="U681" s="78" t="str">
        <f t="shared" si="75"/>
        <v>91-120</v>
      </c>
      <c r="V681" s="78" t="str">
        <f t="shared" si="76"/>
        <v>&lt;10 Гб</v>
      </c>
    </row>
    <row r="682" spans="1:22" x14ac:dyDescent="0.25">
      <c r="A682" t="s">
        <v>182</v>
      </c>
      <c r="B682" s="43">
        <v>36251</v>
      </c>
      <c r="C682" t="s">
        <v>50</v>
      </c>
      <c r="D682" t="s">
        <v>51</v>
      </c>
      <c r="E682" t="s">
        <v>52</v>
      </c>
      <c r="F682" t="s">
        <v>53</v>
      </c>
      <c r="G682" s="43">
        <v>44090</v>
      </c>
      <c r="H682">
        <v>5</v>
      </c>
      <c r="I682">
        <v>148540</v>
      </c>
      <c r="J682">
        <v>16000000</v>
      </c>
      <c r="P682" s="77">
        <f t="shared" si="70"/>
        <v>592</v>
      </c>
      <c r="Q682" s="78">
        <f t="shared" si="71"/>
        <v>495.13333333333333</v>
      </c>
      <c r="R682" s="78">
        <f t="shared" si="72"/>
        <v>3.0517578125</v>
      </c>
      <c r="S682" s="78">
        <f t="shared" si="73"/>
        <v>23</v>
      </c>
      <c r="T682" s="78">
        <f t="shared" si="74"/>
        <v>115.53111111111112</v>
      </c>
      <c r="U682" s="78" t="str">
        <f t="shared" si="75"/>
        <v>91-120</v>
      </c>
      <c r="V682" s="78" t="str">
        <f t="shared" si="76"/>
        <v>&lt;10 Гб</v>
      </c>
    </row>
    <row r="683" spans="1:22" x14ac:dyDescent="0.25">
      <c r="A683" t="s">
        <v>469</v>
      </c>
      <c r="B683" s="43">
        <v>36250</v>
      </c>
      <c r="C683" t="s">
        <v>50</v>
      </c>
      <c r="D683" t="s">
        <v>51</v>
      </c>
      <c r="E683" t="s">
        <v>54</v>
      </c>
      <c r="F683" t="s">
        <v>57</v>
      </c>
      <c r="G683" s="43">
        <v>42974</v>
      </c>
      <c r="H683">
        <v>5</v>
      </c>
      <c r="I683">
        <v>59188</v>
      </c>
      <c r="J683">
        <v>92000000</v>
      </c>
      <c r="K683">
        <v>1</v>
      </c>
      <c r="P683" s="77">
        <f t="shared" si="70"/>
        <v>1708</v>
      </c>
      <c r="Q683" s="78">
        <f t="shared" si="71"/>
        <v>197.29333333333332</v>
      </c>
      <c r="R683" s="78">
        <f t="shared" si="72"/>
        <v>17.547607421875</v>
      </c>
      <c r="S683" s="78">
        <f t="shared" si="73"/>
        <v>23</v>
      </c>
      <c r="T683" s="78">
        <f t="shared" si="74"/>
        <v>46.035111111111107</v>
      </c>
      <c r="U683" s="78" t="str">
        <f t="shared" si="75"/>
        <v>35-60</v>
      </c>
      <c r="V683" s="78" t="str">
        <f t="shared" si="76"/>
        <v>10-20 Гб</v>
      </c>
    </row>
    <row r="684" spans="1:22" x14ac:dyDescent="0.25">
      <c r="A684" t="s">
        <v>954</v>
      </c>
      <c r="B684" s="43">
        <v>36249</v>
      </c>
      <c r="C684" t="s">
        <v>50</v>
      </c>
      <c r="D684" t="s">
        <v>51</v>
      </c>
      <c r="E684" t="s">
        <v>52</v>
      </c>
      <c r="F684" t="s">
        <v>63</v>
      </c>
      <c r="G684" s="43">
        <v>43632</v>
      </c>
      <c r="H684">
        <v>5</v>
      </c>
      <c r="I684">
        <v>30228</v>
      </c>
      <c r="J684">
        <v>156000000</v>
      </c>
      <c r="L684">
        <v>1</v>
      </c>
      <c r="P684" s="77">
        <f t="shared" si="70"/>
        <v>1050</v>
      </c>
      <c r="Q684" s="78">
        <f t="shared" si="71"/>
        <v>100.76</v>
      </c>
      <c r="R684" s="78">
        <f t="shared" si="72"/>
        <v>29.754638671875</v>
      </c>
      <c r="S684" s="78">
        <f t="shared" si="73"/>
        <v>23</v>
      </c>
      <c r="T684" s="78">
        <f t="shared" si="74"/>
        <v>23.510666666666669</v>
      </c>
      <c r="U684" s="78" t="str">
        <f t="shared" si="75"/>
        <v>&lt;35</v>
      </c>
      <c r="V684" s="78" t="str">
        <f t="shared" si="76"/>
        <v>21-30 Гб</v>
      </c>
    </row>
    <row r="685" spans="1:22" x14ac:dyDescent="0.25">
      <c r="A685" t="s">
        <v>762</v>
      </c>
      <c r="B685" s="43">
        <v>36245</v>
      </c>
      <c r="C685" t="s">
        <v>50</v>
      </c>
      <c r="D685" t="s">
        <v>51</v>
      </c>
      <c r="E685" t="s">
        <v>54</v>
      </c>
      <c r="F685" t="s">
        <v>63</v>
      </c>
      <c r="G685" s="43">
        <v>43079</v>
      </c>
      <c r="H685">
        <v>5</v>
      </c>
      <c r="I685">
        <v>4152</v>
      </c>
      <c r="J685">
        <v>144000000</v>
      </c>
      <c r="K685">
        <v>1</v>
      </c>
      <c r="O685">
        <v>1</v>
      </c>
      <c r="P685" s="77">
        <f t="shared" si="70"/>
        <v>1603</v>
      </c>
      <c r="Q685" s="78">
        <f t="shared" si="71"/>
        <v>13.84</v>
      </c>
      <c r="R685" s="78">
        <f t="shared" si="72"/>
        <v>27.4658203125</v>
      </c>
      <c r="S685" s="78">
        <f t="shared" si="73"/>
        <v>23</v>
      </c>
      <c r="T685" s="78">
        <f t="shared" si="74"/>
        <v>3.2293333333333334</v>
      </c>
      <c r="U685" s="78" t="str">
        <f t="shared" si="75"/>
        <v>&lt;35</v>
      </c>
      <c r="V685" s="78" t="str">
        <f t="shared" si="76"/>
        <v>21-30 Гб</v>
      </c>
    </row>
    <row r="686" spans="1:22" x14ac:dyDescent="0.25">
      <c r="A686" t="s">
        <v>822</v>
      </c>
      <c r="B686" s="43">
        <v>36243</v>
      </c>
      <c r="C686" t="s">
        <v>58</v>
      </c>
      <c r="D686" t="s">
        <v>51</v>
      </c>
      <c r="E686" t="s">
        <v>54</v>
      </c>
      <c r="F686" t="s">
        <v>63</v>
      </c>
      <c r="G686" s="43">
        <v>43465</v>
      </c>
      <c r="H686">
        <v>5</v>
      </c>
      <c r="I686">
        <v>10964</v>
      </c>
      <c r="J686">
        <v>160000000</v>
      </c>
      <c r="L686">
        <v>1</v>
      </c>
      <c r="N686">
        <v>1</v>
      </c>
      <c r="P686" s="77">
        <f t="shared" si="70"/>
        <v>1217</v>
      </c>
      <c r="Q686" s="78">
        <f t="shared" si="71"/>
        <v>36.546666666666667</v>
      </c>
      <c r="R686" s="78">
        <f t="shared" si="72"/>
        <v>30.517578125</v>
      </c>
      <c r="S686" s="78">
        <f t="shared" si="73"/>
        <v>23</v>
      </c>
      <c r="T686" s="78">
        <f t="shared" si="74"/>
        <v>8.5275555555555549</v>
      </c>
      <c r="U686" s="78" t="str">
        <f t="shared" si="75"/>
        <v>&lt;35</v>
      </c>
      <c r="V686" s="78" t="str">
        <f t="shared" si="76"/>
        <v>31-40 Гб</v>
      </c>
    </row>
    <row r="687" spans="1:22" x14ac:dyDescent="0.25">
      <c r="A687" t="s">
        <v>546</v>
      </c>
      <c r="B687" s="43">
        <v>36242</v>
      </c>
      <c r="C687" t="s">
        <v>50</v>
      </c>
      <c r="D687" t="s">
        <v>51</v>
      </c>
      <c r="E687" t="s">
        <v>52</v>
      </c>
      <c r="F687" t="s">
        <v>57</v>
      </c>
      <c r="G687" s="43">
        <v>43533</v>
      </c>
      <c r="H687">
        <v>5</v>
      </c>
      <c r="I687">
        <v>24428</v>
      </c>
      <c r="J687">
        <v>44000000</v>
      </c>
      <c r="K687">
        <v>1</v>
      </c>
      <c r="O687">
        <v>1</v>
      </c>
      <c r="P687" s="77">
        <f t="shared" si="70"/>
        <v>1149</v>
      </c>
      <c r="Q687" s="78">
        <f t="shared" si="71"/>
        <v>81.426666666666662</v>
      </c>
      <c r="R687" s="78">
        <f t="shared" si="72"/>
        <v>8.392333984375</v>
      </c>
      <c r="S687" s="78">
        <f t="shared" si="73"/>
        <v>23</v>
      </c>
      <c r="T687" s="78">
        <f t="shared" si="74"/>
        <v>18.999555555555556</v>
      </c>
      <c r="U687" s="78" t="str">
        <f t="shared" si="75"/>
        <v>&lt;35</v>
      </c>
      <c r="V687" s="78" t="str">
        <f t="shared" si="76"/>
        <v>&lt;10 Гб</v>
      </c>
    </row>
    <row r="688" spans="1:22" x14ac:dyDescent="0.25">
      <c r="A688" t="s">
        <v>881</v>
      </c>
      <c r="B688" s="43">
        <v>36241</v>
      </c>
      <c r="C688" t="s">
        <v>50</v>
      </c>
      <c r="D688" t="s">
        <v>51</v>
      </c>
      <c r="E688" t="s">
        <v>52</v>
      </c>
      <c r="F688" t="s">
        <v>63</v>
      </c>
      <c r="G688" s="43">
        <v>44273</v>
      </c>
      <c r="H688">
        <v>5</v>
      </c>
      <c r="I688">
        <v>10716</v>
      </c>
      <c r="J688">
        <v>152000000</v>
      </c>
      <c r="N688">
        <v>1</v>
      </c>
      <c r="P688" s="77">
        <f t="shared" si="70"/>
        <v>409</v>
      </c>
      <c r="Q688" s="78">
        <f t="shared" si="71"/>
        <v>35.72</v>
      </c>
      <c r="R688" s="78">
        <f t="shared" si="72"/>
        <v>28.99169921875</v>
      </c>
      <c r="S688" s="78">
        <f t="shared" si="73"/>
        <v>23</v>
      </c>
      <c r="T688" s="78">
        <f t="shared" si="74"/>
        <v>8.3346666666666671</v>
      </c>
      <c r="U688" s="78" t="str">
        <f t="shared" si="75"/>
        <v>&lt;35</v>
      </c>
      <c r="V688" s="78" t="str">
        <f t="shared" si="76"/>
        <v>21-30 Гб</v>
      </c>
    </row>
    <row r="689" spans="1:22" x14ac:dyDescent="0.25">
      <c r="A689" t="s">
        <v>1179</v>
      </c>
      <c r="B689" s="43">
        <v>36240</v>
      </c>
      <c r="C689" t="s">
        <v>50</v>
      </c>
      <c r="D689" t="s">
        <v>51</v>
      </c>
      <c r="E689" t="s">
        <v>52</v>
      </c>
      <c r="F689" t="s">
        <v>69</v>
      </c>
      <c r="G689" s="43">
        <v>43564</v>
      </c>
      <c r="H689">
        <v>5</v>
      </c>
      <c r="I689">
        <v>20140</v>
      </c>
      <c r="J689">
        <v>8000000</v>
      </c>
      <c r="P689" s="77">
        <f t="shared" si="70"/>
        <v>1118</v>
      </c>
      <c r="Q689" s="78">
        <f t="shared" si="71"/>
        <v>67.13333333333334</v>
      </c>
      <c r="R689" s="78">
        <f t="shared" si="72"/>
        <v>1.52587890625</v>
      </c>
      <c r="S689" s="78">
        <f t="shared" si="73"/>
        <v>23</v>
      </c>
      <c r="T689" s="78">
        <f t="shared" si="74"/>
        <v>15.664444444444447</v>
      </c>
      <c r="U689" s="78" t="str">
        <f t="shared" si="75"/>
        <v>&lt;35</v>
      </c>
      <c r="V689" s="78" t="str">
        <f t="shared" si="76"/>
        <v>&lt;10 Гб</v>
      </c>
    </row>
    <row r="690" spans="1:22" x14ac:dyDescent="0.25">
      <c r="A690" t="s">
        <v>678</v>
      </c>
      <c r="B690" s="43">
        <v>36238</v>
      </c>
      <c r="C690" t="s">
        <v>58</v>
      </c>
      <c r="D690" t="s">
        <v>51</v>
      </c>
      <c r="E690" t="s">
        <v>52</v>
      </c>
      <c r="F690" t="s">
        <v>63</v>
      </c>
      <c r="G690" s="43">
        <v>42797</v>
      </c>
      <c r="H690">
        <v>5</v>
      </c>
      <c r="I690">
        <v>22844</v>
      </c>
      <c r="J690">
        <v>144000000</v>
      </c>
      <c r="P690" s="77">
        <f t="shared" si="70"/>
        <v>1885</v>
      </c>
      <c r="Q690" s="78">
        <f t="shared" si="71"/>
        <v>76.146666666666661</v>
      </c>
      <c r="R690" s="78">
        <f t="shared" si="72"/>
        <v>27.4658203125</v>
      </c>
      <c r="S690" s="78">
        <f t="shared" si="73"/>
        <v>23</v>
      </c>
      <c r="T690" s="78">
        <f t="shared" si="74"/>
        <v>17.767555555555553</v>
      </c>
      <c r="U690" s="78" t="str">
        <f t="shared" si="75"/>
        <v>&lt;35</v>
      </c>
      <c r="V690" s="78" t="str">
        <f t="shared" si="76"/>
        <v>21-30 Гб</v>
      </c>
    </row>
    <row r="691" spans="1:22" x14ac:dyDescent="0.25">
      <c r="A691" t="s">
        <v>229</v>
      </c>
      <c r="B691" s="43">
        <v>36237</v>
      </c>
      <c r="C691" t="s">
        <v>50</v>
      </c>
      <c r="D691" t="s">
        <v>51</v>
      </c>
      <c r="E691" t="s">
        <v>54</v>
      </c>
      <c r="F691" t="s">
        <v>56</v>
      </c>
      <c r="G691" s="43">
        <v>44450</v>
      </c>
      <c r="H691">
        <v>5</v>
      </c>
      <c r="I691">
        <v>93432</v>
      </c>
      <c r="J691">
        <v>136000000</v>
      </c>
      <c r="K691">
        <v>1</v>
      </c>
      <c r="P691" s="77">
        <f t="shared" si="70"/>
        <v>232</v>
      </c>
      <c r="Q691" s="78">
        <f t="shared" si="71"/>
        <v>311.44</v>
      </c>
      <c r="R691" s="78">
        <f t="shared" si="72"/>
        <v>25.93994140625</v>
      </c>
      <c r="S691" s="78">
        <f t="shared" si="73"/>
        <v>23</v>
      </c>
      <c r="T691" s="78">
        <f t="shared" si="74"/>
        <v>72.669333333333327</v>
      </c>
      <c r="U691" s="78" t="str">
        <f t="shared" si="75"/>
        <v>61-90</v>
      </c>
      <c r="V691" s="78" t="str">
        <f t="shared" si="76"/>
        <v>21-30 Гб</v>
      </c>
    </row>
    <row r="692" spans="1:22" x14ac:dyDescent="0.25">
      <c r="A692" t="s">
        <v>736</v>
      </c>
      <c r="B692" s="43">
        <v>36230</v>
      </c>
      <c r="C692" t="s">
        <v>50</v>
      </c>
      <c r="D692" t="s">
        <v>51</v>
      </c>
      <c r="E692" t="s">
        <v>54</v>
      </c>
      <c r="F692" t="s">
        <v>63</v>
      </c>
      <c r="G692" s="43">
        <v>44316</v>
      </c>
      <c r="H692">
        <v>5</v>
      </c>
      <c r="I692">
        <v>3608</v>
      </c>
      <c r="J692">
        <v>148000000</v>
      </c>
      <c r="L692">
        <v>1</v>
      </c>
      <c r="N692">
        <v>1</v>
      </c>
      <c r="P692" s="77">
        <f t="shared" si="70"/>
        <v>366</v>
      </c>
      <c r="Q692" s="78">
        <f t="shared" si="71"/>
        <v>12.026666666666667</v>
      </c>
      <c r="R692" s="78">
        <f t="shared" si="72"/>
        <v>28.228759765625</v>
      </c>
      <c r="S692" s="78">
        <f t="shared" si="73"/>
        <v>23</v>
      </c>
      <c r="T692" s="78">
        <f t="shared" si="74"/>
        <v>2.8062222222222224</v>
      </c>
      <c r="U692" s="78" t="str">
        <f t="shared" si="75"/>
        <v>&lt;35</v>
      </c>
      <c r="V692" s="78" t="str">
        <f t="shared" si="76"/>
        <v>21-30 Гб</v>
      </c>
    </row>
    <row r="693" spans="1:22" x14ac:dyDescent="0.25">
      <c r="A693" t="s">
        <v>364</v>
      </c>
      <c r="B693" s="43">
        <v>36228</v>
      </c>
      <c r="C693" t="s">
        <v>50</v>
      </c>
      <c r="D693" t="s">
        <v>51</v>
      </c>
      <c r="E693" t="s">
        <v>54</v>
      </c>
      <c r="F693" t="s">
        <v>56</v>
      </c>
      <c r="G693" s="43">
        <v>43471</v>
      </c>
      <c r="H693">
        <v>5</v>
      </c>
      <c r="I693">
        <v>119544</v>
      </c>
      <c r="J693">
        <v>112000000</v>
      </c>
      <c r="P693" s="77">
        <f t="shared" si="70"/>
        <v>1211</v>
      </c>
      <c r="Q693" s="78">
        <f t="shared" si="71"/>
        <v>398.48</v>
      </c>
      <c r="R693" s="78">
        <f t="shared" si="72"/>
        <v>21.3623046875</v>
      </c>
      <c r="S693" s="78">
        <f t="shared" si="73"/>
        <v>23</v>
      </c>
      <c r="T693" s="78">
        <f t="shared" si="74"/>
        <v>92.978666666666669</v>
      </c>
      <c r="U693" s="78" t="str">
        <f t="shared" si="75"/>
        <v>91-120</v>
      </c>
      <c r="V693" s="78" t="str">
        <f t="shared" si="76"/>
        <v>21-30 Гб</v>
      </c>
    </row>
    <row r="694" spans="1:22" x14ac:dyDescent="0.25">
      <c r="A694" t="s">
        <v>598</v>
      </c>
      <c r="B694" s="43">
        <v>36227</v>
      </c>
      <c r="C694" t="s">
        <v>50</v>
      </c>
      <c r="D694" t="s">
        <v>51</v>
      </c>
      <c r="E694" t="s">
        <v>54</v>
      </c>
      <c r="F694" t="s">
        <v>57</v>
      </c>
      <c r="G694" s="43">
        <v>43335</v>
      </c>
      <c r="H694">
        <v>5</v>
      </c>
      <c r="I694">
        <v>10320</v>
      </c>
      <c r="J694">
        <v>120000000</v>
      </c>
      <c r="L694">
        <v>1</v>
      </c>
      <c r="P694" s="77">
        <f t="shared" si="70"/>
        <v>1347</v>
      </c>
      <c r="Q694" s="78">
        <f t="shared" si="71"/>
        <v>34.4</v>
      </c>
      <c r="R694" s="78">
        <f t="shared" si="72"/>
        <v>22.88818359375</v>
      </c>
      <c r="S694" s="78">
        <f t="shared" si="73"/>
        <v>23</v>
      </c>
      <c r="T694" s="78">
        <f t="shared" si="74"/>
        <v>8.0266666666666655</v>
      </c>
      <c r="U694" s="78" t="str">
        <f t="shared" si="75"/>
        <v>&lt;35</v>
      </c>
      <c r="V694" s="78" t="str">
        <f t="shared" si="76"/>
        <v>21-30 Гб</v>
      </c>
    </row>
    <row r="695" spans="1:22" x14ac:dyDescent="0.25">
      <c r="A695" t="s">
        <v>695</v>
      </c>
      <c r="B695" s="43">
        <v>36224</v>
      </c>
      <c r="C695" t="s">
        <v>58</v>
      </c>
      <c r="D695" t="s">
        <v>51</v>
      </c>
      <c r="E695" t="s">
        <v>52</v>
      </c>
      <c r="F695" t="s">
        <v>63</v>
      </c>
      <c r="G695" s="43">
        <v>43874</v>
      </c>
      <c r="H695">
        <v>5</v>
      </c>
      <c r="I695">
        <v>28796</v>
      </c>
      <c r="J695">
        <v>140000000</v>
      </c>
      <c r="K695">
        <v>1</v>
      </c>
      <c r="P695" s="77">
        <f t="shared" si="70"/>
        <v>808</v>
      </c>
      <c r="Q695" s="78">
        <f t="shared" si="71"/>
        <v>95.986666666666665</v>
      </c>
      <c r="R695" s="78">
        <f t="shared" si="72"/>
        <v>26.702880859375</v>
      </c>
      <c r="S695" s="78">
        <f t="shared" si="73"/>
        <v>23</v>
      </c>
      <c r="T695" s="78">
        <f t="shared" si="74"/>
        <v>22.396888888888888</v>
      </c>
      <c r="U695" s="78" t="str">
        <f t="shared" si="75"/>
        <v>&lt;35</v>
      </c>
      <c r="V695" s="78" t="str">
        <f t="shared" si="76"/>
        <v>21-30 Гб</v>
      </c>
    </row>
    <row r="696" spans="1:22" x14ac:dyDescent="0.25">
      <c r="A696" t="s">
        <v>577</v>
      </c>
      <c r="B696" s="43">
        <v>36218</v>
      </c>
      <c r="C696" t="s">
        <v>50</v>
      </c>
      <c r="D696" t="s">
        <v>51</v>
      </c>
      <c r="E696" t="s">
        <v>52</v>
      </c>
      <c r="F696" t="s">
        <v>57</v>
      </c>
      <c r="G696" s="43">
        <v>44287</v>
      </c>
      <c r="H696">
        <v>5</v>
      </c>
      <c r="I696">
        <v>18524</v>
      </c>
      <c r="J696">
        <v>60000000</v>
      </c>
      <c r="P696" s="77">
        <f t="shared" si="70"/>
        <v>395</v>
      </c>
      <c r="Q696" s="78">
        <f t="shared" si="71"/>
        <v>61.74666666666667</v>
      </c>
      <c r="R696" s="78">
        <f t="shared" si="72"/>
        <v>11.444091796875</v>
      </c>
      <c r="S696" s="78">
        <f t="shared" si="73"/>
        <v>23</v>
      </c>
      <c r="T696" s="78">
        <f t="shared" si="74"/>
        <v>14.407555555555556</v>
      </c>
      <c r="U696" s="78" t="str">
        <f t="shared" si="75"/>
        <v>&lt;35</v>
      </c>
      <c r="V696" s="78" t="str">
        <f t="shared" si="76"/>
        <v>10-20 Гб</v>
      </c>
    </row>
    <row r="697" spans="1:22" x14ac:dyDescent="0.25">
      <c r="A697" t="s">
        <v>681</v>
      </c>
      <c r="B697" s="43">
        <v>36217</v>
      </c>
      <c r="C697" t="s">
        <v>50</v>
      </c>
      <c r="D697" t="s">
        <v>51</v>
      </c>
      <c r="E697" t="s">
        <v>52</v>
      </c>
      <c r="F697" t="s">
        <v>63</v>
      </c>
      <c r="G697" s="43">
        <v>43869</v>
      </c>
      <c r="H697">
        <v>5</v>
      </c>
      <c r="I697">
        <v>18720</v>
      </c>
      <c r="J697">
        <v>152000000</v>
      </c>
      <c r="P697" s="77">
        <f t="shared" si="70"/>
        <v>813</v>
      </c>
      <c r="Q697" s="78">
        <f t="shared" si="71"/>
        <v>62.4</v>
      </c>
      <c r="R697" s="78">
        <f t="shared" si="72"/>
        <v>28.99169921875</v>
      </c>
      <c r="S697" s="78">
        <f t="shared" si="73"/>
        <v>23</v>
      </c>
      <c r="T697" s="78">
        <f t="shared" si="74"/>
        <v>14.56</v>
      </c>
      <c r="U697" s="78" t="str">
        <f t="shared" si="75"/>
        <v>&lt;35</v>
      </c>
      <c r="V697" s="78" t="str">
        <f t="shared" si="76"/>
        <v>21-30 Гб</v>
      </c>
    </row>
    <row r="698" spans="1:22" x14ac:dyDescent="0.25">
      <c r="A698" t="s">
        <v>704</v>
      </c>
      <c r="B698" s="43">
        <v>36216</v>
      </c>
      <c r="C698" t="s">
        <v>50</v>
      </c>
      <c r="D698" t="s">
        <v>51</v>
      </c>
      <c r="E698" t="s">
        <v>54</v>
      </c>
      <c r="F698" t="s">
        <v>63</v>
      </c>
      <c r="G698" s="43">
        <v>43915</v>
      </c>
      <c r="H698">
        <v>5</v>
      </c>
      <c r="I698">
        <v>4120</v>
      </c>
      <c r="J698">
        <v>144000000</v>
      </c>
      <c r="K698">
        <v>1</v>
      </c>
      <c r="P698" s="77">
        <f t="shared" si="70"/>
        <v>767</v>
      </c>
      <c r="Q698" s="78">
        <f t="shared" si="71"/>
        <v>13.733333333333333</v>
      </c>
      <c r="R698" s="78">
        <f t="shared" si="72"/>
        <v>27.4658203125</v>
      </c>
      <c r="S698" s="78">
        <f t="shared" si="73"/>
        <v>23</v>
      </c>
      <c r="T698" s="78">
        <f t="shared" si="74"/>
        <v>3.204444444444444</v>
      </c>
      <c r="U698" s="78" t="str">
        <f t="shared" si="75"/>
        <v>&lt;35</v>
      </c>
      <c r="V698" s="78" t="str">
        <f t="shared" si="76"/>
        <v>21-30 Гб</v>
      </c>
    </row>
    <row r="699" spans="1:22" x14ac:dyDescent="0.25">
      <c r="A699" t="s">
        <v>151</v>
      </c>
      <c r="B699" s="43">
        <v>36215</v>
      </c>
      <c r="C699" t="s">
        <v>58</v>
      </c>
      <c r="D699" t="s">
        <v>51</v>
      </c>
      <c r="E699" t="s">
        <v>52</v>
      </c>
      <c r="F699" t="s">
        <v>63</v>
      </c>
      <c r="G699" s="43">
        <v>44543</v>
      </c>
      <c r="H699">
        <v>4</v>
      </c>
      <c r="I699">
        <v>11656</v>
      </c>
      <c r="J699">
        <v>44000000</v>
      </c>
      <c r="P699" s="77">
        <f t="shared" si="70"/>
        <v>139</v>
      </c>
      <c r="Q699" s="78">
        <f t="shared" si="71"/>
        <v>38.853333333333332</v>
      </c>
      <c r="R699" s="78">
        <f t="shared" si="72"/>
        <v>8.392333984375</v>
      </c>
      <c r="S699" s="78">
        <f t="shared" si="73"/>
        <v>23</v>
      </c>
      <c r="T699" s="78">
        <f t="shared" si="74"/>
        <v>9.065777777777777</v>
      </c>
      <c r="U699" s="78" t="str">
        <f t="shared" si="75"/>
        <v>&lt;35</v>
      </c>
      <c r="V699" s="78" t="str">
        <f t="shared" si="76"/>
        <v>&lt;10 Гб</v>
      </c>
    </row>
    <row r="700" spans="1:22" x14ac:dyDescent="0.25">
      <c r="A700" t="s">
        <v>641</v>
      </c>
      <c r="B700" s="43">
        <v>36215</v>
      </c>
      <c r="C700" t="s">
        <v>50</v>
      </c>
      <c r="D700" t="s">
        <v>51</v>
      </c>
      <c r="E700" t="s">
        <v>52</v>
      </c>
      <c r="F700" t="s">
        <v>57</v>
      </c>
      <c r="G700" s="43">
        <v>42821</v>
      </c>
      <c r="H700">
        <v>5</v>
      </c>
      <c r="I700">
        <v>4115</v>
      </c>
      <c r="J700">
        <v>156000000</v>
      </c>
      <c r="P700" s="77">
        <f t="shared" si="70"/>
        <v>1861</v>
      </c>
      <c r="Q700" s="78">
        <f t="shared" si="71"/>
        <v>13.716666666666667</v>
      </c>
      <c r="R700" s="78">
        <f t="shared" si="72"/>
        <v>29.754638671875</v>
      </c>
      <c r="S700" s="78">
        <f t="shared" si="73"/>
        <v>23</v>
      </c>
      <c r="T700" s="78">
        <f t="shared" si="74"/>
        <v>3.2005555555555554</v>
      </c>
      <c r="U700" s="78" t="str">
        <f t="shared" si="75"/>
        <v>&lt;35</v>
      </c>
      <c r="V700" s="78" t="str">
        <f t="shared" si="76"/>
        <v>21-30 Гб</v>
      </c>
    </row>
    <row r="701" spans="1:22" x14ac:dyDescent="0.25">
      <c r="A701" t="s">
        <v>797</v>
      </c>
      <c r="B701" s="43">
        <v>36213</v>
      </c>
      <c r="C701" t="s">
        <v>50</v>
      </c>
      <c r="D701" t="s">
        <v>51</v>
      </c>
      <c r="E701" t="s">
        <v>54</v>
      </c>
      <c r="F701" t="s">
        <v>57</v>
      </c>
      <c r="G701" s="43">
        <v>43458</v>
      </c>
      <c r="H701">
        <v>5</v>
      </c>
      <c r="I701">
        <v>64368</v>
      </c>
      <c r="J701">
        <v>4000000</v>
      </c>
      <c r="P701" s="77">
        <f t="shared" si="70"/>
        <v>1224</v>
      </c>
      <c r="Q701" s="78">
        <f t="shared" si="71"/>
        <v>214.56</v>
      </c>
      <c r="R701" s="78">
        <f t="shared" si="72"/>
        <v>0.762939453125</v>
      </c>
      <c r="S701" s="78">
        <f t="shared" si="73"/>
        <v>23</v>
      </c>
      <c r="T701" s="78">
        <f t="shared" si="74"/>
        <v>50.064</v>
      </c>
      <c r="U701" s="78" t="str">
        <f t="shared" si="75"/>
        <v>35-60</v>
      </c>
      <c r="V701" s="78" t="str">
        <f t="shared" si="76"/>
        <v>&lt;10 Гб</v>
      </c>
    </row>
    <row r="702" spans="1:22" x14ac:dyDescent="0.25">
      <c r="A702" t="s">
        <v>1163</v>
      </c>
      <c r="B702" s="43">
        <v>36213</v>
      </c>
      <c r="C702" t="s">
        <v>58</v>
      </c>
      <c r="D702" t="s">
        <v>51</v>
      </c>
      <c r="E702" t="s">
        <v>54</v>
      </c>
      <c r="F702" t="s">
        <v>69</v>
      </c>
      <c r="G702" s="43">
        <v>43313</v>
      </c>
      <c r="H702">
        <v>5</v>
      </c>
      <c r="I702">
        <v>43164</v>
      </c>
      <c r="J702">
        <v>20000000</v>
      </c>
      <c r="P702" s="77">
        <f t="shared" si="70"/>
        <v>1369</v>
      </c>
      <c r="Q702" s="78">
        <f t="shared" si="71"/>
        <v>143.88</v>
      </c>
      <c r="R702" s="78">
        <f t="shared" si="72"/>
        <v>3.814697265625</v>
      </c>
      <c r="S702" s="78">
        <f t="shared" si="73"/>
        <v>23</v>
      </c>
      <c r="T702" s="78">
        <f t="shared" si="74"/>
        <v>33.571999999999996</v>
      </c>
      <c r="U702" s="78" t="str">
        <f t="shared" si="75"/>
        <v>&lt;35</v>
      </c>
      <c r="V702" s="78" t="str">
        <f t="shared" si="76"/>
        <v>&lt;10 Гб</v>
      </c>
    </row>
    <row r="703" spans="1:22" x14ac:dyDescent="0.25">
      <c r="A703" t="s">
        <v>218</v>
      </c>
      <c r="B703" s="43">
        <v>36211</v>
      </c>
      <c r="C703" t="s">
        <v>50</v>
      </c>
      <c r="D703" t="s">
        <v>51</v>
      </c>
      <c r="E703" t="s">
        <v>54</v>
      </c>
      <c r="F703" t="s">
        <v>56</v>
      </c>
      <c r="G703" s="43">
        <v>44099</v>
      </c>
      <c r="H703">
        <v>5</v>
      </c>
      <c r="I703">
        <v>108752</v>
      </c>
      <c r="J703">
        <v>72000000</v>
      </c>
      <c r="P703" s="77">
        <f t="shared" si="70"/>
        <v>583</v>
      </c>
      <c r="Q703" s="78">
        <f t="shared" si="71"/>
        <v>362.50666666666666</v>
      </c>
      <c r="R703" s="78">
        <f t="shared" si="72"/>
        <v>13.73291015625</v>
      </c>
      <c r="S703" s="78">
        <f t="shared" si="73"/>
        <v>23</v>
      </c>
      <c r="T703" s="78">
        <f t="shared" si="74"/>
        <v>84.584888888888884</v>
      </c>
      <c r="U703" s="78" t="str">
        <f t="shared" si="75"/>
        <v>61-90</v>
      </c>
      <c r="V703" s="78" t="str">
        <f t="shared" si="76"/>
        <v>10-20 Гб</v>
      </c>
    </row>
    <row r="704" spans="1:22" x14ac:dyDescent="0.25">
      <c r="A704" t="s">
        <v>293</v>
      </c>
      <c r="B704" s="43">
        <v>36210</v>
      </c>
      <c r="C704" t="s">
        <v>58</v>
      </c>
      <c r="D704" t="s">
        <v>51</v>
      </c>
      <c r="E704" t="s">
        <v>52</v>
      </c>
      <c r="F704" t="s">
        <v>63</v>
      </c>
      <c r="G704" s="43">
        <v>42786</v>
      </c>
      <c r="H704">
        <v>5</v>
      </c>
      <c r="I704">
        <v>17640</v>
      </c>
      <c r="J704">
        <v>28000000</v>
      </c>
      <c r="K704">
        <v>1</v>
      </c>
      <c r="L704">
        <v>1</v>
      </c>
      <c r="N704">
        <v>1</v>
      </c>
      <c r="P704" s="77">
        <f t="shared" ref="P704:P767" si="77">DATEDIF(G704,$C$2,"D")</f>
        <v>1896</v>
      </c>
      <c r="Q704" s="78">
        <f t="shared" ref="Q704:Q767" si="78">IF(P704&lt;DATEDIF($C$3,$C$2,"D"),I704/(60*(P704/30)),I704/(60*5))</f>
        <v>58.8</v>
      </c>
      <c r="R704" s="78">
        <f t="shared" ref="R704:R767" si="79">IF(P704&lt;DATEDIF($C$3,$C$2,"D"),J704/(1048576*(P704/30)),J704/(1048576*5))</f>
        <v>5.340576171875</v>
      </c>
      <c r="S704" s="78">
        <f t="shared" ref="S704:S767" si="80">DATEDIF(B704,$C$2,"Y")</f>
        <v>23</v>
      </c>
      <c r="T704" s="78">
        <f t="shared" si="74"/>
        <v>13.719999999999999</v>
      </c>
      <c r="U704" s="78" t="str">
        <f t="shared" si="75"/>
        <v>&lt;35</v>
      </c>
      <c r="V704" s="78" t="str">
        <f t="shared" si="76"/>
        <v>&lt;10 Гб</v>
      </c>
    </row>
    <row r="705" spans="1:22" x14ac:dyDescent="0.25">
      <c r="A705" t="s">
        <v>961</v>
      </c>
      <c r="B705" s="43">
        <v>36209</v>
      </c>
      <c r="C705" t="s">
        <v>58</v>
      </c>
      <c r="D705" t="s">
        <v>51</v>
      </c>
      <c r="E705" t="s">
        <v>52</v>
      </c>
      <c r="F705" t="s">
        <v>63</v>
      </c>
      <c r="G705" s="43">
        <v>43467</v>
      </c>
      <c r="H705">
        <v>5</v>
      </c>
      <c r="I705">
        <v>34912</v>
      </c>
      <c r="J705">
        <v>148000000</v>
      </c>
      <c r="P705" s="77">
        <f t="shared" si="77"/>
        <v>1215</v>
      </c>
      <c r="Q705" s="78">
        <f t="shared" si="78"/>
        <v>116.37333333333333</v>
      </c>
      <c r="R705" s="78">
        <f t="shared" si="79"/>
        <v>28.228759765625</v>
      </c>
      <c r="S705" s="78">
        <f t="shared" si="80"/>
        <v>23</v>
      </c>
      <c r="T705" s="78">
        <f t="shared" si="74"/>
        <v>27.15377777777778</v>
      </c>
      <c r="U705" s="78" t="str">
        <f t="shared" si="75"/>
        <v>&lt;35</v>
      </c>
      <c r="V705" s="78" t="str">
        <f t="shared" si="76"/>
        <v>21-30 Гб</v>
      </c>
    </row>
    <row r="706" spans="1:22" x14ac:dyDescent="0.25">
      <c r="A706" t="s">
        <v>441</v>
      </c>
      <c r="B706" s="43">
        <v>36208</v>
      </c>
      <c r="C706" t="s">
        <v>58</v>
      </c>
      <c r="D706" t="s">
        <v>51</v>
      </c>
      <c r="E706" t="s">
        <v>54</v>
      </c>
      <c r="F706" t="s">
        <v>57</v>
      </c>
      <c r="G706" s="43">
        <v>43092</v>
      </c>
      <c r="H706">
        <v>5</v>
      </c>
      <c r="I706">
        <v>75616</v>
      </c>
      <c r="J706">
        <v>104000000</v>
      </c>
      <c r="P706" s="77">
        <f t="shared" si="77"/>
        <v>1590</v>
      </c>
      <c r="Q706" s="78">
        <f t="shared" si="78"/>
        <v>252.05333333333334</v>
      </c>
      <c r="R706" s="78">
        <f t="shared" si="79"/>
        <v>19.83642578125</v>
      </c>
      <c r="S706" s="78">
        <f t="shared" si="80"/>
        <v>23</v>
      </c>
      <c r="T706" s="78">
        <f t="shared" si="74"/>
        <v>58.812444444444445</v>
      </c>
      <c r="U706" s="78" t="str">
        <f t="shared" si="75"/>
        <v>35-60</v>
      </c>
      <c r="V706" s="78" t="str">
        <f t="shared" si="76"/>
        <v>10-20 Гб</v>
      </c>
    </row>
    <row r="707" spans="1:22" x14ac:dyDescent="0.25">
      <c r="A707" t="s">
        <v>843</v>
      </c>
      <c r="B707" s="43">
        <v>36208</v>
      </c>
      <c r="C707" t="s">
        <v>50</v>
      </c>
      <c r="D707" t="s">
        <v>51</v>
      </c>
      <c r="E707" t="s">
        <v>54</v>
      </c>
      <c r="F707" t="s">
        <v>63</v>
      </c>
      <c r="G707" s="43">
        <v>43132</v>
      </c>
      <c r="H707">
        <v>5</v>
      </c>
      <c r="I707">
        <v>2128</v>
      </c>
      <c r="J707">
        <v>88000000</v>
      </c>
      <c r="K707">
        <v>1</v>
      </c>
      <c r="P707" s="77">
        <f t="shared" si="77"/>
        <v>1550</v>
      </c>
      <c r="Q707" s="78">
        <f t="shared" si="78"/>
        <v>7.0933333333333337</v>
      </c>
      <c r="R707" s="78">
        <f t="shared" si="79"/>
        <v>16.78466796875</v>
      </c>
      <c r="S707" s="78">
        <f t="shared" si="80"/>
        <v>23</v>
      </c>
      <c r="T707" s="78">
        <f t="shared" si="74"/>
        <v>1.6551111111111112</v>
      </c>
      <c r="U707" s="78" t="str">
        <f t="shared" si="75"/>
        <v>&lt;35</v>
      </c>
      <c r="V707" s="78" t="str">
        <f t="shared" si="76"/>
        <v>10-20 Гб</v>
      </c>
    </row>
    <row r="708" spans="1:22" x14ac:dyDescent="0.25">
      <c r="A708" t="s">
        <v>1135</v>
      </c>
      <c r="B708" s="43">
        <v>36200</v>
      </c>
      <c r="C708" t="s">
        <v>58</v>
      </c>
      <c r="D708" t="s">
        <v>51</v>
      </c>
      <c r="E708" t="s">
        <v>52</v>
      </c>
      <c r="F708" t="s">
        <v>69</v>
      </c>
      <c r="G708" s="43">
        <v>43294</v>
      </c>
      <c r="H708">
        <v>5</v>
      </c>
      <c r="I708">
        <v>43024</v>
      </c>
      <c r="J708">
        <v>16000000</v>
      </c>
      <c r="M708">
        <v>1</v>
      </c>
      <c r="P708" s="77">
        <f t="shared" si="77"/>
        <v>1388</v>
      </c>
      <c r="Q708" s="78">
        <f t="shared" si="78"/>
        <v>143.41333333333333</v>
      </c>
      <c r="R708" s="78">
        <f t="shared" si="79"/>
        <v>3.0517578125</v>
      </c>
      <c r="S708" s="78">
        <f t="shared" si="80"/>
        <v>23</v>
      </c>
      <c r="T708" s="78">
        <f t="shared" si="74"/>
        <v>33.463111111111111</v>
      </c>
      <c r="U708" s="78" t="str">
        <f t="shared" si="75"/>
        <v>&lt;35</v>
      </c>
      <c r="V708" s="78" t="str">
        <f t="shared" si="76"/>
        <v>&lt;10 Гб</v>
      </c>
    </row>
    <row r="709" spans="1:22" x14ac:dyDescent="0.25">
      <c r="A709" t="s">
        <v>547</v>
      </c>
      <c r="B709" s="43">
        <v>36197</v>
      </c>
      <c r="C709" t="s">
        <v>50</v>
      </c>
      <c r="D709" t="s">
        <v>51</v>
      </c>
      <c r="E709" t="s">
        <v>52</v>
      </c>
      <c r="F709" t="s">
        <v>57</v>
      </c>
      <c r="G709" s="43">
        <v>44018</v>
      </c>
      <c r="H709">
        <v>5</v>
      </c>
      <c r="I709">
        <v>58024</v>
      </c>
      <c r="J709">
        <v>100000000</v>
      </c>
      <c r="P709" s="77">
        <f t="shared" si="77"/>
        <v>664</v>
      </c>
      <c r="Q709" s="78">
        <f t="shared" si="78"/>
        <v>193.41333333333333</v>
      </c>
      <c r="R709" s="78">
        <f t="shared" si="79"/>
        <v>19.073486328125</v>
      </c>
      <c r="S709" s="78">
        <f t="shared" si="80"/>
        <v>23</v>
      </c>
      <c r="T709" s="78">
        <f t="shared" si="74"/>
        <v>45.129777777777775</v>
      </c>
      <c r="U709" s="78" t="str">
        <f t="shared" si="75"/>
        <v>35-60</v>
      </c>
      <c r="V709" s="78" t="str">
        <f t="shared" si="76"/>
        <v>10-20 Гб</v>
      </c>
    </row>
    <row r="710" spans="1:22" x14ac:dyDescent="0.25">
      <c r="A710" t="s">
        <v>661</v>
      </c>
      <c r="B710" s="43">
        <v>36194</v>
      </c>
      <c r="C710" t="s">
        <v>58</v>
      </c>
      <c r="D710" t="s">
        <v>51</v>
      </c>
      <c r="E710" t="s">
        <v>52</v>
      </c>
      <c r="F710" t="s">
        <v>57</v>
      </c>
      <c r="G710" s="43">
        <v>43172</v>
      </c>
      <c r="H710">
        <v>5</v>
      </c>
      <c r="I710">
        <v>69536</v>
      </c>
      <c r="J710">
        <v>64000000</v>
      </c>
      <c r="N710">
        <v>1</v>
      </c>
      <c r="P710" s="77">
        <f t="shared" si="77"/>
        <v>1510</v>
      </c>
      <c r="Q710" s="78">
        <f t="shared" si="78"/>
        <v>231.78666666666666</v>
      </c>
      <c r="R710" s="78">
        <f t="shared" si="79"/>
        <v>12.20703125</v>
      </c>
      <c r="S710" s="78">
        <f t="shared" si="80"/>
        <v>23</v>
      </c>
      <c r="T710" s="78">
        <f t="shared" si="74"/>
        <v>54.083555555555556</v>
      </c>
      <c r="U710" s="78" t="str">
        <f t="shared" si="75"/>
        <v>35-60</v>
      </c>
      <c r="V710" s="78" t="str">
        <f t="shared" si="76"/>
        <v>10-20 Гб</v>
      </c>
    </row>
    <row r="711" spans="1:22" x14ac:dyDescent="0.25">
      <c r="A711" t="s">
        <v>98</v>
      </c>
      <c r="B711" s="43">
        <v>36191</v>
      </c>
      <c r="C711" t="s">
        <v>58</v>
      </c>
      <c r="D711" t="s">
        <v>51</v>
      </c>
      <c r="E711" t="s">
        <v>54</v>
      </c>
      <c r="F711" t="s">
        <v>56</v>
      </c>
      <c r="G711" s="43">
        <v>44596</v>
      </c>
      <c r="H711">
        <v>2</v>
      </c>
      <c r="I711">
        <v>50835</v>
      </c>
      <c r="J711">
        <v>88866667</v>
      </c>
      <c r="P711" s="77">
        <f t="shared" si="77"/>
        <v>86</v>
      </c>
      <c r="Q711" s="78">
        <f t="shared" si="78"/>
        <v>295.55232558139534</v>
      </c>
      <c r="R711" s="78">
        <f t="shared" si="79"/>
        <v>29.563903919486112</v>
      </c>
      <c r="S711" s="78">
        <f t="shared" si="80"/>
        <v>23</v>
      </c>
      <c r="T711" s="78">
        <f t="shared" ref="T711:T774" si="81">(Q711*7)/30</f>
        <v>68.962209302325576</v>
      </c>
      <c r="U711" s="78" t="str">
        <f t="shared" ref="U711:U774" si="82">IF(T711&gt;120,"120+",IF(T711&gt;90,"91-120",IF(T711&gt;60,"61-90",IF(T711&gt;35,"35-60","&lt;35"))))</f>
        <v>61-90</v>
      </c>
      <c r="V711" s="78" t="str">
        <f t="shared" ref="V711:V774" si="83">IF(R711&gt;40,"40+ Гб",IF(R711&gt;30,"31-40 Гб",IF(R711&gt;20,"21-30 Гб",IF(R711&gt;10,"10-20 Гб","&lt;10 Гб"))))</f>
        <v>21-30 Гб</v>
      </c>
    </row>
    <row r="712" spans="1:22" x14ac:dyDescent="0.25">
      <c r="A712" t="s">
        <v>474</v>
      </c>
      <c r="B712" s="43">
        <v>36191</v>
      </c>
      <c r="C712" t="s">
        <v>50</v>
      </c>
      <c r="D712" t="s">
        <v>51</v>
      </c>
      <c r="E712" t="s">
        <v>54</v>
      </c>
      <c r="F712" t="s">
        <v>57</v>
      </c>
      <c r="G712" s="43">
        <v>43152</v>
      </c>
      <c r="H712">
        <v>5</v>
      </c>
      <c r="I712">
        <v>33840</v>
      </c>
      <c r="J712">
        <v>56000000</v>
      </c>
      <c r="K712">
        <v>1</v>
      </c>
      <c r="O712">
        <v>1</v>
      </c>
      <c r="P712" s="77">
        <f t="shared" si="77"/>
        <v>1530</v>
      </c>
      <c r="Q712" s="78">
        <f t="shared" si="78"/>
        <v>112.8</v>
      </c>
      <c r="R712" s="78">
        <f t="shared" si="79"/>
        <v>10.68115234375</v>
      </c>
      <c r="S712" s="78">
        <f t="shared" si="80"/>
        <v>23</v>
      </c>
      <c r="T712" s="78">
        <f t="shared" si="81"/>
        <v>26.32</v>
      </c>
      <c r="U712" s="78" t="str">
        <f t="shared" si="82"/>
        <v>&lt;35</v>
      </c>
      <c r="V712" s="78" t="str">
        <f t="shared" si="83"/>
        <v>10-20 Гб</v>
      </c>
    </row>
    <row r="713" spans="1:22" x14ac:dyDescent="0.25">
      <c r="A713" t="s">
        <v>1101</v>
      </c>
      <c r="B713" s="43">
        <v>36191</v>
      </c>
      <c r="C713" t="s">
        <v>50</v>
      </c>
      <c r="D713" t="s">
        <v>51</v>
      </c>
      <c r="E713" t="s">
        <v>52</v>
      </c>
      <c r="F713" t="s">
        <v>63</v>
      </c>
      <c r="G713" s="43">
        <v>44155</v>
      </c>
      <c r="H713">
        <v>5</v>
      </c>
      <c r="I713">
        <v>9936</v>
      </c>
      <c r="J713">
        <v>132000000</v>
      </c>
      <c r="P713" s="77">
        <f t="shared" si="77"/>
        <v>527</v>
      </c>
      <c r="Q713" s="78">
        <f t="shared" si="78"/>
        <v>33.119999999999997</v>
      </c>
      <c r="R713" s="78">
        <f t="shared" si="79"/>
        <v>25.177001953125</v>
      </c>
      <c r="S713" s="78">
        <f t="shared" si="80"/>
        <v>23</v>
      </c>
      <c r="T713" s="78">
        <f t="shared" si="81"/>
        <v>7.7279999999999989</v>
      </c>
      <c r="U713" s="78" t="str">
        <f t="shared" si="82"/>
        <v>&lt;35</v>
      </c>
      <c r="V713" s="78" t="str">
        <f t="shared" si="83"/>
        <v>21-30 Гб</v>
      </c>
    </row>
    <row r="714" spans="1:22" x14ac:dyDescent="0.25">
      <c r="A714" t="s">
        <v>991</v>
      </c>
      <c r="B714" s="43">
        <v>36190</v>
      </c>
      <c r="C714" t="s">
        <v>50</v>
      </c>
      <c r="D714" t="s">
        <v>51</v>
      </c>
      <c r="E714" t="s">
        <v>52</v>
      </c>
      <c r="F714" t="s">
        <v>63</v>
      </c>
      <c r="G714" s="43">
        <v>42805</v>
      </c>
      <c r="H714">
        <v>5</v>
      </c>
      <c r="I714">
        <v>18572</v>
      </c>
      <c r="J714">
        <v>148000000</v>
      </c>
      <c r="M714">
        <v>1</v>
      </c>
      <c r="P714" s="77">
        <f t="shared" si="77"/>
        <v>1877</v>
      </c>
      <c r="Q714" s="78">
        <f t="shared" si="78"/>
        <v>61.906666666666666</v>
      </c>
      <c r="R714" s="78">
        <f t="shared" si="79"/>
        <v>28.228759765625</v>
      </c>
      <c r="S714" s="78">
        <f t="shared" si="80"/>
        <v>23</v>
      </c>
      <c r="T714" s="78">
        <f t="shared" si="81"/>
        <v>14.44488888888889</v>
      </c>
      <c r="U714" s="78" t="str">
        <f t="shared" si="82"/>
        <v>&lt;35</v>
      </c>
      <c r="V714" s="78" t="str">
        <f t="shared" si="83"/>
        <v>21-30 Гб</v>
      </c>
    </row>
    <row r="715" spans="1:22" x14ac:dyDescent="0.25">
      <c r="A715" t="s">
        <v>90</v>
      </c>
      <c r="B715" s="43">
        <v>36189</v>
      </c>
      <c r="C715" t="s">
        <v>58</v>
      </c>
      <c r="D715" t="s">
        <v>51</v>
      </c>
      <c r="E715" t="s">
        <v>52</v>
      </c>
      <c r="F715" t="s">
        <v>63</v>
      </c>
      <c r="G715" s="43">
        <v>44627</v>
      </c>
      <c r="H715">
        <v>1</v>
      </c>
      <c r="I715">
        <v>3801</v>
      </c>
      <c r="J715">
        <v>71500000</v>
      </c>
      <c r="P715" s="77">
        <f t="shared" si="77"/>
        <v>55</v>
      </c>
      <c r="Q715" s="78">
        <f t="shared" si="78"/>
        <v>34.554545454545455</v>
      </c>
      <c r="R715" s="78">
        <f t="shared" si="79"/>
        <v>37.19329833984375</v>
      </c>
      <c r="S715" s="78">
        <f t="shared" si="80"/>
        <v>23</v>
      </c>
      <c r="T715" s="78">
        <f t="shared" si="81"/>
        <v>8.0627272727272725</v>
      </c>
      <c r="U715" s="78" t="str">
        <f t="shared" si="82"/>
        <v>&lt;35</v>
      </c>
      <c r="V715" s="78" t="str">
        <f t="shared" si="83"/>
        <v>31-40 Гб</v>
      </c>
    </row>
    <row r="716" spans="1:22" x14ac:dyDescent="0.25">
      <c r="A716" t="s">
        <v>848</v>
      </c>
      <c r="B716" s="43">
        <v>36183</v>
      </c>
      <c r="C716" t="s">
        <v>50</v>
      </c>
      <c r="D716" t="s">
        <v>51</v>
      </c>
      <c r="E716" t="s">
        <v>54</v>
      </c>
      <c r="F716" t="s">
        <v>63</v>
      </c>
      <c r="G716" s="43">
        <v>44235</v>
      </c>
      <c r="H716">
        <v>5</v>
      </c>
      <c r="I716">
        <v>33016</v>
      </c>
      <c r="J716">
        <v>108000000</v>
      </c>
      <c r="P716" s="77">
        <f t="shared" si="77"/>
        <v>447</v>
      </c>
      <c r="Q716" s="78">
        <f t="shared" si="78"/>
        <v>110.05333333333333</v>
      </c>
      <c r="R716" s="78">
        <f t="shared" si="79"/>
        <v>20.599365234375</v>
      </c>
      <c r="S716" s="78">
        <f t="shared" si="80"/>
        <v>23</v>
      </c>
      <c r="T716" s="78">
        <f t="shared" si="81"/>
        <v>25.679111111111112</v>
      </c>
      <c r="U716" s="78" t="str">
        <f t="shared" si="82"/>
        <v>&lt;35</v>
      </c>
      <c r="V716" s="78" t="str">
        <f t="shared" si="83"/>
        <v>21-30 Гб</v>
      </c>
    </row>
    <row r="717" spans="1:22" x14ac:dyDescent="0.25">
      <c r="A717" t="s">
        <v>494</v>
      </c>
      <c r="B717" s="43">
        <v>36180</v>
      </c>
      <c r="C717" t="s">
        <v>50</v>
      </c>
      <c r="D717" t="s">
        <v>51</v>
      </c>
      <c r="E717" t="s">
        <v>52</v>
      </c>
      <c r="F717" t="s">
        <v>57</v>
      </c>
      <c r="G717" s="43">
        <v>44124</v>
      </c>
      <c r="H717">
        <v>5</v>
      </c>
      <c r="I717">
        <v>76360</v>
      </c>
      <c r="J717">
        <v>108000000</v>
      </c>
      <c r="P717" s="77">
        <f t="shared" si="77"/>
        <v>558</v>
      </c>
      <c r="Q717" s="78">
        <f t="shared" si="78"/>
        <v>254.53333333333333</v>
      </c>
      <c r="R717" s="78">
        <f t="shared" si="79"/>
        <v>20.599365234375</v>
      </c>
      <c r="S717" s="78">
        <f t="shared" si="80"/>
        <v>23</v>
      </c>
      <c r="T717" s="78">
        <f t="shared" si="81"/>
        <v>59.391111111111108</v>
      </c>
      <c r="U717" s="78" t="str">
        <f t="shared" si="82"/>
        <v>35-60</v>
      </c>
      <c r="V717" s="78" t="str">
        <f t="shared" si="83"/>
        <v>21-30 Гб</v>
      </c>
    </row>
    <row r="718" spans="1:22" x14ac:dyDescent="0.25">
      <c r="A718" t="s">
        <v>181</v>
      </c>
      <c r="B718" s="43">
        <v>36177</v>
      </c>
      <c r="C718" t="s">
        <v>58</v>
      </c>
      <c r="D718" t="s">
        <v>51</v>
      </c>
      <c r="E718" t="s">
        <v>52</v>
      </c>
      <c r="F718" t="s">
        <v>53</v>
      </c>
      <c r="G718" s="43">
        <v>43482</v>
      </c>
      <c r="H718">
        <v>5</v>
      </c>
      <c r="I718">
        <v>156948</v>
      </c>
      <c r="J718">
        <v>196000000</v>
      </c>
      <c r="P718" s="77">
        <f t="shared" si="77"/>
        <v>1200</v>
      </c>
      <c r="Q718" s="78">
        <f t="shared" si="78"/>
        <v>523.16</v>
      </c>
      <c r="R718" s="78">
        <f t="shared" si="79"/>
        <v>37.384033203125</v>
      </c>
      <c r="S718" s="78">
        <f t="shared" si="80"/>
        <v>23</v>
      </c>
      <c r="T718" s="78">
        <f t="shared" si="81"/>
        <v>122.07066666666667</v>
      </c>
      <c r="U718" s="78" t="str">
        <f t="shared" si="82"/>
        <v>120+</v>
      </c>
      <c r="V718" s="78" t="str">
        <f t="shared" si="83"/>
        <v>31-40 Гб</v>
      </c>
    </row>
    <row r="719" spans="1:22" x14ac:dyDescent="0.25">
      <c r="A719" t="s">
        <v>71</v>
      </c>
      <c r="B719" s="43">
        <v>36172</v>
      </c>
      <c r="C719" t="s">
        <v>50</v>
      </c>
      <c r="D719" t="s">
        <v>51</v>
      </c>
      <c r="E719" t="s">
        <v>54</v>
      </c>
      <c r="F719" t="s">
        <v>63</v>
      </c>
      <c r="G719" s="43">
        <v>44663</v>
      </c>
      <c r="H719">
        <v>0</v>
      </c>
      <c r="I719">
        <v>3535</v>
      </c>
      <c r="J719">
        <v>24066667</v>
      </c>
      <c r="L719">
        <v>1</v>
      </c>
      <c r="P719" s="77">
        <f t="shared" si="77"/>
        <v>19</v>
      </c>
      <c r="Q719" s="78">
        <f t="shared" si="78"/>
        <v>93.026315789473685</v>
      </c>
      <c r="R719" s="78">
        <f t="shared" si="79"/>
        <v>36.239624525371354</v>
      </c>
      <c r="S719" s="78">
        <f t="shared" si="80"/>
        <v>23</v>
      </c>
      <c r="T719" s="78">
        <f t="shared" si="81"/>
        <v>21.706140350877195</v>
      </c>
      <c r="U719" s="78" t="str">
        <f t="shared" si="82"/>
        <v>&lt;35</v>
      </c>
      <c r="V719" s="78" t="str">
        <f t="shared" si="83"/>
        <v>31-40 Гб</v>
      </c>
    </row>
    <row r="720" spans="1:22" x14ac:dyDescent="0.25">
      <c r="A720" t="s">
        <v>809</v>
      </c>
      <c r="B720" s="43">
        <v>36172</v>
      </c>
      <c r="C720" t="s">
        <v>58</v>
      </c>
      <c r="D720" t="s">
        <v>51</v>
      </c>
      <c r="E720" t="s">
        <v>52</v>
      </c>
      <c r="F720" t="s">
        <v>57</v>
      </c>
      <c r="G720" s="43">
        <v>43483</v>
      </c>
      <c r="H720">
        <v>5</v>
      </c>
      <c r="I720">
        <v>60108</v>
      </c>
      <c r="J720">
        <v>68000000</v>
      </c>
      <c r="P720" s="77">
        <f t="shared" si="77"/>
        <v>1199</v>
      </c>
      <c r="Q720" s="78">
        <f t="shared" si="78"/>
        <v>200.36</v>
      </c>
      <c r="R720" s="78">
        <f t="shared" si="79"/>
        <v>12.969970703125</v>
      </c>
      <c r="S720" s="78">
        <f t="shared" si="80"/>
        <v>23</v>
      </c>
      <c r="T720" s="78">
        <f t="shared" si="81"/>
        <v>46.750666666666667</v>
      </c>
      <c r="U720" s="78" t="str">
        <f t="shared" si="82"/>
        <v>35-60</v>
      </c>
      <c r="V720" s="78" t="str">
        <f t="shared" si="83"/>
        <v>10-20 Гб</v>
      </c>
    </row>
    <row r="721" spans="1:22" x14ac:dyDescent="0.25">
      <c r="A721" t="s">
        <v>1169</v>
      </c>
      <c r="B721" s="43">
        <v>36171</v>
      </c>
      <c r="C721" t="s">
        <v>50</v>
      </c>
      <c r="D721" t="s">
        <v>51</v>
      </c>
      <c r="E721" t="s">
        <v>54</v>
      </c>
      <c r="F721" t="s">
        <v>69</v>
      </c>
      <c r="G721" s="43">
        <v>43119</v>
      </c>
      <c r="H721">
        <v>5</v>
      </c>
      <c r="I721">
        <v>1768</v>
      </c>
      <c r="J721">
        <v>4000000</v>
      </c>
      <c r="L721">
        <v>1</v>
      </c>
      <c r="P721" s="77">
        <f t="shared" si="77"/>
        <v>1563</v>
      </c>
      <c r="Q721" s="78">
        <f t="shared" si="78"/>
        <v>5.8933333333333335</v>
      </c>
      <c r="R721" s="78">
        <f t="shared" si="79"/>
        <v>0.762939453125</v>
      </c>
      <c r="S721" s="78">
        <f t="shared" si="80"/>
        <v>23</v>
      </c>
      <c r="T721" s="78">
        <f t="shared" si="81"/>
        <v>1.3751111111111112</v>
      </c>
      <c r="U721" s="78" t="str">
        <f t="shared" si="82"/>
        <v>&lt;35</v>
      </c>
      <c r="V721" s="78" t="str">
        <f t="shared" si="83"/>
        <v>&lt;10 Гб</v>
      </c>
    </row>
    <row r="722" spans="1:22" x14ac:dyDescent="0.25">
      <c r="A722" t="s">
        <v>76</v>
      </c>
      <c r="B722" s="43">
        <v>36170</v>
      </c>
      <c r="C722" t="s">
        <v>58</v>
      </c>
      <c r="D722" t="s">
        <v>51</v>
      </c>
      <c r="E722" t="s">
        <v>54</v>
      </c>
      <c r="F722" t="s">
        <v>56</v>
      </c>
      <c r="G722" s="43">
        <v>44630</v>
      </c>
      <c r="H722">
        <v>1</v>
      </c>
      <c r="I722">
        <v>7476</v>
      </c>
      <c r="J722">
        <v>50266667</v>
      </c>
      <c r="P722" s="77">
        <f t="shared" si="77"/>
        <v>52</v>
      </c>
      <c r="Q722" s="78">
        <f t="shared" si="78"/>
        <v>71.884615384615387</v>
      </c>
      <c r="R722" s="78">
        <f t="shared" si="79"/>
        <v>27.656555359180157</v>
      </c>
      <c r="S722" s="78">
        <f t="shared" si="80"/>
        <v>23</v>
      </c>
      <c r="T722" s="78">
        <f t="shared" si="81"/>
        <v>16.773076923076925</v>
      </c>
      <c r="U722" s="78" t="str">
        <f t="shared" si="82"/>
        <v>&lt;35</v>
      </c>
      <c r="V722" s="78" t="str">
        <f t="shared" si="83"/>
        <v>21-30 Гб</v>
      </c>
    </row>
    <row r="723" spans="1:22" x14ac:dyDescent="0.25">
      <c r="A723" t="s">
        <v>434</v>
      </c>
      <c r="B723" s="43">
        <v>36168</v>
      </c>
      <c r="C723" t="s">
        <v>50</v>
      </c>
      <c r="D723" t="s">
        <v>51</v>
      </c>
      <c r="E723" t="s">
        <v>52</v>
      </c>
      <c r="F723" t="s">
        <v>57</v>
      </c>
      <c r="G723" s="43">
        <v>42985</v>
      </c>
      <c r="H723">
        <v>5</v>
      </c>
      <c r="I723">
        <v>68348</v>
      </c>
      <c r="J723">
        <v>76000000</v>
      </c>
      <c r="P723" s="77">
        <f t="shared" si="77"/>
        <v>1697</v>
      </c>
      <c r="Q723" s="78">
        <f t="shared" si="78"/>
        <v>227.82666666666665</v>
      </c>
      <c r="R723" s="78">
        <f t="shared" si="79"/>
        <v>14.495849609375</v>
      </c>
      <c r="S723" s="78">
        <f t="shared" si="80"/>
        <v>23</v>
      </c>
      <c r="T723" s="78">
        <f t="shared" si="81"/>
        <v>53.159555555555556</v>
      </c>
      <c r="U723" s="78" t="str">
        <f t="shared" si="82"/>
        <v>35-60</v>
      </c>
      <c r="V723" s="78" t="str">
        <f t="shared" si="83"/>
        <v>10-20 Гб</v>
      </c>
    </row>
    <row r="724" spans="1:22" x14ac:dyDescent="0.25">
      <c r="A724" t="s">
        <v>662</v>
      </c>
      <c r="B724" s="43">
        <v>36165</v>
      </c>
      <c r="C724" t="s">
        <v>58</v>
      </c>
      <c r="D724" t="s">
        <v>51</v>
      </c>
      <c r="E724" t="s">
        <v>52</v>
      </c>
      <c r="F724" t="s">
        <v>57</v>
      </c>
      <c r="G724" s="43">
        <v>42989</v>
      </c>
      <c r="H724">
        <v>5</v>
      </c>
      <c r="I724">
        <v>79568</v>
      </c>
      <c r="J724">
        <v>88000000</v>
      </c>
      <c r="K724">
        <v>1</v>
      </c>
      <c r="L724">
        <v>1</v>
      </c>
      <c r="P724" s="77">
        <f t="shared" si="77"/>
        <v>1693</v>
      </c>
      <c r="Q724" s="78">
        <f t="shared" si="78"/>
        <v>265.22666666666669</v>
      </c>
      <c r="R724" s="78">
        <f t="shared" si="79"/>
        <v>16.78466796875</v>
      </c>
      <c r="S724" s="78">
        <f t="shared" si="80"/>
        <v>23</v>
      </c>
      <c r="T724" s="78">
        <f t="shared" si="81"/>
        <v>61.88622222222223</v>
      </c>
      <c r="U724" s="78" t="str">
        <f t="shared" si="82"/>
        <v>61-90</v>
      </c>
      <c r="V724" s="78" t="str">
        <f t="shared" si="83"/>
        <v>10-20 Гб</v>
      </c>
    </row>
    <row r="725" spans="1:22" x14ac:dyDescent="0.25">
      <c r="A725" t="s">
        <v>957</v>
      </c>
      <c r="B725" s="43">
        <v>36165</v>
      </c>
      <c r="C725" t="s">
        <v>50</v>
      </c>
      <c r="D725" t="s">
        <v>51</v>
      </c>
      <c r="E725" t="s">
        <v>52</v>
      </c>
      <c r="F725" t="s">
        <v>63</v>
      </c>
      <c r="G725" s="43">
        <v>43929</v>
      </c>
      <c r="H725">
        <v>5</v>
      </c>
      <c r="I725">
        <v>8348</v>
      </c>
      <c r="J725">
        <v>144000000</v>
      </c>
      <c r="L725">
        <v>1</v>
      </c>
      <c r="P725" s="77">
        <f t="shared" si="77"/>
        <v>753</v>
      </c>
      <c r="Q725" s="78">
        <f t="shared" si="78"/>
        <v>27.826666666666668</v>
      </c>
      <c r="R725" s="78">
        <f t="shared" si="79"/>
        <v>27.4658203125</v>
      </c>
      <c r="S725" s="78">
        <f t="shared" si="80"/>
        <v>23</v>
      </c>
      <c r="T725" s="78">
        <f t="shared" si="81"/>
        <v>6.4928888888888894</v>
      </c>
      <c r="U725" s="78" t="str">
        <f t="shared" si="82"/>
        <v>&lt;35</v>
      </c>
      <c r="V725" s="78" t="str">
        <f t="shared" si="83"/>
        <v>21-30 Гб</v>
      </c>
    </row>
    <row r="726" spans="1:22" x14ac:dyDescent="0.25">
      <c r="A726" t="s">
        <v>255</v>
      </c>
      <c r="B726" s="43">
        <v>36162</v>
      </c>
      <c r="C726" t="s">
        <v>50</v>
      </c>
      <c r="D726" t="s">
        <v>51</v>
      </c>
      <c r="E726" t="s">
        <v>52</v>
      </c>
      <c r="F726" t="s">
        <v>56</v>
      </c>
      <c r="G726" s="43">
        <v>43905</v>
      </c>
      <c r="H726">
        <v>5</v>
      </c>
      <c r="I726">
        <v>102048</v>
      </c>
      <c r="J726">
        <v>96000000</v>
      </c>
      <c r="P726" s="77">
        <f t="shared" si="77"/>
        <v>777</v>
      </c>
      <c r="Q726" s="78">
        <f t="shared" si="78"/>
        <v>340.16</v>
      </c>
      <c r="R726" s="78">
        <f t="shared" si="79"/>
        <v>18.310546875</v>
      </c>
      <c r="S726" s="78">
        <f t="shared" si="80"/>
        <v>23</v>
      </c>
      <c r="T726" s="78">
        <f t="shared" si="81"/>
        <v>79.370666666666679</v>
      </c>
      <c r="U726" s="78" t="str">
        <f t="shared" si="82"/>
        <v>61-90</v>
      </c>
      <c r="V726" s="78" t="str">
        <f t="shared" si="83"/>
        <v>10-20 Гб</v>
      </c>
    </row>
    <row r="727" spans="1:22" x14ac:dyDescent="0.25">
      <c r="A727" t="s">
        <v>256</v>
      </c>
      <c r="B727" s="43">
        <v>36162</v>
      </c>
      <c r="C727" t="s">
        <v>50</v>
      </c>
      <c r="D727" t="s">
        <v>51</v>
      </c>
      <c r="E727" t="s">
        <v>54</v>
      </c>
      <c r="F727" t="s">
        <v>63</v>
      </c>
      <c r="G727" s="43">
        <v>43324</v>
      </c>
      <c r="H727">
        <v>5</v>
      </c>
      <c r="I727">
        <v>32912</v>
      </c>
      <c r="J727">
        <v>148000000</v>
      </c>
      <c r="P727" s="77">
        <f t="shared" si="77"/>
        <v>1358</v>
      </c>
      <c r="Q727" s="78">
        <f t="shared" si="78"/>
        <v>109.70666666666666</v>
      </c>
      <c r="R727" s="78">
        <f t="shared" si="79"/>
        <v>28.228759765625</v>
      </c>
      <c r="S727" s="78">
        <f t="shared" si="80"/>
        <v>23</v>
      </c>
      <c r="T727" s="78">
        <f t="shared" si="81"/>
        <v>25.598222222222219</v>
      </c>
      <c r="U727" s="78" t="str">
        <f t="shared" si="82"/>
        <v>&lt;35</v>
      </c>
      <c r="V727" s="78" t="str">
        <f t="shared" si="83"/>
        <v>21-30 Гб</v>
      </c>
    </row>
    <row r="728" spans="1:22" x14ac:dyDescent="0.25">
      <c r="A728" t="s">
        <v>280</v>
      </c>
      <c r="B728" s="43">
        <v>36157</v>
      </c>
      <c r="C728" t="s">
        <v>58</v>
      </c>
      <c r="D728" t="s">
        <v>51</v>
      </c>
      <c r="E728" t="s">
        <v>52</v>
      </c>
      <c r="F728" t="s">
        <v>56</v>
      </c>
      <c r="G728" s="43">
        <v>43512</v>
      </c>
      <c r="H728">
        <v>5</v>
      </c>
      <c r="I728">
        <v>78864</v>
      </c>
      <c r="J728">
        <v>128000000</v>
      </c>
      <c r="L728">
        <v>1</v>
      </c>
      <c r="P728" s="77">
        <f t="shared" si="77"/>
        <v>1170</v>
      </c>
      <c r="Q728" s="78">
        <f t="shared" si="78"/>
        <v>262.88</v>
      </c>
      <c r="R728" s="78">
        <f t="shared" si="79"/>
        <v>24.4140625</v>
      </c>
      <c r="S728" s="78">
        <f t="shared" si="80"/>
        <v>23</v>
      </c>
      <c r="T728" s="78">
        <f t="shared" si="81"/>
        <v>61.338666666666661</v>
      </c>
      <c r="U728" s="78" t="str">
        <f t="shared" si="82"/>
        <v>61-90</v>
      </c>
      <c r="V728" s="78" t="str">
        <f t="shared" si="83"/>
        <v>21-30 Гб</v>
      </c>
    </row>
    <row r="729" spans="1:22" x14ac:dyDescent="0.25">
      <c r="A729" t="s">
        <v>366</v>
      </c>
      <c r="B729" s="43">
        <v>36154</v>
      </c>
      <c r="C729" t="s">
        <v>58</v>
      </c>
      <c r="D729" t="s">
        <v>51</v>
      </c>
      <c r="E729" t="s">
        <v>54</v>
      </c>
      <c r="F729" t="s">
        <v>56</v>
      </c>
      <c r="G729" s="43">
        <v>42810</v>
      </c>
      <c r="H729">
        <v>5</v>
      </c>
      <c r="I729">
        <v>114508</v>
      </c>
      <c r="J729">
        <v>136000000</v>
      </c>
      <c r="P729" s="77">
        <f t="shared" si="77"/>
        <v>1872</v>
      </c>
      <c r="Q729" s="78">
        <f t="shared" si="78"/>
        <v>381.69333333333333</v>
      </c>
      <c r="R729" s="78">
        <f t="shared" si="79"/>
        <v>25.93994140625</v>
      </c>
      <c r="S729" s="78">
        <f t="shared" si="80"/>
        <v>23</v>
      </c>
      <c r="T729" s="78">
        <f t="shared" si="81"/>
        <v>89.061777777777777</v>
      </c>
      <c r="U729" s="78" t="str">
        <f t="shared" si="82"/>
        <v>61-90</v>
      </c>
      <c r="V729" s="78" t="str">
        <f t="shared" si="83"/>
        <v>21-30 Гб</v>
      </c>
    </row>
    <row r="730" spans="1:22" x14ac:dyDescent="0.25">
      <c r="A730" t="s">
        <v>693</v>
      </c>
      <c r="B730" s="43">
        <v>36152</v>
      </c>
      <c r="C730" t="s">
        <v>58</v>
      </c>
      <c r="D730" t="s">
        <v>51</v>
      </c>
      <c r="E730" t="s">
        <v>52</v>
      </c>
      <c r="F730" t="s">
        <v>57</v>
      </c>
      <c r="G730" s="43">
        <v>44319</v>
      </c>
      <c r="H730">
        <v>5</v>
      </c>
      <c r="I730">
        <v>90576</v>
      </c>
      <c r="J730">
        <v>68000000</v>
      </c>
      <c r="K730">
        <v>1</v>
      </c>
      <c r="L730">
        <v>1</v>
      </c>
      <c r="P730" s="77">
        <f t="shared" si="77"/>
        <v>363</v>
      </c>
      <c r="Q730" s="78">
        <f t="shared" si="78"/>
        <v>301.92</v>
      </c>
      <c r="R730" s="78">
        <f t="shared" si="79"/>
        <v>12.969970703125</v>
      </c>
      <c r="S730" s="78">
        <f t="shared" si="80"/>
        <v>23</v>
      </c>
      <c r="T730" s="78">
        <f t="shared" si="81"/>
        <v>70.448000000000008</v>
      </c>
      <c r="U730" s="78" t="str">
        <f t="shared" si="82"/>
        <v>61-90</v>
      </c>
      <c r="V730" s="78" t="str">
        <f t="shared" si="83"/>
        <v>10-20 Гб</v>
      </c>
    </row>
    <row r="731" spans="1:22" x14ac:dyDescent="0.25">
      <c r="A731" t="s">
        <v>244</v>
      </c>
      <c r="B731" s="43">
        <v>36143</v>
      </c>
      <c r="C731" t="s">
        <v>58</v>
      </c>
      <c r="D731" t="s">
        <v>51</v>
      </c>
      <c r="E731" t="s">
        <v>52</v>
      </c>
      <c r="F731" t="s">
        <v>56</v>
      </c>
      <c r="G731" s="43">
        <v>43782</v>
      </c>
      <c r="H731">
        <v>5</v>
      </c>
      <c r="I731">
        <v>44364</v>
      </c>
      <c r="J731">
        <v>128000000</v>
      </c>
      <c r="P731" s="77">
        <f t="shared" si="77"/>
        <v>900</v>
      </c>
      <c r="Q731" s="78">
        <f t="shared" si="78"/>
        <v>147.88</v>
      </c>
      <c r="R731" s="78">
        <f t="shared" si="79"/>
        <v>24.4140625</v>
      </c>
      <c r="S731" s="78">
        <f t="shared" si="80"/>
        <v>23</v>
      </c>
      <c r="T731" s="78">
        <f t="shared" si="81"/>
        <v>34.505333333333326</v>
      </c>
      <c r="U731" s="78" t="str">
        <f t="shared" si="82"/>
        <v>&lt;35</v>
      </c>
      <c r="V731" s="78" t="str">
        <f t="shared" si="83"/>
        <v>21-30 Гб</v>
      </c>
    </row>
    <row r="732" spans="1:22" x14ac:dyDescent="0.25">
      <c r="A732" t="s">
        <v>116</v>
      </c>
      <c r="B732" s="43">
        <v>36140</v>
      </c>
      <c r="C732" t="s">
        <v>58</v>
      </c>
      <c r="D732" t="s">
        <v>51</v>
      </c>
      <c r="E732" t="s">
        <v>54</v>
      </c>
      <c r="F732" t="s">
        <v>57</v>
      </c>
      <c r="G732" s="43">
        <v>44588</v>
      </c>
      <c r="H732">
        <v>3</v>
      </c>
      <c r="I732">
        <v>75200</v>
      </c>
      <c r="J732">
        <v>65800000</v>
      </c>
      <c r="P732" s="77">
        <f t="shared" si="77"/>
        <v>94</v>
      </c>
      <c r="Q732" s="78">
        <f t="shared" si="78"/>
        <v>400</v>
      </c>
      <c r="R732" s="78">
        <f t="shared" si="79"/>
        <v>20.02716064453125</v>
      </c>
      <c r="S732" s="78">
        <f t="shared" si="80"/>
        <v>23</v>
      </c>
      <c r="T732" s="78">
        <f t="shared" si="81"/>
        <v>93.333333333333329</v>
      </c>
      <c r="U732" s="78" t="str">
        <f t="shared" si="82"/>
        <v>91-120</v>
      </c>
      <c r="V732" s="78" t="str">
        <f t="shared" si="83"/>
        <v>21-30 Гб</v>
      </c>
    </row>
    <row r="733" spans="1:22" x14ac:dyDescent="0.25">
      <c r="A733" t="s">
        <v>165</v>
      </c>
      <c r="B733" s="43">
        <v>36136</v>
      </c>
      <c r="C733" t="s">
        <v>50</v>
      </c>
      <c r="D733" t="s">
        <v>51</v>
      </c>
      <c r="E733" t="s">
        <v>52</v>
      </c>
      <c r="F733" t="s">
        <v>53</v>
      </c>
      <c r="G733" s="43">
        <v>44526</v>
      </c>
      <c r="H733">
        <v>5</v>
      </c>
      <c r="I733">
        <v>109148</v>
      </c>
      <c r="J733">
        <v>132000000</v>
      </c>
      <c r="K733">
        <v>1</v>
      </c>
      <c r="L733">
        <v>1</v>
      </c>
      <c r="M733">
        <v>1</v>
      </c>
      <c r="O733">
        <v>1</v>
      </c>
      <c r="P733" s="77">
        <f t="shared" si="77"/>
        <v>156</v>
      </c>
      <c r="Q733" s="78">
        <f t="shared" si="78"/>
        <v>363.82666666666665</v>
      </c>
      <c r="R733" s="78">
        <f t="shared" si="79"/>
        <v>25.177001953125</v>
      </c>
      <c r="S733" s="78">
        <f t="shared" si="80"/>
        <v>23</v>
      </c>
      <c r="T733" s="78">
        <f t="shared" si="81"/>
        <v>84.892888888888876</v>
      </c>
      <c r="U733" s="78" t="str">
        <f t="shared" si="82"/>
        <v>61-90</v>
      </c>
      <c r="V733" s="78" t="str">
        <f t="shared" si="83"/>
        <v>21-30 Гб</v>
      </c>
    </row>
    <row r="734" spans="1:22" x14ac:dyDescent="0.25">
      <c r="A734" t="s">
        <v>153</v>
      </c>
      <c r="B734" s="43">
        <v>36132</v>
      </c>
      <c r="C734" t="s">
        <v>50</v>
      </c>
      <c r="D734" t="s">
        <v>51</v>
      </c>
      <c r="E734" t="s">
        <v>52</v>
      </c>
      <c r="F734" t="s">
        <v>63</v>
      </c>
      <c r="G734" s="43">
        <v>44551</v>
      </c>
      <c r="H734">
        <v>4</v>
      </c>
      <c r="I734">
        <v>93956</v>
      </c>
      <c r="J734">
        <v>16000000</v>
      </c>
      <c r="K734">
        <v>1</v>
      </c>
      <c r="P734" s="77">
        <f t="shared" si="77"/>
        <v>131</v>
      </c>
      <c r="Q734" s="78">
        <f t="shared" si="78"/>
        <v>313.18666666666667</v>
      </c>
      <c r="R734" s="78">
        <f t="shared" si="79"/>
        <v>3.0517578125</v>
      </c>
      <c r="S734" s="78">
        <f t="shared" si="80"/>
        <v>23</v>
      </c>
      <c r="T734" s="78">
        <f t="shared" si="81"/>
        <v>73.076888888888888</v>
      </c>
      <c r="U734" s="78" t="str">
        <f t="shared" si="82"/>
        <v>61-90</v>
      </c>
      <c r="V734" s="78" t="str">
        <f t="shared" si="83"/>
        <v>&lt;10 Гб</v>
      </c>
    </row>
    <row r="735" spans="1:22" x14ac:dyDescent="0.25">
      <c r="A735" t="s">
        <v>228</v>
      </c>
      <c r="B735" s="43">
        <v>36132</v>
      </c>
      <c r="C735" t="s">
        <v>50</v>
      </c>
      <c r="D735" t="s">
        <v>51</v>
      </c>
      <c r="E735" t="s">
        <v>54</v>
      </c>
      <c r="F735" t="s">
        <v>56</v>
      </c>
      <c r="G735" s="43">
        <v>42838</v>
      </c>
      <c r="H735">
        <v>5</v>
      </c>
      <c r="I735">
        <v>26360</v>
      </c>
      <c r="J735">
        <v>144000000</v>
      </c>
      <c r="M735">
        <v>1</v>
      </c>
      <c r="P735" s="77">
        <f t="shared" si="77"/>
        <v>1844</v>
      </c>
      <c r="Q735" s="78">
        <f t="shared" si="78"/>
        <v>87.86666666666666</v>
      </c>
      <c r="R735" s="78">
        <f t="shared" si="79"/>
        <v>27.4658203125</v>
      </c>
      <c r="S735" s="78">
        <f t="shared" si="80"/>
        <v>23</v>
      </c>
      <c r="T735" s="78">
        <f t="shared" si="81"/>
        <v>20.502222222222219</v>
      </c>
      <c r="U735" s="78" t="str">
        <f t="shared" si="82"/>
        <v>&lt;35</v>
      </c>
      <c r="V735" s="78" t="str">
        <f t="shared" si="83"/>
        <v>21-30 Гб</v>
      </c>
    </row>
    <row r="736" spans="1:22" x14ac:dyDescent="0.25">
      <c r="A736" t="s">
        <v>685</v>
      </c>
      <c r="B736" s="43">
        <v>36131</v>
      </c>
      <c r="C736" t="s">
        <v>58</v>
      </c>
      <c r="D736" t="s">
        <v>51</v>
      </c>
      <c r="E736" t="s">
        <v>54</v>
      </c>
      <c r="F736" t="s">
        <v>57</v>
      </c>
      <c r="G736" s="43">
        <v>43813</v>
      </c>
      <c r="H736">
        <v>5</v>
      </c>
      <c r="I736">
        <v>57592</v>
      </c>
      <c r="J736">
        <v>84000000</v>
      </c>
      <c r="P736" s="77">
        <f t="shared" si="77"/>
        <v>869</v>
      </c>
      <c r="Q736" s="78">
        <f t="shared" si="78"/>
        <v>191.97333333333333</v>
      </c>
      <c r="R736" s="78">
        <f t="shared" si="79"/>
        <v>16.021728515625</v>
      </c>
      <c r="S736" s="78">
        <f t="shared" si="80"/>
        <v>23</v>
      </c>
      <c r="T736" s="78">
        <f t="shared" si="81"/>
        <v>44.793777777777777</v>
      </c>
      <c r="U736" s="78" t="str">
        <f t="shared" si="82"/>
        <v>35-60</v>
      </c>
      <c r="V736" s="78" t="str">
        <f t="shared" si="83"/>
        <v>10-20 Гб</v>
      </c>
    </row>
    <row r="737" spans="1:22" x14ac:dyDescent="0.25">
      <c r="A737" t="s">
        <v>200</v>
      </c>
      <c r="B737" s="43">
        <v>36129</v>
      </c>
      <c r="C737" t="s">
        <v>58</v>
      </c>
      <c r="D737" t="s">
        <v>51</v>
      </c>
      <c r="E737" t="s">
        <v>52</v>
      </c>
      <c r="F737" t="s">
        <v>53</v>
      </c>
      <c r="G737" s="43">
        <v>42749</v>
      </c>
      <c r="H737">
        <v>5</v>
      </c>
      <c r="I737">
        <v>126444</v>
      </c>
      <c r="J737">
        <v>104000000</v>
      </c>
      <c r="P737" s="77">
        <f t="shared" si="77"/>
        <v>1933</v>
      </c>
      <c r="Q737" s="78">
        <f t="shared" si="78"/>
        <v>421.48</v>
      </c>
      <c r="R737" s="78">
        <f t="shared" si="79"/>
        <v>19.83642578125</v>
      </c>
      <c r="S737" s="78">
        <f t="shared" si="80"/>
        <v>23</v>
      </c>
      <c r="T737" s="78">
        <f t="shared" si="81"/>
        <v>98.345333333333343</v>
      </c>
      <c r="U737" s="78" t="str">
        <f t="shared" si="82"/>
        <v>91-120</v>
      </c>
      <c r="V737" s="78" t="str">
        <f t="shared" si="83"/>
        <v>10-20 Гб</v>
      </c>
    </row>
    <row r="738" spans="1:22" x14ac:dyDescent="0.25">
      <c r="A738" t="s">
        <v>752</v>
      </c>
      <c r="B738" s="43">
        <v>36122</v>
      </c>
      <c r="C738" t="s">
        <v>50</v>
      </c>
      <c r="D738" t="s">
        <v>51</v>
      </c>
      <c r="E738" t="s">
        <v>54</v>
      </c>
      <c r="F738" t="s">
        <v>57</v>
      </c>
      <c r="G738" s="43">
        <v>43130</v>
      </c>
      <c r="H738">
        <v>5</v>
      </c>
      <c r="I738">
        <v>95840</v>
      </c>
      <c r="J738">
        <v>16000000</v>
      </c>
      <c r="P738" s="77">
        <f t="shared" si="77"/>
        <v>1552</v>
      </c>
      <c r="Q738" s="78">
        <f t="shared" si="78"/>
        <v>319.46666666666664</v>
      </c>
      <c r="R738" s="78">
        <f t="shared" si="79"/>
        <v>3.0517578125</v>
      </c>
      <c r="S738" s="78">
        <f t="shared" si="80"/>
        <v>23</v>
      </c>
      <c r="T738" s="78">
        <f t="shared" si="81"/>
        <v>74.542222222222208</v>
      </c>
      <c r="U738" s="78" t="str">
        <f t="shared" si="82"/>
        <v>61-90</v>
      </c>
      <c r="V738" s="78" t="str">
        <f t="shared" si="83"/>
        <v>&lt;10 Гб</v>
      </c>
    </row>
    <row r="739" spans="1:22" x14ac:dyDescent="0.25">
      <c r="A739" t="s">
        <v>723</v>
      </c>
      <c r="B739" s="43">
        <v>36121</v>
      </c>
      <c r="C739" t="s">
        <v>50</v>
      </c>
      <c r="D739" t="s">
        <v>51</v>
      </c>
      <c r="E739" t="s">
        <v>54</v>
      </c>
      <c r="F739" t="s">
        <v>57</v>
      </c>
      <c r="G739" s="43">
        <v>42865</v>
      </c>
      <c r="H739">
        <v>5</v>
      </c>
      <c r="I739">
        <v>71984</v>
      </c>
      <c r="J739">
        <v>92000000</v>
      </c>
      <c r="P739" s="77">
        <f t="shared" si="77"/>
        <v>1817</v>
      </c>
      <c r="Q739" s="78">
        <f t="shared" si="78"/>
        <v>239.94666666666666</v>
      </c>
      <c r="R739" s="78">
        <f t="shared" si="79"/>
        <v>17.547607421875</v>
      </c>
      <c r="S739" s="78">
        <f t="shared" si="80"/>
        <v>23</v>
      </c>
      <c r="T739" s="78">
        <f t="shared" si="81"/>
        <v>55.987555555555552</v>
      </c>
      <c r="U739" s="78" t="str">
        <f t="shared" si="82"/>
        <v>35-60</v>
      </c>
      <c r="V739" s="78" t="str">
        <f t="shared" si="83"/>
        <v>10-20 Гб</v>
      </c>
    </row>
    <row r="740" spans="1:22" x14ac:dyDescent="0.25">
      <c r="A740" t="s">
        <v>135</v>
      </c>
      <c r="B740" s="43">
        <v>36118</v>
      </c>
      <c r="C740" t="s">
        <v>50</v>
      </c>
      <c r="D740" t="s">
        <v>51</v>
      </c>
      <c r="E740" t="s">
        <v>52</v>
      </c>
      <c r="F740" t="s">
        <v>69</v>
      </c>
      <c r="G740" s="43">
        <v>44585</v>
      </c>
      <c r="H740">
        <v>3</v>
      </c>
      <c r="I740">
        <v>21685</v>
      </c>
      <c r="J740">
        <v>3233333</v>
      </c>
      <c r="K740">
        <v>1</v>
      </c>
      <c r="L740">
        <v>1</v>
      </c>
      <c r="O740">
        <v>1</v>
      </c>
      <c r="P740" s="77">
        <f t="shared" si="77"/>
        <v>97</v>
      </c>
      <c r="Q740" s="78">
        <f t="shared" si="78"/>
        <v>111.77835051546391</v>
      </c>
      <c r="R740" s="78">
        <f t="shared" si="79"/>
        <v>0.95367421808931019</v>
      </c>
      <c r="S740" s="78">
        <f t="shared" si="80"/>
        <v>23</v>
      </c>
      <c r="T740" s="78">
        <f t="shared" si="81"/>
        <v>26.081615120274915</v>
      </c>
      <c r="U740" s="78" t="str">
        <f t="shared" si="82"/>
        <v>&lt;35</v>
      </c>
      <c r="V740" s="78" t="str">
        <f t="shared" si="83"/>
        <v>&lt;10 Гб</v>
      </c>
    </row>
    <row r="741" spans="1:22" x14ac:dyDescent="0.25">
      <c r="A741" t="s">
        <v>1183</v>
      </c>
      <c r="B741" s="43">
        <v>36118</v>
      </c>
      <c r="C741" t="s">
        <v>58</v>
      </c>
      <c r="D741" t="s">
        <v>51</v>
      </c>
      <c r="E741" t="s">
        <v>52</v>
      </c>
      <c r="F741" t="s">
        <v>69</v>
      </c>
      <c r="G741" s="43">
        <v>44381</v>
      </c>
      <c r="H741">
        <v>5</v>
      </c>
      <c r="I741">
        <v>34280</v>
      </c>
      <c r="J741">
        <v>16000000</v>
      </c>
      <c r="L741">
        <v>1</v>
      </c>
      <c r="P741" s="77">
        <f t="shared" si="77"/>
        <v>301</v>
      </c>
      <c r="Q741" s="78">
        <f t="shared" si="78"/>
        <v>114.26666666666667</v>
      </c>
      <c r="R741" s="78">
        <f t="shared" si="79"/>
        <v>3.0517578125</v>
      </c>
      <c r="S741" s="78">
        <f t="shared" si="80"/>
        <v>23</v>
      </c>
      <c r="T741" s="78">
        <f t="shared" si="81"/>
        <v>26.662222222222223</v>
      </c>
      <c r="U741" s="78" t="str">
        <f t="shared" si="82"/>
        <v>&lt;35</v>
      </c>
      <c r="V741" s="78" t="str">
        <f t="shared" si="83"/>
        <v>&lt;10 Гб</v>
      </c>
    </row>
    <row r="742" spans="1:22" x14ac:dyDescent="0.25">
      <c r="A742" t="s">
        <v>95</v>
      </c>
      <c r="B742" s="43">
        <v>36116</v>
      </c>
      <c r="C742" t="s">
        <v>50</v>
      </c>
      <c r="D742" t="s">
        <v>51</v>
      </c>
      <c r="E742" t="s">
        <v>52</v>
      </c>
      <c r="F742" t="s">
        <v>69</v>
      </c>
      <c r="G742" s="43">
        <v>44639</v>
      </c>
      <c r="H742">
        <v>1</v>
      </c>
      <c r="I742">
        <v>13879</v>
      </c>
      <c r="J742">
        <v>4300000</v>
      </c>
      <c r="K742">
        <v>1</v>
      </c>
      <c r="P742" s="77">
        <f t="shared" si="77"/>
        <v>43</v>
      </c>
      <c r="Q742" s="78">
        <f t="shared" si="78"/>
        <v>161.38372093023256</v>
      </c>
      <c r="R742" s="78">
        <f t="shared" si="79"/>
        <v>2.86102294921875</v>
      </c>
      <c r="S742" s="78">
        <f t="shared" si="80"/>
        <v>23</v>
      </c>
      <c r="T742" s="78">
        <f t="shared" si="81"/>
        <v>37.656201550387593</v>
      </c>
      <c r="U742" s="78" t="str">
        <f t="shared" si="82"/>
        <v>35-60</v>
      </c>
      <c r="V742" s="78" t="str">
        <f t="shared" si="83"/>
        <v>&lt;10 Гб</v>
      </c>
    </row>
    <row r="743" spans="1:22" x14ac:dyDescent="0.25">
      <c r="A743" t="s">
        <v>830</v>
      </c>
      <c r="B743" s="43">
        <v>36115</v>
      </c>
      <c r="C743" t="s">
        <v>50</v>
      </c>
      <c r="D743" t="s">
        <v>51</v>
      </c>
      <c r="E743" t="s">
        <v>54</v>
      </c>
      <c r="F743" t="s">
        <v>63</v>
      </c>
      <c r="G743" s="43">
        <v>44146</v>
      </c>
      <c r="H743">
        <v>5</v>
      </c>
      <c r="I743">
        <v>33640</v>
      </c>
      <c r="J743">
        <v>152000000</v>
      </c>
      <c r="P743" s="77">
        <f t="shared" si="77"/>
        <v>536</v>
      </c>
      <c r="Q743" s="78">
        <f t="shared" si="78"/>
        <v>112.13333333333334</v>
      </c>
      <c r="R743" s="78">
        <f t="shared" si="79"/>
        <v>28.99169921875</v>
      </c>
      <c r="S743" s="78">
        <f t="shared" si="80"/>
        <v>23</v>
      </c>
      <c r="T743" s="78">
        <f t="shared" si="81"/>
        <v>26.164444444444445</v>
      </c>
      <c r="U743" s="78" t="str">
        <f t="shared" si="82"/>
        <v>&lt;35</v>
      </c>
      <c r="V743" s="78" t="str">
        <f t="shared" si="83"/>
        <v>21-30 Гб</v>
      </c>
    </row>
    <row r="744" spans="1:22" x14ac:dyDescent="0.25">
      <c r="A744" t="s">
        <v>94</v>
      </c>
      <c r="B744" s="43">
        <v>36110</v>
      </c>
      <c r="C744" t="s">
        <v>50</v>
      </c>
      <c r="D744" t="s">
        <v>51</v>
      </c>
      <c r="E744" t="s">
        <v>52</v>
      </c>
      <c r="F744" t="s">
        <v>63</v>
      </c>
      <c r="G744" s="43">
        <v>44624</v>
      </c>
      <c r="H744">
        <v>1</v>
      </c>
      <c r="I744">
        <v>8951</v>
      </c>
      <c r="J744">
        <v>9666667</v>
      </c>
      <c r="K744">
        <v>1</v>
      </c>
      <c r="P744" s="77">
        <f t="shared" si="77"/>
        <v>58</v>
      </c>
      <c r="Q744" s="78">
        <f t="shared" si="78"/>
        <v>77.16379310344827</v>
      </c>
      <c r="R744" s="78">
        <f t="shared" si="79"/>
        <v>4.7683717464578566</v>
      </c>
      <c r="S744" s="78">
        <f t="shared" si="80"/>
        <v>23</v>
      </c>
      <c r="T744" s="78">
        <f t="shared" si="81"/>
        <v>18.004885057471263</v>
      </c>
      <c r="U744" s="78" t="str">
        <f t="shared" si="82"/>
        <v>&lt;35</v>
      </c>
      <c r="V744" s="78" t="str">
        <f t="shared" si="83"/>
        <v>&lt;10 Гб</v>
      </c>
    </row>
    <row r="745" spans="1:22" x14ac:dyDescent="0.25">
      <c r="A745" t="s">
        <v>125</v>
      </c>
      <c r="B745" s="43">
        <v>36105</v>
      </c>
      <c r="C745" t="s">
        <v>50</v>
      </c>
      <c r="D745" t="s">
        <v>51</v>
      </c>
      <c r="E745" t="s">
        <v>54</v>
      </c>
      <c r="F745" t="s">
        <v>63</v>
      </c>
      <c r="G745" s="43">
        <v>44578</v>
      </c>
      <c r="H745">
        <v>3</v>
      </c>
      <c r="I745">
        <v>24805</v>
      </c>
      <c r="J745">
        <v>131733333</v>
      </c>
      <c r="P745" s="77">
        <f t="shared" si="77"/>
        <v>104</v>
      </c>
      <c r="Q745" s="78">
        <f t="shared" si="78"/>
        <v>119.25480769230769</v>
      </c>
      <c r="R745" s="78">
        <f t="shared" si="79"/>
        <v>36.239623931738045</v>
      </c>
      <c r="S745" s="78">
        <f t="shared" si="80"/>
        <v>23</v>
      </c>
      <c r="T745" s="78">
        <f t="shared" si="81"/>
        <v>27.826121794871792</v>
      </c>
      <c r="U745" s="78" t="str">
        <f t="shared" si="82"/>
        <v>&lt;35</v>
      </c>
      <c r="V745" s="78" t="str">
        <f t="shared" si="83"/>
        <v>31-40 Гб</v>
      </c>
    </row>
    <row r="746" spans="1:22" x14ac:dyDescent="0.25">
      <c r="A746" t="s">
        <v>121</v>
      </c>
      <c r="B746" s="43">
        <v>36104</v>
      </c>
      <c r="C746" t="s">
        <v>50</v>
      </c>
      <c r="D746" t="s">
        <v>51</v>
      </c>
      <c r="E746" t="s">
        <v>52</v>
      </c>
      <c r="F746" t="s">
        <v>57</v>
      </c>
      <c r="G746" s="43">
        <v>44569</v>
      </c>
      <c r="H746">
        <v>3</v>
      </c>
      <c r="I746">
        <v>12810</v>
      </c>
      <c r="J746">
        <v>90400000</v>
      </c>
      <c r="K746">
        <v>1</v>
      </c>
      <c r="P746" s="77">
        <f t="shared" si="77"/>
        <v>113</v>
      </c>
      <c r="Q746" s="78">
        <f t="shared" si="78"/>
        <v>56.681415929203538</v>
      </c>
      <c r="R746" s="78">
        <f t="shared" si="79"/>
        <v>22.88818359375</v>
      </c>
      <c r="S746" s="78">
        <f t="shared" si="80"/>
        <v>23</v>
      </c>
      <c r="T746" s="78">
        <f t="shared" si="81"/>
        <v>13.225663716814159</v>
      </c>
      <c r="U746" s="78" t="str">
        <f t="shared" si="82"/>
        <v>&lt;35</v>
      </c>
      <c r="V746" s="78" t="str">
        <f t="shared" si="83"/>
        <v>21-30 Гб</v>
      </c>
    </row>
    <row r="747" spans="1:22" x14ac:dyDescent="0.25">
      <c r="A747" t="s">
        <v>227</v>
      </c>
      <c r="B747" s="43">
        <v>36104</v>
      </c>
      <c r="C747" t="s">
        <v>50</v>
      </c>
      <c r="D747" t="s">
        <v>51</v>
      </c>
      <c r="E747" t="s">
        <v>52</v>
      </c>
      <c r="F747" t="s">
        <v>56</v>
      </c>
      <c r="G747" s="43">
        <v>44395</v>
      </c>
      <c r="H747">
        <v>5</v>
      </c>
      <c r="I747">
        <v>71364</v>
      </c>
      <c r="J747">
        <v>104000000</v>
      </c>
      <c r="L747">
        <v>1</v>
      </c>
      <c r="P747" s="77">
        <f t="shared" si="77"/>
        <v>287</v>
      </c>
      <c r="Q747" s="78">
        <f t="shared" si="78"/>
        <v>237.88</v>
      </c>
      <c r="R747" s="78">
        <f t="shared" si="79"/>
        <v>19.83642578125</v>
      </c>
      <c r="S747" s="78">
        <f t="shared" si="80"/>
        <v>23</v>
      </c>
      <c r="T747" s="78">
        <f t="shared" si="81"/>
        <v>55.505333333333326</v>
      </c>
      <c r="U747" s="78" t="str">
        <f t="shared" si="82"/>
        <v>35-60</v>
      </c>
      <c r="V747" s="78" t="str">
        <f t="shared" si="83"/>
        <v>10-20 Гб</v>
      </c>
    </row>
    <row r="748" spans="1:22" x14ac:dyDescent="0.25">
      <c r="A748" t="s">
        <v>775</v>
      </c>
      <c r="B748" s="43">
        <v>36099</v>
      </c>
      <c r="C748" t="s">
        <v>58</v>
      </c>
      <c r="D748" t="s">
        <v>51</v>
      </c>
      <c r="E748" t="s">
        <v>54</v>
      </c>
      <c r="F748" t="s">
        <v>63</v>
      </c>
      <c r="G748" s="43">
        <v>42938</v>
      </c>
      <c r="H748">
        <v>5</v>
      </c>
      <c r="I748">
        <v>15056</v>
      </c>
      <c r="J748">
        <v>156000000</v>
      </c>
      <c r="N748">
        <v>1</v>
      </c>
      <c r="P748" s="77">
        <f t="shared" si="77"/>
        <v>1744</v>
      </c>
      <c r="Q748" s="78">
        <f t="shared" si="78"/>
        <v>50.186666666666667</v>
      </c>
      <c r="R748" s="78">
        <f t="shared" si="79"/>
        <v>29.754638671875</v>
      </c>
      <c r="S748" s="78">
        <f t="shared" si="80"/>
        <v>23</v>
      </c>
      <c r="T748" s="78">
        <f t="shared" si="81"/>
        <v>11.710222222222223</v>
      </c>
      <c r="U748" s="78" t="str">
        <f t="shared" si="82"/>
        <v>&lt;35</v>
      </c>
      <c r="V748" s="78" t="str">
        <f t="shared" si="83"/>
        <v>21-30 Гб</v>
      </c>
    </row>
    <row r="749" spans="1:22" x14ac:dyDescent="0.25">
      <c r="A749" t="s">
        <v>306</v>
      </c>
      <c r="B749" s="43">
        <v>36098</v>
      </c>
      <c r="C749" t="s">
        <v>58</v>
      </c>
      <c r="D749" t="s">
        <v>51</v>
      </c>
      <c r="E749" t="s">
        <v>52</v>
      </c>
      <c r="F749" t="s">
        <v>56</v>
      </c>
      <c r="G749" s="43">
        <v>44209</v>
      </c>
      <c r="H749">
        <v>5</v>
      </c>
      <c r="I749">
        <v>115844</v>
      </c>
      <c r="J749">
        <v>112000000</v>
      </c>
      <c r="P749" s="77">
        <f t="shared" si="77"/>
        <v>473</v>
      </c>
      <c r="Q749" s="78">
        <f t="shared" si="78"/>
        <v>386.14666666666665</v>
      </c>
      <c r="R749" s="78">
        <f t="shared" si="79"/>
        <v>21.3623046875</v>
      </c>
      <c r="S749" s="78">
        <f t="shared" si="80"/>
        <v>23</v>
      </c>
      <c r="T749" s="78">
        <f t="shared" si="81"/>
        <v>90.100888888888889</v>
      </c>
      <c r="U749" s="78" t="str">
        <f t="shared" si="82"/>
        <v>91-120</v>
      </c>
      <c r="V749" s="78" t="str">
        <f t="shared" si="83"/>
        <v>21-30 Гб</v>
      </c>
    </row>
    <row r="750" spans="1:22" x14ac:dyDescent="0.25">
      <c r="A750" t="s">
        <v>488</v>
      </c>
      <c r="B750" s="43">
        <v>36095</v>
      </c>
      <c r="C750" t="s">
        <v>58</v>
      </c>
      <c r="D750" t="s">
        <v>51</v>
      </c>
      <c r="E750" t="s">
        <v>54</v>
      </c>
      <c r="F750" t="s">
        <v>57</v>
      </c>
      <c r="G750" s="43">
        <v>43460</v>
      </c>
      <c r="H750">
        <v>5</v>
      </c>
      <c r="I750">
        <v>52772</v>
      </c>
      <c r="J750">
        <v>8000000</v>
      </c>
      <c r="P750" s="77">
        <f t="shared" si="77"/>
        <v>1222</v>
      </c>
      <c r="Q750" s="78">
        <f t="shared" si="78"/>
        <v>175.90666666666667</v>
      </c>
      <c r="R750" s="78">
        <f t="shared" si="79"/>
        <v>1.52587890625</v>
      </c>
      <c r="S750" s="78">
        <f t="shared" si="80"/>
        <v>23</v>
      </c>
      <c r="T750" s="78">
        <f t="shared" si="81"/>
        <v>41.044888888888885</v>
      </c>
      <c r="U750" s="78" t="str">
        <f t="shared" si="82"/>
        <v>35-60</v>
      </c>
      <c r="V750" s="78" t="str">
        <f t="shared" si="83"/>
        <v>&lt;10 Гб</v>
      </c>
    </row>
    <row r="751" spans="1:22" x14ac:dyDescent="0.25">
      <c r="A751" t="s">
        <v>772</v>
      </c>
      <c r="B751" s="43">
        <v>36091</v>
      </c>
      <c r="C751" t="s">
        <v>50</v>
      </c>
      <c r="D751" t="s">
        <v>51</v>
      </c>
      <c r="E751" t="s">
        <v>52</v>
      </c>
      <c r="F751" t="s">
        <v>63</v>
      </c>
      <c r="G751" s="43">
        <v>44492</v>
      </c>
      <c r="H751">
        <v>5</v>
      </c>
      <c r="I751">
        <v>35568</v>
      </c>
      <c r="J751">
        <v>140000000</v>
      </c>
      <c r="P751" s="77">
        <f t="shared" si="77"/>
        <v>190</v>
      </c>
      <c r="Q751" s="78">
        <f t="shared" si="78"/>
        <v>118.56</v>
      </c>
      <c r="R751" s="78">
        <f t="shared" si="79"/>
        <v>26.702880859375</v>
      </c>
      <c r="S751" s="78">
        <f t="shared" si="80"/>
        <v>23</v>
      </c>
      <c r="T751" s="78">
        <f t="shared" si="81"/>
        <v>27.664000000000001</v>
      </c>
      <c r="U751" s="78" t="str">
        <f t="shared" si="82"/>
        <v>&lt;35</v>
      </c>
      <c r="V751" s="78" t="str">
        <f t="shared" si="83"/>
        <v>21-30 Гб</v>
      </c>
    </row>
    <row r="752" spans="1:22" x14ac:dyDescent="0.25">
      <c r="A752" t="s">
        <v>457</v>
      </c>
      <c r="B752" s="43">
        <v>36089</v>
      </c>
      <c r="C752" t="s">
        <v>58</v>
      </c>
      <c r="D752" t="s">
        <v>51</v>
      </c>
      <c r="E752" t="s">
        <v>54</v>
      </c>
      <c r="F752" t="s">
        <v>57</v>
      </c>
      <c r="G752" s="43">
        <v>43961</v>
      </c>
      <c r="H752">
        <v>5</v>
      </c>
      <c r="I752">
        <v>80012</v>
      </c>
      <c r="J752">
        <v>92000000</v>
      </c>
      <c r="P752" s="77">
        <f t="shared" si="77"/>
        <v>721</v>
      </c>
      <c r="Q752" s="78">
        <f t="shared" si="78"/>
        <v>266.70666666666665</v>
      </c>
      <c r="R752" s="78">
        <f t="shared" si="79"/>
        <v>17.547607421875</v>
      </c>
      <c r="S752" s="78">
        <f t="shared" si="80"/>
        <v>23</v>
      </c>
      <c r="T752" s="78">
        <f t="shared" si="81"/>
        <v>62.231555555555552</v>
      </c>
      <c r="U752" s="78" t="str">
        <f t="shared" si="82"/>
        <v>61-90</v>
      </c>
      <c r="V752" s="78" t="str">
        <f t="shared" si="83"/>
        <v>10-20 Гб</v>
      </c>
    </row>
    <row r="753" spans="1:22" x14ac:dyDescent="0.25">
      <c r="A753" t="s">
        <v>626</v>
      </c>
      <c r="B753" s="43">
        <v>36089</v>
      </c>
      <c r="C753" t="s">
        <v>50</v>
      </c>
      <c r="D753" t="s">
        <v>51</v>
      </c>
      <c r="E753" t="s">
        <v>52</v>
      </c>
      <c r="F753" t="s">
        <v>57</v>
      </c>
      <c r="G753" s="43">
        <v>42739</v>
      </c>
      <c r="H753">
        <v>5</v>
      </c>
      <c r="I753">
        <v>37068</v>
      </c>
      <c r="J753">
        <v>16000000</v>
      </c>
      <c r="P753" s="77">
        <f t="shared" si="77"/>
        <v>1943</v>
      </c>
      <c r="Q753" s="78">
        <f t="shared" si="78"/>
        <v>123.56</v>
      </c>
      <c r="R753" s="78">
        <f t="shared" si="79"/>
        <v>3.0517578125</v>
      </c>
      <c r="S753" s="78">
        <f t="shared" si="80"/>
        <v>23</v>
      </c>
      <c r="T753" s="78">
        <f t="shared" si="81"/>
        <v>28.830666666666669</v>
      </c>
      <c r="U753" s="78" t="str">
        <f t="shared" si="82"/>
        <v>&lt;35</v>
      </c>
      <c r="V753" s="78" t="str">
        <f t="shared" si="83"/>
        <v>&lt;10 Гб</v>
      </c>
    </row>
    <row r="754" spans="1:22" x14ac:dyDescent="0.25">
      <c r="A754" t="s">
        <v>730</v>
      </c>
      <c r="B754" s="43">
        <v>36085</v>
      </c>
      <c r="C754" t="s">
        <v>50</v>
      </c>
      <c r="D754" t="s">
        <v>51</v>
      </c>
      <c r="E754" t="s">
        <v>54</v>
      </c>
      <c r="F754" t="s">
        <v>57</v>
      </c>
      <c r="G754" s="43">
        <v>44022</v>
      </c>
      <c r="H754">
        <v>5</v>
      </c>
      <c r="I754">
        <v>54972</v>
      </c>
      <c r="J754">
        <v>108000000</v>
      </c>
      <c r="M754">
        <v>1</v>
      </c>
      <c r="P754" s="77">
        <f t="shared" si="77"/>
        <v>660</v>
      </c>
      <c r="Q754" s="78">
        <f t="shared" si="78"/>
        <v>183.24</v>
      </c>
      <c r="R754" s="78">
        <f t="shared" si="79"/>
        <v>20.599365234375</v>
      </c>
      <c r="S754" s="78">
        <f t="shared" si="80"/>
        <v>23</v>
      </c>
      <c r="T754" s="78">
        <f t="shared" si="81"/>
        <v>42.756</v>
      </c>
      <c r="U754" s="78" t="str">
        <f t="shared" si="82"/>
        <v>35-60</v>
      </c>
      <c r="V754" s="78" t="str">
        <f t="shared" si="83"/>
        <v>21-30 Гб</v>
      </c>
    </row>
    <row r="755" spans="1:22" x14ac:dyDescent="0.25">
      <c r="A755" t="s">
        <v>544</v>
      </c>
      <c r="B755" s="43">
        <v>36084</v>
      </c>
      <c r="C755" t="s">
        <v>50</v>
      </c>
      <c r="D755" t="s">
        <v>51</v>
      </c>
      <c r="E755" t="s">
        <v>54</v>
      </c>
      <c r="F755" t="s">
        <v>57</v>
      </c>
      <c r="G755" s="43">
        <v>43774</v>
      </c>
      <c r="H755">
        <v>5</v>
      </c>
      <c r="I755">
        <v>82480</v>
      </c>
      <c r="J755">
        <v>20000000</v>
      </c>
      <c r="P755" s="77">
        <f t="shared" si="77"/>
        <v>908</v>
      </c>
      <c r="Q755" s="78">
        <f t="shared" si="78"/>
        <v>274.93333333333334</v>
      </c>
      <c r="R755" s="78">
        <f t="shared" si="79"/>
        <v>3.814697265625</v>
      </c>
      <c r="S755" s="78">
        <f t="shared" si="80"/>
        <v>23</v>
      </c>
      <c r="T755" s="78">
        <f t="shared" si="81"/>
        <v>64.151111111111106</v>
      </c>
      <c r="U755" s="78" t="str">
        <f t="shared" si="82"/>
        <v>61-90</v>
      </c>
      <c r="V755" s="78" t="str">
        <f t="shared" si="83"/>
        <v>&lt;10 Гб</v>
      </c>
    </row>
    <row r="756" spans="1:22" x14ac:dyDescent="0.25">
      <c r="A756" t="s">
        <v>676</v>
      </c>
      <c r="B756" s="43">
        <v>36084</v>
      </c>
      <c r="C756" t="s">
        <v>50</v>
      </c>
      <c r="D756" t="s">
        <v>51</v>
      </c>
      <c r="E756" t="s">
        <v>54</v>
      </c>
      <c r="F756" t="s">
        <v>57</v>
      </c>
      <c r="G756" s="43">
        <v>44397</v>
      </c>
      <c r="H756">
        <v>5</v>
      </c>
      <c r="I756">
        <v>71848</v>
      </c>
      <c r="J756">
        <v>52000000</v>
      </c>
      <c r="P756" s="77">
        <f t="shared" si="77"/>
        <v>285</v>
      </c>
      <c r="Q756" s="78">
        <f t="shared" si="78"/>
        <v>239.49333333333334</v>
      </c>
      <c r="R756" s="78">
        <f t="shared" si="79"/>
        <v>9.918212890625</v>
      </c>
      <c r="S756" s="78">
        <f t="shared" si="80"/>
        <v>23</v>
      </c>
      <c r="T756" s="78">
        <f t="shared" si="81"/>
        <v>55.881777777777778</v>
      </c>
      <c r="U756" s="78" t="str">
        <f t="shared" si="82"/>
        <v>35-60</v>
      </c>
      <c r="V756" s="78" t="str">
        <f t="shared" si="83"/>
        <v>&lt;10 Гб</v>
      </c>
    </row>
    <row r="757" spans="1:22" x14ac:dyDescent="0.25">
      <c r="A757" t="s">
        <v>460</v>
      </c>
      <c r="B757" s="43">
        <v>36079</v>
      </c>
      <c r="C757" t="s">
        <v>50</v>
      </c>
      <c r="D757" t="s">
        <v>51</v>
      </c>
      <c r="E757" t="s">
        <v>52</v>
      </c>
      <c r="F757" t="s">
        <v>57</v>
      </c>
      <c r="G757" s="43">
        <v>43560</v>
      </c>
      <c r="H757">
        <v>5</v>
      </c>
      <c r="I757">
        <v>36672</v>
      </c>
      <c r="J757">
        <v>100000000</v>
      </c>
      <c r="M757">
        <v>1</v>
      </c>
      <c r="P757" s="77">
        <f t="shared" si="77"/>
        <v>1122</v>
      </c>
      <c r="Q757" s="78">
        <f t="shared" si="78"/>
        <v>122.24</v>
      </c>
      <c r="R757" s="78">
        <f t="shared" si="79"/>
        <v>19.073486328125</v>
      </c>
      <c r="S757" s="78">
        <f t="shared" si="80"/>
        <v>23</v>
      </c>
      <c r="T757" s="78">
        <f t="shared" si="81"/>
        <v>28.522666666666666</v>
      </c>
      <c r="U757" s="78" t="str">
        <f t="shared" si="82"/>
        <v>&lt;35</v>
      </c>
      <c r="V757" s="78" t="str">
        <f t="shared" si="83"/>
        <v>10-20 Гб</v>
      </c>
    </row>
    <row r="758" spans="1:22" x14ac:dyDescent="0.25">
      <c r="A758" t="s">
        <v>461</v>
      </c>
      <c r="B758" s="43">
        <v>36077</v>
      </c>
      <c r="C758" t="s">
        <v>50</v>
      </c>
      <c r="D758" t="s">
        <v>51</v>
      </c>
      <c r="E758" t="s">
        <v>52</v>
      </c>
      <c r="F758" t="s">
        <v>57</v>
      </c>
      <c r="G758" s="43">
        <v>43946</v>
      </c>
      <c r="H758">
        <v>5</v>
      </c>
      <c r="I758">
        <v>53836</v>
      </c>
      <c r="J758">
        <v>28000000</v>
      </c>
      <c r="P758" s="77">
        <f t="shared" si="77"/>
        <v>736</v>
      </c>
      <c r="Q758" s="78">
        <f t="shared" si="78"/>
        <v>179.45333333333335</v>
      </c>
      <c r="R758" s="78">
        <f t="shared" si="79"/>
        <v>5.340576171875</v>
      </c>
      <c r="S758" s="78">
        <f t="shared" si="80"/>
        <v>23</v>
      </c>
      <c r="T758" s="78">
        <f t="shared" si="81"/>
        <v>41.872444444444447</v>
      </c>
      <c r="U758" s="78" t="str">
        <f t="shared" si="82"/>
        <v>35-60</v>
      </c>
      <c r="V758" s="78" t="str">
        <f t="shared" si="83"/>
        <v>&lt;10 Гб</v>
      </c>
    </row>
    <row r="759" spans="1:22" x14ac:dyDescent="0.25">
      <c r="A759" t="s">
        <v>459</v>
      </c>
      <c r="B759" s="43">
        <v>36076</v>
      </c>
      <c r="C759" t="s">
        <v>58</v>
      </c>
      <c r="D759" t="s">
        <v>51</v>
      </c>
      <c r="E759" t="s">
        <v>52</v>
      </c>
      <c r="F759" t="s">
        <v>57</v>
      </c>
      <c r="G759" s="43">
        <v>43378</v>
      </c>
      <c r="H759">
        <v>5</v>
      </c>
      <c r="I759">
        <v>44812</v>
      </c>
      <c r="J759">
        <v>8000000</v>
      </c>
      <c r="P759" s="77">
        <f t="shared" si="77"/>
        <v>1304</v>
      </c>
      <c r="Q759" s="78">
        <f t="shared" si="78"/>
        <v>149.37333333333333</v>
      </c>
      <c r="R759" s="78">
        <f t="shared" si="79"/>
        <v>1.52587890625</v>
      </c>
      <c r="S759" s="78">
        <f t="shared" si="80"/>
        <v>23</v>
      </c>
      <c r="T759" s="78">
        <f t="shared" si="81"/>
        <v>34.853777777777772</v>
      </c>
      <c r="U759" s="78" t="str">
        <f t="shared" si="82"/>
        <v>&lt;35</v>
      </c>
      <c r="V759" s="78" t="str">
        <f t="shared" si="83"/>
        <v>&lt;10 Гб</v>
      </c>
    </row>
    <row r="760" spans="1:22" x14ac:dyDescent="0.25">
      <c r="A760" t="s">
        <v>854</v>
      </c>
      <c r="B760" s="43">
        <v>36076</v>
      </c>
      <c r="C760" t="s">
        <v>50</v>
      </c>
      <c r="D760" t="s">
        <v>51</v>
      </c>
      <c r="E760" t="s">
        <v>54</v>
      </c>
      <c r="F760" t="s">
        <v>63</v>
      </c>
      <c r="G760" s="43">
        <v>43242</v>
      </c>
      <c r="H760">
        <v>5</v>
      </c>
      <c r="I760">
        <v>240</v>
      </c>
      <c r="J760">
        <v>116000000</v>
      </c>
      <c r="M760">
        <v>1</v>
      </c>
      <c r="N760">
        <v>1</v>
      </c>
      <c r="P760" s="77">
        <f t="shared" si="77"/>
        <v>1440</v>
      </c>
      <c r="Q760" s="78">
        <f t="shared" si="78"/>
        <v>0.8</v>
      </c>
      <c r="R760" s="78">
        <f t="shared" si="79"/>
        <v>22.125244140625</v>
      </c>
      <c r="S760" s="78">
        <f t="shared" si="80"/>
        <v>23</v>
      </c>
      <c r="T760" s="78">
        <f t="shared" si="81"/>
        <v>0.18666666666666668</v>
      </c>
      <c r="U760" s="78" t="str">
        <f t="shared" si="82"/>
        <v>&lt;35</v>
      </c>
      <c r="V760" s="78" t="str">
        <f t="shared" si="83"/>
        <v>21-30 Гб</v>
      </c>
    </row>
    <row r="761" spans="1:22" x14ac:dyDescent="0.25">
      <c r="A761" t="s">
        <v>275</v>
      </c>
      <c r="B761" s="43">
        <v>36075</v>
      </c>
      <c r="C761" t="s">
        <v>50</v>
      </c>
      <c r="D761" t="s">
        <v>51</v>
      </c>
      <c r="E761" t="s">
        <v>54</v>
      </c>
      <c r="F761" t="s">
        <v>56</v>
      </c>
      <c r="G761" s="43">
        <v>44510</v>
      </c>
      <c r="H761">
        <v>5</v>
      </c>
      <c r="I761">
        <v>100444</v>
      </c>
      <c r="J761">
        <v>28000000</v>
      </c>
      <c r="K761">
        <v>1</v>
      </c>
      <c r="P761" s="77">
        <f t="shared" si="77"/>
        <v>172</v>
      </c>
      <c r="Q761" s="78">
        <f t="shared" si="78"/>
        <v>334.81333333333333</v>
      </c>
      <c r="R761" s="78">
        <f t="shared" si="79"/>
        <v>5.340576171875</v>
      </c>
      <c r="S761" s="78">
        <f t="shared" si="80"/>
        <v>23</v>
      </c>
      <c r="T761" s="78">
        <f t="shared" si="81"/>
        <v>78.123111111111101</v>
      </c>
      <c r="U761" s="78" t="str">
        <f t="shared" si="82"/>
        <v>61-90</v>
      </c>
      <c r="V761" s="78" t="str">
        <f t="shared" si="83"/>
        <v>&lt;10 Гб</v>
      </c>
    </row>
    <row r="762" spans="1:22" x14ac:dyDescent="0.25">
      <c r="A762" t="s">
        <v>186</v>
      </c>
      <c r="B762" s="43">
        <v>36070</v>
      </c>
      <c r="C762" t="s">
        <v>50</v>
      </c>
      <c r="D762" t="s">
        <v>51</v>
      </c>
      <c r="E762" t="s">
        <v>52</v>
      </c>
      <c r="F762" t="s">
        <v>53</v>
      </c>
      <c r="G762" s="43">
        <v>44388</v>
      </c>
      <c r="H762">
        <v>5</v>
      </c>
      <c r="I762">
        <v>87808</v>
      </c>
      <c r="J762">
        <v>164000000</v>
      </c>
      <c r="K762">
        <v>1</v>
      </c>
      <c r="L762">
        <v>1</v>
      </c>
      <c r="M762">
        <v>1</v>
      </c>
      <c r="O762">
        <v>1</v>
      </c>
      <c r="P762" s="77">
        <f t="shared" si="77"/>
        <v>294</v>
      </c>
      <c r="Q762" s="78">
        <f t="shared" si="78"/>
        <v>292.69333333333333</v>
      </c>
      <c r="R762" s="78">
        <f t="shared" si="79"/>
        <v>31.280517578125</v>
      </c>
      <c r="S762" s="78">
        <f t="shared" si="80"/>
        <v>23</v>
      </c>
      <c r="T762" s="78">
        <f t="shared" si="81"/>
        <v>68.295111111111112</v>
      </c>
      <c r="U762" s="78" t="str">
        <f t="shared" si="82"/>
        <v>61-90</v>
      </c>
      <c r="V762" s="78" t="str">
        <f t="shared" si="83"/>
        <v>31-40 Гб</v>
      </c>
    </row>
    <row r="763" spans="1:22" x14ac:dyDescent="0.25">
      <c r="A763" t="s">
        <v>115</v>
      </c>
      <c r="B763" s="43">
        <v>36068</v>
      </c>
      <c r="C763" t="s">
        <v>50</v>
      </c>
      <c r="D763" t="s">
        <v>51</v>
      </c>
      <c r="E763" t="s">
        <v>54</v>
      </c>
      <c r="F763" t="s">
        <v>56</v>
      </c>
      <c r="G763" s="43">
        <v>44592</v>
      </c>
      <c r="H763">
        <v>3</v>
      </c>
      <c r="I763">
        <v>48720</v>
      </c>
      <c r="J763">
        <v>81000000</v>
      </c>
      <c r="L763">
        <v>1</v>
      </c>
      <c r="O763">
        <v>1</v>
      </c>
      <c r="P763" s="77">
        <f t="shared" si="77"/>
        <v>90</v>
      </c>
      <c r="Q763" s="78">
        <f t="shared" si="78"/>
        <v>270.66666666666669</v>
      </c>
      <c r="R763" s="78">
        <f t="shared" si="79"/>
        <v>25.74920654296875</v>
      </c>
      <c r="S763" s="78">
        <f t="shared" si="80"/>
        <v>23</v>
      </c>
      <c r="T763" s="78">
        <f t="shared" si="81"/>
        <v>63.155555555555559</v>
      </c>
      <c r="U763" s="78" t="str">
        <f t="shared" si="82"/>
        <v>61-90</v>
      </c>
      <c r="V763" s="78" t="str">
        <f t="shared" si="83"/>
        <v>21-30 Гб</v>
      </c>
    </row>
    <row r="764" spans="1:22" x14ac:dyDescent="0.25">
      <c r="A764" t="s">
        <v>525</v>
      </c>
      <c r="B764" s="43">
        <v>36068</v>
      </c>
      <c r="C764" t="s">
        <v>50</v>
      </c>
      <c r="D764" t="s">
        <v>51</v>
      </c>
      <c r="E764" t="s">
        <v>52</v>
      </c>
      <c r="F764" t="s">
        <v>57</v>
      </c>
      <c r="G764" s="43">
        <v>44102</v>
      </c>
      <c r="H764">
        <v>5</v>
      </c>
      <c r="I764">
        <v>58400</v>
      </c>
      <c r="J764">
        <v>84000000</v>
      </c>
      <c r="K764">
        <v>1</v>
      </c>
      <c r="P764" s="77">
        <f t="shared" si="77"/>
        <v>580</v>
      </c>
      <c r="Q764" s="78">
        <f t="shared" si="78"/>
        <v>194.66666666666666</v>
      </c>
      <c r="R764" s="78">
        <f t="shared" si="79"/>
        <v>16.021728515625</v>
      </c>
      <c r="S764" s="78">
        <f t="shared" si="80"/>
        <v>23</v>
      </c>
      <c r="T764" s="78">
        <f t="shared" si="81"/>
        <v>45.422222222222217</v>
      </c>
      <c r="U764" s="78" t="str">
        <f t="shared" si="82"/>
        <v>35-60</v>
      </c>
      <c r="V764" s="78" t="str">
        <f t="shared" si="83"/>
        <v>10-20 Гб</v>
      </c>
    </row>
    <row r="765" spans="1:22" x14ac:dyDescent="0.25">
      <c r="A765" t="s">
        <v>1052</v>
      </c>
      <c r="B765" s="43">
        <v>36068</v>
      </c>
      <c r="C765" t="s">
        <v>50</v>
      </c>
      <c r="D765" t="s">
        <v>51</v>
      </c>
      <c r="E765" t="s">
        <v>52</v>
      </c>
      <c r="F765" t="s">
        <v>63</v>
      </c>
      <c r="G765" s="43">
        <v>42810</v>
      </c>
      <c r="H765">
        <v>5</v>
      </c>
      <c r="I765">
        <v>7272</v>
      </c>
      <c r="J765">
        <v>136000000</v>
      </c>
      <c r="L765">
        <v>1</v>
      </c>
      <c r="P765" s="77">
        <f t="shared" si="77"/>
        <v>1872</v>
      </c>
      <c r="Q765" s="78">
        <f t="shared" si="78"/>
        <v>24.24</v>
      </c>
      <c r="R765" s="78">
        <f t="shared" si="79"/>
        <v>25.93994140625</v>
      </c>
      <c r="S765" s="78">
        <f t="shared" si="80"/>
        <v>23</v>
      </c>
      <c r="T765" s="78">
        <f t="shared" si="81"/>
        <v>5.6559999999999997</v>
      </c>
      <c r="U765" s="78" t="str">
        <f t="shared" si="82"/>
        <v>&lt;35</v>
      </c>
      <c r="V765" s="78" t="str">
        <f t="shared" si="83"/>
        <v>21-30 Гб</v>
      </c>
    </row>
    <row r="766" spans="1:22" x14ac:dyDescent="0.25">
      <c r="A766" t="s">
        <v>756</v>
      </c>
      <c r="B766" s="43">
        <v>36067</v>
      </c>
      <c r="C766" t="s">
        <v>50</v>
      </c>
      <c r="D766" t="s">
        <v>51</v>
      </c>
      <c r="E766" t="s">
        <v>52</v>
      </c>
      <c r="F766" t="s">
        <v>57</v>
      </c>
      <c r="G766" s="43">
        <v>42781</v>
      </c>
      <c r="H766">
        <v>5</v>
      </c>
      <c r="I766">
        <v>20408</v>
      </c>
      <c r="J766">
        <v>104000000</v>
      </c>
      <c r="P766" s="77">
        <f t="shared" si="77"/>
        <v>1901</v>
      </c>
      <c r="Q766" s="78">
        <f t="shared" si="78"/>
        <v>68.026666666666671</v>
      </c>
      <c r="R766" s="78">
        <f t="shared" si="79"/>
        <v>19.83642578125</v>
      </c>
      <c r="S766" s="78">
        <f t="shared" si="80"/>
        <v>23</v>
      </c>
      <c r="T766" s="78">
        <f t="shared" si="81"/>
        <v>15.872888888888891</v>
      </c>
      <c r="U766" s="78" t="str">
        <f t="shared" si="82"/>
        <v>&lt;35</v>
      </c>
      <c r="V766" s="78" t="str">
        <f t="shared" si="83"/>
        <v>10-20 Гб</v>
      </c>
    </row>
    <row r="767" spans="1:22" x14ac:dyDescent="0.25">
      <c r="A767" t="s">
        <v>326</v>
      </c>
      <c r="B767" s="43">
        <v>36066</v>
      </c>
      <c r="C767" t="s">
        <v>58</v>
      </c>
      <c r="D767" t="s">
        <v>51</v>
      </c>
      <c r="E767" t="s">
        <v>52</v>
      </c>
      <c r="F767" t="s">
        <v>56</v>
      </c>
      <c r="G767" s="43">
        <v>44453</v>
      </c>
      <c r="H767">
        <v>5</v>
      </c>
      <c r="I767">
        <v>30784</v>
      </c>
      <c r="J767">
        <v>140000000</v>
      </c>
      <c r="P767" s="77">
        <f t="shared" si="77"/>
        <v>229</v>
      </c>
      <c r="Q767" s="78">
        <f t="shared" si="78"/>
        <v>102.61333333333333</v>
      </c>
      <c r="R767" s="78">
        <f t="shared" si="79"/>
        <v>26.702880859375</v>
      </c>
      <c r="S767" s="78">
        <f t="shared" si="80"/>
        <v>23</v>
      </c>
      <c r="T767" s="78">
        <f t="shared" si="81"/>
        <v>23.943111111111111</v>
      </c>
      <c r="U767" s="78" t="str">
        <f t="shared" si="82"/>
        <v>&lt;35</v>
      </c>
      <c r="V767" s="78" t="str">
        <f t="shared" si="83"/>
        <v>21-30 Гб</v>
      </c>
    </row>
    <row r="768" spans="1:22" x14ac:dyDescent="0.25">
      <c r="A768" t="s">
        <v>814</v>
      </c>
      <c r="B768" s="43">
        <v>36066</v>
      </c>
      <c r="C768" t="s">
        <v>50</v>
      </c>
      <c r="D768" t="s">
        <v>51</v>
      </c>
      <c r="E768" t="s">
        <v>54</v>
      </c>
      <c r="F768" t="s">
        <v>63</v>
      </c>
      <c r="G768" s="43">
        <v>43539</v>
      </c>
      <c r="H768">
        <v>5</v>
      </c>
      <c r="I768">
        <v>19572</v>
      </c>
      <c r="J768">
        <v>148000000</v>
      </c>
      <c r="N768">
        <v>1</v>
      </c>
      <c r="P768" s="77">
        <f t="shared" ref="P768:P831" si="84">DATEDIF(G768,$C$2,"D")</f>
        <v>1143</v>
      </c>
      <c r="Q768" s="78">
        <f t="shared" ref="Q768:Q831" si="85">IF(P768&lt;DATEDIF($C$3,$C$2,"D"),I768/(60*(P768/30)),I768/(60*5))</f>
        <v>65.239999999999995</v>
      </c>
      <c r="R768" s="78">
        <f t="shared" ref="R768:R831" si="86">IF(P768&lt;DATEDIF($C$3,$C$2,"D"),J768/(1048576*(P768/30)),J768/(1048576*5))</f>
        <v>28.228759765625</v>
      </c>
      <c r="S768" s="78">
        <f t="shared" ref="S768:S831" si="87">DATEDIF(B768,$C$2,"Y")</f>
        <v>23</v>
      </c>
      <c r="T768" s="78">
        <f t="shared" si="81"/>
        <v>15.222666666666665</v>
      </c>
      <c r="U768" s="78" t="str">
        <f t="shared" si="82"/>
        <v>&lt;35</v>
      </c>
      <c r="V768" s="78" t="str">
        <f t="shared" si="83"/>
        <v>21-30 Гб</v>
      </c>
    </row>
    <row r="769" spans="1:22" x14ac:dyDescent="0.25">
      <c r="A769" t="s">
        <v>1130</v>
      </c>
      <c r="B769" s="43">
        <v>36064</v>
      </c>
      <c r="C769" t="s">
        <v>58</v>
      </c>
      <c r="D769" t="s">
        <v>51</v>
      </c>
      <c r="E769" t="s">
        <v>54</v>
      </c>
      <c r="F769" t="s">
        <v>69</v>
      </c>
      <c r="G769" s="43">
        <v>43914</v>
      </c>
      <c r="H769">
        <v>5</v>
      </c>
      <c r="I769">
        <v>36524</v>
      </c>
      <c r="J769">
        <v>8000000</v>
      </c>
      <c r="P769" s="77">
        <f t="shared" si="84"/>
        <v>768</v>
      </c>
      <c r="Q769" s="78">
        <f t="shared" si="85"/>
        <v>121.74666666666667</v>
      </c>
      <c r="R769" s="78">
        <f t="shared" si="86"/>
        <v>1.52587890625</v>
      </c>
      <c r="S769" s="78">
        <f t="shared" si="87"/>
        <v>23</v>
      </c>
      <c r="T769" s="78">
        <f t="shared" si="81"/>
        <v>28.407555555555557</v>
      </c>
      <c r="U769" s="78" t="str">
        <f t="shared" si="82"/>
        <v>&lt;35</v>
      </c>
      <c r="V769" s="78" t="str">
        <f t="shared" si="83"/>
        <v>&lt;10 Гб</v>
      </c>
    </row>
    <row r="770" spans="1:22" x14ac:dyDescent="0.25">
      <c r="A770" t="s">
        <v>207</v>
      </c>
      <c r="B770" s="43">
        <v>36061</v>
      </c>
      <c r="C770" t="s">
        <v>58</v>
      </c>
      <c r="D770" t="s">
        <v>51</v>
      </c>
      <c r="E770" t="s">
        <v>54</v>
      </c>
      <c r="F770" t="s">
        <v>53</v>
      </c>
      <c r="G770" s="43">
        <v>43463</v>
      </c>
      <c r="H770">
        <v>5</v>
      </c>
      <c r="I770">
        <v>128192</v>
      </c>
      <c r="J770">
        <v>184000000</v>
      </c>
      <c r="P770" s="77">
        <f t="shared" si="84"/>
        <v>1219</v>
      </c>
      <c r="Q770" s="78">
        <f t="shared" si="85"/>
        <v>427.30666666666667</v>
      </c>
      <c r="R770" s="78">
        <f t="shared" si="86"/>
        <v>35.09521484375</v>
      </c>
      <c r="S770" s="78">
        <f t="shared" si="87"/>
        <v>23</v>
      </c>
      <c r="T770" s="78">
        <f t="shared" si="81"/>
        <v>99.704888888888888</v>
      </c>
      <c r="U770" s="78" t="str">
        <f t="shared" si="82"/>
        <v>91-120</v>
      </c>
      <c r="V770" s="78" t="str">
        <f t="shared" si="83"/>
        <v>31-40 Гб</v>
      </c>
    </row>
    <row r="771" spans="1:22" x14ac:dyDescent="0.25">
      <c r="A771" t="s">
        <v>1077</v>
      </c>
      <c r="B771" s="43">
        <v>36060</v>
      </c>
      <c r="C771" t="s">
        <v>50</v>
      </c>
      <c r="D771" t="s">
        <v>51</v>
      </c>
      <c r="E771" t="s">
        <v>52</v>
      </c>
      <c r="F771" t="s">
        <v>63</v>
      </c>
      <c r="G771" s="43">
        <v>43594</v>
      </c>
      <c r="H771">
        <v>5</v>
      </c>
      <c r="I771">
        <v>32512</v>
      </c>
      <c r="J771">
        <v>116000000</v>
      </c>
      <c r="K771">
        <v>1</v>
      </c>
      <c r="M771">
        <v>1</v>
      </c>
      <c r="P771" s="77">
        <f t="shared" si="84"/>
        <v>1088</v>
      </c>
      <c r="Q771" s="78">
        <f t="shared" si="85"/>
        <v>108.37333333333333</v>
      </c>
      <c r="R771" s="78">
        <f t="shared" si="86"/>
        <v>22.125244140625</v>
      </c>
      <c r="S771" s="78">
        <f t="shared" si="87"/>
        <v>23</v>
      </c>
      <c r="T771" s="78">
        <f t="shared" si="81"/>
        <v>25.287111111111113</v>
      </c>
      <c r="U771" s="78" t="str">
        <f t="shared" si="82"/>
        <v>&lt;35</v>
      </c>
      <c r="V771" s="78" t="str">
        <f t="shared" si="83"/>
        <v>21-30 Гб</v>
      </c>
    </row>
    <row r="772" spans="1:22" x14ac:dyDescent="0.25">
      <c r="A772" t="s">
        <v>816</v>
      </c>
      <c r="B772" s="43">
        <v>36053</v>
      </c>
      <c r="C772" t="s">
        <v>58</v>
      </c>
      <c r="D772" t="s">
        <v>51</v>
      </c>
      <c r="E772" t="s">
        <v>52</v>
      </c>
      <c r="F772" t="s">
        <v>57</v>
      </c>
      <c r="G772" s="43">
        <v>44328</v>
      </c>
      <c r="H772">
        <v>5</v>
      </c>
      <c r="I772">
        <v>60168</v>
      </c>
      <c r="J772">
        <v>108000000</v>
      </c>
      <c r="P772" s="77">
        <f t="shared" si="84"/>
        <v>354</v>
      </c>
      <c r="Q772" s="78">
        <f t="shared" si="85"/>
        <v>200.56</v>
      </c>
      <c r="R772" s="78">
        <f t="shared" si="86"/>
        <v>20.599365234375</v>
      </c>
      <c r="S772" s="78">
        <f t="shared" si="87"/>
        <v>23</v>
      </c>
      <c r="T772" s="78">
        <f t="shared" si="81"/>
        <v>46.797333333333334</v>
      </c>
      <c r="U772" s="78" t="str">
        <f t="shared" si="82"/>
        <v>35-60</v>
      </c>
      <c r="V772" s="78" t="str">
        <f t="shared" si="83"/>
        <v>21-30 Гб</v>
      </c>
    </row>
    <row r="773" spans="1:22" x14ac:dyDescent="0.25">
      <c r="A773" t="s">
        <v>272</v>
      </c>
      <c r="B773" s="43">
        <v>36052</v>
      </c>
      <c r="C773" t="s">
        <v>50</v>
      </c>
      <c r="D773" t="s">
        <v>51</v>
      </c>
      <c r="E773" t="s">
        <v>54</v>
      </c>
      <c r="F773" t="s">
        <v>56</v>
      </c>
      <c r="G773" s="43">
        <v>43434</v>
      </c>
      <c r="H773">
        <v>5</v>
      </c>
      <c r="I773">
        <v>107208</v>
      </c>
      <c r="J773">
        <v>0</v>
      </c>
      <c r="P773" s="77">
        <f t="shared" si="84"/>
        <v>1248</v>
      </c>
      <c r="Q773" s="78">
        <f t="shared" si="85"/>
        <v>357.36</v>
      </c>
      <c r="R773" s="78">
        <f t="shared" si="86"/>
        <v>0</v>
      </c>
      <c r="S773" s="78">
        <f t="shared" si="87"/>
        <v>23</v>
      </c>
      <c r="T773" s="78">
        <f t="shared" si="81"/>
        <v>83.384</v>
      </c>
      <c r="U773" s="78" t="str">
        <f t="shared" si="82"/>
        <v>61-90</v>
      </c>
      <c r="V773" s="78" t="str">
        <f t="shared" si="83"/>
        <v>&lt;10 Гб</v>
      </c>
    </row>
    <row r="774" spans="1:22" x14ac:dyDescent="0.25">
      <c r="A774" t="s">
        <v>1025</v>
      </c>
      <c r="B774" s="43">
        <v>36050</v>
      </c>
      <c r="C774" t="s">
        <v>50</v>
      </c>
      <c r="D774" t="s">
        <v>51</v>
      </c>
      <c r="E774" t="s">
        <v>52</v>
      </c>
      <c r="F774" t="s">
        <v>63</v>
      </c>
      <c r="G774" s="43">
        <v>43497</v>
      </c>
      <c r="H774">
        <v>5</v>
      </c>
      <c r="I774">
        <v>28560</v>
      </c>
      <c r="J774">
        <v>128000000</v>
      </c>
      <c r="P774" s="77">
        <f t="shared" si="84"/>
        <v>1185</v>
      </c>
      <c r="Q774" s="78">
        <f t="shared" si="85"/>
        <v>95.2</v>
      </c>
      <c r="R774" s="78">
        <f t="shared" si="86"/>
        <v>24.4140625</v>
      </c>
      <c r="S774" s="78">
        <f t="shared" si="87"/>
        <v>23</v>
      </c>
      <c r="T774" s="78">
        <f t="shared" si="81"/>
        <v>22.213333333333331</v>
      </c>
      <c r="U774" s="78" t="str">
        <f t="shared" si="82"/>
        <v>&lt;35</v>
      </c>
      <c r="V774" s="78" t="str">
        <f t="shared" si="83"/>
        <v>21-30 Гб</v>
      </c>
    </row>
    <row r="775" spans="1:22" x14ac:dyDescent="0.25">
      <c r="A775" t="s">
        <v>1161</v>
      </c>
      <c r="B775" s="43">
        <v>36050</v>
      </c>
      <c r="C775" t="s">
        <v>50</v>
      </c>
      <c r="D775" t="s">
        <v>51</v>
      </c>
      <c r="E775" t="s">
        <v>52</v>
      </c>
      <c r="F775" t="s">
        <v>69</v>
      </c>
      <c r="G775" s="43">
        <v>43700</v>
      </c>
      <c r="H775">
        <v>5</v>
      </c>
      <c r="I775">
        <v>11552</v>
      </c>
      <c r="J775">
        <v>20000000</v>
      </c>
      <c r="P775" s="77">
        <f t="shared" si="84"/>
        <v>982</v>
      </c>
      <c r="Q775" s="78">
        <f t="shared" si="85"/>
        <v>38.506666666666668</v>
      </c>
      <c r="R775" s="78">
        <f t="shared" si="86"/>
        <v>3.814697265625</v>
      </c>
      <c r="S775" s="78">
        <f t="shared" si="87"/>
        <v>23</v>
      </c>
      <c r="T775" s="78">
        <f t="shared" ref="T775:T838" si="88">(Q775*7)/30</f>
        <v>8.9848888888888894</v>
      </c>
      <c r="U775" s="78" t="str">
        <f t="shared" ref="U775:U838" si="89">IF(T775&gt;120,"120+",IF(T775&gt;90,"91-120",IF(T775&gt;60,"61-90",IF(T775&gt;35,"35-60","&lt;35"))))</f>
        <v>&lt;35</v>
      </c>
      <c r="V775" s="78" t="str">
        <f t="shared" ref="V775:V838" si="90">IF(R775&gt;40,"40+ Гб",IF(R775&gt;30,"31-40 Гб",IF(R775&gt;20,"21-30 Гб",IF(R775&gt;10,"10-20 Гб","&lt;10 Гб"))))</f>
        <v>&lt;10 Гб</v>
      </c>
    </row>
    <row r="776" spans="1:22" x14ac:dyDescent="0.25">
      <c r="A776" t="s">
        <v>449</v>
      </c>
      <c r="B776" s="43">
        <v>36049</v>
      </c>
      <c r="C776" t="s">
        <v>58</v>
      </c>
      <c r="D776" t="s">
        <v>51</v>
      </c>
      <c r="E776" t="s">
        <v>54</v>
      </c>
      <c r="F776" t="s">
        <v>57</v>
      </c>
      <c r="G776" s="43">
        <v>43851</v>
      </c>
      <c r="H776">
        <v>5</v>
      </c>
      <c r="I776">
        <v>54464</v>
      </c>
      <c r="J776">
        <v>120000000</v>
      </c>
      <c r="P776" s="77">
        <f t="shared" si="84"/>
        <v>831</v>
      </c>
      <c r="Q776" s="78">
        <f t="shared" si="85"/>
        <v>181.54666666666665</v>
      </c>
      <c r="R776" s="78">
        <f t="shared" si="86"/>
        <v>22.88818359375</v>
      </c>
      <c r="S776" s="78">
        <f t="shared" si="87"/>
        <v>23</v>
      </c>
      <c r="T776" s="78">
        <f t="shared" si="88"/>
        <v>42.360888888888887</v>
      </c>
      <c r="U776" s="78" t="str">
        <f t="shared" si="89"/>
        <v>35-60</v>
      </c>
      <c r="V776" s="78" t="str">
        <f t="shared" si="90"/>
        <v>21-30 Гб</v>
      </c>
    </row>
    <row r="777" spans="1:22" x14ac:dyDescent="0.25">
      <c r="A777" t="s">
        <v>302</v>
      </c>
      <c r="B777" s="43">
        <v>36047</v>
      </c>
      <c r="C777" t="s">
        <v>58</v>
      </c>
      <c r="D777" t="s">
        <v>51</v>
      </c>
      <c r="E777" t="s">
        <v>52</v>
      </c>
      <c r="F777" t="s">
        <v>56</v>
      </c>
      <c r="G777" s="43">
        <v>44172</v>
      </c>
      <c r="H777">
        <v>5</v>
      </c>
      <c r="I777">
        <v>90600</v>
      </c>
      <c r="J777">
        <v>28000000</v>
      </c>
      <c r="P777" s="77">
        <f t="shared" si="84"/>
        <v>510</v>
      </c>
      <c r="Q777" s="78">
        <f t="shared" si="85"/>
        <v>302</v>
      </c>
      <c r="R777" s="78">
        <f t="shared" si="86"/>
        <v>5.340576171875</v>
      </c>
      <c r="S777" s="78">
        <f t="shared" si="87"/>
        <v>23</v>
      </c>
      <c r="T777" s="78">
        <f t="shared" si="88"/>
        <v>70.466666666666669</v>
      </c>
      <c r="U777" s="78" t="str">
        <f t="shared" si="89"/>
        <v>61-90</v>
      </c>
      <c r="V777" s="78" t="str">
        <f t="shared" si="90"/>
        <v>&lt;10 Гб</v>
      </c>
    </row>
    <row r="778" spans="1:22" x14ac:dyDescent="0.25">
      <c r="A778" t="s">
        <v>1028</v>
      </c>
      <c r="B778" s="43">
        <v>36043</v>
      </c>
      <c r="C778" t="s">
        <v>58</v>
      </c>
      <c r="D778" t="s">
        <v>51</v>
      </c>
      <c r="E778" t="s">
        <v>54</v>
      </c>
      <c r="F778" t="s">
        <v>63</v>
      </c>
      <c r="G778" s="43">
        <v>44433</v>
      </c>
      <c r="H778">
        <v>5</v>
      </c>
      <c r="I778">
        <v>4576</v>
      </c>
      <c r="J778">
        <v>140000000</v>
      </c>
      <c r="N778">
        <v>1</v>
      </c>
      <c r="P778" s="77">
        <f t="shared" si="84"/>
        <v>249</v>
      </c>
      <c r="Q778" s="78">
        <f t="shared" si="85"/>
        <v>15.253333333333334</v>
      </c>
      <c r="R778" s="78">
        <f t="shared" si="86"/>
        <v>26.702880859375</v>
      </c>
      <c r="S778" s="78">
        <f t="shared" si="87"/>
        <v>23</v>
      </c>
      <c r="T778" s="78">
        <f t="shared" si="88"/>
        <v>3.5591111111111116</v>
      </c>
      <c r="U778" s="78" t="str">
        <f t="shared" si="89"/>
        <v>&lt;35</v>
      </c>
      <c r="V778" s="78" t="str">
        <f t="shared" si="90"/>
        <v>21-30 Гб</v>
      </c>
    </row>
    <row r="779" spans="1:22" x14ac:dyDescent="0.25">
      <c r="A779" t="s">
        <v>150</v>
      </c>
      <c r="B779" s="43">
        <v>36041</v>
      </c>
      <c r="C779" t="s">
        <v>50</v>
      </c>
      <c r="D779" t="s">
        <v>51</v>
      </c>
      <c r="E779" t="s">
        <v>54</v>
      </c>
      <c r="F779" t="s">
        <v>63</v>
      </c>
      <c r="G779" s="43">
        <v>44535</v>
      </c>
      <c r="H779">
        <v>4</v>
      </c>
      <c r="I779">
        <v>44100</v>
      </c>
      <c r="J779">
        <v>156000000</v>
      </c>
      <c r="P779" s="77">
        <f t="shared" si="84"/>
        <v>147</v>
      </c>
      <c r="Q779" s="78">
        <f t="shared" si="85"/>
        <v>147</v>
      </c>
      <c r="R779" s="78">
        <f t="shared" si="86"/>
        <v>29.754638671875</v>
      </c>
      <c r="S779" s="78">
        <f t="shared" si="87"/>
        <v>23</v>
      </c>
      <c r="T779" s="78">
        <f t="shared" si="88"/>
        <v>34.299999999999997</v>
      </c>
      <c r="U779" s="78" t="str">
        <f t="shared" si="89"/>
        <v>&lt;35</v>
      </c>
      <c r="V779" s="78" t="str">
        <f t="shared" si="90"/>
        <v>21-30 Гб</v>
      </c>
    </row>
    <row r="780" spans="1:22" x14ac:dyDescent="0.25">
      <c r="A780" t="s">
        <v>179</v>
      </c>
      <c r="B780" s="43">
        <v>36040</v>
      </c>
      <c r="C780" t="s">
        <v>50</v>
      </c>
      <c r="D780" t="s">
        <v>51</v>
      </c>
      <c r="E780" t="s">
        <v>52</v>
      </c>
      <c r="F780" t="s">
        <v>53</v>
      </c>
      <c r="G780" s="43">
        <v>43134</v>
      </c>
      <c r="H780">
        <v>5</v>
      </c>
      <c r="I780">
        <v>155480</v>
      </c>
      <c r="J780">
        <v>184000000</v>
      </c>
      <c r="K780">
        <v>1</v>
      </c>
      <c r="L780">
        <v>1</v>
      </c>
      <c r="O780">
        <v>1</v>
      </c>
      <c r="P780" s="77">
        <f t="shared" si="84"/>
        <v>1548</v>
      </c>
      <c r="Q780" s="78">
        <f t="shared" si="85"/>
        <v>518.26666666666665</v>
      </c>
      <c r="R780" s="78">
        <f t="shared" si="86"/>
        <v>35.09521484375</v>
      </c>
      <c r="S780" s="78">
        <f t="shared" si="87"/>
        <v>23</v>
      </c>
      <c r="T780" s="78">
        <f t="shared" si="88"/>
        <v>120.92888888888889</v>
      </c>
      <c r="U780" s="78" t="str">
        <f t="shared" si="89"/>
        <v>120+</v>
      </c>
      <c r="V780" s="78" t="str">
        <f t="shared" si="90"/>
        <v>31-40 Гб</v>
      </c>
    </row>
    <row r="781" spans="1:22" x14ac:dyDescent="0.25">
      <c r="A781" t="s">
        <v>325</v>
      </c>
      <c r="B781" s="43">
        <v>36028</v>
      </c>
      <c r="C781" t="s">
        <v>50</v>
      </c>
      <c r="D781" t="s">
        <v>51</v>
      </c>
      <c r="E781" t="s">
        <v>54</v>
      </c>
      <c r="F781" t="s">
        <v>56</v>
      </c>
      <c r="G781" s="43">
        <v>42828</v>
      </c>
      <c r="H781">
        <v>5</v>
      </c>
      <c r="I781">
        <v>7404</v>
      </c>
      <c r="J781">
        <v>112000000</v>
      </c>
      <c r="P781" s="77">
        <f t="shared" si="84"/>
        <v>1854</v>
      </c>
      <c r="Q781" s="78">
        <f t="shared" si="85"/>
        <v>24.68</v>
      </c>
      <c r="R781" s="78">
        <f t="shared" si="86"/>
        <v>21.3623046875</v>
      </c>
      <c r="S781" s="78">
        <f t="shared" si="87"/>
        <v>23</v>
      </c>
      <c r="T781" s="78">
        <f t="shared" si="88"/>
        <v>5.7586666666666666</v>
      </c>
      <c r="U781" s="78" t="str">
        <f t="shared" si="89"/>
        <v>&lt;35</v>
      </c>
      <c r="V781" s="78" t="str">
        <f t="shared" si="90"/>
        <v>21-30 Гб</v>
      </c>
    </row>
    <row r="782" spans="1:22" x14ac:dyDescent="0.25">
      <c r="A782" t="s">
        <v>817</v>
      </c>
      <c r="B782" s="43">
        <v>36028</v>
      </c>
      <c r="C782" t="s">
        <v>50</v>
      </c>
      <c r="D782" t="s">
        <v>51</v>
      </c>
      <c r="E782" t="s">
        <v>52</v>
      </c>
      <c r="F782" t="s">
        <v>57</v>
      </c>
      <c r="G782" s="43">
        <v>43153</v>
      </c>
      <c r="H782">
        <v>5</v>
      </c>
      <c r="I782">
        <v>13232</v>
      </c>
      <c r="J782">
        <v>8000000</v>
      </c>
      <c r="P782" s="77">
        <f t="shared" si="84"/>
        <v>1529</v>
      </c>
      <c r="Q782" s="78">
        <f t="shared" si="85"/>
        <v>44.106666666666669</v>
      </c>
      <c r="R782" s="78">
        <f t="shared" si="86"/>
        <v>1.52587890625</v>
      </c>
      <c r="S782" s="78">
        <f t="shared" si="87"/>
        <v>23</v>
      </c>
      <c r="T782" s="78">
        <f t="shared" si="88"/>
        <v>10.291555555555556</v>
      </c>
      <c r="U782" s="78" t="str">
        <f t="shared" si="89"/>
        <v>&lt;35</v>
      </c>
      <c r="V782" s="78" t="str">
        <f t="shared" si="90"/>
        <v>&lt;10 Гб</v>
      </c>
    </row>
    <row r="783" spans="1:22" x14ac:dyDescent="0.25">
      <c r="A783" t="s">
        <v>983</v>
      </c>
      <c r="B783" s="43">
        <v>36025</v>
      </c>
      <c r="C783" t="s">
        <v>50</v>
      </c>
      <c r="D783" t="s">
        <v>51</v>
      </c>
      <c r="E783" t="s">
        <v>52</v>
      </c>
      <c r="F783" t="s">
        <v>63</v>
      </c>
      <c r="G783" s="43">
        <v>43671</v>
      </c>
      <c r="H783">
        <v>5</v>
      </c>
      <c r="I783">
        <v>29280</v>
      </c>
      <c r="J783">
        <v>160000000</v>
      </c>
      <c r="P783" s="77">
        <f t="shared" si="84"/>
        <v>1011</v>
      </c>
      <c r="Q783" s="78">
        <f t="shared" si="85"/>
        <v>97.6</v>
      </c>
      <c r="R783" s="78">
        <f t="shared" si="86"/>
        <v>30.517578125</v>
      </c>
      <c r="S783" s="78">
        <f t="shared" si="87"/>
        <v>23</v>
      </c>
      <c r="T783" s="78">
        <f t="shared" si="88"/>
        <v>22.77333333333333</v>
      </c>
      <c r="U783" s="78" t="str">
        <f t="shared" si="89"/>
        <v>&lt;35</v>
      </c>
      <c r="V783" s="78" t="str">
        <f t="shared" si="90"/>
        <v>31-40 Гб</v>
      </c>
    </row>
    <row r="784" spans="1:22" x14ac:dyDescent="0.25">
      <c r="A784" t="s">
        <v>313</v>
      </c>
      <c r="B784" s="43">
        <v>36024</v>
      </c>
      <c r="C784" t="s">
        <v>58</v>
      </c>
      <c r="D784" t="s">
        <v>51</v>
      </c>
      <c r="E784" t="s">
        <v>52</v>
      </c>
      <c r="F784" t="s">
        <v>56</v>
      </c>
      <c r="G784" s="43">
        <v>43635</v>
      </c>
      <c r="H784">
        <v>5</v>
      </c>
      <c r="I784">
        <v>85504</v>
      </c>
      <c r="J784">
        <v>136000000</v>
      </c>
      <c r="K784">
        <v>1</v>
      </c>
      <c r="L784">
        <v>1</v>
      </c>
      <c r="O784">
        <v>1</v>
      </c>
      <c r="P784" s="77">
        <f t="shared" si="84"/>
        <v>1047</v>
      </c>
      <c r="Q784" s="78">
        <f t="shared" si="85"/>
        <v>285.01333333333332</v>
      </c>
      <c r="R784" s="78">
        <f t="shared" si="86"/>
        <v>25.93994140625</v>
      </c>
      <c r="S784" s="78">
        <f t="shared" si="87"/>
        <v>23</v>
      </c>
      <c r="T784" s="78">
        <f t="shared" si="88"/>
        <v>66.50311111111111</v>
      </c>
      <c r="U784" s="78" t="str">
        <f t="shared" si="89"/>
        <v>61-90</v>
      </c>
      <c r="V784" s="78" t="str">
        <f t="shared" si="90"/>
        <v>21-30 Гб</v>
      </c>
    </row>
    <row r="785" spans="1:22" x14ac:dyDescent="0.25">
      <c r="A785" t="s">
        <v>1038</v>
      </c>
      <c r="B785" s="43">
        <v>36024</v>
      </c>
      <c r="C785" t="s">
        <v>50</v>
      </c>
      <c r="D785" t="s">
        <v>51</v>
      </c>
      <c r="E785" t="s">
        <v>52</v>
      </c>
      <c r="F785" t="s">
        <v>63</v>
      </c>
      <c r="G785" s="43">
        <v>43395</v>
      </c>
      <c r="H785">
        <v>5</v>
      </c>
      <c r="I785">
        <v>5248</v>
      </c>
      <c r="J785">
        <v>144000000</v>
      </c>
      <c r="P785" s="77">
        <f t="shared" si="84"/>
        <v>1287</v>
      </c>
      <c r="Q785" s="78">
        <f t="shared" si="85"/>
        <v>17.493333333333332</v>
      </c>
      <c r="R785" s="78">
        <f t="shared" si="86"/>
        <v>27.4658203125</v>
      </c>
      <c r="S785" s="78">
        <f t="shared" si="87"/>
        <v>23</v>
      </c>
      <c r="T785" s="78">
        <f t="shared" si="88"/>
        <v>4.0817777777777771</v>
      </c>
      <c r="U785" s="78" t="str">
        <f t="shared" si="89"/>
        <v>&lt;35</v>
      </c>
      <c r="V785" s="78" t="str">
        <f t="shared" si="90"/>
        <v>21-30 Гб</v>
      </c>
    </row>
    <row r="786" spans="1:22" x14ac:dyDescent="0.25">
      <c r="A786" t="s">
        <v>189</v>
      </c>
      <c r="B786" s="43">
        <v>36022</v>
      </c>
      <c r="C786" t="s">
        <v>58</v>
      </c>
      <c r="D786" t="s">
        <v>51</v>
      </c>
      <c r="E786" t="s">
        <v>54</v>
      </c>
      <c r="F786" t="s">
        <v>53</v>
      </c>
      <c r="G786" s="43">
        <v>43423</v>
      </c>
      <c r="H786">
        <v>5</v>
      </c>
      <c r="I786">
        <v>128640</v>
      </c>
      <c r="J786">
        <v>176000000</v>
      </c>
      <c r="P786" s="77">
        <f t="shared" si="84"/>
        <v>1259</v>
      </c>
      <c r="Q786" s="78">
        <f t="shared" si="85"/>
        <v>428.8</v>
      </c>
      <c r="R786" s="78">
        <f t="shared" si="86"/>
        <v>33.5693359375</v>
      </c>
      <c r="S786" s="78">
        <f t="shared" si="87"/>
        <v>23</v>
      </c>
      <c r="T786" s="78">
        <f t="shared" si="88"/>
        <v>100.05333333333333</v>
      </c>
      <c r="U786" s="78" t="str">
        <f t="shared" si="89"/>
        <v>91-120</v>
      </c>
      <c r="V786" s="78" t="str">
        <f t="shared" si="90"/>
        <v>31-40 Гб</v>
      </c>
    </row>
    <row r="787" spans="1:22" x14ac:dyDescent="0.25">
      <c r="A787" t="s">
        <v>1009</v>
      </c>
      <c r="B787" s="43">
        <v>36020</v>
      </c>
      <c r="C787" t="s">
        <v>50</v>
      </c>
      <c r="D787" t="s">
        <v>51</v>
      </c>
      <c r="E787" t="s">
        <v>54</v>
      </c>
      <c r="F787" t="s">
        <v>63</v>
      </c>
      <c r="G787" s="43">
        <v>43332</v>
      </c>
      <c r="H787">
        <v>5</v>
      </c>
      <c r="I787">
        <v>10080</v>
      </c>
      <c r="J787">
        <v>148000000</v>
      </c>
      <c r="K787">
        <v>1</v>
      </c>
      <c r="P787" s="77">
        <f t="shared" si="84"/>
        <v>1350</v>
      </c>
      <c r="Q787" s="78">
        <f t="shared" si="85"/>
        <v>33.6</v>
      </c>
      <c r="R787" s="78">
        <f t="shared" si="86"/>
        <v>28.228759765625</v>
      </c>
      <c r="S787" s="78">
        <f t="shared" si="87"/>
        <v>23</v>
      </c>
      <c r="T787" s="78">
        <f t="shared" si="88"/>
        <v>7.8400000000000007</v>
      </c>
      <c r="U787" s="78" t="str">
        <f t="shared" si="89"/>
        <v>&lt;35</v>
      </c>
      <c r="V787" s="78" t="str">
        <f t="shared" si="90"/>
        <v>21-30 Гб</v>
      </c>
    </row>
    <row r="788" spans="1:22" x14ac:dyDescent="0.25">
      <c r="A788" t="s">
        <v>123</v>
      </c>
      <c r="B788" s="43">
        <v>36019</v>
      </c>
      <c r="C788" t="s">
        <v>50</v>
      </c>
      <c r="D788" t="s">
        <v>51</v>
      </c>
      <c r="E788" t="s">
        <v>54</v>
      </c>
      <c r="F788" t="s">
        <v>63</v>
      </c>
      <c r="G788" s="43">
        <v>44577</v>
      </c>
      <c r="H788">
        <v>3</v>
      </c>
      <c r="I788">
        <v>3665</v>
      </c>
      <c r="J788">
        <v>3500000</v>
      </c>
      <c r="L788">
        <v>1</v>
      </c>
      <c r="P788" s="77">
        <f t="shared" si="84"/>
        <v>105</v>
      </c>
      <c r="Q788" s="78">
        <f t="shared" si="85"/>
        <v>17.452380952380953</v>
      </c>
      <c r="R788" s="78">
        <f t="shared" si="86"/>
        <v>0.95367431640625</v>
      </c>
      <c r="S788" s="78">
        <f t="shared" si="87"/>
        <v>23</v>
      </c>
      <c r="T788" s="78">
        <f t="shared" si="88"/>
        <v>4.072222222222222</v>
      </c>
      <c r="U788" s="78" t="str">
        <f t="shared" si="89"/>
        <v>&lt;35</v>
      </c>
      <c r="V788" s="78" t="str">
        <f t="shared" si="90"/>
        <v>&lt;10 Гб</v>
      </c>
    </row>
    <row r="789" spans="1:22" x14ac:dyDescent="0.25">
      <c r="A789" t="s">
        <v>393</v>
      </c>
      <c r="B789" s="43">
        <v>36019</v>
      </c>
      <c r="C789" t="s">
        <v>50</v>
      </c>
      <c r="D789" t="s">
        <v>51</v>
      </c>
      <c r="E789" t="s">
        <v>52</v>
      </c>
      <c r="F789" t="s">
        <v>56</v>
      </c>
      <c r="G789" s="43">
        <v>43547</v>
      </c>
      <c r="H789">
        <v>5</v>
      </c>
      <c r="I789">
        <v>37688</v>
      </c>
      <c r="J789">
        <v>124000000</v>
      </c>
      <c r="M789">
        <v>1</v>
      </c>
      <c r="P789" s="77">
        <f t="shared" si="84"/>
        <v>1135</v>
      </c>
      <c r="Q789" s="78">
        <f t="shared" si="85"/>
        <v>125.62666666666667</v>
      </c>
      <c r="R789" s="78">
        <f t="shared" si="86"/>
        <v>23.651123046875</v>
      </c>
      <c r="S789" s="78">
        <f t="shared" si="87"/>
        <v>23</v>
      </c>
      <c r="T789" s="78">
        <f t="shared" si="88"/>
        <v>29.312888888888889</v>
      </c>
      <c r="U789" s="78" t="str">
        <f t="shared" si="89"/>
        <v>&lt;35</v>
      </c>
      <c r="V789" s="78" t="str">
        <f t="shared" si="90"/>
        <v>21-30 Гб</v>
      </c>
    </row>
    <row r="790" spans="1:22" x14ac:dyDescent="0.25">
      <c r="A790" t="s">
        <v>436</v>
      </c>
      <c r="B790" s="43">
        <v>36016</v>
      </c>
      <c r="C790" t="s">
        <v>50</v>
      </c>
      <c r="D790" t="s">
        <v>51</v>
      </c>
      <c r="E790" t="s">
        <v>52</v>
      </c>
      <c r="F790" t="s">
        <v>57</v>
      </c>
      <c r="G790" s="43">
        <v>43916</v>
      </c>
      <c r="H790">
        <v>5</v>
      </c>
      <c r="I790">
        <v>21468</v>
      </c>
      <c r="J790">
        <v>92000000</v>
      </c>
      <c r="P790" s="77">
        <f t="shared" si="84"/>
        <v>766</v>
      </c>
      <c r="Q790" s="78">
        <f t="shared" si="85"/>
        <v>71.56</v>
      </c>
      <c r="R790" s="78">
        <f t="shared" si="86"/>
        <v>17.547607421875</v>
      </c>
      <c r="S790" s="78">
        <f t="shared" si="87"/>
        <v>23</v>
      </c>
      <c r="T790" s="78">
        <f t="shared" si="88"/>
        <v>16.697333333333333</v>
      </c>
      <c r="U790" s="78" t="str">
        <f t="shared" si="89"/>
        <v>&lt;35</v>
      </c>
      <c r="V790" s="78" t="str">
        <f t="shared" si="90"/>
        <v>10-20 Гб</v>
      </c>
    </row>
    <row r="791" spans="1:22" x14ac:dyDescent="0.25">
      <c r="A791" t="s">
        <v>183</v>
      </c>
      <c r="B791" s="43">
        <v>36014</v>
      </c>
      <c r="C791" t="s">
        <v>58</v>
      </c>
      <c r="D791" t="s">
        <v>51</v>
      </c>
      <c r="E791" t="s">
        <v>54</v>
      </c>
      <c r="F791" t="s">
        <v>53</v>
      </c>
      <c r="G791" s="43">
        <v>43685</v>
      </c>
      <c r="H791">
        <v>5</v>
      </c>
      <c r="I791">
        <v>127092</v>
      </c>
      <c r="J791">
        <v>180000000</v>
      </c>
      <c r="P791" s="77">
        <f t="shared" si="84"/>
        <v>997</v>
      </c>
      <c r="Q791" s="78">
        <f t="shared" si="85"/>
        <v>423.64</v>
      </c>
      <c r="R791" s="78">
        <f t="shared" si="86"/>
        <v>34.332275390625</v>
      </c>
      <c r="S791" s="78">
        <f t="shared" si="87"/>
        <v>23</v>
      </c>
      <c r="T791" s="78">
        <f t="shared" si="88"/>
        <v>98.849333333333334</v>
      </c>
      <c r="U791" s="78" t="str">
        <f t="shared" si="89"/>
        <v>91-120</v>
      </c>
      <c r="V791" s="78" t="str">
        <f t="shared" si="90"/>
        <v>31-40 Гб</v>
      </c>
    </row>
    <row r="792" spans="1:22" x14ac:dyDescent="0.25">
      <c r="A792" t="s">
        <v>541</v>
      </c>
      <c r="B792" s="43">
        <v>36009</v>
      </c>
      <c r="C792" t="s">
        <v>58</v>
      </c>
      <c r="D792" t="s">
        <v>51</v>
      </c>
      <c r="E792" t="s">
        <v>52</v>
      </c>
      <c r="F792" t="s">
        <v>57</v>
      </c>
      <c r="G792" s="43">
        <v>43244</v>
      </c>
      <c r="H792">
        <v>5</v>
      </c>
      <c r="I792">
        <v>88728</v>
      </c>
      <c r="J792">
        <v>100000000</v>
      </c>
      <c r="P792" s="77">
        <f t="shared" si="84"/>
        <v>1438</v>
      </c>
      <c r="Q792" s="78">
        <f t="shared" si="85"/>
        <v>295.76</v>
      </c>
      <c r="R792" s="78">
        <f t="shared" si="86"/>
        <v>19.073486328125</v>
      </c>
      <c r="S792" s="78">
        <f t="shared" si="87"/>
        <v>23</v>
      </c>
      <c r="T792" s="78">
        <f t="shared" si="88"/>
        <v>69.010666666666651</v>
      </c>
      <c r="U792" s="78" t="str">
        <f t="shared" si="89"/>
        <v>61-90</v>
      </c>
      <c r="V792" s="78" t="str">
        <f t="shared" si="90"/>
        <v>10-20 Гб</v>
      </c>
    </row>
    <row r="793" spans="1:22" x14ac:dyDescent="0.25">
      <c r="A793" t="s">
        <v>296</v>
      </c>
      <c r="B793" s="43">
        <v>35999</v>
      </c>
      <c r="C793" t="s">
        <v>50</v>
      </c>
      <c r="D793" t="s">
        <v>51</v>
      </c>
      <c r="E793" t="s">
        <v>54</v>
      </c>
      <c r="F793" t="s">
        <v>56</v>
      </c>
      <c r="G793" s="43">
        <v>44104</v>
      </c>
      <c r="H793">
        <v>5</v>
      </c>
      <c r="I793">
        <v>47684</v>
      </c>
      <c r="J793">
        <v>112000000</v>
      </c>
      <c r="K793">
        <v>1</v>
      </c>
      <c r="P793" s="77">
        <f t="shared" si="84"/>
        <v>578</v>
      </c>
      <c r="Q793" s="78">
        <f t="shared" si="85"/>
        <v>158.94666666666666</v>
      </c>
      <c r="R793" s="78">
        <f t="shared" si="86"/>
        <v>21.3623046875</v>
      </c>
      <c r="S793" s="78">
        <f t="shared" si="87"/>
        <v>23</v>
      </c>
      <c r="T793" s="78">
        <f t="shared" si="88"/>
        <v>37.087555555555554</v>
      </c>
      <c r="U793" s="78" t="str">
        <f t="shared" si="89"/>
        <v>35-60</v>
      </c>
      <c r="V793" s="78" t="str">
        <f t="shared" si="90"/>
        <v>21-30 Гб</v>
      </c>
    </row>
    <row r="794" spans="1:22" x14ac:dyDescent="0.25">
      <c r="A794" t="s">
        <v>1061</v>
      </c>
      <c r="B794" s="43">
        <v>35994</v>
      </c>
      <c r="C794" t="s">
        <v>58</v>
      </c>
      <c r="D794" t="s">
        <v>51</v>
      </c>
      <c r="E794" t="s">
        <v>52</v>
      </c>
      <c r="F794" t="s">
        <v>63</v>
      </c>
      <c r="G794" s="43">
        <v>42901</v>
      </c>
      <c r="H794">
        <v>5</v>
      </c>
      <c r="I794">
        <v>34244</v>
      </c>
      <c r="J794">
        <v>96000000</v>
      </c>
      <c r="L794">
        <v>1</v>
      </c>
      <c r="P794" s="77">
        <f t="shared" si="84"/>
        <v>1781</v>
      </c>
      <c r="Q794" s="78">
        <f t="shared" si="85"/>
        <v>114.14666666666666</v>
      </c>
      <c r="R794" s="78">
        <f t="shared" si="86"/>
        <v>18.310546875</v>
      </c>
      <c r="S794" s="78">
        <f t="shared" si="87"/>
        <v>23</v>
      </c>
      <c r="T794" s="78">
        <f t="shared" si="88"/>
        <v>26.63422222222222</v>
      </c>
      <c r="U794" s="78" t="str">
        <f t="shared" si="89"/>
        <v>&lt;35</v>
      </c>
      <c r="V794" s="78" t="str">
        <f t="shared" si="90"/>
        <v>10-20 Гб</v>
      </c>
    </row>
    <row r="795" spans="1:22" x14ac:dyDescent="0.25">
      <c r="A795" t="s">
        <v>1096</v>
      </c>
      <c r="B795" s="43">
        <v>35992</v>
      </c>
      <c r="C795" t="s">
        <v>50</v>
      </c>
      <c r="D795" t="s">
        <v>51</v>
      </c>
      <c r="E795" t="s">
        <v>54</v>
      </c>
      <c r="F795" t="s">
        <v>63</v>
      </c>
      <c r="G795" s="43">
        <v>43239</v>
      </c>
      <c r="H795">
        <v>5</v>
      </c>
      <c r="I795">
        <v>16732</v>
      </c>
      <c r="J795">
        <v>120000000</v>
      </c>
      <c r="M795">
        <v>1</v>
      </c>
      <c r="P795" s="77">
        <f t="shared" si="84"/>
        <v>1443</v>
      </c>
      <c r="Q795" s="78">
        <f t="shared" si="85"/>
        <v>55.773333333333333</v>
      </c>
      <c r="R795" s="78">
        <f t="shared" si="86"/>
        <v>22.88818359375</v>
      </c>
      <c r="S795" s="78">
        <f t="shared" si="87"/>
        <v>23</v>
      </c>
      <c r="T795" s="78">
        <f t="shared" si="88"/>
        <v>13.013777777777779</v>
      </c>
      <c r="U795" s="78" t="str">
        <f t="shared" si="89"/>
        <v>&lt;35</v>
      </c>
      <c r="V795" s="78" t="str">
        <f t="shared" si="90"/>
        <v>21-30 Гб</v>
      </c>
    </row>
    <row r="796" spans="1:22" x14ac:dyDescent="0.25">
      <c r="A796" t="s">
        <v>1118</v>
      </c>
      <c r="B796" s="43">
        <v>35992</v>
      </c>
      <c r="C796" t="s">
        <v>50</v>
      </c>
      <c r="D796" t="s">
        <v>51</v>
      </c>
      <c r="E796" t="s">
        <v>54</v>
      </c>
      <c r="F796" t="s">
        <v>69</v>
      </c>
      <c r="G796" s="43">
        <v>43428</v>
      </c>
      <c r="H796">
        <v>5</v>
      </c>
      <c r="I796">
        <v>17644</v>
      </c>
      <c r="J796">
        <v>20000000</v>
      </c>
      <c r="P796" s="77">
        <f t="shared" si="84"/>
        <v>1254</v>
      </c>
      <c r="Q796" s="78">
        <f t="shared" si="85"/>
        <v>58.813333333333333</v>
      </c>
      <c r="R796" s="78">
        <f t="shared" si="86"/>
        <v>3.814697265625</v>
      </c>
      <c r="S796" s="78">
        <f t="shared" si="87"/>
        <v>23</v>
      </c>
      <c r="T796" s="78">
        <f t="shared" si="88"/>
        <v>13.723111111111111</v>
      </c>
      <c r="U796" s="78" t="str">
        <f t="shared" si="89"/>
        <v>&lt;35</v>
      </c>
      <c r="V796" s="78" t="str">
        <f t="shared" si="90"/>
        <v>&lt;10 Гб</v>
      </c>
    </row>
    <row r="797" spans="1:22" x14ac:dyDescent="0.25">
      <c r="A797" t="s">
        <v>119</v>
      </c>
      <c r="B797" s="43">
        <v>35990</v>
      </c>
      <c r="C797" t="s">
        <v>50</v>
      </c>
      <c r="D797" t="s">
        <v>51</v>
      </c>
      <c r="E797" t="s">
        <v>52</v>
      </c>
      <c r="F797" t="s">
        <v>57</v>
      </c>
      <c r="G797" s="43">
        <v>44591</v>
      </c>
      <c r="H797">
        <v>3</v>
      </c>
      <c r="I797">
        <v>72800</v>
      </c>
      <c r="J797">
        <v>66733333</v>
      </c>
      <c r="P797" s="77">
        <f t="shared" si="84"/>
        <v>91</v>
      </c>
      <c r="Q797" s="78">
        <f t="shared" si="85"/>
        <v>400</v>
      </c>
      <c r="R797" s="78">
        <f t="shared" si="86"/>
        <v>20.980834856138124</v>
      </c>
      <c r="S797" s="78">
        <f t="shared" si="87"/>
        <v>23</v>
      </c>
      <c r="T797" s="78">
        <f t="shared" si="88"/>
        <v>93.333333333333329</v>
      </c>
      <c r="U797" s="78" t="str">
        <f t="shared" si="89"/>
        <v>91-120</v>
      </c>
      <c r="V797" s="78" t="str">
        <f t="shared" si="90"/>
        <v>21-30 Гб</v>
      </c>
    </row>
    <row r="798" spans="1:22" x14ac:dyDescent="0.25">
      <c r="A798" t="s">
        <v>802</v>
      </c>
      <c r="B798" s="43">
        <v>35985</v>
      </c>
      <c r="C798" t="s">
        <v>58</v>
      </c>
      <c r="D798" t="s">
        <v>51</v>
      </c>
      <c r="E798" t="s">
        <v>52</v>
      </c>
      <c r="F798" t="s">
        <v>63</v>
      </c>
      <c r="G798" s="43">
        <v>44005</v>
      </c>
      <c r="H798">
        <v>5</v>
      </c>
      <c r="I798">
        <v>27008</v>
      </c>
      <c r="J798">
        <v>156000000</v>
      </c>
      <c r="P798" s="77">
        <f t="shared" si="84"/>
        <v>677</v>
      </c>
      <c r="Q798" s="78">
        <f t="shared" si="85"/>
        <v>90.026666666666671</v>
      </c>
      <c r="R798" s="78">
        <f t="shared" si="86"/>
        <v>29.754638671875</v>
      </c>
      <c r="S798" s="78">
        <f t="shared" si="87"/>
        <v>23</v>
      </c>
      <c r="T798" s="78">
        <f t="shared" si="88"/>
        <v>21.006222222222224</v>
      </c>
      <c r="U798" s="78" t="str">
        <f t="shared" si="89"/>
        <v>&lt;35</v>
      </c>
      <c r="V798" s="78" t="str">
        <f t="shared" si="90"/>
        <v>21-30 Гб</v>
      </c>
    </row>
    <row r="799" spans="1:22" x14ac:dyDescent="0.25">
      <c r="A799" t="s">
        <v>1093</v>
      </c>
      <c r="B799" s="43">
        <v>35984</v>
      </c>
      <c r="C799" t="s">
        <v>58</v>
      </c>
      <c r="D799" t="s">
        <v>51</v>
      </c>
      <c r="E799" t="s">
        <v>52</v>
      </c>
      <c r="F799" t="s">
        <v>63</v>
      </c>
      <c r="G799" s="43">
        <v>43596</v>
      </c>
      <c r="H799">
        <v>5</v>
      </c>
      <c r="I799">
        <v>660</v>
      </c>
      <c r="J799">
        <v>36000000</v>
      </c>
      <c r="K799">
        <v>1</v>
      </c>
      <c r="P799" s="77">
        <f t="shared" si="84"/>
        <v>1086</v>
      </c>
      <c r="Q799" s="78">
        <f t="shared" si="85"/>
        <v>2.2000000000000002</v>
      </c>
      <c r="R799" s="78">
        <f t="shared" si="86"/>
        <v>6.866455078125</v>
      </c>
      <c r="S799" s="78">
        <f t="shared" si="87"/>
        <v>23</v>
      </c>
      <c r="T799" s="78">
        <f t="shared" si="88"/>
        <v>0.51333333333333342</v>
      </c>
      <c r="U799" s="78" t="str">
        <f t="shared" si="89"/>
        <v>&lt;35</v>
      </c>
      <c r="V799" s="78" t="str">
        <f t="shared" si="90"/>
        <v>&lt;10 Гб</v>
      </c>
    </row>
    <row r="800" spans="1:22" x14ac:dyDescent="0.25">
      <c r="A800" t="s">
        <v>249</v>
      </c>
      <c r="B800" s="43">
        <v>35981</v>
      </c>
      <c r="C800" t="s">
        <v>58</v>
      </c>
      <c r="D800" t="s">
        <v>51</v>
      </c>
      <c r="E800" t="s">
        <v>52</v>
      </c>
      <c r="F800" t="s">
        <v>56</v>
      </c>
      <c r="G800" s="43">
        <v>44132</v>
      </c>
      <c r="H800">
        <v>5</v>
      </c>
      <c r="I800">
        <v>114700</v>
      </c>
      <c r="J800">
        <v>96000000</v>
      </c>
      <c r="P800" s="77">
        <f t="shared" si="84"/>
        <v>550</v>
      </c>
      <c r="Q800" s="78">
        <f t="shared" si="85"/>
        <v>382.33333333333331</v>
      </c>
      <c r="R800" s="78">
        <f t="shared" si="86"/>
        <v>18.310546875</v>
      </c>
      <c r="S800" s="78">
        <f t="shared" si="87"/>
        <v>23</v>
      </c>
      <c r="T800" s="78">
        <f t="shared" si="88"/>
        <v>89.211111111111094</v>
      </c>
      <c r="U800" s="78" t="str">
        <f t="shared" si="89"/>
        <v>61-90</v>
      </c>
      <c r="V800" s="78" t="str">
        <f t="shared" si="90"/>
        <v>10-20 Гб</v>
      </c>
    </row>
    <row r="801" spans="1:22" x14ac:dyDescent="0.25">
      <c r="A801" t="s">
        <v>307</v>
      </c>
      <c r="B801" s="43">
        <v>35980</v>
      </c>
      <c r="C801" t="s">
        <v>50</v>
      </c>
      <c r="D801" t="s">
        <v>51</v>
      </c>
      <c r="E801" t="s">
        <v>54</v>
      </c>
      <c r="F801" t="s">
        <v>56</v>
      </c>
      <c r="G801" s="43">
        <v>43448</v>
      </c>
      <c r="H801">
        <v>5</v>
      </c>
      <c r="I801">
        <v>70028</v>
      </c>
      <c r="J801">
        <v>76000000</v>
      </c>
      <c r="K801">
        <v>1</v>
      </c>
      <c r="P801" s="77">
        <f t="shared" si="84"/>
        <v>1234</v>
      </c>
      <c r="Q801" s="78">
        <f t="shared" si="85"/>
        <v>233.42666666666668</v>
      </c>
      <c r="R801" s="78">
        <f t="shared" si="86"/>
        <v>14.495849609375</v>
      </c>
      <c r="S801" s="78">
        <f t="shared" si="87"/>
        <v>23</v>
      </c>
      <c r="T801" s="78">
        <f t="shared" si="88"/>
        <v>54.466222222222221</v>
      </c>
      <c r="U801" s="78" t="str">
        <f t="shared" si="89"/>
        <v>35-60</v>
      </c>
      <c r="V801" s="78" t="str">
        <f t="shared" si="90"/>
        <v>10-20 Гб</v>
      </c>
    </row>
    <row r="802" spans="1:22" x14ac:dyDescent="0.25">
      <c r="A802" t="s">
        <v>582</v>
      </c>
      <c r="B802" s="43">
        <v>35980</v>
      </c>
      <c r="C802" t="s">
        <v>58</v>
      </c>
      <c r="D802" t="s">
        <v>51</v>
      </c>
      <c r="E802" t="s">
        <v>54</v>
      </c>
      <c r="F802" t="s">
        <v>57</v>
      </c>
      <c r="G802" s="43">
        <v>44132</v>
      </c>
      <c r="H802">
        <v>5</v>
      </c>
      <c r="I802">
        <v>89764</v>
      </c>
      <c r="J802">
        <v>68000000</v>
      </c>
      <c r="M802">
        <v>1</v>
      </c>
      <c r="P802" s="77">
        <f t="shared" si="84"/>
        <v>550</v>
      </c>
      <c r="Q802" s="78">
        <f t="shared" si="85"/>
        <v>299.21333333333331</v>
      </c>
      <c r="R802" s="78">
        <f t="shared" si="86"/>
        <v>12.969970703125</v>
      </c>
      <c r="S802" s="78">
        <f t="shared" si="87"/>
        <v>23</v>
      </c>
      <c r="T802" s="78">
        <f t="shared" si="88"/>
        <v>69.816444444444443</v>
      </c>
      <c r="U802" s="78" t="str">
        <f t="shared" si="89"/>
        <v>61-90</v>
      </c>
      <c r="V802" s="78" t="str">
        <f t="shared" si="90"/>
        <v>10-20 Гб</v>
      </c>
    </row>
    <row r="803" spans="1:22" x14ac:dyDescent="0.25">
      <c r="A803" t="s">
        <v>691</v>
      </c>
      <c r="B803" s="43">
        <v>35980</v>
      </c>
      <c r="C803" t="s">
        <v>58</v>
      </c>
      <c r="D803" t="s">
        <v>51</v>
      </c>
      <c r="E803" t="s">
        <v>52</v>
      </c>
      <c r="F803" t="s">
        <v>57</v>
      </c>
      <c r="G803" s="43">
        <v>44297</v>
      </c>
      <c r="H803">
        <v>5</v>
      </c>
      <c r="I803">
        <v>88420</v>
      </c>
      <c r="J803">
        <v>52000000</v>
      </c>
      <c r="L803">
        <v>1</v>
      </c>
      <c r="N803">
        <v>1</v>
      </c>
      <c r="P803" s="77">
        <f t="shared" si="84"/>
        <v>385</v>
      </c>
      <c r="Q803" s="78">
        <f t="shared" si="85"/>
        <v>294.73333333333335</v>
      </c>
      <c r="R803" s="78">
        <f t="shared" si="86"/>
        <v>9.918212890625</v>
      </c>
      <c r="S803" s="78">
        <f t="shared" si="87"/>
        <v>23</v>
      </c>
      <c r="T803" s="78">
        <f t="shared" si="88"/>
        <v>68.771111111111111</v>
      </c>
      <c r="U803" s="78" t="str">
        <f t="shared" si="89"/>
        <v>61-90</v>
      </c>
      <c r="V803" s="78" t="str">
        <f t="shared" si="90"/>
        <v>&lt;10 Гб</v>
      </c>
    </row>
    <row r="804" spans="1:22" x14ac:dyDescent="0.25">
      <c r="A804" t="s">
        <v>989</v>
      </c>
      <c r="B804" s="43">
        <v>35980</v>
      </c>
      <c r="C804" t="s">
        <v>50</v>
      </c>
      <c r="D804" t="s">
        <v>51</v>
      </c>
      <c r="E804" t="s">
        <v>52</v>
      </c>
      <c r="F804" t="s">
        <v>63</v>
      </c>
      <c r="G804" s="43">
        <v>43970</v>
      </c>
      <c r="H804">
        <v>5</v>
      </c>
      <c r="I804">
        <v>19036</v>
      </c>
      <c r="J804">
        <v>156000000</v>
      </c>
      <c r="K804">
        <v>1</v>
      </c>
      <c r="L804">
        <v>1</v>
      </c>
      <c r="P804" s="77">
        <f t="shared" si="84"/>
        <v>712</v>
      </c>
      <c r="Q804" s="78">
        <f t="shared" si="85"/>
        <v>63.453333333333333</v>
      </c>
      <c r="R804" s="78">
        <f t="shared" si="86"/>
        <v>29.754638671875</v>
      </c>
      <c r="S804" s="78">
        <f t="shared" si="87"/>
        <v>23</v>
      </c>
      <c r="T804" s="78">
        <f t="shared" si="88"/>
        <v>14.805777777777779</v>
      </c>
      <c r="U804" s="78" t="str">
        <f t="shared" si="89"/>
        <v>&lt;35</v>
      </c>
      <c r="V804" s="78" t="str">
        <f t="shared" si="90"/>
        <v>21-30 Гб</v>
      </c>
    </row>
    <row r="805" spans="1:22" x14ac:dyDescent="0.25">
      <c r="A805" t="s">
        <v>754</v>
      </c>
      <c r="B805" s="43">
        <v>35979</v>
      </c>
      <c r="C805" t="s">
        <v>58</v>
      </c>
      <c r="D805" t="s">
        <v>51</v>
      </c>
      <c r="E805" t="s">
        <v>52</v>
      </c>
      <c r="F805" t="s">
        <v>57</v>
      </c>
      <c r="G805" s="43">
        <v>43484</v>
      </c>
      <c r="H805">
        <v>5</v>
      </c>
      <c r="I805">
        <v>82556</v>
      </c>
      <c r="J805">
        <v>112000000</v>
      </c>
      <c r="P805" s="77">
        <f t="shared" si="84"/>
        <v>1198</v>
      </c>
      <c r="Q805" s="78">
        <f t="shared" si="85"/>
        <v>275.18666666666667</v>
      </c>
      <c r="R805" s="78">
        <f t="shared" si="86"/>
        <v>21.3623046875</v>
      </c>
      <c r="S805" s="78">
        <f t="shared" si="87"/>
        <v>23</v>
      </c>
      <c r="T805" s="78">
        <f t="shared" si="88"/>
        <v>64.210222222222214</v>
      </c>
      <c r="U805" s="78" t="str">
        <f t="shared" si="89"/>
        <v>61-90</v>
      </c>
      <c r="V805" s="78" t="str">
        <f t="shared" si="90"/>
        <v>21-30 Гб</v>
      </c>
    </row>
    <row r="806" spans="1:22" x14ac:dyDescent="0.25">
      <c r="A806" t="s">
        <v>1192</v>
      </c>
      <c r="B806" s="43">
        <v>35979</v>
      </c>
      <c r="C806" t="s">
        <v>50</v>
      </c>
      <c r="D806" t="s">
        <v>51</v>
      </c>
      <c r="E806" t="s">
        <v>52</v>
      </c>
      <c r="F806" t="s">
        <v>69</v>
      </c>
      <c r="G806" s="43">
        <v>43465</v>
      </c>
      <c r="H806">
        <v>5</v>
      </c>
      <c r="I806">
        <v>37188</v>
      </c>
      <c r="J806">
        <v>8000000</v>
      </c>
      <c r="P806" s="77">
        <f t="shared" si="84"/>
        <v>1217</v>
      </c>
      <c r="Q806" s="78">
        <f t="shared" si="85"/>
        <v>123.96</v>
      </c>
      <c r="R806" s="78">
        <f t="shared" si="86"/>
        <v>1.52587890625</v>
      </c>
      <c r="S806" s="78">
        <f t="shared" si="87"/>
        <v>23</v>
      </c>
      <c r="T806" s="78">
        <f t="shared" si="88"/>
        <v>28.923999999999996</v>
      </c>
      <c r="U806" s="78" t="str">
        <f t="shared" si="89"/>
        <v>&lt;35</v>
      </c>
      <c r="V806" s="78" t="str">
        <f t="shared" si="90"/>
        <v>&lt;10 Гб</v>
      </c>
    </row>
    <row r="807" spans="1:22" x14ac:dyDescent="0.25">
      <c r="A807" t="s">
        <v>758</v>
      </c>
      <c r="B807" s="43">
        <v>35972</v>
      </c>
      <c r="C807" t="s">
        <v>58</v>
      </c>
      <c r="D807" t="s">
        <v>51</v>
      </c>
      <c r="E807" t="s">
        <v>52</v>
      </c>
      <c r="F807" t="s">
        <v>57</v>
      </c>
      <c r="G807" s="43">
        <v>43238</v>
      </c>
      <c r="H807">
        <v>5</v>
      </c>
      <c r="I807">
        <v>75304</v>
      </c>
      <c r="J807">
        <v>56000000</v>
      </c>
      <c r="P807" s="77">
        <f t="shared" si="84"/>
        <v>1444</v>
      </c>
      <c r="Q807" s="78">
        <f t="shared" si="85"/>
        <v>251.01333333333332</v>
      </c>
      <c r="R807" s="78">
        <f t="shared" si="86"/>
        <v>10.68115234375</v>
      </c>
      <c r="S807" s="78">
        <f t="shared" si="87"/>
        <v>23</v>
      </c>
      <c r="T807" s="78">
        <f t="shared" si="88"/>
        <v>58.569777777777773</v>
      </c>
      <c r="U807" s="78" t="str">
        <f t="shared" si="89"/>
        <v>35-60</v>
      </c>
      <c r="V807" s="78" t="str">
        <f t="shared" si="90"/>
        <v>10-20 Гб</v>
      </c>
    </row>
    <row r="808" spans="1:22" x14ac:dyDescent="0.25">
      <c r="A808" t="s">
        <v>1136</v>
      </c>
      <c r="B808" s="43">
        <v>35970</v>
      </c>
      <c r="C808" t="s">
        <v>58</v>
      </c>
      <c r="D808" t="s">
        <v>51</v>
      </c>
      <c r="E808" t="s">
        <v>54</v>
      </c>
      <c r="F808" t="s">
        <v>69</v>
      </c>
      <c r="G808" s="43">
        <v>43875</v>
      </c>
      <c r="H808">
        <v>5</v>
      </c>
      <c r="I808">
        <v>14864</v>
      </c>
      <c r="J808">
        <v>16000000</v>
      </c>
      <c r="M808">
        <v>1</v>
      </c>
      <c r="P808" s="77">
        <f t="shared" si="84"/>
        <v>807</v>
      </c>
      <c r="Q808" s="78">
        <f t="shared" si="85"/>
        <v>49.546666666666667</v>
      </c>
      <c r="R808" s="78">
        <f t="shared" si="86"/>
        <v>3.0517578125</v>
      </c>
      <c r="S808" s="78">
        <f t="shared" si="87"/>
        <v>23</v>
      </c>
      <c r="T808" s="78">
        <f t="shared" si="88"/>
        <v>11.560888888888888</v>
      </c>
      <c r="U808" s="78" t="str">
        <f t="shared" si="89"/>
        <v>&lt;35</v>
      </c>
      <c r="V808" s="78" t="str">
        <f t="shared" si="90"/>
        <v>&lt;10 Гб</v>
      </c>
    </row>
    <row r="809" spans="1:22" x14ac:dyDescent="0.25">
      <c r="A809" t="s">
        <v>1056</v>
      </c>
      <c r="B809" s="43">
        <v>35967</v>
      </c>
      <c r="C809" t="s">
        <v>58</v>
      </c>
      <c r="D809" t="s">
        <v>51</v>
      </c>
      <c r="E809" t="s">
        <v>52</v>
      </c>
      <c r="F809" t="s">
        <v>63</v>
      </c>
      <c r="G809" s="43">
        <v>43091</v>
      </c>
      <c r="H809">
        <v>5</v>
      </c>
      <c r="I809">
        <v>8796</v>
      </c>
      <c r="J809">
        <v>28000000</v>
      </c>
      <c r="P809" s="77">
        <f t="shared" si="84"/>
        <v>1591</v>
      </c>
      <c r="Q809" s="78">
        <f t="shared" si="85"/>
        <v>29.32</v>
      </c>
      <c r="R809" s="78">
        <f t="shared" si="86"/>
        <v>5.340576171875</v>
      </c>
      <c r="S809" s="78">
        <f t="shared" si="87"/>
        <v>23</v>
      </c>
      <c r="T809" s="78">
        <f t="shared" si="88"/>
        <v>6.8413333333333339</v>
      </c>
      <c r="U809" s="78" t="str">
        <f t="shared" si="89"/>
        <v>&lt;35</v>
      </c>
      <c r="V809" s="78" t="str">
        <f t="shared" si="90"/>
        <v>&lt;10 Гб</v>
      </c>
    </row>
    <row r="810" spans="1:22" x14ac:dyDescent="0.25">
      <c r="A810" t="s">
        <v>1035</v>
      </c>
      <c r="B810" s="43">
        <v>35961</v>
      </c>
      <c r="C810" t="s">
        <v>58</v>
      </c>
      <c r="D810" t="s">
        <v>51</v>
      </c>
      <c r="E810" t="s">
        <v>54</v>
      </c>
      <c r="F810" t="s">
        <v>63</v>
      </c>
      <c r="G810" s="43">
        <v>43895</v>
      </c>
      <c r="H810">
        <v>5</v>
      </c>
      <c r="I810">
        <v>17276</v>
      </c>
      <c r="J810">
        <v>128000000</v>
      </c>
      <c r="P810" s="77">
        <f t="shared" si="84"/>
        <v>787</v>
      </c>
      <c r="Q810" s="78">
        <f t="shared" si="85"/>
        <v>57.586666666666666</v>
      </c>
      <c r="R810" s="78">
        <f t="shared" si="86"/>
        <v>24.4140625</v>
      </c>
      <c r="S810" s="78">
        <f t="shared" si="87"/>
        <v>23</v>
      </c>
      <c r="T810" s="78">
        <f t="shared" si="88"/>
        <v>13.436888888888889</v>
      </c>
      <c r="U810" s="78" t="str">
        <f t="shared" si="89"/>
        <v>&lt;35</v>
      </c>
      <c r="V810" s="78" t="str">
        <f t="shared" si="90"/>
        <v>21-30 Гб</v>
      </c>
    </row>
    <row r="811" spans="1:22" x14ac:dyDescent="0.25">
      <c r="A811" t="s">
        <v>506</v>
      </c>
      <c r="B811" s="43">
        <v>35960</v>
      </c>
      <c r="C811" t="s">
        <v>58</v>
      </c>
      <c r="D811" t="s">
        <v>51</v>
      </c>
      <c r="E811" t="s">
        <v>52</v>
      </c>
      <c r="F811" t="s">
        <v>57</v>
      </c>
      <c r="G811" s="43">
        <v>43068</v>
      </c>
      <c r="H811">
        <v>5</v>
      </c>
      <c r="I811">
        <v>7156</v>
      </c>
      <c r="J811">
        <v>104000000</v>
      </c>
      <c r="K811">
        <v>1</v>
      </c>
      <c r="P811" s="77">
        <f t="shared" si="84"/>
        <v>1614</v>
      </c>
      <c r="Q811" s="78">
        <f t="shared" si="85"/>
        <v>23.853333333333332</v>
      </c>
      <c r="R811" s="78">
        <f t="shared" si="86"/>
        <v>19.83642578125</v>
      </c>
      <c r="S811" s="78">
        <f t="shared" si="87"/>
        <v>23</v>
      </c>
      <c r="T811" s="78">
        <f t="shared" si="88"/>
        <v>5.5657777777777779</v>
      </c>
      <c r="U811" s="78" t="str">
        <f t="shared" si="89"/>
        <v>&lt;35</v>
      </c>
      <c r="V811" s="78" t="str">
        <f t="shared" si="90"/>
        <v>10-20 Гб</v>
      </c>
    </row>
    <row r="812" spans="1:22" x14ac:dyDescent="0.25">
      <c r="A812" t="s">
        <v>877</v>
      </c>
      <c r="B812" s="43">
        <v>35958</v>
      </c>
      <c r="C812" t="s">
        <v>50</v>
      </c>
      <c r="D812" t="s">
        <v>51</v>
      </c>
      <c r="E812" t="s">
        <v>54</v>
      </c>
      <c r="F812" t="s">
        <v>63</v>
      </c>
      <c r="G812" s="43">
        <v>43609</v>
      </c>
      <c r="H812">
        <v>5</v>
      </c>
      <c r="I812">
        <v>21420</v>
      </c>
      <c r="J812">
        <v>112000000</v>
      </c>
      <c r="L812">
        <v>1</v>
      </c>
      <c r="P812" s="77">
        <f t="shared" si="84"/>
        <v>1073</v>
      </c>
      <c r="Q812" s="78">
        <f t="shared" si="85"/>
        <v>71.400000000000006</v>
      </c>
      <c r="R812" s="78">
        <f t="shared" si="86"/>
        <v>21.3623046875</v>
      </c>
      <c r="S812" s="78">
        <f t="shared" si="87"/>
        <v>23</v>
      </c>
      <c r="T812" s="78">
        <f t="shared" si="88"/>
        <v>16.660000000000004</v>
      </c>
      <c r="U812" s="78" t="str">
        <f t="shared" si="89"/>
        <v>&lt;35</v>
      </c>
      <c r="V812" s="78" t="str">
        <f t="shared" si="90"/>
        <v>21-30 Гб</v>
      </c>
    </row>
    <row r="813" spans="1:22" x14ac:dyDescent="0.25">
      <c r="A813" t="s">
        <v>940</v>
      </c>
      <c r="B813" s="43">
        <v>35957</v>
      </c>
      <c r="C813" t="s">
        <v>50</v>
      </c>
      <c r="D813" t="s">
        <v>51</v>
      </c>
      <c r="E813" t="s">
        <v>52</v>
      </c>
      <c r="F813" t="s">
        <v>63</v>
      </c>
      <c r="G813" s="43">
        <v>43855</v>
      </c>
      <c r="H813">
        <v>5</v>
      </c>
      <c r="I813">
        <v>27184</v>
      </c>
      <c r="J813">
        <v>148000000</v>
      </c>
      <c r="P813" s="77">
        <f t="shared" si="84"/>
        <v>827</v>
      </c>
      <c r="Q813" s="78">
        <f t="shared" si="85"/>
        <v>90.61333333333333</v>
      </c>
      <c r="R813" s="78">
        <f t="shared" si="86"/>
        <v>28.228759765625</v>
      </c>
      <c r="S813" s="78">
        <f t="shared" si="87"/>
        <v>23</v>
      </c>
      <c r="T813" s="78">
        <f t="shared" si="88"/>
        <v>21.143111111111111</v>
      </c>
      <c r="U813" s="78" t="str">
        <f t="shared" si="89"/>
        <v>&lt;35</v>
      </c>
      <c r="V813" s="78" t="str">
        <f t="shared" si="90"/>
        <v>21-30 Гб</v>
      </c>
    </row>
    <row r="814" spans="1:22" x14ac:dyDescent="0.25">
      <c r="A814" t="s">
        <v>323</v>
      </c>
      <c r="B814" s="43">
        <v>35955</v>
      </c>
      <c r="C814" t="s">
        <v>58</v>
      </c>
      <c r="D814" t="s">
        <v>51</v>
      </c>
      <c r="E814" t="s">
        <v>52</v>
      </c>
      <c r="F814" t="s">
        <v>56</v>
      </c>
      <c r="G814" s="43">
        <v>44494</v>
      </c>
      <c r="H814">
        <v>5</v>
      </c>
      <c r="I814">
        <v>102296</v>
      </c>
      <c r="J814">
        <v>116000000</v>
      </c>
      <c r="P814" s="77">
        <f t="shared" si="84"/>
        <v>188</v>
      </c>
      <c r="Q814" s="78">
        <f t="shared" si="85"/>
        <v>340.98666666666668</v>
      </c>
      <c r="R814" s="78">
        <f t="shared" si="86"/>
        <v>22.125244140625</v>
      </c>
      <c r="S814" s="78">
        <f t="shared" si="87"/>
        <v>23</v>
      </c>
      <c r="T814" s="78">
        <f t="shared" si="88"/>
        <v>79.563555555555553</v>
      </c>
      <c r="U814" s="78" t="str">
        <f t="shared" si="89"/>
        <v>61-90</v>
      </c>
      <c r="V814" s="78" t="str">
        <f t="shared" si="90"/>
        <v>21-30 Гб</v>
      </c>
    </row>
    <row r="815" spans="1:22" x14ac:dyDescent="0.25">
      <c r="A815" t="s">
        <v>495</v>
      </c>
      <c r="B815" s="43">
        <v>35952</v>
      </c>
      <c r="C815" t="s">
        <v>50</v>
      </c>
      <c r="D815" t="s">
        <v>51</v>
      </c>
      <c r="E815" t="s">
        <v>52</v>
      </c>
      <c r="F815" t="s">
        <v>57</v>
      </c>
      <c r="G815" s="43">
        <v>44349</v>
      </c>
      <c r="H815">
        <v>5</v>
      </c>
      <c r="I815">
        <v>42676</v>
      </c>
      <c r="J815">
        <v>72000000</v>
      </c>
      <c r="L815">
        <v>1</v>
      </c>
      <c r="P815" s="77">
        <f t="shared" si="84"/>
        <v>333</v>
      </c>
      <c r="Q815" s="78">
        <f t="shared" si="85"/>
        <v>142.25333333333333</v>
      </c>
      <c r="R815" s="78">
        <f t="shared" si="86"/>
        <v>13.73291015625</v>
      </c>
      <c r="S815" s="78">
        <f t="shared" si="87"/>
        <v>23</v>
      </c>
      <c r="T815" s="78">
        <f t="shared" si="88"/>
        <v>33.19244444444444</v>
      </c>
      <c r="U815" s="78" t="str">
        <f t="shared" si="89"/>
        <v>&lt;35</v>
      </c>
      <c r="V815" s="78" t="str">
        <f t="shared" si="90"/>
        <v>10-20 Гб</v>
      </c>
    </row>
    <row r="816" spans="1:22" x14ac:dyDescent="0.25">
      <c r="A816" t="s">
        <v>1054</v>
      </c>
      <c r="B816" s="43">
        <v>35949</v>
      </c>
      <c r="C816" t="s">
        <v>50</v>
      </c>
      <c r="D816" t="s">
        <v>51</v>
      </c>
      <c r="E816" t="s">
        <v>52</v>
      </c>
      <c r="F816" t="s">
        <v>63</v>
      </c>
      <c r="G816" s="43">
        <v>43345</v>
      </c>
      <c r="H816">
        <v>5</v>
      </c>
      <c r="I816">
        <v>13004</v>
      </c>
      <c r="J816">
        <v>76000000</v>
      </c>
      <c r="K816">
        <v>1</v>
      </c>
      <c r="L816">
        <v>1</v>
      </c>
      <c r="O816">
        <v>1</v>
      </c>
      <c r="P816" s="77">
        <f t="shared" si="84"/>
        <v>1337</v>
      </c>
      <c r="Q816" s="78">
        <f t="shared" si="85"/>
        <v>43.346666666666664</v>
      </c>
      <c r="R816" s="78">
        <f t="shared" si="86"/>
        <v>14.495849609375</v>
      </c>
      <c r="S816" s="78">
        <f t="shared" si="87"/>
        <v>23</v>
      </c>
      <c r="T816" s="78">
        <f t="shared" si="88"/>
        <v>10.114222222222221</v>
      </c>
      <c r="U816" s="78" t="str">
        <f t="shared" si="89"/>
        <v>&lt;35</v>
      </c>
      <c r="V816" s="78" t="str">
        <f t="shared" si="90"/>
        <v>10-20 Гб</v>
      </c>
    </row>
    <row r="817" spans="1:22" x14ac:dyDescent="0.25">
      <c r="A817" t="s">
        <v>509</v>
      </c>
      <c r="B817" s="43">
        <v>35947</v>
      </c>
      <c r="C817" t="s">
        <v>50</v>
      </c>
      <c r="D817" t="s">
        <v>51</v>
      </c>
      <c r="E817" t="s">
        <v>52</v>
      </c>
      <c r="F817" t="s">
        <v>57</v>
      </c>
      <c r="G817" s="43">
        <v>44390</v>
      </c>
      <c r="H817">
        <v>5</v>
      </c>
      <c r="I817">
        <v>62132</v>
      </c>
      <c r="J817">
        <v>72000000</v>
      </c>
      <c r="P817" s="77">
        <f t="shared" si="84"/>
        <v>292</v>
      </c>
      <c r="Q817" s="78">
        <f t="shared" si="85"/>
        <v>207.10666666666665</v>
      </c>
      <c r="R817" s="78">
        <f t="shared" si="86"/>
        <v>13.73291015625</v>
      </c>
      <c r="S817" s="78">
        <f t="shared" si="87"/>
        <v>23</v>
      </c>
      <c r="T817" s="78">
        <f t="shared" si="88"/>
        <v>48.324888888888886</v>
      </c>
      <c r="U817" s="78" t="str">
        <f t="shared" si="89"/>
        <v>35-60</v>
      </c>
      <c r="V817" s="78" t="str">
        <f t="shared" si="90"/>
        <v>10-20 Гб</v>
      </c>
    </row>
    <row r="818" spans="1:22" x14ac:dyDescent="0.25">
      <c r="A818" t="s">
        <v>142</v>
      </c>
      <c r="B818" s="43">
        <v>35945</v>
      </c>
      <c r="C818" t="s">
        <v>50</v>
      </c>
      <c r="D818" t="s">
        <v>51</v>
      </c>
      <c r="E818" t="s">
        <v>54</v>
      </c>
      <c r="F818" t="s">
        <v>57</v>
      </c>
      <c r="G818" s="43">
        <v>44539</v>
      </c>
      <c r="H818">
        <v>4</v>
      </c>
      <c r="I818">
        <v>114400</v>
      </c>
      <c r="J818">
        <v>112000000</v>
      </c>
      <c r="P818" s="77">
        <f t="shared" si="84"/>
        <v>143</v>
      </c>
      <c r="Q818" s="78">
        <f t="shared" si="85"/>
        <v>381.33333333333331</v>
      </c>
      <c r="R818" s="78">
        <f t="shared" si="86"/>
        <v>21.3623046875</v>
      </c>
      <c r="S818" s="78">
        <f t="shared" si="87"/>
        <v>23</v>
      </c>
      <c r="T818" s="78">
        <f t="shared" si="88"/>
        <v>88.977777777777774</v>
      </c>
      <c r="U818" s="78" t="str">
        <f t="shared" si="89"/>
        <v>61-90</v>
      </c>
      <c r="V818" s="78" t="str">
        <f t="shared" si="90"/>
        <v>21-30 Гб</v>
      </c>
    </row>
    <row r="819" spans="1:22" x14ac:dyDescent="0.25">
      <c r="A819" t="s">
        <v>1107</v>
      </c>
      <c r="B819" s="43">
        <v>35944</v>
      </c>
      <c r="C819" t="s">
        <v>50</v>
      </c>
      <c r="D819" t="s">
        <v>51</v>
      </c>
      <c r="E819" t="s">
        <v>54</v>
      </c>
      <c r="F819" t="s">
        <v>69</v>
      </c>
      <c r="G819" s="43">
        <v>43413</v>
      </c>
      <c r="H819">
        <v>5</v>
      </c>
      <c r="I819">
        <v>19576</v>
      </c>
      <c r="J819">
        <v>20000000</v>
      </c>
      <c r="P819" s="77">
        <f t="shared" si="84"/>
        <v>1269</v>
      </c>
      <c r="Q819" s="78">
        <f t="shared" si="85"/>
        <v>65.25333333333333</v>
      </c>
      <c r="R819" s="78">
        <f t="shared" si="86"/>
        <v>3.814697265625</v>
      </c>
      <c r="S819" s="78">
        <f t="shared" si="87"/>
        <v>23</v>
      </c>
      <c r="T819" s="78">
        <f t="shared" si="88"/>
        <v>15.225777777777777</v>
      </c>
      <c r="U819" s="78" t="str">
        <f t="shared" si="89"/>
        <v>&lt;35</v>
      </c>
      <c r="V819" s="78" t="str">
        <f t="shared" si="90"/>
        <v>&lt;10 Гб</v>
      </c>
    </row>
    <row r="820" spans="1:22" x14ac:dyDescent="0.25">
      <c r="A820" t="s">
        <v>868</v>
      </c>
      <c r="B820" s="43">
        <v>35942</v>
      </c>
      <c r="C820" t="s">
        <v>50</v>
      </c>
      <c r="D820" t="s">
        <v>51</v>
      </c>
      <c r="E820" t="s">
        <v>54</v>
      </c>
      <c r="F820" t="s">
        <v>63</v>
      </c>
      <c r="G820" s="43">
        <v>42835</v>
      </c>
      <c r="H820">
        <v>5</v>
      </c>
      <c r="I820">
        <v>20532</v>
      </c>
      <c r="J820">
        <v>88000000</v>
      </c>
      <c r="M820">
        <v>1</v>
      </c>
      <c r="P820" s="77">
        <f t="shared" si="84"/>
        <v>1847</v>
      </c>
      <c r="Q820" s="78">
        <f t="shared" si="85"/>
        <v>68.44</v>
      </c>
      <c r="R820" s="78">
        <f t="shared" si="86"/>
        <v>16.78466796875</v>
      </c>
      <c r="S820" s="78">
        <f t="shared" si="87"/>
        <v>23</v>
      </c>
      <c r="T820" s="78">
        <f t="shared" si="88"/>
        <v>15.969333333333333</v>
      </c>
      <c r="U820" s="78" t="str">
        <f t="shared" si="89"/>
        <v>&lt;35</v>
      </c>
      <c r="V820" s="78" t="str">
        <f t="shared" si="90"/>
        <v>10-20 Гб</v>
      </c>
    </row>
    <row r="821" spans="1:22" x14ac:dyDescent="0.25">
      <c r="A821" t="s">
        <v>478</v>
      </c>
      <c r="B821" s="43">
        <v>35939</v>
      </c>
      <c r="C821" t="s">
        <v>50</v>
      </c>
      <c r="D821" t="s">
        <v>51</v>
      </c>
      <c r="E821" t="s">
        <v>54</v>
      </c>
      <c r="F821" t="s">
        <v>57</v>
      </c>
      <c r="G821" s="43">
        <v>42978</v>
      </c>
      <c r="H821">
        <v>5</v>
      </c>
      <c r="I821">
        <v>66140</v>
      </c>
      <c r="J821">
        <v>72000000</v>
      </c>
      <c r="P821" s="77">
        <f t="shared" si="84"/>
        <v>1704</v>
      </c>
      <c r="Q821" s="78">
        <f t="shared" si="85"/>
        <v>220.46666666666667</v>
      </c>
      <c r="R821" s="78">
        <f t="shared" si="86"/>
        <v>13.73291015625</v>
      </c>
      <c r="S821" s="78">
        <f t="shared" si="87"/>
        <v>23</v>
      </c>
      <c r="T821" s="78">
        <f t="shared" si="88"/>
        <v>51.44222222222222</v>
      </c>
      <c r="U821" s="78" t="str">
        <f t="shared" si="89"/>
        <v>35-60</v>
      </c>
      <c r="V821" s="78" t="str">
        <f t="shared" si="90"/>
        <v>10-20 Гб</v>
      </c>
    </row>
    <row r="822" spans="1:22" x14ac:dyDescent="0.25">
      <c r="A822" t="s">
        <v>448</v>
      </c>
      <c r="B822" s="43">
        <v>35931</v>
      </c>
      <c r="C822" t="s">
        <v>58</v>
      </c>
      <c r="D822" t="s">
        <v>51</v>
      </c>
      <c r="E822" t="s">
        <v>54</v>
      </c>
      <c r="F822" t="s">
        <v>57</v>
      </c>
      <c r="G822" s="43">
        <v>44379</v>
      </c>
      <c r="H822">
        <v>5</v>
      </c>
      <c r="I822">
        <v>50676</v>
      </c>
      <c r="J822">
        <v>84000000</v>
      </c>
      <c r="P822" s="77">
        <f t="shared" si="84"/>
        <v>303</v>
      </c>
      <c r="Q822" s="78">
        <f t="shared" si="85"/>
        <v>168.92</v>
      </c>
      <c r="R822" s="78">
        <f t="shared" si="86"/>
        <v>16.021728515625</v>
      </c>
      <c r="S822" s="78">
        <f t="shared" si="87"/>
        <v>23</v>
      </c>
      <c r="T822" s="78">
        <f t="shared" si="88"/>
        <v>39.414666666666662</v>
      </c>
      <c r="U822" s="78" t="str">
        <f t="shared" si="89"/>
        <v>35-60</v>
      </c>
      <c r="V822" s="78" t="str">
        <f t="shared" si="90"/>
        <v>10-20 Гб</v>
      </c>
    </row>
    <row r="823" spans="1:22" x14ac:dyDescent="0.25">
      <c r="A823" t="s">
        <v>110</v>
      </c>
      <c r="B823" s="43">
        <v>35927</v>
      </c>
      <c r="C823" t="s">
        <v>58</v>
      </c>
      <c r="D823" t="s">
        <v>51</v>
      </c>
      <c r="E823" t="s">
        <v>52</v>
      </c>
      <c r="F823" t="s">
        <v>63</v>
      </c>
      <c r="G823" s="43">
        <v>44614</v>
      </c>
      <c r="H823">
        <v>2</v>
      </c>
      <c r="I823">
        <v>9811</v>
      </c>
      <c r="J823">
        <v>83866667</v>
      </c>
      <c r="K823">
        <v>1</v>
      </c>
      <c r="P823" s="77">
        <f t="shared" si="84"/>
        <v>68</v>
      </c>
      <c r="Q823" s="78">
        <f t="shared" si="85"/>
        <v>72.139705882352942</v>
      </c>
      <c r="R823" s="78">
        <f t="shared" si="86"/>
        <v>35.285949847277472</v>
      </c>
      <c r="S823" s="78">
        <f t="shared" si="87"/>
        <v>23</v>
      </c>
      <c r="T823" s="78">
        <f t="shared" si="88"/>
        <v>16.832598039215686</v>
      </c>
      <c r="U823" s="78" t="str">
        <f t="shared" si="89"/>
        <v>&lt;35</v>
      </c>
      <c r="V823" s="78" t="str">
        <f t="shared" si="90"/>
        <v>31-40 Гб</v>
      </c>
    </row>
    <row r="824" spans="1:22" x14ac:dyDescent="0.25">
      <c r="A824" t="s">
        <v>225</v>
      </c>
      <c r="B824" s="43">
        <v>35924</v>
      </c>
      <c r="C824" t="s">
        <v>58</v>
      </c>
      <c r="D824" t="s">
        <v>51</v>
      </c>
      <c r="E824" t="s">
        <v>52</v>
      </c>
      <c r="F824" t="s">
        <v>57</v>
      </c>
      <c r="G824" s="43">
        <v>42752</v>
      </c>
      <c r="H824">
        <v>5</v>
      </c>
      <c r="I824">
        <v>77064</v>
      </c>
      <c r="J824">
        <v>112000000</v>
      </c>
      <c r="P824" s="77">
        <f t="shared" si="84"/>
        <v>1930</v>
      </c>
      <c r="Q824" s="78">
        <f t="shared" si="85"/>
        <v>256.88</v>
      </c>
      <c r="R824" s="78">
        <f t="shared" si="86"/>
        <v>21.3623046875</v>
      </c>
      <c r="S824" s="78">
        <f t="shared" si="87"/>
        <v>23</v>
      </c>
      <c r="T824" s="78">
        <f t="shared" si="88"/>
        <v>59.938666666666663</v>
      </c>
      <c r="U824" s="78" t="str">
        <f t="shared" si="89"/>
        <v>35-60</v>
      </c>
      <c r="V824" s="78" t="str">
        <f t="shared" si="90"/>
        <v>21-30 Гб</v>
      </c>
    </row>
    <row r="825" spans="1:22" x14ac:dyDescent="0.25">
      <c r="A825" t="s">
        <v>922</v>
      </c>
      <c r="B825" s="43">
        <v>35918</v>
      </c>
      <c r="C825" t="s">
        <v>58</v>
      </c>
      <c r="D825" t="s">
        <v>51</v>
      </c>
      <c r="E825" t="s">
        <v>54</v>
      </c>
      <c r="F825" t="s">
        <v>63</v>
      </c>
      <c r="G825" s="43">
        <v>43674</v>
      </c>
      <c r="H825">
        <v>5</v>
      </c>
      <c r="I825">
        <v>5028</v>
      </c>
      <c r="J825">
        <v>144000000</v>
      </c>
      <c r="P825" s="77">
        <f t="shared" si="84"/>
        <v>1008</v>
      </c>
      <c r="Q825" s="78">
        <f t="shared" si="85"/>
        <v>16.760000000000002</v>
      </c>
      <c r="R825" s="78">
        <f t="shared" si="86"/>
        <v>27.4658203125</v>
      </c>
      <c r="S825" s="78">
        <f t="shared" si="87"/>
        <v>23</v>
      </c>
      <c r="T825" s="78">
        <f t="shared" si="88"/>
        <v>3.9106666666666667</v>
      </c>
      <c r="U825" s="78" t="str">
        <f t="shared" si="89"/>
        <v>&lt;35</v>
      </c>
      <c r="V825" s="78" t="str">
        <f t="shared" si="90"/>
        <v>21-30 Гб</v>
      </c>
    </row>
    <row r="826" spans="1:22" x14ac:dyDescent="0.25">
      <c r="A826" t="s">
        <v>172</v>
      </c>
      <c r="B826" s="43">
        <v>35917</v>
      </c>
      <c r="C826" t="s">
        <v>58</v>
      </c>
      <c r="D826" t="s">
        <v>51</v>
      </c>
      <c r="E826" t="s">
        <v>52</v>
      </c>
      <c r="F826" t="s">
        <v>53</v>
      </c>
      <c r="G826" s="43">
        <v>44500</v>
      </c>
      <c r="H826">
        <v>5</v>
      </c>
      <c r="I826">
        <v>87712</v>
      </c>
      <c r="J826">
        <v>168000000</v>
      </c>
      <c r="P826" s="77">
        <f t="shared" si="84"/>
        <v>182</v>
      </c>
      <c r="Q826" s="78">
        <f t="shared" si="85"/>
        <v>292.37333333333333</v>
      </c>
      <c r="R826" s="78">
        <f t="shared" si="86"/>
        <v>32.04345703125</v>
      </c>
      <c r="S826" s="78">
        <f t="shared" si="87"/>
        <v>23</v>
      </c>
      <c r="T826" s="78">
        <f t="shared" si="88"/>
        <v>68.220444444444439</v>
      </c>
      <c r="U826" s="78" t="str">
        <f t="shared" si="89"/>
        <v>61-90</v>
      </c>
      <c r="V826" s="78" t="str">
        <f t="shared" si="90"/>
        <v>31-40 Гб</v>
      </c>
    </row>
    <row r="827" spans="1:22" x14ac:dyDescent="0.25">
      <c r="A827" t="s">
        <v>259</v>
      </c>
      <c r="B827" s="43">
        <v>35915</v>
      </c>
      <c r="C827" t="s">
        <v>58</v>
      </c>
      <c r="D827" t="s">
        <v>51</v>
      </c>
      <c r="E827" t="s">
        <v>52</v>
      </c>
      <c r="F827" t="s">
        <v>56</v>
      </c>
      <c r="G827" s="43">
        <v>44070</v>
      </c>
      <c r="H827">
        <v>5</v>
      </c>
      <c r="I827">
        <v>74256</v>
      </c>
      <c r="J827">
        <v>40000000</v>
      </c>
      <c r="P827" s="77">
        <f t="shared" si="84"/>
        <v>612</v>
      </c>
      <c r="Q827" s="78">
        <f t="shared" si="85"/>
        <v>247.52</v>
      </c>
      <c r="R827" s="78">
        <f t="shared" si="86"/>
        <v>7.62939453125</v>
      </c>
      <c r="S827" s="78">
        <f t="shared" si="87"/>
        <v>24</v>
      </c>
      <c r="T827" s="78">
        <f t="shared" si="88"/>
        <v>57.754666666666672</v>
      </c>
      <c r="U827" s="78" t="str">
        <f t="shared" si="89"/>
        <v>35-60</v>
      </c>
      <c r="V827" s="78" t="str">
        <f t="shared" si="90"/>
        <v>&lt;10 Гб</v>
      </c>
    </row>
    <row r="828" spans="1:22" x14ac:dyDescent="0.25">
      <c r="A828" t="s">
        <v>715</v>
      </c>
      <c r="B828" s="43">
        <v>35912</v>
      </c>
      <c r="C828" t="s">
        <v>50</v>
      </c>
      <c r="D828" t="s">
        <v>51</v>
      </c>
      <c r="E828" t="s">
        <v>54</v>
      </c>
      <c r="F828" t="s">
        <v>57</v>
      </c>
      <c r="G828" s="43">
        <v>42914</v>
      </c>
      <c r="H828">
        <v>5</v>
      </c>
      <c r="I828">
        <v>42644</v>
      </c>
      <c r="J828">
        <v>108000000</v>
      </c>
      <c r="P828" s="77">
        <f t="shared" si="84"/>
        <v>1768</v>
      </c>
      <c r="Q828" s="78">
        <f t="shared" si="85"/>
        <v>142.14666666666668</v>
      </c>
      <c r="R828" s="78">
        <f t="shared" si="86"/>
        <v>20.599365234375</v>
      </c>
      <c r="S828" s="78">
        <f t="shared" si="87"/>
        <v>24</v>
      </c>
      <c r="T828" s="78">
        <f t="shared" si="88"/>
        <v>33.167555555555559</v>
      </c>
      <c r="U828" s="78" t="str">
        <f t="shared" si="89"/>
        <v>&lt;35</v>
      </c>
      <c r="V828" s="78" t="str">
        <f t="shared" si="90"/>
        <v>21-30 Гб</v>
      </c>
    </row>
    <row r="829" spans="1:22" x14ac:dyDescent="0.25">
      <c r="A829" t="s">
        <v>632</v>
      </c>
      <c r="B829" s="43">
        <v>35911</v>
      </c>
      <c r="C829" t="s">
        <v>58</v>
      </c>
      <c r="D829" t="s">
        <v>51</v>
      </c>
      <c r="E829" t="s">
        <v>52</v>
      </c>
      <c r="F829" t="s">
        <v>57</v>
      </c>
      <c r="G829" s="43">
        <v>44017</v>
      </c>
      <c r="H829">
        <v>5</v>
      </c>
      <c r="I829">
        <v>88440</v>
      </c>
      <c r="J829">
        <v>32000000</v>
      </c>
      <c r="P829" s="77">
        <f t="shared" si="84"/>
        <v>665</v>
      </c>
      <c r="Q829" s="78">
        <f t="shared" si="85"/>
        <v>294.8</v>
      </c>
      <c r="R829" s="78">
        <f t="shared" si="86"/>
        <v>6.103515625</v>
      </c>
      <c r="S829" s="78">
        <f t="shared" si="87"/>
        <v>24</v>
      </c>
      <c r="T829" s="78">
        <f t="shared" si="88"/>
        <v>68.786666666666662</v>
      </c>
      <c r="U829" s="78" t="str">
        <f t="shared" si="89"/>
        <v>61-90</v>
      </c>
      <c r="V829" s="78" t="str">
        <f t="shared" si="90"/>
        <v>&lt;10 Гб</v>
      </c>
    </row>
    <row r="830" spans="1:22" x14ac:dyDescent="0.25">
      <c r="A830" t="s">
        <v>787</v>
      </c>
      <c r="B830" s="43">
        <v>35910</v>
      </c>
      <c r="C830" t="s">
        <v>50</v>
      </c>
      <c r="D830" t="s">
        <v>51</v>
      </c>
      <c r="E830" t="s">
        <v>52</v>
      </c>
      <c r="F830" t="s">
        <v>63</v>
      </c>
      <c r="G830" s="43">
        <v>43382</v>
      </c>
      <c r="H830">
        <v>5</v>
      </c>
      <c r="I830">
        <v>22480</v>
      </c>
      <c r="J830">
        <v>144000000</v>
      </c>
      <c r="K830">
        <v>1</v>
      </c>
      <c r="L830">
        <v>1</v>
      </c>
      <c r="O830">
        <v>1</v>
      </c>
      <c r="P830" s="77">
        <f t="shared" si="84"/>
        <v>1300</v>
      </c>
      <c r="Q830" s="78">
        <f t="shared" si="85"/>
        <v>74.933333333333337</v>
      </c>
      <c r="R830" s="78">
        <f t="shared" si="86"/>
        <v>27.4658203125</v>
      </c>
      <c r="S830" s="78">
        <f t="shared" si="87"/>
        <v>24</v>
      </c>
      <c r="T830" s="78">
        <f t="shared" si="88"/>
        <v>17.484444444444442</v>
      </c>
      <c r="U830" s="78" t="str">
        <f t="shared" si="89"/>
        <v>&lt;35</v>
      </c>
      <c r="V830" s="78" t="str">
        <f t="shared" si="90"/>
        <v>21-30 Гб</v>
      </c>
    </row>
    <row r="831" spans="1:22" x14ac:dyDescent="0.25">
      <c r="A831" t="s">
        <v>518</v>
      </c>
      <c r="B831" s="43">
        <v>35905</v>
      </c>
      <c r="C831" t="s">
        <v>50</v>
      </c>
      <c r="D831" t="s">
        <v>51</v>
      </c>
      <c r="E831" t="s">
        <v>54</v>
      </c>
      <c r="F831" t="s">
        <v>57</v>
      </c>
      <c r="G831" s="43">
        <v>43592</v>
      </c>
      <c r="H831">
        <v>5</v>
      </c>
      <c r="I831">
        <v>36464</v>
      </c>
      <c r="J831">
        <v>116000000</v>
      </c>
      <c r="P831" s="77">
        <f t="shared" si="84"/>
        <v>1090</v>
      </c>
      <c r="Q831" s="78">
        <f t="shared" si="85"/>
        <v>121.54666666666667</v>
      </c>
      <c r="R831" s="78">
        <f t="shared" si="86"/>
        <v>22.125244140625</v>
      </c>
      <c r="S831" s="78">
        <f t="shared" si="87"/>
        <v>24</v>
      </c>
      <c r="T831" s="78">
        <f t="shared" si="88"/>
        <v>28.360888888888891</v>
      </c>
      <c r="U831" s="78" t="str">
        <f t="shared" si="89"/>
        <v>&lt;35</v>
      </c>
      <c r="V831" s="78" t="str">
        <f t="shared" si="90"/>
        <v>21-30 Гб</v>
      </c>
    </row>
    <row r="832" spans="1:22" x14ac:dyDescent="0.25">
      <c r="A832" t="s">
        <v>184</v>
      </c>
      <c r="B832" s="43">
        <v>35903</v>
      </c>
      <c r="C832" t="s">
        <v>58</v>
      </c>
      <c r="D832" t="s">
        <v>51</v>
      </c>
      <c r="E832" t="s">
        <v>52</v>
      </c>
      <c r="F832" t="s">
        <v>53</v>
      </c>
      <c r="G832" s="43">
        <v>43466</v>
      </c>
      <c r="H832">
        <v>5</v>
      </c>
      <c r="I832">
        <v>125396</v>
      </c>
      <c r="J832">
        <v>188000000</v>
      </c>
      <c r="P832" s="77">
        <f t="shared" ref="P832:P895" si="91">DATEDIF(G832,$C$2,"D")</f>
        <v>1216</v>
      </c>
      <c r="Q832" s="78">
        <f t="shared" ref="Q832:Q895" si="92">IF(P832&lt;DATEDIF($C$3,$C$2,"D"),I832/(60*(P832/30)),I832/(60*5))</f>
        <v>417.98666666666668</v>
      </c>
      <c r="R832" s="78">
        <f t="shared" ref="R832:R895" si="93">IF(P832&lt;DATEDIF($C$3,$C$2,"D"),J832/(1048576*(P832/30)),J832/(1048576*5))</f>
        <v>35.858154296875</v>
      </c>
      <c r="S832" s="78">
        <f t="shared" ref="S832:S895" si="94">DATEDIF(B832,$C$2,"Y")</f>
        <v>24</v>
      </c>
      <c r="T832" s="78">
        <f t="shared" si="88"/>
        <v>97.530222222222221</v>
      </c>
      <c r="U832" s="78" t="str">
        <f t="shared" si="89"/>
        <v>91-120</v>
      </c>
      <c r="V832" s="78" t="str">
        <f t="shared" si="90"/>
        <v>31-40 Гб</v>
      </c>
    </row>
    <row r="833" spans="1:22" x14ac:dyDescent="0.25">
      <c r="A833" t="s">
        <v>1008</v>
      </c>
      <c r="B833" s="43">
        <v>35903</v>
      </c>
      <c r="C833" t="s">
        <v>50</v>
      </c>
      <c r="D833" t="s">
        <v>51</v>
      </c>
      <c r="E833" t="s">
        <v>52</v>
      </c>
      <c r="F833" t="s">
        <v>63</v>
      </c>
      <c r="G833" s="43">
        <v>43390</v>
      </c>
      <c r="H833">
        <v>5</v>
      </c>
      <c r="I833">
        <v>21652</v>
      </c>
      <c r="J833">
        <v>28000000</v>
      </c>
      <c r="P833" s="77">
        <f t="shared" si="91"/>
        <v>1292</v>
      </c>
      <c r="Q833" s="78">
        <f t="shared" si="92"/>
        <v>72.173333333333332</v>
      </c>
      <c r="R833" s="78">
        <f t="shared" si="93"/>
        <v>5.340576171875</v>
      </c>
      <c r="S833" s="78">
        <f t="shared" si="94"/>
        <v>24</v>
      </c>
      <c r="T833" s="78">
        <f t="shared" si="88"/>
        <v>16.840444444444444</v>
      </c>
      <c r="U833" s="78" t="str">
        <f t="shared" si="89"/>
        <v>&lt;35</v>
      </c>
      <c r="V833" s="78" t="str">
        <f t="shared" si="90"/>
        <v>&lt;10 Гб</v>
      </c>
    </row>
    <row r="834" spans="1:22" x14ac:dyDescent="0.25">
      <c r="A834" t="s">
        <v>446</v>
      </c>
      <c r="B834" s="43">
        <v>35900</v>
      </c>
      <c r="C834" t="s">
        <v>58</v>
      </c>
      <c r="D834" t="s">
        <v>51</v>
      </c>
      <c r="E834" t="s">
        <v>52</v>
      </c>
      <c r="F834" t="s">
        <v>57</v>
      </c>
      <c r="G834" s="43">
        <v>43209</v>
      </c>
      <c r="H834">
        <v>5</v>
      </c>
      <c r="I834">
        <v>76644</v>
      </c>
      <c r="J834">
        <v>88000000</v>
      </c>
      <c r="P834" s="77">
        <f t="shared" si="91"/>
        <v>1473</v>
      </c>
      <c r="Q834" s="78">
        <f t="shared" si="92"/>
        <v>255.48</v>
      </c>
      <c r="R834" s="78">
        <f t="shared" si="93"/>
        <v>16.78466796875</v>
      </c>
      <c r="S834" s="78">
        <f t="shared" si="94"/>
        <v>24</v>
      </c>
      <c r="T834" s="78">
        <f t="shared" si="88"/>
        <v>59.611999999999995</v>
      </c>
      <c r="U834" s="78" t="str">
        <f t="shared" si="89"/>
        <v>35-60</v>
      </c>
      <c r="V834" s="78" t="str">
        <f t="shared" si="90"/>
        <v>10-20 Гб</v>
      </c>
    </row>
    <row r="835" spans="1:22" x14ac:dyDescent="0.25">
      <c r="A835" t="s">
        <v>974</v>
      </c>
      <c r="B835" s="43">
        <v>35899</v>
      </c>
      <c r="C835" t="s">
        <v>50</v>
      </c>
      <c r="D835" t="s">
        <v>51</v>
      </c>
      <c r="E835" t="s">
        <v>52</v>
      </c>
      <c r="F835" t="s">
        <v>63</v>
      </c>
      <c r="G835" s="43">
        <v>43229</v>
      </c>
      <c r="H835">
        <v>5</v>
      </c>
      <c r="I835">
        <v>31704</v>
      </c>
      <c r="J835">
        <v>148000000</v>
      </c>
      <c r="P835" s="77">
        <f t="shared" si="91"/>
        <v>1453</v>
      </c>
      <c r="Q835" s="78">
        <f t="shared" si="92"/>
        <v>105.68</v>
      </c>
      <c r="R835" s="78">
        <f t="shared" si="93"/>
        <v>28.228759765625</v>
      </c>
      <c r="S835" s="78">
        <f t="shared" si="94"/>
        <v>24</v>
      </c>
      <c r="T835" s="78">
        <f t="shared" si="88"/>
        <v>24.658666666666665</v>
      </c>
      <c r="U835" s="78" t="str">
        <f t="shared" si="89"/>
        <v>&lt;35</v>
      </c>
      <c r="V835" s="78" t="str">
        <f t="shared" si="90"/>
        <v>21-30 Гб</v>
      </c>
    </row>
    <row r="836" spans="1:22" x14ac:dyDescent="0.25">
      <c r="A836" t="s">
        <v>493</v>
      </c>
      <c r="B836" s="43">
        <v>35897</v>
      </c>
      <c r="C836" t="s">
        <v>50</v>
      </c>
      <c r="D836" t="s">
        <v>51</v>
      </c>
      <c r="E836" t="s">
        <v>54</v>
      </c>
      <c r="F836" t="s">
        <v>57</v>
      </c>
      <c r="G836" s="43">
        <v>43419</v>
      </c>
      <c r="H836">
        <v>5</v>
      </c>
      <c r="I836">
        <v>47036</v>
      </c>
      <c r="J836">
        <v>108000000</v>
      </c>
      <c r="L836">
        <v>1</v>
      </c>
      <c r="P836" s="77">
        <f t="shared" si="91"/>
        <v>1263</v>
      </c>
      <c r="Q836" s="78">
        <f t="shared" si="92"/>
        <v>156.78666666666666</v>
      </c>
      <c r="R836" s="78">
        <f t="shared" si="93"/>
        <v>20.599365234375</v>
      </c>
      <c r="S836" s="78">
        <f t="shared" si="94"/>
        <v>24</v>
      </c>
      <c r="T836" s="78">
        <f t="shared" si="88"/>
        <v>36.583555555555556</v>
      </c>
      <c r="U836" s="78" t="str">
        <f t="shared" si="89"/>
        <v>35-60</v>
      </c>
      <c r="V836" s="78" t="str">
        <f t="shared" si="90"/>
        <v>21-30 Гб</v>
      </c>
    </row>
    <row r="837" spans="1:22" x14ac:dyDescent="0.25">
      <c r="A837" t="s">
        <v>705</v>
      </c>
      <c r="B837" s="43">
        <v>35896</v>
      </c>
      <c r="C837" t="s">
        <v>58</v>
      </c>
      <c r="D837" t="s">
        <v>51</v>
      </c>
      <c r="E837" t="s">
        <v>52</v>
      </c>
      <c r="F837" t="s">
        <v>57</v>
      </c>
      <c r="G837" s="43">
        <v>43293</v>
      </c>
      <c r="H837">
        <v>5</v>
      </c>
      <c r="I837">
        <v>92788</v>
      </c>
      <c r="J837">
        <v>112000000</v>
      </c>
      <c r="M837">
        <v>1</v>
      </c>
      <c r="P837" s="77">
        <f t="shared" si="91"/>
        <v>1389</v>
      </c>
      <c r="Q837" s="78">
        <f t="shared" si="92"/>
        <v>309.29333333333335</v>
      </c>
      <c r="R837" s="78">
        <f t="shared" si="93"/>
        <v>21.3623046875</v>
      </c>
      <c r="S837" s="78">
        <f t="shared" si="94"/>
        <v>24</v>
      </c>
      <c r="T837" s="78">
        <f t="shared" si="88"/>
        <v>72.168444444444447</v>
      </c>
      <c r="U837" s="78" t="str">
        <f t="shared" si="89"/>
        <v>61-90</v>
      </c>
      <c r="V837" s="78" t="str">
        <f t="shared" si="90"/>
        <v>21-30 Гб</v>
      </c>
    </row>
    <row r="838" spans="1:22" x14ac:dyDescent="0.25">
      <c r="A838" t="s">
        <v>849</v>
      </c>
      <c r="B838" s="43">
        <v>35896</v>
      </c>
      <c r="C838" t="s">
        <v>58</v>
      </c>
      <c r="D838" t="s">
        <v>51</v>
      </c>
      <c r="E838" t="s">
        <v>52</v>
      </c>
      <c r="F838" t="s">
        <v>63</v>
      </c>
      <c r="G838" s="43">
        <v>43966</v>
      </c>
      <c r="H838">
        <v>5</v>
      </c>
      <c r="I838">
        <v>32952</v>
      </c>
      <c r="J838">
        <v>60000000</v>
      </c>
      <c r="P838" s="77">
        <f t="shared" si="91"/>
        <v>716</v>
      </c>
      <c r="Q838" s="78">
        <f t="shared" si="92"/>
        <v>109.84</v>
      </c>
      <c r="R838" s="78">
        <f t="shared" si="93"/>
        <v>11.444091796875</v>
      </c>
      <c r="S838" s="78">
        <f t="shared" si="94"/>
        <v>24</v>
      </c>
      <c r="T838" s="78">
        <f t="shared" si="88"/>
        <v>25.629333333333332</v>
      </c>
      <c r="U838" s="78" t="str">
        <f t="shared" si="89"/>
        <v>&lt;35</v>
      </c>
      <c r="V838" s="78" t="str">
        <f t="shared" si="90"/>
        <v>10-20 Гб</v>
      </c>
    </row>
    <row r="839" spans="1:22" x14ac:dyDescent="0.25">
      <c r="A839" t="s">
        <v>988</v>
      </c>
      <c r="B839" s="43">
        <v>35894</v>
      </c>
      <c r="C839" t="s">
        <v>58</v>
      </c>
      <c r="D839" t="s">
        <v>51</v>
      </c>
      <c r="E839" t="s">
        <v>54</v>
      </c>
      <c r="F839" t="s">
        <v>63</v>
      </c>
      <c r="G839" s="43">
        <v>44487</v>
      </c>
      <c r="H839">
        <v>5</v>
      </c>
      <c r="I839">
        <v>17680</v>
      </c>
      <c r="J839">
        <v>160000000</v>
      </c>
      <c r="L839">
        <v>1</v>
      </c>
      <c r="P839" s="77">
        <f t="shared" si="91"/>
        <v>195</v>
      </c>
      <c r="Q839" s="78">
        <f t="shared" si="92"/>
        <v>58.93333333333333</v>
      </c>
      <c r="R839" s="78">
        <f t="shared" si="93"/>
        <v>30.517578125</v>
      </c>
      <c r="S839" s="78">
        <f t="shared" si="94"/>
        <v>24</v>
      </c>
      <c r="T839" s="78">
        <f t="shared" ref="T839:T902" si="95">(Q839*7)/30</f>
        <v>13.75111111111111</v>
      </c>
      <c r="U839" s="78" t="str">
        <f t="shared" ref="U839:U902" si="96">IF(T839&gt;120,"120+",IF(T839&gt;90,"91-120",IF(T839&gt;60,"61-90",IF(T839&gt;35,"35-60","&lt;35"))))</f>
        <v>&lt;35</v>
      </c>
      <c r="V839" s="78" t="str">
        <f t="shared" ref="V839:V902" si="97">IF(R839&gt;40,"40+ Гб",IF(R839&gt;30,"31-40 Гб",IF(R839&gt;20,"21-30 Гб",IF(R839&gt;10,"10-20 Гб","&lt;10 Гб"))))</f>
        <v>31-40 Гб</v>
      </c>
    </row>
    <row r="840" spans="1:22" x14ac:dyDescent="0.25">
      <c r="A840" t="s">
        <v>230</v>
      </c>
      <c r="B840" s="43">
        <v>35893</v>
      </c>
      <c r="C840" t="s">
        <v>58</v>
      </c>
      <c r="D840" t="s">
        <v>51</v>
      </c>
      <c r="E840" t="s">
        <v>52</v>
      </c>
      <c r="F840" t="s">
        <v>56</v>
      </c>
      <c r="G840" s="43">
        <v>44043</v>
      </c>
      <c r="H840">
        <v>5</v>
      </c>
      <c r="I840">
        <v>24876</v>
      </c>
      <c r="J840">
        <v>52000000</v>
      </c>
      <c r="P840" s="77">
        <f t="shared" si="91"/>
        <v>639</v>
      </c>
      <c r="Q840" s="78">
        <f t="shared" si="92"/>
        <v>82.92</v>
      </c>
      <c r="R840" s="78">
        <f t="shared" si="93"/>
        <v>9.918212890625</v>
      </c>
      <c r="S840" s="78">
        <f t="shared" si="94"/>
        <v>24</v>
      </c>
      <c r="T840" s="78">
        <f t="shared" si="95"/>
        <v>19.348000000000003</v>
      </c>
      <c r="U840" s="78" t="str">
        <f t="shared" si="96"/>
        <v>&lt;35</v>
      </c>
      <c r="V840" s="78" t="str">
        <f t="shared" si="97"/>
        <v>&lt;10 Гб</v>
      </c>
    </row>
    <row r="841" spans="1:22" x14ac:dyDescent="0.25">
      <c r="A841" t="s">
        <v>794</v>
      </c>
      <c r="B841" s="43">
        <v>35892</v>
      </c>
      <c r="C841" t="s">
        <v>58</v>
      </c>
      <c r="D841" t="s">
        <v>51</v>
      </c>
      <c r="E841" t="s">
        <v>52</v>
      </c>
      <c r="F841" t="s">
        <v>63</v>
      </c>
      <c r="G841" s="43">
        <v>43801</v>
      </c>
      <c r="H841">
        <v>5</v>
      </c>
      <c r="I841">
        <v>18004</v>
      </c>
      <c r="J841">
        <v>140000000</v>
      </c>
      <c r="L841">
        <v>1</v>
      </c>
      <c r="P841" s="77">
        <f t="shared" si="91"/>
        <v>881</v>
      </c>
      <c r="Q841" s="78">
        <f t="shared" si="92"/>
        <v>60.013333333333335</v>
      </c>
      <c r="R841" s="78">
        <f t="shared" si="93"/>
        <v>26.702880859375</v>
      </c>
      <c r="S841" s="78">
        <f t="shared" si="94"/>
        <v>24</v>
      </c>
      <c r="T841" s="78">
        <f t="shared" si="95"/>
        <v>14.003111111111112</v>
      </c>
      <c r="U841" s="78" t="str">
        <f t="shared" si="96"/>
        <v>&lt;35</v>
      </c>
      <c r="V841" s="78" t="str">
        <f t="shared" si="97"/>
        <v>21-30 Гб</v>
      </c>
    </row>
    <row r="842" spans="1:22" x14ac:dyDescent="0.25">
      <c r="A842" t="s">
        <v>616</v>
      </c>
      <c r="B842" s="43">
        <v>35890</v>
      </c>
      <c r="C842" t="s">
        <v>50</v>
      </c>
      <c r="D842" t="s">
        <v>51</v>
      </c>
      <c r="E842" t="s">
        <v>54</v>
      </c>
      <c r="F842" t="s">
        <v>57</v>
      </c>
      <c r="G842" s="43">
        <v>43403</v>
      </c>
      <c r="H842">
        <v>5</v>
      </c>
      <c r="I842">
        <v>17732</v>
      </c>
      <c r="J842">
        <v>120000000</v>
      </c>
      <c r="P842" s="77">
        <f t="shared" si="91"/>
        <v>1279</v>
      </c>
      <c r="Q842" s="78">
        <f t="shared" si="92"/>
        <v>59.106666666666669</v>
      </c>
      <c r="R842" s="78">
        <f t="shared" si="93"/>
        <v>22.88818359375</v>
      </c>
      <c r="S842" s="78">
        <f t="shared" si="94"/>
        <v>24</v>
      </c>
      <c r="T842" s="78">
        <f t="shared" si="95"/>
        <v>13.791555555555556</v>
      </c>
      <c r="U842" s="78" t="str">
        <f t="shared" si="96"/>
        <v>&lt;35</v>
      </c>
      <c r="V842" s="78" t="str">
        <f t="shared" si="97"/>
        <v>21-30 Гб</v>
      </c>
    </row>
    <row r="843" spans="1:22" x14ac:dyDescent="0.25">
      <c r="A843" t="s">
        <v>718</v>
      </c>
      <c r="B843" s="43">
        <v>35890</v>
      </c>
      <c r="C843" t="s">
        <v>58</v>
      </c>
      <c r="D843" t="s">
        <v>51</v>
      </c>
      <c r="E843" t="s">
        <v>54</v>
      </c>
      <c r="F843" t="s">
        <v>57</v>
      </c>
      <c r="G843" s="43">
        <v>42936</v>
      </c>
      <c r="H843">
        <v>5</v>
      </c>
      <c r="I843">
        <v>52684</v>
      </c>
      <c r="J843">
        <v>96000000</v>
      </c>
      <c r="P843" s="77">
        <f t="shared" si="91"/>
        <v>1746</v>
      </c>
      <c r="Q843" s="78">
        <f t="shared" si="92"/>
        <v>175.61333333333334</v>
      </c>
      <c r="R843" s="78">
        <f t="shared" si="93"/>
        <v>18.310546875</v>
      </c>
      <c r="S843" s="78">
        <f t="shared" si="94"/>
        <v>24</v>
      </c>
      <c r="T843" s="78">
        <f t="shared" si="95"/>
        <v>40.976444444444454</v>
      </c>
      <c r="U843" s="78" t="str">
        <f t="shared" si="96"/>
        <v>35-60</v>
      </c>
      <c r="V843" s="78" t="str">
        <f t="shared" si="97"/>
        <v>10-20 Гб</v>
      </c>
    </row>
    <row r="844" spans="1:22" x14ac:dyDescent="0.25">
      <c r="A844" t="s">
        <v>573</v>
      </c>
      <c r="B844" s="43">
        <v>35888</v>
      </c>
      <c r="C844" t="s">
        <v>50</v>
      </c>
      <c r="D844" t="s">
        <v>51</v>
      </c>
      <c r="E844" t="s">
        <v>52</v>
      </c>
      <c r="F844" t="s">
        <v>57</v>
      </c>
      <c r="G844" s="43">
        <v>43121</v>
      </c>
      <c r="H844">
        <v>5</v>
      </c>
      <c r="I844">
        <v>45572</v>
      </c>
      <c r="J844">
        <v>100000000</v>
      </c>
      <c r="K844">
        <v>1</v>
      </c>
      <c r="L844">
        <v>1</v>
      </c>
      <c r="P844" s="77">
        <f t="shared" si="91"/>
        <v>1561</v>
      </c>
      <c r="Q844" s="78">
        <f t="shared" si="92"/>
        <v>151.90666666666667</v>
      </c>
      <c r="R844" s="78">
        <f t="shared" si="93"/>
        <v>19.073486328125</v>
      </c>
      <c r="S844" s="78">
        <f t="shared" si="94"/>
        <v>24</v>
      </c>
      <c r="T844" s="78">
        <f t="shared" si="95"/>
        <v>35.444888888888883</v>
      </c>
      <c r="U844" s="78" t="str">
        <f t="shared" si="96"/>
        <v>35-60</v>
      </c>
      <c r="V844" s="78" t="str">
        <f t="shared" si="97"/>
        <v>10-20 Гб</v>
      </c>
    </row>
    <row r="845" spans="1:22" x14ac:dyDescent="0.25">
      <c r="A845" t="s">
        <v>1071</v>
      </c>
      <c r="B845" s="43">
        <v>35888</v>
      </c>
      <c r="C845" t="s">
        <v>58</v>
      </c>
      <c r="D845" t="s">
        <v>51</v>
      </c>
      <c r="E845" t="s">
        <v>52</v>
      </c>
      <c r="F845" t="s">
        <v>57</v>
      </c>
      <c r="G845" s="43">
        <v>44452</v>
      </c>
      <c r="H845">
        <v>5</v>
      </c>
      <c r="I845">
        <v>84940</v>
      </c>
      <c r="J845">
        <v>72000000</v>
      </c>
      <c r="M845">
        <v>1</v>
      </c>
      <c r="P845" s="77">
        <f t="shared" si="91"/>
        <v>230</v>
      </c>
      <c r="Q845" s="78">
        <f t="shared" si="92"/>
        <v>283.13333333333333</v>
      </c>
      <c r="R845" s="78">
        <f t="shared" si="93"/>
        <v>13.73291015625</v>
      </c>
      <c r="S845" s="78">
        <f t="shared" si="94"/>
        <v>24</v>
      </c>
      <c r="T845" s="78">
        <f t="shared" si="95"/>
        <v>66.064444444444447</v>
      </c>
      <c r="U845" s="78" t="str">
        <f t="shared" si="96"/>
        <v>61-90</v>
      </c>
      <c r="V845" s="78" t="str">
        <f t="shared" si="97"/>
        <v>10-20 Гб</v>
      </c>
    </row>
    <row r="846" spans="1:22" x14ac:dyDescent="0.25">
      <c r="A846" t="s">
        <v>629</v>
      </c>
      <c r="B846" s="43">
        <v>35887</v>
      </c>
      <c r="C846" t="s">
        <v>58</v>
      </c>
      <c r="D846" t="s">
        <v>51</v>
      </c>
      <c r="E846" t="s">
        <v>52</v>
      </c>
      <c r="F846" t="s">
        <v>57</v>
      </c>
      <c r="G846" s="43">
        <v>42759</v>
      </c>
      <c r="H846">
        <v>5</v>
      </c>
      <c r="I846">
        <v>23316</v>
      </c>
      <c r="J846">
        <v>84000000</v>
      </c>
      <c r="P846" s="77">
        <f t="shared" si="91"/>
        <v>1923</v>
      </c>
      <c r="Q846" s="78">
        <f t="shared" si="92"/>
        <v>77.72</v>
      </c>
      <c r="R846" s="78">
        <f t="shared" si="93"/>
        <v>16.021728515625</v>
      </c>
      <c r="S846" s="78">
        <f t="shared" si="94"/>
        <v>24</v>
      </c>
      <c r="T846" s="78">
        <f t="shared" si="95"/>
        <v>18.134666666666664</v>
      </c>
      <c r="U846" s="78" t="str">
        <f t="shared" si="96"/>
        <v>&lt;35</v>
      </c>
      <c r="V846" s="78" t="str">
        <f t="shared" si="97"/>
        <v>10-20 Гб</v>
      </c>
    </row>
    <row r="847" spans="1:22" x14ac:dyDescent="0.25">
      <c r="A847" t="s">
        <v>347</v>
      </c>
      <c r="B847" s="43">
        <v>35883</v>
      </c>
      <c r="C847" t="s">
        <v>50</v>
      </c>
      <c r="D847" t="s">
        <v>51</v>
      </c>
      <c r="E847" t="s">
        <v>52</v>
      </c>
      <c r="F847" t="s">
        <v>56</v>
      </c>
      <c r="G847" s="43">
        <v>43008</v>
      </c>
      <c r="H847">
        <v>5</v>
      </c>
      <c r="I847">
        <v>37928</v>
      </c>
      <c r="J847">
        <v>112000000</v>
      </c>
      <c r="K847">
        <v>1</v>
      </c>
      <c r="L847">
        <v>1</v>
      </c>
      <c r="O847">
        <v>1</v>
      </c>
      <c r="P847" s="77">
        <f t="shared" si="91"/>
        <v>1674</v>
      </c>
      <c r="Q847" s="78">
        <f t="shared" si="92"/>
        <v>126.42666666666666</v>
      </c>
      <c r="R847" s="78">
        <f t="shared" si="93"/>
        <v>21.3623046875</v>
      </c>
      <c r="S847" s="78">
        <f t="shared" si="94"/>
        <v>24</v>
      </c>
      <c r="T847" s="78">
        <f t="shared" si="95"/>
        <v>29.499555555555556</v>
      </c>
      <c r="U847" s="78" t="str">
        <f t="shared" si="96"/>
        <v>&lt;35</v>
      </c>
      <c r="V847" s="78" t="str">
        <f t="shared" si="97"/>
        <v>21-30 Гб</v>
      </c>
    </row>
    <row r="848" spans="1:22" x14ac:dyDescent="0.25">
      <c r="A848" t="s">
        <v>1171</v>
      </c>
      <c r="B848" s="43">
        <v>35883</v>
      </c>
      <c r="C848" t="s">
        <v>50</v>
      </c>
      <c r="D848" t="s">
        <v>51</v>
      </c>
      <c r="E848" t="s">
        <v>54</v>
      </c>
      <c r="F848" t="s">
        <v>69</v>
      </c>
      <c r="G848" s="43">
        <v>44393</v>
      </c>
      <c r="H848">
        <v>5</v>
      </c>
      <c r="I848">
        <v>46500</v>
      </c>
      <c r="J848">
        <v>12000000</v>
      </c>
      <c r="L848">
        <v>1</v>
      </c>
      <c r="P848" s="77">
        <f t="shared" si="91"/>
        <v>289</v>
      </c>
      <c r="Q848" s="78">
        <f t="shared" si="92"/>
        <v>155</v>
      </c>
      <c r="R848" s="78">
        <f t="shared" si="93"/>
        <v>2.288818359375</v>
      </c>
      <c r="S848" s="78">
        <f t="shared" si="94"/>
        <v>24</v>
      </c>
      <c r="T848" s="78">
        <f t="shared" si="95"/>
        <v>36.166666666666664</v>
      </c>
      <c r="U848" s="78" t="str">
        <f t="shared" si="96"/>
        <v>35-60</v>
      </c>
      <c r="V848" s="78" t="str">
        <f t="shared" si="97"/>
        <v>&lt;10 Гб</v>
      </c>
    </row>
    <row r="849" spans="1:22" x14ac:dyDescent="0.25">
      <c r="A849" t="s">
        <v>330</v>
      </c>
      <c r="B849" s="43">
        <v>35882</v>
      </c>
      <c r="C849" t="s">
        <v>50</v>
      </c>
      <c r="D849" t="s">
        <v>51</v>
      </c>
      <c r="E849" t="s">
        <v>54</v>
      </c>
      <c r="F849" t="s">
        <v>56</v>
      </c>
      <c r="G849" s="43">
        <v>42911</v>
      </c>
      <c r="H849">
        <v>5</v>
      </c>
      <c r="I849">
        <v>103564</v>
      </c>
      <c r="J849">
        <v>100000000</v>
      </c>
      <c r="P849" s="77">
        <f t="shared" si="91"/>
        <v>1771</v>
      </c>
      <c r="Q849" s="78">
        <f t="shared" si="92"/>
        <v>345.21333333333331</v>
      </c>
      <c r="R849" s="78">
        <f t="shared" si="93"/>
        <v>19.073486328125</v>
      </c>
      <c r="S849" s="78">
        <f t="shared" si="94"/>
        <v>24</v>
      </c>
      <c r="T849" s="78">
        <f t="shared" si="95"/>
        <v>80.549777777777777</v>
      </c>
      <c r="U849" s="78" t="str">
        <f t="shared" si="96"/>
        <v>61-90</v>
      </c>
      <c r="V849" s="78" t="str">
        <f t="shared" si="97"/>
        <v>10-20 Гб</v>
      </c>
    </row>
    <row r="850" spans="1:22" x14ac:dyDescent="0.25">
      <c r="A850" t="s">
        <v>1006</v>
      </c>
      <c r="B850" s="43">
        <v>35882</v>
      </c>
      <c r="C850" t="s">
        <v>50</v>
      </c>
      <c r="D850" t="s">
        <v>51</v>
      </c>
      <c r="E850" t="s">
        <v>54</v>
      </c>
      <c r="F850" t="s">
        <v>63</v>
      </c>
      <c r="G850" s="43">
        <v>44270</v>
      </c>
      <c r="H850">
        <v>5</v>
      </c>
      <c r="I850">
        <v>7692</v>
      </c>
      <c r="J850">
        <v>156000000</v>
      </c>
      <c r="K850">
        <v>1</v>
      </c>
      <c r="L850">
        <v>1</v>
      </c>
      <c r="N850">
        <v>1</v>
      </c>
      <c r="P850" s="77">
        <f t="shared" si="91"/>
        <v>412</v>
      </c>
      <c r="Q850" s="78">
        <f t="shared" si="92"/>
        <v>25.64</v>
      </c>
      <c r="R850" s="78">
        <f t="shared" si="93"/>
        <v>29.754638671875</v>
      </c>
      <c r="S850" s="78">
        <f t="shared" si="94"/>
        <v>24</v>
      </c>
      <c r="T850" s="78">
        <f t="shared" si="95"/>
        <v>5.9826666666666677</v>
      </c>
      <c r="U850" s="78" t="str">
        <f t="shared" si="96"/>
        <v>&lt;35</v>
      </c>
      <c r="V850" s="78" t="str">
        <f t="shared" si="97"/>
        <v>21-30 Гб</v>
      </c>
    </row>
    <row r="851" spans="1:22" x14ac:dyDescent="0.25">
      <c r="A851" t="s">
        <v>1088</v>
      </c>
      <c r="B851" s="43">
        <v>35877</v>
      </c>
      <c r="C851" t="s">
        <v>50</v>
      </c>
      <c r="D851" t="s">
        <v>51</v>
      </c>
      <c r="E851" t="s">
        <v>54</v>
      </c>
      <c r="F851" t="s">
        <v>63</v>
      </c>
      <c r="G851" s="43">
        <v>43925</v>
      </c>
      <c r="H851">
        <v>5</v>
      </c>
      <c r="I851">
        <v>17792</v>
      </c>
      <c r="J851">
        <v>12000000</v>
      </c>
      <c r="P851" s="77">
        <f t="shared" si="91"/>
        <v>757</v>
      </c>
      <c r="Q851" s="78">
        <f t="shared" si="92"/>
        <v>59.306666666666665</v>
      </c>
      <c r="R851" s="78">
        <f t="shared" si="93"/>
        <v>2.288818359375</v>
      </c>
      <c r="S851" s="78">
        <f t="shared" si="94"/>
        <v>24</v>
      </c>
      <c r="T851" s="78">
        <f t="shared" si="95"/>
        <v>13.838222222222221</v>
      </c>
      <c r="U851" s="78" t="str">
        <f t="shared" si="96"/>
        <v>&lt;35</v>
      </c>
      <c r="V851" s="78" t="str">
        <f t="shared" si="97"/>
        <v>&lt;10 Гб</v>
      </c>
    </row>
    <row r="852" spans="1:22" x14ac:dyDescent="0.25">
      <c r="A852" t="s">
        <v>482</v>
      </c>
      <c r="B852" s="43">
        <v>35874</v>
      </c>
      <c r="C852" t="s">
        <v>50</v>
      </c>
      <c r="D852" t="s">
        <v>51</v>
      </c>
      <c r="E852" t="s">
        <v>52</v>
      </c>
      <c r="F852" t="s">
        <v>57</v>
      </c>
      <c r="G852" s="43">
        <v>43454</v>
      </c>
      <c r="H852">
        <v>5</v>
      </c>
      <c r="I852">
        <v>67664</v>
      </c>
      <c r="J852">
        <v>104000000</v>
      </c>
      <c r="P852" s="77">
        <f t="shared" si="91"/>
        <v>1228</v>
      </c>
      <c r="Q852" s="78">
        <f t="shared" si="92"/>
        <v>225.54666666666665</v>
      </c>
      <c r="R852" s="78">
        <f t="shared" si="93"/>
        <v>19.83642578125</v>
      </c>
      <c r="S852" s="78">
        <f t="shared" si="94"/>
        <v>24</v>
      </c>
      <c r="T852" s="78">
        <f t="shared" si="95"/>
        <v>52.627555555555553</v>
      </c>
      <c r="U852" s="78" t="str">
        <f t="shared" si="96"/>
        <v>35-60</v>
      </c>
      <c r="V852" s="78" t="str">
        <f t="shared" si="97"/>
        <v>10-20 Гб</v>
      </c>
    </row>
    <row r="853" spans="1:22" x14ac:dyDescent="0.25">
      <c r="A853" t="s">
        <v>625</v>
      </c>
      <c r="B853" s="43">
        <v>35874</v>
      </c>
      <c r="C853" t="s">
        <v>58</v>
      </c>
      <c r="D853" t="s">
        <v>51</v>
      </c>
      <c r="E853" t="s">
        <v>52</v>
      </c>
      <c r="F853" t="s">
        <v>57</v>
      </c>
      <c r="G853" s="43">
        <v>42887</v>
      </c>
      <c r="H853">
        <v>5</v>
      </c>
      <c r="I853">
        <v>31256</v>
      </c>
      <c r="J853">
        <v>100000000</v>
      </c>
      <c r="M853">
        <v>1</v>
      </c>
      <c r="P853" s="77">
        <f t="shared" si="91"/>
        <v>1795</v>
      </c>
      <c r="Q853" s="78">
        <f t="shared" si="92"/>
        <v>104.18666666666667</v>
      </c>
      <c r="R853" s="78">
        <f t="shared" si="93"/>
        <v>19.073486328125</v>
      </c>
      <c r="S853" s="78">
        <f t="shared" si="94"/>
        <v>24</v>
      </c>
      <c r="T853" s="78">
        <f t="shared" si="95"/>
        <v>24.310222222222219</v>
      </c>
      <c r="U853" s="78" t="str">
        <f t="shared" si="96"/>
        <v>&lt;35</v>
      </c>
      <c r="V853" s="78" t="str">
        <f t="shared" si="97"/>
        <v>10-20 Гб</v>
      </c>
    </row>
    <row r="854" spans="1:22" x14ac:dyDescent="0.25">
      <c r="A854" t="s">
        <v>318</v>
      </c>
      <c r="B854" s="43">
        <v>35864</v>
      </c>
      <c r="C854" t="s">
        <v>58</v>
      </c>
      <c r="D854" t="s">
        <v>51</v>
      </c>
      <c r="E854" t="s">
        <v>52</v>
      </c>
      <c r="F854" t="s">
        <v>56</v>
      </c>
      <c r="G854" s="43">
        <v>42946</v>
      </c>
      <c r="H854">
        <v>5</v>
      </c>
      <c r="I854">
        <v>61936</v>
      </c>
      <c r="J854">
        <v>124000000</v>
      </c>
      <c r="P854" s="77">
        <f t="shared" si="91"/>
        <v>1736</v>
      </c>
      <c r="Q854" s="78">
        <f t="shared" si="92"/>
        <v>206.45333333333335</v>
      </c>
      <c r="R854" s="78">
        <f t="shared" si="93"/>
        <v>23.651123046875</v>
      </c>
      <c r="S854" s="78">
        <f t="shared" si="94"/>
        <v>24</v>
      </c>
      <c r="T854" s="78">
        <f t="shared" si="95"/>
        <v>48.172444444444444</v>
      </c>
      <c r="U854" s="78" t="str">
        <f t="shared" si="96"/>
        <v>35-60</v>
      </c>
      <c r="V854" s="78" t="str">
        <f t="shared" si="97"/>
        <v>21-30 Гб</v>
      </c>
    </row>
    <row r="855" spans="1:22" x14ac:dyDescent="0.25">
      <c r="A855" t="s">
        <v>1046</v>
      </c>
      <c r="B855" s="43">
        <v>35864</v>
      </c>
      <c r="C855" t="s">
        <v>58</v>
      </c>
      <c r="D855" t="s">
        <v>51</v>
      </c>
      <c r="E855" t="s">
        <v>52</v>
      </c>
      <c r="F855" t="s">
        <v>63</v>
      </c>
      <c r="G855" s="43">
        <v>43331</v>
      </c>
      <c r="H855">
        <v>5</v>
      </c>
      <c r="I855">
        <v>25768</v>
      </c>
      <c r="J855">
        <v>148000000</v>
      </c>
      <c r="P855" s="77">
        <f t="shared" si="91"/>
        <v>1351</v>
      </c>
      <c r="Q855" s="78">
        <f t="shared" si="92"/>
        <v>85.893333333333331</v>
      </c>
      <c r="R855" s="78">
        <f t="shared" si="93"/>
        <v>28.228759765625</v>
      </c>
      <c r="S855" s="78">
        <f t="shared" si="94"/>
        <v>24</v>
      </c>
      <c r="T855" s="78">
        <f t="shared" si="95"/>
        <v>20.041777777777778</v>
      </c>
      <c r="U855" s="78" t="str">
        <f t="shared" si="96"/>
        <v>&lt;35</v>
      </c>
      <c r="V855" s="78" t="str">
        <f t="shared" si="97"/>
        <v>21-30 Гб</v>
      </c>
    </row>
    <row r="856" spans="1:22" x14ac:dyDescent="0.25">
      <c r="A856" t="s">
        <v>154</v>
      </c>
      <c r="B856" s="43">
        <v>35863</v>
      </c>
      <c r="C856" t="s">
        <v>50</v>
      </c>
      <c r="D856" t="s">
        <v>51</v>
      </c>
      <c r="E856" t="s">
        <v>52</v>
      </c>
      <c r="F856" t="s">
        <v>63</v>
      </c>
      <c r="G856" s="43">
        <v>44557</v>
      </c>
      <c r="H856">
        <v>4</v>
      </c>
      <c r="I856">
        <v>22815</v>
      </c>
      <c r="J856">
        <v>20000000</v>
      </c>
      <c r="M856">
        <v>1</v>
      </c>
      <c r="P856" s="77">
        <f t="shared" si="91"/>
        <v>125</v>
      </c>
      <c r="Q856" s="78">
        <f t="shared" si="92"/>
        <v>76.05</v>
      </c>
      <c r="R856" s="78">
        <f t="shared" si="93"/>
        <v>3.814697265625</v>
      </c>
      <c r="S856" s="78">
        <f t="shared" si="94"/>
        <v>24</v>
      </c>
      <c r="T856" s="78">
        <f t="shared" si="95"/>
        <v>17.745000000000001</v>
      </c>
      <c r="U856" s="78" t="str">
        <f t="shared" si="96"/>
        <v>&lt;35</v>
      </c>
      <c r="V856" s="78" t="str">
        <f t="shared" si="97"/>
        <v>&lt;10 Гб</v>
      </c>
    </row>
    <row r="857" spans="1:22" x14ac:dyDescent="0.25">
      <c r="A857" t="s">
        <v>739</v>
      </c>
      <c r="B857" s="43">
        <v>35861</v>
      </c>
      <c r="C857" t="s">
        <v>50</v>
      </c>
      <c r="D857" t="s">
        <v>51</v>
      </c>
      <c r="E857" t="s">
        <v>54</v>
      </c>
      <c r="F857" t="s">
        <v>57</v>
      </c>
      <c r="G857" s="43">
        <v>42861</v>
      </c>
      <c r="H857">
        <v>5</v>
      </c>
      <c r="I857">
        <v>60496</v>
      </c>
      <c r="J857">
        <v>116000000</v>
      </c>
      <c r="L857">
        <v>1</v>
      </c>
      <c r="P857" s="77">
        <f t="shared" si="91"/>
        <v>1821</v>
      </c>
      <c r="Q857" s="78">
        <f t="shared" si="92"/>
        <v>201.65333333333334</v>
      </c>
      <c r="R857" s="78">
        <f t="shared" si="93"/>
        <v>22.125244140625</v>
      </c>
      <c r="S857" s="78">
        <f t="shared" si="94"/>
        <v>24</v>
      </c>
      <c r="T857" s="78">
        <f t="shared" si="95"/>
        <v>47.05244444444444</v>
      </c>
      <c r="U857" s="78" t="str">
        <f t="shared" si="96"/>
        <v>35-60</v>
      </c>
      <c r="V857" s="78" t="str">
        <f t="shared" si="97"/>
        <v>21-30 Гб</v>
      </c>
    </row>
    <row r="858" spans="1:22" x14ac:dyDescent="0.25">
      <c r="A858" t="s">
        <v>872</v>
      </c>
      <c r="B858" s="43">
        <v>35861</v>
      </c>
      <c r="C858" t="s">
        <v>58</v>
      </c>
      <c r="D858" t="s">
        <v>51</v>
      </c>
      <c r="E858" t="s">
        <v>52</v>
      </c>
      <c r="F858" t="s">
        <v>63</v>
      </c>
      <c r="G858" s="43">
        <v>44078</v>
      </c>
      <c r="H858">
        <v>5</v>
      </c>
      <c r="I858">
        <v>29000</v>
      </c>
      <c r="J858">
        <v>56000000</v>
      </c>
      <c r="M858">
        <v>1</v>
      </c>
      <c r="P858" s="77">
        <f t="shared" si="91"/>
        <v>604</v>
      </c>
      <c r="Q858" s="78">
        <f t="shared" si="92"/>
        <v>96.666666666666671</v>
      </c>
      <c r="R858" s="78">
        <f t="shared" si="93"/>
        <v>10.68115234375</v>
      </c>
      <c r="S858" s="78">
        <f t="shared" si="94"/>
        <v>24</v>
      </c>
      <c r="T858" s="78">
        <f t="shared" si="95"/>
        <v>22.555555555555557</v>
      </c>
      <c r="U858" s="78" t="str">
        <f t="shared" si="96"/>
        <v>&lt;35</v>
      </c>
      <c r="V858" s="78" t="str">
        <f t="shared" si="97"/>
        <v>10-20 Гб</v>
      </c>
    </row>
    <row r="859" spans="1:22" x14ac:dyDescent="0.25">
      <c r="A859" t="s">
        <v>1043</v>
      </c>
      <c r="B859" s="43">
        <v>35859</v>
      </c>
      <c r="C859" t="s">
        <v>58</v>
      </c>
      <c r="D859" t="s">
        <v>51</v>
      </c>
      <c r="E859" t="s">
        <v>54</v>
      </c>
      <c r="F859" t="s">
        <v>63</v>
      </c>
      <c r="G859" s="43">
        <v>42975</v>
      </c>
      <c r="H859">
        <v>5</v>
      </c>
      <c r="I859">
        <v>23444</v>
      </c>
      <c r="J859">
        <v>92000000</v>
      </c>
      <c r="P859" s="77">
        <f t="shared" si="91"/>
        <v>1707</v>
      </c>
      <c r="Q859" s="78">
        <f t="shared" si="92"/>
        <v>78.146666666666661</v>
      </c>
      <c r="R859" s="78">
        <f t="shared" si="93"/>
        <v>17.547607421875</v>
      </c>
      <c r="S859" s="78">
        <f t="shared" si="94"/>
        <v>24</v>
      </c>
      <c r="T859" s="78">
        <f t="shared" si="95"/>
        <v>18.234222222222222</v>
      </c>
      <c r="U859" s="78" t="str">
        <f t="shared" si="96"/>
        <v>&lt;35</v>
      </c>
      <c r="V859" s="78" t="str">
        <f t="shared" si="97"/>
        <v>10-20 Гб</v>
      </c>
    </row>
    <row r="860" spans="1:22" x14ac:dyDescent="0.25">
      <c r="A860" t="s">
        <v>320</v>
      </c>
      <c r="B860" s="43">
        <v>35857</v>
      </c>
      <c r="C860" t="s">
        <v>50</v>
      </c>
      <c r="D860" t="s">
        <v>51</v>
      </c>
      <c r="E860" t="s">
        <v>54</v>
      </c>
      <c r="F860" t="s">
        <v>56</v>
      </c>
      <c r="G860" s="43">
        <v>43862</v>
      </c>
      <c r="H860">
        <v>5</v>
      </c>
      <c r="I860">
        <v>95040</v>
      </c>
      <c r="J860">
        <v>116000000</v>
      </c>
      <c r="P860" s="77">
        <f t="shared" si="91"/>
        <v>820</v>
      </c>
      <c r="Q860" s="78">
        <f t="shared" si="92"/>
        <v>316.8</v>
      </c>
      <c r="R860" s="78">
        <f t="shared" si="93"/>
        <v>22.125244140625</v>
      </c>
      <c r="S860" s="78">
        <f t="shared" si="94"/>
        <v>24</v>
      </c>
      <c r="T860" s="78">
        <f t="shared" si="95"/>
        <v>73.92</v>
      </c>
      <c r="U860" s="78" t="str">
        <f t="shared" si="96"/>
        <v>61-90</v>
      </c>
      <c r="V860" s="78" t="str">
        <f t="shared" si="97"/>
        <v>21-30 Гб</v>
      </c>
    </row>
    <row r="861" spans="1:22" x14ac:dyDescent="0.25">
      <c r="A861" t="s">
        <v>267</v>
      </c>
      <c r="B861" s="43">
        <v>35853</v>
      </c>
      <c r="C861" t="s">
        <v>50</v>
      </c>
      <c r="D861" t="s">
        <v>51</v>
      </c>
      <c r="E861" t="s">
        <v>52</v>
      </c>
      <c r="F861" t="s">
        <v>56</v>
      </c>
      <c r="G861" s="43">
        <v>43762</v>
      </c>
      <c r="H861">
        <v>5</v>
      </c>
      <c r="I861">
        <v>49488</v>
      </c>
      <c r="J861">
        <v>32000000</v>
      </c>
      <c r="N861">
        <v>1</v>
      </c>
      <c r="P861" s="77">
        <f t="shared" si="91"/>
        <v>920</v>
      </c>
      <c r="Q861" s="78">
        <f t="shared" si="92"/>
        <v>164.96</v>
      </c>
      <c r="R861" s="78">
        <f t="shared" si="93"/>
        <v>6.103515625</v>
      </c>
      <c r="S861" s="78">
        <f t="shared" si="94"/>
        <v>24</v>
      </c>
      <c r="T861" s="78">
        <f t="shared" si="95"/>
        <v>38.490666666666669</v>
      </c>
      <c r="U861" s="78" t="str">
        <f t="shared" si="96"/>
        <v>35-60</v>
      </c>
      <c r="V861" s="78" t="str">
        <f t="shared" si="97"/>
        <v>&lt;10 Гб</v>
      </c>
    </row>
    <row r="862" spans="1:22" x14ac:dyDescent="0.25">
      <c r="A862" t="s">
        <v>874</v>
      </c>
      <c r="B862" s="43">
        <v>35852</v>
      </c>
      <c r="C862" t="s">
        <v>50</v>
      </c>
      <c r="D862" t="s">
        <v>51</v>
      </c>
      <c r="E862" t="s">
        <v>52</v>
      </c>
      <c r="F862" t="s">
        <v>63</v>
      </c>
      <c r="G862" s="43">
        <v>43199</v>
      </c>
      <c r="H862">
        <v>5</v>
      </c>
      <c r="I862">
        <v>14896</v>
      </c>
      <c r="J862">
        <v>144000000</v>
      </c>
      <c r="L862">
        <v>1</v>
      </c>
      <c r="P862" s="77">
        <f t="shared" si="91"/>
        <v>1483</v>
      </c>
      <c r="Q862" s="78">
        <f t="shared" si="92"/>
        <v>49.653333333333336</v>
      </c>
      <c r="R862" s="78">
        <f t="shared" si="93"/>
        <v>27.4658203125</v>
      </c>
      <c r="S862" s="78">
        <f t="shared" si="94"/>
        <v>24</v>
      </c>
      <c r="T862" s="78">
        <f t="shared" si="95"/>
        <v>11.58577777777778</v>
      </c>
      <c r="U862" s="78" t="str">
        <f t="shared" si="96"/>
        <v>&lt;35</v>
      </c>
      <c r="V862" s="78" t="str">
        <f t="shared" si="97"/>
        <v>21-30 Гб</v>
      </c>
    </row>
    <row r="863" spans="1:22" x14ac:dyDescent="0.25">
      <c r="A863" t="s">
        <v>931</v>
      </c>
      <c r="B863" s="43">
        <v>35847</v>
      </c>
      <c r="C863" t="s">
        <v>50</v>
      </c>
      <c r="D863" t="s">
        <v>51</v>
      </c>
      <c r="E863" t="s">
        <v>52</v>
      </c>
      <c r="F863" t="s">
        <v>63</v>
      </c>
      <c r="G863" s="43">
        <v>44000</v>
      </c>
      <c r="H863">
        <v>5</v>
      </c>
      <c r="I863">
        <v>29496</v>
      </c>
      <c r="J863">
        <v>160000000</v>
      </c>
      <c r="P863" s="77">
        <f t="shared" si="91"/>
        <v>682</v>
      </c>
      <c r="Q863" s="78">
        <f t="shared" si="92"/>
        <v>98.32</v>
      </c>
      <c r="R863" s="78">
        <f t="shared" si="93"/>
        <v>30.517578125</v>
      </c>
      <c r="S863" s="78">
        <f t="shared" si="94"/>
        <v>24</v>
      </c>
      <c r="T863" s="78">
        <f t="shared" si="95"/>
        <v>22.941333333333333</v>
      </c>
      <c r="U863" s="78" t="str">
        <f t="shared" si="96"/>
        <v>&lt;35</v>
      </c>
      <c r="V863" s="78" t="str">
        <f t="shared" si="97"/>
        <v>31-40 Гб</v>
      </c>
    </row>
    <row r="864" spans="1:22" x14ac:dyDescent="0.25">
      <c r="A864" t="s">
        <v>1112</v>
      </c>
      <c r="B864" s="43">
        <v>35845</v>
      </c>
      <c r="C864" t="s">
        <v>58</v>
      </c>
      <c r="D864" t="s">
        <v>51</v>
      </c>
      <c r="E864" t="s">
        <v>54</v>
      </c>
      <c r="F864" t="s">
        <v>69</v>
      </c>
      <c r="G864" s="43">
        <v>43800</v>
      </c>
      <c r="H864">
        <v>5</v>
      </c>
      <c r="I864">
        <v>3252</v>
      </c>
      <c r="J864">
        <v>16000000</v>
      </c>
      <c r="P864" s="77">
        <f t="shared" si="91"/>
        <v>882</v>
      </c>
      <c r="Q864" s="78">
        <f t="shared" si="92"/>
        <v>10.84</v>
      </c>
      <c r="R864" s="78">
        <f t="shared" si="93"/>
        <v>3.0517578125</v>
      </c>
      <c r="S864" s="78">
        <f t="shared" si="94"/>
        <v>24</v>
      </c>
      <c r="T864" s="78">
        <f t="shared" si="95"/>
        <v>2.5293333333333332</v>
      </c>
      <c r="U864" s="78" t="str">
        <f t="shared" si="96"/>
        <v>&lt;35</v>
      </c>
      <c r="V864" s="78" t="str">
        <f t="shared" si="97"/>
        <v>&lt;10 Гб</v>
      </c>
    </row>
    <row r="865" spans="1:22" x14ac:dyDescent="0.25">
      <c r="A865" t="s">
        <v>831</v>
      </c>
      <c r="B865" s="43">
        <v>35839</v>
      </c>
      <c r="C865" t="s">
        <v>50</v>
      </c>
      <c r="D865" t="s">
        <v>51</v>
      </c>
      <c r="E865" t="s">
        <v>52</v>
      </c>
      <c r="F865" t="s">
        <v>63</v>
      </c>
      <c r="G865" s="43">
        <v>44390</v>
      </c>
      <c r="H865">
        <v>5</v>
      </c>
      <c r="I865">
        <v>16604</v>
      </c>
      <c r="J865">
        <v>88000000</v>
      </c>
      <c r="L865">
        <v>1</v>
      </c>
      <c r="P865" s="77">
        <f t="shared" si="91"/>
        <v>292</v>
      </c>
      <c r="Q865" s="78">
        <f t="shared" si="92"/>
        <v>55.346666666666664</v>
      </c>
      <c r="R865" s="78">
        <f t="shared" si="93"/>
        <v>16.78466796875</v>
      </c>
      <c r="S865" s="78">
        <f t="shared" si="94"/>
        <v>24</v>
      </c>
      <c r="T865" s="78">
        <f t="shared" si="95"/>
        <v>12.91422222222222</v>
      </c>
      <c r="U865" s="78" t="str">
        <f t="shared" si="96"/>
        <v>&lt;35</v>
      </c>
      <c r="V865" s="78" t="str">
        <f t="shared" si="97"/>
        <v>10-20 Гб</v>
      </c>
    </row>
    <row r="866" spans="1:22" x14ac:dyDescent="0.25">
      <c r="A866" t="s">
        <v>502</v>
      </c>
      <c r="B866" s="43">
        <v>35837</v>
      </c>
      <c r="C866" t="s">
        <v>50</v>
      </c>
      <c r="D866" t="s">
        <v>51</v>
      </c>
      <c r="E866" t="s">
        <v>52</v>
      </c>
      <c r="F866" t="s">
        <v>57</v>
      </c>
      <c r="G866" s="43">
        <v>43824</v>
      </c>
      <c r="H866">
        <v>5</v>
      </c>
      <c r="I866">
        <v>95156</v>
      </c>
      <c r="J866">
        <v>48000000</v>
      </c>
      <c r="M866">
        <v>1</v>
      </c>
      <c r="P866" s="77">
        <f t="shared" si="91"/>
        <v>858</v>
      </c>
      <c r="Q866" s="78">
        <f t="shared" si="92"/>
        <v>317.18666666666667</v>
      </c>
      <c r="R866" s="78">
        <f t="shared" si="93"/>
        <v>9.1552734375</v>
      </c>
      <c r="S866" s="78">
        <f t="shared" si="94"/>
        <v>24</v>
      </c>
      <c r="T866" s="78">
        <f t="shared" si="95"/>
        <v>74.010222222222225</v>
      </c>
      <c r="U866" s="78" t="str">
        <f t="shared" si="96"/>
        <v>61-90</v>
      </c>
      <c r="V866" s="78" t="str">
        <f t="shared" si="97"/>
        <v>&lt;10 Гб</v>
      </c>
    </row>
    <row r="867" spans="1:22" x14ac:dyDescent="0.25">
      <c r="A867" t="s">
        <v>550</v>
      </c>
      <c r="B867" s="43">
        <v>35837</v>
      </c>
      <c r="C867" t="s">
        <v>58</v>
      </c>
      <c r="D867" t="s">
        <v>51</v>
      </c>
      <c r="E867" t="s">
        <v>52</v>
      </c>
      <c r="F867" t="s">
        <v>57</v>
      </c>
      <c r="G867" s="43">
        <v>43577</v>
      </c>
      <c r="H867">
        <v>5</v>
      </c>
      <c r="I867">
        <v>84272</v>
      </c>
      <c r="J867">
        <v>24000000</v>
      </c>
      <c r="K867">
        <v>1</v>
      </c>
      <c r="P867" s="77">
        <f t="shared" si="91"/>
        <v>1105</v>
      </c>
      <c r="Q867" s="78">
        <f t="shared" si="92"/>
        <v>280.90666666666669</v>
      </c>
      <c r="R867" s="78">
        <f t="shared" si="93"/>
        <v>4.57763671875</v>
      </c>
      <c r="S867" s="78">
        <f t="shared" si="94"/>
        <v>24</v>
      </c>
      <c r="T867" s="78">
        <f t="shared" si="95"/>
        <v>65.544888888888892</v>
      </c>
      <c r="U867" s="78" t="str">
        <f t="shared" si="96"/>
        <v>61-90</v>
      </c>
      <c r="V867" s="78" t="str">
        <f t="shared" si="97"/>
        <v>&lt;10 Гб</v>
      </c>
    </row>
    <row r="868" spans="1:22" x14ac:dyDescent="0.25">
      <c r="A868" t="s">
        <v>888</v>
      </c>
      <c r="B868" s="43">
        <v>35819</v>
      </c>
      <c r="C868" t="s">
        <v>58</v>
      </c>
      <c r="D868" t="s">
        <v>51</v>
      </c>
      <c r="E868" t="s">
        <v>54</v>
      </c>
      <c r="F868" t="s">
        <v>63</v>
      </c>
      <c r="G868" s="43">
        <v>42849</v>
      </c>
      <c r="H868">
        <v>5</v>
      </c>
      <c r="I868">
        <v>13288</v>
      </c>
      <c r="J868">
        <v>112000000</v>
      </c>
      <c r="P868" s="77">
        <f t="shared" si="91"/>
        <v>1833</v>
      </c>
      <c r="Q868" s="78">
        <f t="shared" si="92"/>
        <v>44.293333333333337</v>
      </c>
      <c r="R868" s="78">
        <f t="shared" si="93"/>
        <v>21.3623046875</v>
      </c>
      <c r="S868" s="78">
        <f t="shared" si="94"/>
        <v>24</v>
      </c>
      <c r="T868" s="78">
        <f t="shared" si="95"/>
        <v>10.335111111111111</v>
      </c>
      <c r="U868" s="78" t="str">
        <f t="shared" si="96"/>
        <v>&lt;35</v>
      </c>
      <c r="V868" s="78" t="str">
        <f t="shared" si="97"/>
        <v>21-30 Гб</v>
      </c>
    </row>
    <row r="869" spans="1:22" x14ac:dyDescent="0.25">
      <c r="A869" t="s">
        <v>605</v>
      </c>
      <c r="B869" s="43">
        <v>35817</v>
      </c>
      <c r="C869" t="s">
        <v>50</v>
      </c>
      <c r="D869" t="s">
        <v>51</v>
      </c>
      <c r="E869" t="s">
        <v>54</v>
      </c>
      <c r="F869" t="s">
        <v>57</v>
      </c>
      <c r="G869" s="43">
        <v>42882</v>
      </c>
      <c r="H869">
        <v>5</v>
      </c>
      <c r="I869">
        <v>38380</v>
      </c>
      <c r="J869">
        <v>96000000</v>
      </c>
      <c r="P869" s="77">
        <f t="shared" si="91"/>
        <v>1800</v>
      </c>
      <c r="Q869" s="78">
        <f t="shared" si="92"/>
        <v>127.93333333333334</v>
      </c>
      <c r="R869" s="78">
        <f t="shared" si="93"/>
        <v>18.310546875</v>
      </c>
      <c r="S869" s="78">
        <f t="shared" si="94"/>
        <v>24</v>
      </c>
      <c r="T869" s="78">
        <f t="shared" si="95"/>
        <v>29.851111111111109</v>
      </c>
      <c r="U869" s="78" t="str">
        <f t="shared" si="96"/>
        <v>&lt;35</v>
      </c>
      <c r="V869" s="78" t="str">
        <f t="shared" si="97"/>
        <v>10-20 Гб</v>
      </c>
    </row>
    <row r="870" spans="1:22" x14ac:dyDescent="0.25">
      <c r="A870" t="s">
        <v>1180</v>
      </c>
      <c r="B870" s="43">
        <v>35817</v>
      </c>
      <c r="C870" t="s">
        <v>50</v>
      </c>
      <c r="D870" t="s">
        <v>51</v>
      </c>
      <c r="E870" t="s">
        <v>52</v>
      </c>
      <c r="F870" t="s">
        <v>69</v>
      </c>
      <c r="G870" s="43">
        <v>43567</v>
      </c>
      <c r="H870">
        <v>5</v>
      </c>
      <c r="I870">
        <v>29828</v>
      </c>
      <c r="J870">
        <v>12000000</v>
      </c>
      <c r="P870" s="77">
        <f t="shared" si="91"/>
        <v>1115</v>
      </c>
      <c r="Q870" s="78">
        <f t="shared" si="92"/>
        <v>99.426666666666662</v>
      </c>
      <c r="R870" s="78">
        <f t="shared" si="93"/>
        <v>2.288818359375</v>
      </c>
      <c r="S870" s="78">
        <f t="shared" si="94"/>
        <v>24</v>
      </c>
      <c r="T870" s="78">
        <f t="shared" si="95"/>
        <v>23.199555555555555</v>
      </c>
      <c r="U870" s="78" t="str">
        <f t="shared" si="96"/>
        <v>&lt;35</v>
      </c>
      <c r="V870" s="78" t="str">
        <f t="shared" si="97"/>
        <v>&lt;10 Гб</v>
      </c>
    </row>
    <row r="871" spans="1:22" x14ac:dyDescent="0.25">
      <c r="A871" t="s">
        <v>300</v>
      </c>
      <c r="B871" s="43">
        <v>35816</v>
      </c>
      <c r="C871" t="s">
        <v>50</v>
      </c>
      <c r="D871" t="s">
        <v>51</v>
      </c>
      <c r="E871" t="s">
        <v>52</v>
      </c>
      <c r="F871" t="s">
        <v>56</v>
      </c>
      <c r="G871" s="43">
        <v>44427</v>
      </c>
      <c r="H871">
        <v>5</v>
      </c>
      <c r="I871">
        <v>92908</v>
      </c>
      <c r="J871">
        <v>120000000</v>
      </c>
      <c r="P871" s="77">
        <f t="shared" si="91"/>
        <v>255</v>
      </c>
      <c r="Q871" s="78">
        <f t="shared" si="92"/>
        <v>309.69333333333333</v>
      </c>
      <c r="R871" s="78">
        <f t="shared" si="93"/>
        <v>22.88818359375</v>
      </c>
      <c r="S871" s="78">
        <f t="shared" si="94"/>
        <v>24</v>
      </c>
      <c r="T871" s="78">
        <f t="shared" si="95"/>
        <v>72.26177777777778</v>
      </c>
      <c r="U871" s="78" t="str">
        <f t="shared" si="96"/>
        <v>61-90</v>
      </c>
      <c r="V871" s="78" t="str">
        <f t="shared" si="97"/>
        <v>21-30 Гб</v>
      </c>
    </row>
    <row r="872" spans="1:22" x14ac:dyDescent="0.25">
      <c r="A872" t="s">
        <v>1029</v>
      </c>
      <c r="B872" s="43">
        <v>35789</v>
      </c>
      <c r="C872" t="s">
        <v>58</v>
      </c>
      <c r="D872" t="s">
        <v>51</v>
      </c>
      <c r="E872" t="s">
        <v>52</v>
      </c>
      <c r="F872" t="s">
        <v>63</v>
      </c>
      <c r="G872" s="43">
        <v>43185</v>
      </c>
      <c r="H872">
        <v>5</v>
      </c>
      <c r="I872">
        <v>25028</v>
      </c>
      <c r="J872">
        <v>156000000</v>
      </c>
      <c r="M872">
        <v>1</v>
      </c>
      <c r="P872" s="77">
        <f t="shared" si="91"/>
        <v>1497</v>
      </c>
      <c r="Q872" s="78">
        <f t="shared" si="92"/>
        <v>83.426666666666662</v>
      </c>
      <c r="R872" s="78">
        <f t="shared" si="93"/>
        <v>29.754638671875</v>
      </c>
      <c r="S872" s="78">
        <f t="shared" si="94"/>
        <v>24</v>
      </c>
      <c r="T872" s="78">
        <f t="shared" si="95"/>
        <v>19.466222222222221</v>
      </c>
      <c r="U872" s="78" t="str">
        <f t="shared" si="96"/>
        <v>&lt;35</v>
      </c>
      <c r="V872" s="78" t="str">
        <f t="shared" si="97"/>
        <v>21-30 Гб</v>
      </c>
    </row>
    <row r="873" spans="1:22" x14ac:dyDescent="0.25">
      <c r="A873" t="s">
        <v>413</v>
      </c>
      <c r="B873" s="43">
        <v>35776</v>
      </c>
      <c r="C873" t="s">
        <v>50</v>
      </c>
      <c r="D873" t="s">
        <v>51</v>
      </c>
      <c r="E873" t="s">
        <v>52</v>
      </c>
      <c r="F873" t="s">
        <v>56</v>
      </c>
      <c r="G873" s="43">
        <v>43506</v>
      </c>
      <c r="H873">
        <v>5</v>
      </c>
      <c r="I873">
        <v>38680</v>
      </c>
      <c r="J873">
        <v>128000000</v>
      </c>
      <c r="L873">
        <v>1</v>
      </c>
      <c r="P873" s="77">
        <f t="shared" si="91"/>
        <v>1176</v>
      </c>
      <c r="Q873" s="78">
        <f t="shared" si="92"/>
        <v>128.93333333333334</v>
      </c>
      <c r="R873" s="78">
        <f t="shared" si="93"/>
        <v>24.4140625</v>
      </c>
      <c r="S873" s="78">
        <f t="shared" si="94"/>
        <v>24</v>
      </c>
      <c r="T873" s="78">
        <f t="shared" si="95"/>
        <v>30.084444444444443</v>
      </c>
      <c r="U873" s="78" t="str">
        <f t="shared" si="96"/>
        <v>&lt;35</v>
      </c>
      <c r="V873" s="78" t="str">
        <f t="shared" si="97"/>
        <v>21-30 Гб</v>
      </c>
    </row>
    <row r="874" spans="1:22" x14ac:dyDescent="0.25">
      <c r="A874" t="s">
        <v>180</v>
      </c>
      <c r="B874" s="43">
        <v>35774</v>
      </c>
      <c r="C874" t="s">
        <v>50</v>
      </c>
      <c r="D874" t="s">
        <v>51</v>
      </c>
      <c r="E874" t="s">
        <v>52</v>
      </c>
      <c r="F874" t="s">
        <v>53</v>
      </c>
      <c r="G874" s="43">
        <v>42805</v>
      </c>
      <c r="H874">
        <v>5</v>
      </c>
      <c r="I874">
        <v>142060</v>
      </c>
      <c r="J874">
        <v>196000000</v>
      </c>
      <c r="P874" s="77">
        <f t="shared" si="91"/>
        <v>1877</v>
      </c>
      <c r="Q874" s="78">
        <f t="shared" si="92"/>
        <v>473.53333333333336</v>
      </c>
      <c r="R874" s="78">
        <f t="shared" si="93"/>
        <v>37.384033203125</v>
      </c>
      <c r="S874" s="78">
        <f t="shared" si="94"/>
        <v>24</v>
      </c>
      <c r="T874" s="78">
        <f t="shared" si="95"/>
        <v>110.49111111111112</v>
      </c>
      <c r="U874" s="78" t="str">
        <f t="shared" si="96"/>
        <v>91-120</v>
      </c>
      <c r="V874" s="78" t="str">
        <f t="shared" si="97"/>
        <v>31-40 Гб</v>
      </c>
    </row>
    <row r="875" spans="1:22" x14ac:dyDescent="0.25">
      <c r="A875" t="s">
        <v>235</v>
      </c>
      <c r="B875" s="43">
        <v>35771</v>
      </c>
      <c r="C875" t="s">
        <v>50</v>
      </c>
      <c r="D875" t="s">
        <v>51</v>
      </c>
      <c r="E875" t="s">
        <v>54</v>
      </c>
      <c r="F875" t="s">
        <v>56</v>
      </c>
      <c r="G875" s="43">
        <v>44219</v>
      </c>
      <c r="H875">
        <v>5</v>
      </c>
      <c r="I875">
        <v>94808</v>
      </c>
      <c r="J875">
        <v>40000000</v>
      </c>
      <c r="O875">
        <v>1</v>
      </c>
      <c r="P875" s="77">
        <f t="shared" si="91"/>
        <v>463</v>
      </c>
      <c r="Q875" s="78">
        <f t="shared" si="92"/>
        <v>316.02666666666664</v>
      </c>
      <c r="R875" s="78">
        <f t="shared" si="93"/>
        <v>7.62939453125</v>
      </c>
      <c r="S875" s="78">
        <f t="shared" si="94"/>
        <v>24</v>
      </c>
      <c r="T875" s="78">
        <f t="shared" si="95"/>
        <v>73.739555555555555</v>
      </c>
      <c r="U875" s="78" t="str">
        <f t="shared" si="96"/>
        <v>61-90</v>
      </c>
      <c r="V875" s="78" t="str">
        <f t="shared" si="97"/>
        <v>&lt;10 Гб</v>
      </c>
    </row>
    <row r="876" spans="1:22" x14ac:dyDescent="0.25">
      <c r="A876" t="s">
        <v>1115</v>
      </c>
      <c r="B876" s="43">
        <v>35771</v>
      </c>
      <c r="C876" t="s">
        <v>58</v>
      </c>
      <c r="D876" t="s">
        <v>51</v>
      </c>
      <c r="E876" t="s">
        <v>52</v>
      </c>
      <c r="F876" t="s">
        <v>69</v>
      </c>
      <c r="G876" s="43">
        <v>43524</v>
      </c>
      <c r="H876">
        <v>5</v>
      </c>
      <c r="I876">
        <v>19844</v>
      </c>
      <c r="J876">
        <v>20000000</v>
      </c>
      <c r="K876">
        <v>1</v>
      </c>
      <c r="O876">
        <v>1</v>
      </c>
      <c r="P876" s="77">
        <f t="shared" si="91"/>
        <v>1158</v>
      </c>
      <c r="Q876" s="78">
        <f t="shared" si="92"/>
        <v>66.146666666666661</v>
      </c>
      <c r="R876" s="78">
        <f t="shared" si="93"/>
        <v>3.814697265625</v>
      </c>
      <c r="S876" s="78">
        <f t="shared" si="94"/>
        <v>24</v>
      </c>
      <c r="T876" s="78">
        <f t="shared" si="95"/>
        <v>15.434222222222221</v>
      </c>
      <c r="U876" s="78" t="str">
        <f t="shared" si="96"/>
        <v>&lt;35</v>
      </c>
      <c r="V876" s="78" t="str">
        <f t="shared" si="97"/>
        <v>&lt;10 Гб</v>
      </c>
    </row>
    <row r="877" spans="1:22" x14ac:dyDescent="0.25">
      <c r="A877" t="s">
        <v>102</v>
      </c>
      <c r="B877" s="43">
        <v>35770</v>
      </c>
      <c r="C877" t="s">
        <v>50</v>
      </c>
      <c r="D877" t="s">
        <v>51</v>
      </c>
      <c r="E877" t="s">
        <v>52</v>
      </c>
      <c r="F877" t="s">
        <v>56</v>
      </c>
      <c r="G877" s="43">
        <v>44612</v>
      </c>
      <c r="H877">
        <v>2</v>
      </c>
      <c r="I877">
        <v>70000</v>
      </c>
      <c r="J877">
        <v>60666667</v>
      </c>
      <c r="P877" s="77">
        <f t="shared" si="91"/>
        <v>70</v>
      </c>
      <c r="Q877" s="78">
        <f t="shared" si="92"/>
        <v>500</v>
      </c>
      <c r="R877" s="78">
        <f t="shared" si="93"/>
        <v>24.795532362801687</v>
      </c>
      <c r="S877" s="78">
        <f t="shared" si="94"/>
        <v>24</v>
      </c>
      <c r="T877" s="78">
        <f t="shared" si="95"/>
        <v>116.66666666666667</v>
      </c>
      <c r="U877" s="78" t="str">
        <f t="shared" si="96"/>
        <v>91-120</v>
      </c>
      <c r="V877" s="78" t="str">
        <f t="shared" si="97"/>
        <v>21-30 Гб</v>
      </c>
    </row>
    <row r="878" spans="1:22" x14ac:dyDescent="0.25">
      <c r="A878" t="s">
        <v>761</v>
      </c>
      <c r="B878" s="43">
        <v>35770</v>
      </c>
      <c r="C878" t="s">
        <v>58</v>
      </c>
      <c r="D878" t="s">
        <v>51</v>
      </c>
      <c r="E878" t="s">
        <v>52</v>
      </c>
      <c r="F878" t="s">
        <v>57</v>
      </c>
      <c r="G878" s="43">
        <v>44388</v>
      </c>
      <c r="H878">
        <v>5</v>
      </c>
      <c r="I878">
        <v>77248</v>
      </c>
      <c r="J878">
        <v>100000000</v>
      </c>
      <c r="P878" s="77">
        <f t="shared" si="91"/>
        <v>294</v>
      </c>
      <c r="Q878" s="78">
        <f t="shared" si="92"/>
        <v>257.49333333333334</v>
      </c>
      <c r="R878" s="78">
        <f t="shared" si="93"/>
        <v>19.073486328125</v>
      </c>
      <c r="S878" s="78">
        <f t="shared" si="94"/>
        <v>24</v>
      </c>
      <c r="T878" s="78">
        <f t="shared" si="95"/>
        <v>60.081777777777781</v>
      </c>
      <c r="U878" s="78" t="str">
        <f t="shared" si="96"/>
        <v>61-90</v>
      </c>
      <c r="V878" s="78" t="str">
        <f t="shared" si="97"/>
        <v>10-20 Гб</v>
      </c>
    </row>
    <row r="879" spans="1:22" x14ac:dyDescent="0.25">
      <c r="A879" t="s">
        <v>426</v>
      </c>
      <c r="B879" s="43">
        <v>35767</v>
      </c>
      <c r="C879" t="s">
        <v>50</v>
      </c>
      <c r="D879" t="s">
        <v>51</v>
      </c>
      <c r="E879" t="s">
        <v>52</v>
      </c>
      <c r="F879" t="s">
        <v>57</v>
      </c>
      <c r="G879" s="43">
        <v>43292</v>
      </c>
      <c r="H879">
        <v>5</v>
      </c>
      <c r="I879">
        <v>29364</v>
      </c>
      <c r="J879">
        <v>80000000</v>
      </c>
      <c r="P879" s="77">
        <f t="shared" si="91"/>
        <v>1390</v>
      </c>
      <c r="Q879" s="78">
        <f t="shared" si="92"/>
        <v>97.88</v>
      </c>
      <c r="R879" s="78">
        <f t="shared" si="93"/>
        <v>15.2587890625</v>
      </c>
      <c r="S879" s="78">
        <f t="shared" si="94"/>
        <v>24</v>
      </c>
      <c r="T879" s="78">
        <f t="shared" si="95"/>
        <v>22.838666666666665</v>
      </c>
      <c r="U879" s="78" t="str">
        <f t="shared" si="96"/>
        <v>&lt;35</v>
      </c>
      <c r="V879" s="78" t="str">
        <f t="shared" si="97"/>
        <v>10-20 Гб</v>
      </c>
    </row>
    <row r="880" spans="1:22" x14ac:dyDescent="0.25">
      <c r="A880" t="s">
        <v>925</v>
      </c>
      <c r="B880" s="43">
        <v>35767</v>
      </c>
      <c r="C880" t="s">
        <v>50</v>
      </c>
      <c r="D880" t="s">
        <v>51</v>
      </c>
      <c r="E880" t="s">
        <v>52</v>
      </c>
      <c r="F880" t="s">
        <v>63</v>
      </c>
      <c r="G880" s="43">
        <v>43653</v>
      </c>
      <c r="H880">
        <v>5</v>
      </c>
      <c r="I880">
        <v>24600</v>
      </c>
      <c r="J880">
        <v>44000000</v>
      </c>
      <c r="P880" s="77">
        <f t="shared" si="91"/>
        <v>1029</v>
      </c>
      <c r="Q880" s="78">
        <f t="shared" si="92"/>
        <v>82</v>
      </c>
      <c r="R880" s="78">
        <f t="shared" si="93"/>
        <v>8.392333984375</v>
      </c>
      <c r="S880" s="78">
        <f t="shared" si="94"/>
        <v>24</v>
      </c>
      <c r="T880" s="78">
        <f t="shared" si="95"/>
        <v>19.133333333333333</v>
      </c>
      <c r="U880" s="78" t="str">
        <f t="shared" si="96"/>
        <v>&lt;35</v>
      </c>
      <c r="V880" s="78" t="str">
        <f t="shared" si="97"/>
        <v>&lt;10 Гб</v>
      </c>
    </row>
    <row r="881" spans="1:22" x14ac:dyDescent="0.25">
      <c r="A881" t="s">
        <v>87</v>
      </c>
      <c r="B881" s="43">
        <v>35766</v>
      </c>
      <c r="C881" t="s">
        <v>50</v>
      </c>
      <c r="D881" t="s">
        <v>51</v>
      </c>
      <c r="E881" t="s">
        <v>52</v>
      </c>
      <c r="F881" t="s">
        <v>57</v>
      </c>
      <c r="G881" s="43">
        <v>44634</v>
      </c>
      <c r="H881">
        <v>1</v>
      </c>
      <c r="I881">
        <v>15389</v>
      </c>
      <c r="J881">
        <v>40000000</v>
      </c>
      <c r="K881">
        <v>1</v>
      </c>
      <c r="P881" s="77">
        <f t="shared" si="91"/>
        <v>48</v>
      </c>
      <c r="Q881" s="78">
        <f t="shared" si="92"/>
        <v>160.30208333333334</v>
      </c>
      <c r="R881" s="78">
        <f t="shared" si="93"/>
        <v>23.84185791015625</v>
      </c>
      <c r="S881" s="78">
        <f t="shared" si="94"/>
        <v>24</v>
      </c>
      <c r="T881" s="78">
        <f t="shared" si="95"/>
        <v>37.403819444444451</v>
      </c>
      <c r="U881" s="78" t="str">
        <f t="shared" si="96"/>
        <v>35-60</v>
      </c>
      <c r="V881" s="78" t="str">
        <f t="shared" si="97"/>
        <v>21-30 Гб</v>
      </c>
    </row>
    <row r="882" spans="1:22" x14ac:dyDescent="0.25">
      <c r="A882" t="s">
        <v>416</v>
      </c>
      <c r="B882" s="43">
        <v>35764</v>
      </c>
      <c r="C882" t="s">
        <v>50</v>
      </c>
      <c r="D882" t="s">
        <v>51</v>
      </c>
      <c r="E882" t="s">
        <v>52</v>
      </c>
      <c r="F882" t="s">
        <v>56</v>
      </c>
      <c r="G882" s="43">
        <v>43741</v>
      </c>
      <c r="H882">
        <v>5</v>
      </c>
      <c r="I882">
        <v>105824</v>
      </c>
      <c r="J882">
        <v>124000000</v>
      </c>
      <c r="P882" s="77">
        <f t="shared" si="91"/>
        <v>941</v>
      </c>
      <c r="Q882" s="78">
        <f t="shared" si="92"/>
        <v>352.74666666666667</v>
      </c>
      <c r="R882" s="78">
        <f t="shared" si="93"/>
        <v>23.651123046875</v>
      </c>
      <c r="S882" s="78">
        <f t="shared" si="94"/>
        <v>24</v>
      </c>
      <c r="T882" s="78">
        <f t="shared" si="95"/>
        <v>82.307555555555552</v>
      </c>
      <c r="U882" s="78" t="str">
        <f t="shared" si="96"/>
        <v>61-90</v>
      </c>
      <c r="V882" s="78" t="str">
        <f t="shared" si="97"/>
        <v>21-30 Гб</v>
      </c>
    </row>
    <row r="883" spans="1:22" x14ac:dyDescent="0.25">
      <c r="A883" t="s">
        <v>527</v>
      </c>
      <c r="B883" s="43">
        <v>35764</v>
      </c>
      <c r="C883" t="s">
        <v>50</v>
      </c>
      <c r="D883" t="s">
        <v>51</v>
      </c>
      <c r="E883" t="s">
        <v>52</v>
      </c>
      <c r="F883" t="s">
        <v>57</v>
      </c>
      <c r="G883" s="43">
        <v>44206</v>
      </c>
      <c r="H883">
        <v>5</v>
      </c>
      <c r="I883">
        <v>67900</v>
      </c>
      <c r="J883">
        <v>48000000</v>
      </c>
      <c r="P883" s="77">
        <f t="shared" si="91"/>
        <v>476</v>
      </c>
      <c r="Q883" s="78">
        <f t="shared" si="92"/>
        <v>226.33333333333334</v>
      </c>
      <c r="R883" s="78">
        <f t="shared" si="93"/>
        <v>9.1552734375</v>
      </c>
      <c r="S883" s="78">
        <f t="shared" si="94"/>
        <v>24</v>
      </c>
      <c r="T883" s="78">
        <f t="shared" si="95"/>
        <v>52.811111111111117</v>
      </c>
      <c r="U883" s="78" t="str">
        <f t="shared" si="96"/>
        <v>35-60</v>
      </c>
      <c r="V883" s="78" t="str">
        <f t="shared" si="97"/>
        <v>&lt;10 Гб</v>
      </c>
    </row>
    <row r="884" spans="1:22" x14ac:dyDescent="0.25">
      <c r="A884" t="s">
        <v>883</v>
      </c>
      <c r="B884" s="43">
        <v>35764</v>
      </c>
      <c r="C884" t="s">
        <v>50</v>
      </c>
      <c r="D884" t="s">
        <v>51</v>
      </c>
      <c r="E884" t="s">
        <v>54</v>
      </c>
      <c r="F884" t="s">
        <v>63</v>
      </c>
      <c r="G884" s="43">
        <v>43556</v>
      </c>
      <c r="H884">
        <v>5</v>
      </c>
      <c r="I884">
        <v>35404</v>
      </c>
      <c r="J884">
        <v>160000000</v>
      </c>
      <c r="K884">
        <v>1</v>
      </c>
      <c r="L884">
        <v>1</v>
      </c>
      <c r="P884" s="77">
        <f t="shared" si="91"/>
        <v>1126</v>
      </c>
      <c r="Q884" s="78">
        <f t="shared" si="92"/>
        <v>118.01333333333334</v>
      </c>
      <c r="R884" s="78">
        <f t="shared" si="93"/>
        <v>30.517578125</v>
      </c>
      <c r="S884" s="78">
        <f t="shared" si="94"/>
        <v>24</v>
      </c>
      <c r="T884" s="78">
        <f t="shared" si="95"/>
        <v>27.536444444444445</v>
      </c>
      <c r="U884" s="78" t="str">
        <f t="shared" si="96"/>
        <v>&lt;35</v>
      </c>
      <c r="V884" s="78" t="str">
        <f t="shared" si="97"/>
        <v>31-40 Гб</v>
      </c>
    </row>
    <row r="885" spans="1:22" x14ac:dyDescent="0.25">
      <c r="A885" t="s">
        <v>68</v>
      </c>
      <c r="B885" s="43">
        <v>35759</v>
      </c>
      <c r="C885" t="s">
        <v>50</v>
      </c>
      <c r="D885" t="s">
        <v>51</v>
      </c>
      <c r="E885" t="s">
        <v>54</v>
      </c>
      <c r="F885" t="s">
        <v>57</v>
      </c>
      <c r="G885" s="43">
        <v>44678</v>
      </c>
      <c r="H885">
        <v>0</v>
      </c>
      <c r="I885">
        <v>3041</v>
      </c>
      <c r="J885">
        <v>3200000</v>
      </c>
      <c r="P885" s="77">
        <f t="shared" si="91"/>
        <v>4</v>
      </c>
      <c r="Q885" s="78">
        <f t="shared" si="92"/>
        <v>380.125</v>
      </c>
      <c r="R885" s="78">
        <f t="shared" si="93"/>
        <v>22.88818359375</v>
      </c>
      <c r="S885" s="78">
        <f t="shared" si="94"/>
        <v>24</v>
      </c>
      <c r="T885" s="78">
        <f t="shared" si="95"/>
        <v>88.69583333333334</v>
      </c>
      <c r="U885" s="78" t="str">
        <f t="shared" si="96"/>
        <v>61-90</v>
      </c>
      <c r="V885" s="78" t="str">
        <f t="shared" si="97"/>
        <v>21-30 Гб</v>
      </c>
    </row>
    <row r="886" spans="1:22" x14ac:dyDescent="0.25">
      <c r="A886" t="s">
        <v>1032</v>
      </c>
      <c r="B886" s="43">
        <v>35759</v>
      </c>
      <c r="C886" t="s">
        <v>50</v>
      </c>
      <c r="D886" t="s">
        <v>51</v>
      </c>
      <c r="E886" t="s">
        <v>52</v>
      </c>
      <c r="F886" t="s">
        <v>63</v>
      </c>
      <c r="G886" s="43">
        <v>43165</v>
      </c>
      <c r="H886">
        <v>5</v>
      </c>
      <c r="I886">
        <v>9356</v>
      </c>
      <c r="J886">
        <v>152000000</v>
      </c>
      <c r="P886" s="77">
        <f t="shared" si="91"/>
        <v>1517</v>
      </c>
      <c r="Q886" s="78">
        <f t="shared" si="92"/>
        <v>31.186666666666667</v>
      </c>
      <c r="R886" s="78">
        <f t="shared" si="93"/>
        <v>28.99169921875</v>
      </c>
      <c r="S886" s="78">
        <f t="shared" si="94"/>
        <v>24</v>
      </c>
      <c r="T886" s="78">
        <f t="shared" si="95"/>
        <v>7.2768888888888892</v>
      </c>
      <c r="U886" s="78" t="str">
        <f t="shared" si="96"/>
        <v>&lt;35</v>
      </c>
      <c r="V886" s="78" t="str">
        <f t="shared" si="97"/>
        <v>21-30 Гб</v>
      </c>
    </row>
    <row r="887" spans="1:22" x14ac:dyDescent="0.25">
      <c r="A887" t="s">
        <v>365</v>
      </c>
      <c r="B887" s="43">
        <v>35758</v>
      </c>
      <c r="C887" t="s">
        <v>58</v>
      </c>
      <c r="D887" t="s">
        <v>51</v>
      </c>
      <c r="E887" t="s">
        <v>52</v>
      </c>
      <c r="F887" t="s">
        <v>56</v>
      </c>
      <c r="G887" s="43">
        <v>43846</v>
      </c>
      <c r="H887">
        <v>5</v>
      </c>
      <c r="I887">
        <v>72712</v>
      </c>
      <c r="J887">
        <v>116000000</v>
      </c>
      <c r="P887" s="77">
        <f t="shared" si="91"/>
        <v>836</v>
      </c>
      <c r="Q887" s="78">
        <f t="shared" si="92"/>
        <v>242.37333333333333</v>
      </c>
      <c r="R887" s="78">
        <f t="shared" si="93"/>
        <v>22.125244140625</v>
      </c>
      <c r="S887" s="78">
        <f t="shared" si="94"/>
        <v>24</v>
      </c>
      <c r="T887" s="78">
        <f t="shared" si="95"/>
        <v>56.553777777777775</v>
      </c>
      <c r="U887" s="78" t="str">
        <f t="shared" si="96"/>
        <v>35-60</v>
      </c>
      <c r="V887" s="78" t="str">
        <f t="shared" si="97"/>
        <v>21-30 Гб</v>
      </c>
    </row>
    <row r="888" spans="1:22" x14ac:dyDescent="0.25">
      <c r="A888" t="s">
        <v>680</v>
      </c>
      <c r="B888" s="43">
        <v>35758</v>
      </c>
      <c r="C888" t="s">
        <v>50</v>
      </c>
      <c r="D888" t="s">
        <v>51</v>
      </c>
      <c r="E888" t="s">
        <v>52</v>
      </c>
      <c r="F888" t="s">
        <v>57</v>
      </c>
      <c r="G888" s="43">
        <v>43208</v>
      </c>
      <c r="H888">
        <v>5</v>
      </c>
      <c r="I888">
        <v>9368</v>
      </c>
      <c r="J888">
        <v>32000000</v>
      </c>
      <c r="K888">
        <v>1</v>
      </c>
      <c r="O888">
        <v>1</v>
      </c>
      <c r="P888" s="77">
        <f t="shared" si="91"/>
        <v>1474</v>
      </c>
      <c r="Q888" s="78">
        <f t="shared" si="92"/>
        <v>31.226666666666667</v>
      </c>
      <c r="R888" s="78">
        <f t="shared" si="93"/>
        <v>6.103515625</v>
      </c>
      <c r="S888" s="78">
        <f t="shared" si="94"/>
        <v>24</v>
      </c>
      <c r="T888" s="78">
        <f t="shared" si="95"/>
        <v>7.2862222222222224</v>
      </c>
      <c r="U888" s="78" t="str">
        <f t="shared" si="96"/>
        <v>&lt;35</v>
      </c>
      <c r="V888" s="78" t="str">
        <f t="shared" si="97"/>
        <v>&lt;10 Гб</v>
      </c>
    </row>
    <row r="889" spans="1:22" x14ac:dyDescent="0.25">
      <c r="A889" t="s">
        <v>897</v>
      </c>
      <c r="B889" s="43">
        <v>35756</v>
      </c>
      <c r="C889" t="s">
        <v>50</v>
      </c>
      <c r="D889" t="s">
        <v>51</v>
      </c>
      <c r="E889" t="s">
        <v>54</v>
      </c>
      <c r="F889" t="s">
        <v>63</v>
      </c>
      <c r="G889" s="43">
        <v>44210</v>
      </c>
      <c r="H889">
        <v>5</v>
      </c>
      <c r="I889">
        <v>1532</v>
      </c>
      <c r="J889">
        <v>124000000</v>
      </c>
      <c r="M889">
        <v>1</v>
      </c>
      <c r="P889" s="77">
        <f t="shared" si="91"/>
        <v>472</v>
      </c>
      <c r="Q889" s="78">
        <f t="shared" si="92"/>
        <v>5.1066666666666665</v>
      </c>
      <c r="R889" s="78">
        <f t="shared" si="93"/>
        <v>23.651123046875</v>
      </c>
      <c r="S889" s="78">
        <f t="shared" si="94"/>
        <v>24</v>
      </c>
      <c r="T889" s="78">
        <f t="shared" si="95"/>
        <v>1.1915555555555555</v>
      </c>
      <c r="U889" s="78" t="str">
        <f t="shared" si="96"/>
        <v>&lt;35</v>
      </c>
      <c r="V889" s="78" t="str">
        <f t="shared" si="97"/>
        <v>21-30 Гб</v>
      </c>
    </row>
    <row r="890" spans="1:22" x14ac:dyDescent="0.25">
      <c r="A890" t="s">
        <v>894</v>
      </c>
      <c r="B890" s="43">
        <v>35754</v>
      </c>
      <c r="C890" t="s">
        <v>58</v>
      </c>
      <c r="D890" t="s">
        <v>51</v>
      </c>
      <c r="E890" t="s">
        <v>54</v>
      </c>
      <c r="F890" t="s">
        <v>63</v>
      </c>
      <c r="G890" s="43">
        <v>43405</v>
      </c>
      <c r="H890">
        <v>5</v>
      </c>
      <c r="I890">
        <v>27236</v>
      </c>
      <c r="J890">
        <v>140000000</v>
      </c>
      <c r="P890" s="77">
        <f t="shared" si="91"/>
        <v>1277</v>
      </c>
      <c r="Q890" s="78">
        <f t="shared" si="92"/>
        <v>90.786666666666662</v>
      </c>
      <c r="R890" s="78">
        <f t="shared" si="93"/>
        <v>26.702880859375</v>
      </c>
      <c r="S890" s="78">
        <f t="shared" si="94"/>
        <v>24</v>
      </c>
      <c r="T890" s="78">
        <f t="shared" si="95"/>
        <v>21.183555555555554</v>
      </c>
      <c r="U890" s="78" t="str">
        <f t="shared" si="96"/>
        <v>&lt;35</v>
      </c>
      <c r="V890" s="78" t="str">
        <f t="shared" si="97"/>
        <v>21-30 Гб</v>
      </c>
    </row>
    <row r="891" spans="1:22" x14ac:dyDescent="0.25">
      <c r="A891" t="s">
        <v>835</v>
      </c>
      <c r="B891" s="43">
        <v>35753</v>
      </c>
      <c r="C891" t="s">
        <v>58</v>
      </c>
      <c r="D891" t="s">
        <v>51</v>
      </c>
      <c r="E891" t="s">
        <v>52</v>
      </c>
      <c r="F891" t="s">
        <v>63</v>
      </c>
      <c r="G891" s="43">
        <v>43095</v>
      </c>
      <c r="H891">
        <v>5</v>
      </c>
      <c r="I891">
        <v>4492</v>
      </c>
      <c r="J891">
        <v>144000000</v>
      </c>
      <c r="K891">
        <v>1</v>
      </c>
      <c r="P891" s="77">
        <f t="shared" si="91"/>
        <v>1587</v>
      </c>
      <c r="Q891" s="78">
        <f t="shared" si="92"/>
        <v>14.973333333333333</v>
      </c>
      <c r="R891" s="78">
        <f t="shared" si="93"/>
        <v>27.4658203125</v>
      </c>
      <c r="S891" s="78">
        <f t="shared" si="94"/>
        <v>24</v>
      </c>
      <c r="T891" s="78">
        <f t="shared" si="95"/>
        <v>3.4937777777777779</v>
      </c>
      <c r="U891" s="78" t="str">
        <f t="shared" si="96"/>
        <v>&lt;35</v>
      </c>
      <c r="V891" s="78" t="str">
        <f t="shared" si="97"/>
        <v>21-30 Гб</v>
      </c>
    </row>
    <row r="892" spans="1:22" x14ac:dyDescent="0.25">
      <c r="A892" t="s">
        <v>824</v>
      </c>
      <c r="B892" s="43">
        <v>35751</v>
      </c>
      <c r="C892" t="s">
        <v>50</v>
      </c>
      <c r="D892" t="s">
        <v>51</v>
      </c>
      <c r="E892" t="s">
        <v>52</v>
      </c>
      <c r="F892" t="s">
        <v>63</v>
      </c>
      <c r="G892" s="43">
        <v>43937</v>
      </c>
      <c r="H892">
        <v>5</v>
      </c>
      <c r="I892">
        <v>35732</v>
      </c>
      <c r="J892">
        <v>152000000</v>
      </c>
      <c r="O892">
        <v>1</v>
      </c>
      <c r="P892" s="77">
        <f t="shared" si="91"/>
        <v>745</v>
      </c>
      <c r="Q892" s="78">
        <f t="shared" si="92"/>
        <v>119.10666666666667</v>
      </c>
      <c r="R892" s="78">
        <f t="shared" si="93"/>
        <v>28.99169921875</v>
      </c>
      <c r="S892" s="78">
        <f t="shared" si="94"/>
        <v>24</v>
      </c>
      <c r="T892" s="78">
        <f t="shared" si="95"/>
        <v>27.791555555555554</v>
      </c>
      <c r="U892" s="78" t="str">
        <f t="shared" si="96"/>
        <v>&lt;35</v>
      </c>
      <c r="V892" s="78" t="str">
        <f t="shared" si="97"/>
        <v>21-30 Гб</v>
      </c>
    </row>
    <row r="893" spans="1:22" x14ac:dyDescent="0.25">
      <c r="A893" t="s">
        <v>465</v>
      </c>
      <c r="B893" s="43">
        <v>35749</v>
      </c>
      <c r="C893" t="s">
        <v>58</v>
      </c>
      <c r="D893" t="s">
        <v>51</v>
      </c>
      <c r="E893" t="s">
        <v>54</v>
      </c>
      <c r="F893" t="s">
        <v>57</v>
      </c>
      <c r="G893" s="43">
        <v>42902</v>
      </c>
      <c r="H893">
        <v>5</v>
      </c>
      <c r="I893">
        <v>29468</v>
      </c>
      <c r="J893">
        <v>116000000</v>
      </c>
      <c r="K893">
        <v>1</v>
      </c>
      <c r="P893" s="77">
        <f t="shared" si="91"/>
        <v>1780</v>
      </c>
      <c r="Q893" s="78">
        <f t="shared" si="92"/>
        <v>98.226666666666674</v>
      </c>
      <c r="R893" s="78">
        <f t="shared" si="93"/>
        <v>22.125244140625</v>
      </c>
      <c r="S893" s="78">
        <f t="shared" si="94"/>
        <v>24</v>
      </c>
      <c r="T893" s="78">
        <f t="shared" si="95"/>
        <v>22.919555555555558</v>
      </c>
      <c r="U893" s="78" t="str">
        <f t="shared" si="96"/>
        <v>&lt;35</v>
      </c>
      <c r="V893" s="78" t="str">
        <f t="shared" si="97"/>
        <v>21-30 Гб</v>
      </c>
    </row>
    <row r="894" spans="1:22" x14ac:dyDescent="0.25">
      <c r="A894" t="s">
        <v>1027</v>
      </c>
      <c r="B894" s="43">
        <v>35748</v>
      </c>
      <c r="C894" t="s">
        <v>50</v>
      </c>
      <c r="D894" t="s">
        <v>51</v>
      </c>
      <c r="E894" t="s">
        <v>52</v>
      </c>
      <c r="F894" t="s">
        <v>63</v>
      </c>
      <c r="G894" s="43">
        <v>42766</v>
      </c>
      <c r="H894">
        <v>5</v>
      </c>
      <c r="I894">
        <v>18304</v>
      </c>
      <c r="J894">
        <v>108000000</v>
      </c>
      <c r="K894">
        <v>1</v>
      </c>
      <c r="P894" s="77">
        <f t="shared" si="91"/>
        <v>1916</v>
      </c>
      <c r="Q894" s="78">
        <f t="shared" si="92"/>
        <v>61.013333333333335</v>
      </c>
      <c r="R894" s="78">
        <f t="shared" si="93"/>
        <v>20.599365234375</v>
      </c>
      <c r="S894" s="78">
        <f t="shared" si="94"/>
        <v>24</v>
      </c>
      <c r="T894" s="78">
        <f t="shared" si="95"/>
        <v>14.236444444444446</v>
      </c>
      <c r="U894" s="78" t="str">
        <f t="shared" si="96"/>
        <v>&lt;35</v>
      </c>
      <c r="V894" s="78" t="str">
        <f t="shared" si="97"/>
        <v>21-30 Гб</v>
      </c>
    </row>
    <row r="895" spans="1:22" x14ac:dyDescent="0.25">
      <c r="A895" t="s">
        <v>455</v>
      </c>
      <c r="B895" s="43">
        <v>35747</v>
      </c>
      <c r="C895" t="s">
        <v>50</v>
      </c>
      <c r="D895" t="s">
        <v>51</v>
      </c>
      <c r="E895" t="s">
        <v>52</v>
      </c>
      <c r="F895" t="s">
        <v>57</v>
      </c>
      <c r="G895" s="43">
        <v>44166</v>
      </c>
      <c r="H895">
        <v>5</v>
      </c>
      <c r="I895">
        <v>37436</v>
      </c>
      <c r="J895">
        <v>104000000</v>
      </c>
      <c r="P895" s="77">
        <f t="shared" si="91"/>
        <v>516</v>
      </c>
      <c r="Q895" s="78">
        <f t="shared" si="92"/>
        <v>124.78666666666666</v>
      </c>
      <c r="R895" s="78">
        <f t="shared" si="93"/>
        <v>19.83642578125</v>
      </c>
      <c r="S895" s="78">
        <f t="shared" si="94"/>
        <v>24</v>
      </c>
      <c r="T895" s="78">
        <f t="shared" si="95"/>
        <v>29.116888888888887</v>
      </c>
      <c r="U895" s="78" t="str">
        <f t="shared" si="96"/>
        <v>&lt;35</v>
      </c>
      <c r="V895" s="78" t="str">
        <f t="shared" si="97"/>
        <v>10-20 Гб</v>
      </c>
    </row>
    <row r="896" spans="1:22" x14ac:dyDescent="0.25">
      <c r="A896" t="s">
        <v>305</v>
      </c>
      <c r="B896" s="43">
        <v>35744</v>
      </c>
      <c r="C896" t="s">
        <v>50</v>
      </c>
      <c r="D896" t="s">
        <v>51</v>
      </c>
      <c r="E896" t="s">
        <v>54</v>
      </c>
      <c r="F896" t="s">
        <v>56</v>
      </c>
      <c r="G896" s="43">
        <v>43365</v>
      </c>
      <c r="H896">
        <v>5</v>
      </c>
      <c r="I896">
        <v>18428</v>
      </c>
      <c r="J896">
        <v>56000000</v>
      </c>
      <c r="P896" s="77">
        <f t="shared" ref="P896:P959" si="98">DATEDIF(G896,$C$2,"D")</f>
        <v>1317</v>
      </c>
      <c r="Q896" s="78">
        <f t="shared" ref="Q896:Q959" si="99">IF(P896&lt;DATEDIF($C$3,$C$2,"D"),I896/(60*(P896/30)),I896/(60*5))</f>
        <v>61.426666666666669</v>
      </c>
      <c r="R896" s="78">
        <f t="shared" ref="R896:R959" si="100">IF(P896&lt;DATEDIF($C$3,$C$2,"D"),J896/(1048576*(P896/30)),J896/(1048576*5))</f>
        <v>10.68115234375</v>
      </c>
      <c r="S896" s="78">
        <f t="shared" ref="S896:S959" si="101">DATEDIF(B896,$C$2,"Y")</f>
        <v>24</v>
      </c>
      <c r="T896" s="78">
        <f t="shared" si="95"/>
        <v>14.33288888888889</v>
      </c>
      <c r="U896" s="78" t="str">
        <f t="shared" si="96"/>
        <v>&lt;35</v>
      </c>
      <c r="V896" s="78" t="str">
        <f t="shared" si="97"/>
        <v>10-20 Гб</v>
      </c>
    </row>
    <row r="897" spans="1:22" x14ac:dyDescent="0.25">
      <c r="A897" t="s">
        <v>740</v>
      </c>
      <c r="B897" s="43">
        <v>35741</v>
      </c>
      <c r="C897" t="s">
        <v>58</v>
      </c>
      <c r="D897" t="s">
        <v>51</v>
      </c>
      <c r="E897" t="s">
        <v>54</v>
      </c>
      <c r="F897" t="s">
        <v>57</v>
      </c>
      <c r="G897" s="43">
        <v>44271</v>
      </c>
      <c r="H897">
        <v>5</v>
      </c>
      <c r="I897">
        <v>48240</v>
      </c>
      <c r="J897">
        <v>0</v>
      </c>
      <c r="P897" s="77">
        <f t="shared" si="98"/>
        <v>411</v>
      </c>
      <c r="Q897" s="78">
        <f t="shared" si="99"/>
        <v>160.80000000000001</v>
      </c>
      <c r="R897" s="78">
        <f t="shared" si="100"/>
        <v>0</v>
      </c>
      <c r="S897" s="78">
        <f t="shared" si="101"/>
        <v>24</v>
      </c>
      <c r="T897" s="78">
        <f t="shared" si="95"/>
        <v>37.520000000000003</v>
      </c>
      <c r="U897" s="78" t="str">
        <f t="shared" si="96"/>
        <v>35-60</v>
      </c>
      <c r="V897" s="78" t="str">
        <f t="shared" si="97"/>
        <v>&lt;10 Гб</v>
      </c>
    </row>
    <row r="898" spans="1:22" x14ac:dyDescent="0.25">
      <c r="A898" t="s">
        <v>423</v>
      </c>
      <c r="B898" s="43">
        <v>35738</v>
      </c>
      <c r="C898" t="s">
        <v>58</v>
      </c>
      <c r="D898" t="s">
        <v>51</v>
      </c>
      <c r="E898" t="s">
        <v>54</v>
      </c>
      <c r="F898" t="s">
        <v>56</v>
      </c>
      <c r="G898" s="43">
        <v>44364</v>
      </c>
      <c r="H898">
        <v>5</v>
      </c>
      <c r="I898">
        <v>77804</v>
      </c>
      <c r="J898">
        <v>136000000</v>
      </c>
      <c r="P898" s="77">
        <f t="shared" si="98"/>
        <v>318</v>
      </c>
      <c r="Q898" s="78">
        <f t="shared" si="99"/>
        <v>259.34666666666669</v>
      </c>
      <c r="R898" s="78">
        <f t="shared" si="100"/>
        <v>25.93994140625</v>
      </c>
      <c r="S898" s="78">
        <f t="shared" si="101"/>
        <v>24</v>
      </c>
      <c r="T898" s="78">
        <f t="shared" si="95"/>
        <v>60.514222222222223</v>
      </c>
      <c r="U898" s="78" t="str">
        <f t="shared" si="96"/>
        <v>61-90</v>
      </c>
      <c r="V898" s="78" t="str">
        <f t="shared" si="97"/>
        <v>21-30 Гб</v>
      </c>
    </row>
    <row r="899" spans="1:22" x14ac:dyDescent="0.25">
      <c r="A899" t="s">
        <v>713</v>
      </c>
      <c r="B899" s="43">
        <v>35737</v>
      </c>
      <c r="C899" t="s">
        <v>50</v>
      </c>
      <c r="D899" t="s">
        <v>51</v>
      </c>
      <c r="E899" t="s">
        <v>54</v>
      </c>
      <c r="F899" t="s">
        <v>57</v>
      </c>
      <c r="G899" s="43">
        <v>43540</v>
      </c>
      <c r="H899">
        <v>5</v>
      </c>
      <c r="I899">
        <v>45748</v>
      </c>
      <c r="J899">
        <v>120000000</v>
      </c>
      <c r="P899" s="77">
        <f t="shared" si="98"/>
        <v>1142</v>
      </c>
      <c r="Q899" s="78">
        <f t="shared" si="99"/>
        <v>152.49333333333334</v>
      </c>
      <c r="R899" s="78">
        <f t="shared" si="100"/>
        <v>22.88818359375</v>
      </c>
      <c r="S899" s="78">
        <f t="shared" si="101"/>
        <v>24</v>
      </c>
      <c r="T899" s="78">
        <f t="shared" si="95"/>
        <v>35.581777777777781</v>
      </c>
      <c r="U899" s="78" t="str">
        <f t="shared" si="96"/>
        <v>35-60</v>
      </c>
      <c r="V899" s="78" t="str">
        <f t="shared" si="97"/>
        <v>21-30 Гб</v>
      </c>
    </row>
    <row r="900" spans="1:22" x14ac:dyDescent="0.25">
      <c r="A900" t="s">
        <v>719</v>
      </c>
      <c r="B900" s="43">
        <v>35737</v>
      </c>
      <c r="C900" t="s">
        <v>50</v>
      </c>
      <c r="D900" t="s">
        <v>51</v>
      </c>
      <c r="E900" t="s">
        <v>54</v>
      </c>
      <c r="F900" t="s">
        <v>57</v>
      </c>
      <c r="G900" s="43">
        <v>42999</v>
      </c>
      <c r="H900">
        <v>5</v>
      </c>
      <c r="I900">
        <v>47700</v>
      </c>
      <c r="J900">
        <v>92000000</v>
      </c>
      <c r="K900">
        <v>1</v>
      </c>
      <c r="P900" s="77">
        <f t="shared" si="98"/>
        <v>1683</v>
      </c>
      <c r="Q900" s="78">
        <f t="shared" si="99"/>
        <v>159</v>
      </c>
      <c r="R900" s="78">
        <f t="shared" si="100"/>
        <v>17.547607421875</v>
      </c>
      <c r="S900" s="78">
        <f t="shared" si="101"/>
        <v>24</v>
      </c>
      <c r="T900" s="78">
        <f t="shared" si="95"/>
        <v>37.1</v>
      </c>
      <c r="U900" s="78" t="str">
        <f t="shared" si="96"/>
        <v>35-60</v>
      </c>
      <c r="V900" s="78" t="str">
        <f t="shared" si="97"/>
        <v>10-20 Гб</v>
      </c>
    </row>
    <row r="901" spans="1:22" x14ac:dyDescent="0.25">
      <c r="A901" t="s">
        <v>640</v>
      </c>
      <c r="B901" s="43">
        <v>35736</v>
      </c>
      <c r="C901" t="s">
        <v>58</v>
      </c>
      <c r="D901" t="s">
        <v>51</v>
      </c>
      <c r="E901" t="s">
        <v>52</v>
      </c>
      <c r="F901" t="s">
        <v>57</v>
      </c>
      <c r="G901" s="43">
        <v>44453</v>
      </c>
      <c r="H901">
        <v>5</v>
      </c>
      <c r="I901">
        <v>54460</v>
      </c>
      <c r="J901">
        <v>104000000</v>
      </c>
      <c r="N901">
        <v>1</v>
      </c>
      <c r="P901" s="77">
        <f t="shared" si="98"/>
        <v>229</v>
      </c>
      <c r="Q901" s="78">
        <f t="shared" si="99"/>
        <v>181.53333333333333</v>
      </c>
      <c r="R901" s="78">
        <f t="shared" si="100"/>
        <v>19.83642578125</v>
      </c>
      <c r="S901" s="78">
        <f t="shared" si="101"/>
        <v>24</v>
      </c>
      <c r="T901" s="78">
        <f t="shared" si="95"/>
        <v>42.357777777777777</v>
      </c>
      <c r="U901" s="78" t="str">
        <f t="shared" si="96"/>
        <v>35-60</v>
      </c>
      <c r="V901" s="78" t="str">
        <f t="shared" si="97"/>
        <v>10-20 Гб</v>
      </c>
    </row>
    <row r="902" spans="1:22" x14ac:dyDescent="0.25">
      <c r="A902" t="s">
        <v>595</v>
      </c>
      <c r="B902" s="43">
        <v>35734</v>
      </c>
      <c r="C902" t="s">
        <v>58</v>
      </c>
      <c r="D902" t="s">
        <v>51</v>
      </c>
      <c r="E902" t="s">
        <v>52</v>
      </c>
      <c r="F902" t="s">
        <v>57</v>
      </c>
      <c r="G902" s="43">
        <v>43346</v>
      </c>
      <c r="H902">
        <v>5</v>
      </c>
      <c r="I902">
        <v>90208</v>
      </c>
      <c r="J902">
        <v>56000000</v>
      </c>
      <c r="K902">
        <v>1</v>
      </c>
      <c r="P902" s="77">
        <f t="shared" si="98"/>
        <v>1336</v>
      </c>
      <c r="Q902" s="78">
        <f t="shared" si="99"/>
        <v>300.69333333333333</v>
      </c>
      <c r="R902" s="78">
        <f t="shared" si="100"/>
        <v>10.68115234375</v>
      </c>
      <c r="S902" s="78">
        <f t="shared" si="101"/>
        <v>24</v>
      </c>
      <c r="T902" s="78">
        <f t="shared" si="95"/>
        <v>70.161777777777786</v>
      </c>
      <c r="U902" s="78" t="str">
        <f t="shared" si="96"/>
        <v>61-90</v>
      </c>
      <c r="V902" s="78" t="str">
        <f t="shared" si="97"/>
        <v>10-20 Гб</v>
      </c>
    </row>
    <row r="903" spans="1:22" x14ac:dyDescent="0.25">
      <c r="A903" t="s">
        <v>668</v>
      </c>
      <c r="B903" s="43">
        <v>35734</v>
      </c>
      <c r="C903" t="s">
        <v>50</v>
      </c>
      <c r="D903" t="s">
        <v>51</v>
      </c>
      <c r="E903" t="s">
        <v>54</v>
      </c>
      <c r="F903" t="s">
        <v>57</v>
      </c>
      <c r="G903" s="43">
        <v>44136</v>
      </c>
      <c r="H903">
        <v>5</v>
      </c>
      <c r="I903">
        <v>16788</v>
      </c>
      <c r="J903">
        <v>32000000</v>
      </c>
      <c r="P903" s="77">
        <f t="shared" si="98"/>
        <v>546</v>
      </c>
      <c r="Q903" s="78">
        <f t="shared" si="99"/>
        <v>55.96</v>
      </c>
      <c r="R903" s="78">
        <f t="shared" si="100"/>
        <v>6.103515625</v>
      </c>
      <c r="S903" s="78">
        <f t="shared" si="101"/>
        <v>24</v>
      </c>
      <c r="T903" s="78">
        <f t="shared" ref="T903:T966" si="102">(Q903*7)/30</f>
        <v>13.057333333333334</v>
      </c>
      <c r="U903" s="78" t="str">
        <f t="shared" ref="U903:U966" si="103">IF(T903&gt;120,"120+",IF(T903&gt;90,"91-120",IF(T903&gt;60,"61-90",IF(T903&gt;35,"35-60","&lt;35"))))</f>
        <v>&lt;35</v>
      </c>
      <c r="V903" s="78" t="str">
        <f t="shared" ref="V903:V966" si="104">IF(R903&gt;40,"40+ Гб",IF(R903&gt;30,"31-40 Гб",IF(R903&gt;20,"21-30 Гб",IF(R903&gt;10,"10-20 Гб","&lt;10 Гб"))))</f>
        <v>&lt;10 Гб</v>
      </c>
    </row>
    <row r="904" spans="1:22" x14ac:dyDescent="0.25">
      <c r="A904" t="s">
        <v>631</v>
      </c>
      <c r="B904" s="43">
        <v>35727</v>
      </c>
      <c r="C904" t="s">
        <v>58</v>
      </c>
      <c r="D904" t="s">
        <v>51</v>
      </c>
      <c r="E904" t="s">
        <v>54</v>
      </c>
      <c r="F904" t="s">
        <v>57</v>
      </c>
      <c r="G904" s="43">
        <v>43850</v>
      </c>
      <c r="H904">
        <v>5</v>
      </c>
      <c r="I904">
        <v>24136</v>
      </c>
      <c r="J904">
        <v>80000000</v>
      </c>
      <c r="P904" s="77">
        <f t="shared" si="98"/>
        <v>832</v>
      </c>
      <c r="Q904" s="78">
        <f t="shared" si="99"/>
        <v>80.453333333333333</v>
      </c>
      <c r="R904" s="78">
        <f t="shared" si="100"/>
        <v>15.2587890625</v>
      </c>
      <c r="S904" s="78">
        <f t="shared" si="101"/>
        <v>24</v>
      </c>
      <c r="T904" s="78">
        <f t="shared" si="102"/>
        <v>18.772444444444442</v>
      </c>
      <c r="U904" s="78" t="str">
        <f t="shared" si="103"/>
        <v>&lt;35</v>
      </c>
      <c r="V904" s="78" t="str">
        <f t="shared" si="104"/>
        <v>10-20 Гб</v>
      </c>
    </row>
    <row r="905" spans="1:22" x14ac:dyDescent="0.25">
      <c r="A905" t="s">
        <v>202</v>
      </c>
      <c r="B905" s="43">
        <v>35725</v>
      </c>
      <c r="C905" t="s">
        <v>58</v>
      </c>
      <c r="D905" t="s">
        <v>51</v>
      </c>
      <c r="E905" t="s">
        <v>54</v>
      </c>
      <c r="F905" t="s">
        <v>53</v>
      </c>
      <c r="G905" s="43">
        <v>43452</v>
      </c>
      <c r="H905">
        <v>5</v>
      </c>
      <c r="I905">
        <v>63480</v>
      </c>
      <c r="J905">
        <v>36000000</v>
      </c>
      <c r="P905" s="77">
        <f t="shared" si="98"/>
        <v>1230</v>
      </c>
      <c r="Q905" s="78">
        <f t="shared" si="99"/>
        <v>211.6</v>
      </c>
      <c r="R905" s="78">
        <f t="shared" si="100"/>
        <v>6.866455078125</v>
      </c>
      <c r="S905" s="78">
        <f t="shared" si="101"/>
        <v>24</v>
      </c>
      <c r="T905" s="78">
        <f t="shared" si="102"/>
        <v>49.373333333333335</v>
      </c>
      <c r="U905" s="78" t="str">
        <f t="shared" si="103"/>
        <v>35-60</v>
      </c>
      <c r="V905" s="78" t="str">
        <f t="shared" si="104"/>
        <v>&lt;10 Гб</v>
      </c>
    </row>
    <row r="906" spans="1:22" x14ac:dyDescent="0.25">
      <c r="A906" t="s">
        <v>701</v>
      </c>
      <c r="B906" s="43">
        <v>35721</v>
      </c>
      <c r="C906" t="s">
        <v>58</v>
      </c>
      <c r="D906" t="s">
        <v>51</v>
      </c>
      <c r="E906" t="s">
        <v>52</v>
      </c>
      <c r="F906" t="s">
        <v>57</v>
      </c>
      <c r="G906" s="43">
        <v>44374</v>
      </c>
      <c r="H906">
        <v>5</v>
      </c>
      <c r="I906">
        <v>59004</v>
      </c>
      <c r="J906">
        <v>20000000</v>
      </c>
      <c r="P906" s="77">
        <f t="shared" si="98"/>
        <v>308</v>
      </c>
      <c r="Q906" s="78">
        <f t="shared" si="99"/>
        <v>196.68</v>
      </c>
      <c r="R906" s="78">
        <f t="shared" si="100"/>
        <v>3.814697265625</v>
      </c>
      <c r="S906" s="78">
        <f t="shared" si="101"/>
        <v>24</v>
      </c>
      <c r="T906" s="78">
        <f t="shared" si="102"/>
        <v>45.892000000000003</v>
      </c>
      <c r="U906" s="78" t="str">
        <f t="shared" si="103"/>
        <v>35-60</v>
      </c>
      <c r="V906" s="78" t="str">
        <f t="shared" si="104"/>
        <v>&lt;10 Гб</v>
      </c>
    </row>
    <row r="907" spans="1:22" x14ac:dyDescent="0.25">
      <c r="A907" t="s">
        <v>727</v>
      </c>
      <c r="B907" s="43">
        <v>35721</v>
      </c>
      <c r="C907" t="s">
        <v>58</v>
      </c>
      <c r="D907" t="s">
        <v>51</v>
      </c>
      <c r="E907" t="s">
        <v>52</v>
      </c>
      <c r="F907" t="s">
        <v>57</v>
      </c>
      <c r="G907" s="43">
        <v>43704</v>
      </c>
      <c r="H907">
        <v>5</v>
      </c>
      <c r="I907">
        <v>60156</v>
      </c>
      <c r="J907">
        <v>96000000</v>
      </c>
      <c r="P907" s="77">
        <f t="shared" si="98"/>
        <v>978</v>
      </c>
      <c r="Q907" s="78">
        <f t="shared" si="99"/>
        <v>200.52</v>
      </c>
      <c r="R907" s="78">
        <f t="shared" si="100"/>
        <v>18.310546875</v>
      </c>
      <c r="S907" s="78">
        <f t="shared" si="101"/>
        <v>24</v>
      </c>
      <c r="T907" s="78">
        <f t="shared" si="102"/>
        <v>46.788000000000004</v>
      </c>
      <c r="U907" s="78" t="str">
        <f t="shared" si="103"/>
        <v>35-60</v>
      </c>
      <c r="V907" s="78" t="str">
        <f t="shared" si="104"/>
        <v>10-20 Гб</v>
      </c>
    </row>
    <row r="908" spans="1:22" x14ac:dyDescent="0.25">
      <c r="A908" t="s">
        <v>898</v>
      </c>
      <c r="B908" s="43">
        <v>35717</v>
      </c>
      <c r="C908" t="s">
        <v>50</v>
      </c>
      <c r="D908" t="s">
        <v>51</v>
      </c>
      <c r="E908" t="s">
        <v>52</v>
      </c>
      <c r="F908" t="s">
        <v>63</v>
      </c>
      <c r="G908" s="43">
        <v>43162</v>
      </c>
      <c r="H908">
        <v>5</v>
      </c>
      <c r="I908">
        <v>9616</v>
      </c>
      <c r="J908">
        <v>152000000</v>
      </c>
      <c r="P908" s="77">
        <f t="shared" si="98"/>
        <v>1520</v>
      </c>
      <c r="Q908" s="78">
        <f t="shared" si="99"/>
        <v>32.053333333333335</v>
      </c>
      <c r="R908" s="78">
        <f t="shared" si="100"/>
        <v>28.99169921875</v>
      </c>
      <c r="S908" s="78">
        <f t="shared" si="101"/>
        <v>24</v>
      </c>
      <c r="T908" s="78">
        <f t="shared" si="102"/>
        <v>7.479111111111111</v>
      </c>
      <c r="U908" s="78" t="str">
        <f t="shared" si="103"/>
        <v>&lt;35</v>
      </c>
      <c r="V908" s="78" t="str">
        <f t="shared" si="104"/>
        <v>21-30 Гб</v>
      </c>
    </row>
    <row r="909" spans="1:22" x14ac:dyDescent="0.25">
      <c r="A909" t="s">
        <v>344</v>
      </c>
      <c r="B909" s="43">
        <v>35716</v>
      </c>
      <c r="C909" t="s">
        <v>58</v>
      </c>
      <c r="D909" t="s">
        <v>51</v>
      </c>
      <c r="E909" t="s">
        <v>52</v>
      </c>
      <c r="F909" t="s">
        <v>56</v>
      </c>
      <c r="G909" s="43">
        <v>43292</v>
      </c>
      <c r="H909">
        <v>5</v>
      </c>
      <c r="I909">
        <v>98852</v>
      </c>
      <c r="J909">
        <v>104000000</v>
      </c>
      <c r="N909">
        <v>1</v>
      </c>
      <c r="P909" s="77">
        <f t="shared" si="98"/>
        <v>1390</v>
      </c>
      <c r="Q909" s="78">
        <f t="shared" si="99"/>
        <v>329.50666666666666</v>
      </c>
      <c r="R909" s="78">
        <f t="shared" si="100"/>
        <v>19.83642578125</v>
      </c>
      <c r="S909" s="78">
        <f t="shared" si="101"/>
        <v>24</v>
      </c>
      <c r="T909" s="78">
        <f t="shared" si="102"/>
        <v>76.884888888888881</v>
      </c>
      <c r="U909" s="78" t="str">
        <f t="shared" si="103"/>
        <v>61-90</v>
      </c>
      <c r="V909" s="78" t="str">
        <f t="shared" si="104"/>
        <v>10-20 Гб</v>
      </c>
    </row>
    <row r="910" spans="1:22" x14ac:dyDescent="0.25">
      <c r="A910" t="s">
        <v>540</v>
      </c>
      <c r="B910" s="43">
        <v>35715</v>
      </c>
      <c r="C910" t="s">
        <v>50</v>
      </c>
      <c r="D910" t="s">
        <v>51</v>
      </c>
      <c r="E910" t="s">
        <v>52</v>
      </c>
      <c r="F910" t="s">
        <v>57</v>
      </c>
      <c r="G910" s="43">
        <v>43501</v>
      </c>
      <c r="H910">
        <v>5</v>
      </c>
      <c r="I910">
        <v>6768</v>
      </c>
      <c r="J910">
        <v>12000000</v>
      </c>
      <c r="P910" s="77">
        <f t="shared" si="98"/>
        <v>1181</v>
      </c>
      <c r="Q910" s="78">
        <f t="shared" si="99"/>
        <v>22.56</v>
      </c>
      <c r="R910" s="78">
        <f t="shared" si="100"/>
        <v>2.288818359375</v>
      </c>
      <c r="S910" s="78">
        <f t="shared" si="101"/>
        <v>24</v>
      </c>
      <c r="T910" s="78">
        <f t="shared" si="102"/>
        <v>5.2639999999999993</v>
      </c>
      <c r="U910" s="78" t="str">
        <f t="shared" si="103"/>
        <v>&lt;35</v>
      </c>
      <c r="V910" s="78" t="str">
        <f t="shared" si="104"/>
        <v>&lt;10 Гб</v>
      </c>
    </row>
    <row r="911" spans="1:22" x14ac:dyDescent="0.25">
      <c r="A911" t="s">
        <v>89</v>
      </c>
      <c r="B911" s="43">
        <v>35712</v>
      </c>
      <c r="C911" t="s">
        <v>58</v>
      </c>
      <c r="D911" t="s">
        <v>51</v>
      </c>
      <c r="E911" t="s">
        <v>52</v>
      </c>
      <c r="F911" t="s">
        <v>63</v>
      </c>
      <c r="G911" s="43">
        <v>44649</v>
      </c>
      <c r="H911">
        <v>1</v>
      </c>
      <c r="I911">
        <v>1445</v>
      </c>
      <c r="J911">
        <v>33000000</v>
      </c>
      <c r="P911" s="77">
        <f t="shared" si="98"/>
        <v>33</v>
      </c>
      <c r="Q911" s="78">
        <f t="shared" si="99"/>
        <v>21.893939393939394</v>
      </c>
      <c r="R911" s="78">
        <f t="shared" si="100"/>
        <v>28.610229492187496</v>
      </c>
      <c r="S911" s="78">
        <f t="shared" si="101"/>
        <v>24</v>
      </c>
      <c r="T911" s="78">
        <f t="shared" si="102"/>
        <v>5.1085858585858581</v>
      </c>
      <c r="U911" s="78" t="str">
        <f t="shared" si="103"/>
        <v>&lt;35</v>
      </c>
      <c r="V911" s="78" t="str">
        <f t="shared" si="104"/>
        <v>21-30 Гб</v>
      </c>
    </row>
    <row r="912" spans="1:22" x14ac:dyDescent="0.25">
      <c r="A912" t="s">
        <v>750</v>
      </c>
      <c r="B912" s="43">
        <v>35712</v>
      </c>
      <c r="C912" t="s">
        <v>58</v>
      </c>
      <c r="D912" t="s">
        <v>51</v>
      </c>
      <c r="E912" t="s">
        <v>52</v>
      </c>
      <c r="F912" t="s">
        <v>57</v>
      </c>
      <c r="G912" s="43">
        <v>43892</v>
      </c>
      <c r="H912">
        <v>5</v>
      </c>
      <c r="I912">
        <v>9720</v>
      </c>
      <c r="J912">
        <v>56000000</v>
      </c>
      <c r="P912" s="77">
        <f t="shared" si="98"/>
        <v>790</v>
      </c>
      <c r="Q912" s="78">
        <f t="shared" si="99"/>
        <v>32.4</v>
      </c>
      <c r="R912" s="78">
        <f t="shared" si="100"/>
        <v>10.68115234375</v>
      </c>
      <c r="S912" s="78">
        <f t="shared" si="101"/>
        <v>24</v>
      </c>
      <c r="T912" s="78">
        <f t="shared" si="102"/>
        <v>7.56</v>
      </c>
      <c r="U912" s="78" t="str">
        <f t="shared" si="103"/>
        <v>&lt;35</v>
      </c>
      <c r="V912" s="78" t="str">
        <f t="shared" si="104"/>
        <v>10-20 Гб</v>
      </c>
    </row>
    <row r="913" spans="1:22" x14ac:dyDescent="0.25">
      <c r="A913" t="s">
        <v>276</v>
      </c>
      <c r="B913" s="43">
        <v>35711</v>
      </c>
      <c r="C913" t="s">
        <v>58</v>
      </c>
      <c r="D913" t="s">
        <v>51</v>
      </c>
      <c r="E913" t="s">
        <v>52</v>
      </c>
      <c r="F913" t="s">
        <v>56</v>
      </c>
      <c r="G913" s="43">
        <v>43795</v>
      </c>
      <c r="H913">
        <v>5</v>
      </c>
      <c r="I913">
        <v>102072</v>
      </c>
      <c r="J913">
        <v>128000000</v>
      </c>
      <c r="K913">
        <v>1</v>
      </c>
      <c r="L913">
        <v>1</v>
      </c>
      <c r="P913" s="77">
        <f t="shared" si="98"/>
        <v>887</v>
      </c>
      <c r="Q913" s="78">
        <f t="shared" si="99"/>
        <v>340.24</v>
      </c>
      <c r="R913" s="78">
        <f t="shared" si="100"/>
        <v>24.4140625</v>
      </c>
      <c r="S913" s="78">
        <f t="shared" si="101"/>
        <v>24</v>
      </c>
      <c r="T913" s="78">
        <f t="shared" si="102"/>
        <v>79.38933333333334</v>
      </c>
      <c r="U913" s="78" t="str">
        <f t="shared" si="103"/>
        <v>61-90</v>
      </c>
      <c r="V913" s="78" t="str">
        <f t="shared" si="104"/>
        <v>21-30 Гб</v>
      </c>
    </row>
    <row r="914" spans="1:22" x14ac:dyDescent="0.25">
      <c r="A914" t="s">
        <v>289</v>
      </c>
      <c r="B914" s="43">
        <v>35710</v>
      </c>
      <c r="C914" t="s">
        <v>50</v>
      </c>
      <c r="D914" t="s">
        <v>51</v>
      </c>
      <c r="E914" t="s">
        <v>52</v>
      </c>
      <c r="F914" t="s">
        <v>56</v>
      </c>
      <c r="G914" s="43">
        <v>44074</v>
      </c>
      <c r="H914">
        <v>5</v>
      </c>
      <c r="I914">
        <v>91680</v>
      </c>
      <c r="J914">
        <v>92000000</v>
      </c>
      <c r="P914" s="77">
        <f t="shared" si="98"/>
        <v>608</v>
      </c>
      <c r="Q914" s="78">
        <f t="shared" si="99"/>
        <v>305.60000000000002</v>
      </c>
      <c r="R914" s="78">
        <f t="shared" si="100"/>
        <v>17.547607421875</v>
      </c>
      <c r="S914" s="78">
        <f t="shared" si="101"/>
        <v>24</v>
      </c>
      <c r="T914" s="78">
        <f t="shared" si="102"/>
        <v>71.306666666666672</v>
      </c>
      <c r="U914" s="78" t="str">
        <f t="shared" si="103"/>
        <v>61-90</v>
      </c>
      <c r="V914" s="78" t="str">
        <f t="shared" si="104"/>
        <v>10-20 Гб</v>
      </c>
    </row>
    <row r="915" spans="1:22" x14ac:dyDescent="0.25">
      <c r="A915" t="s">
        <v>645</v>
      </c>
      <c r="B915" s="43">
        <v>35706</v>
      </c>
      <c r="C915" t="s">
        <v>58</v>
      </c>
      <c r="D915" t="s">
        <v>51</v>
      </c>
      <c r="E915" t="s">
        <v>54</v>
      </c>
      <c r="F915" t="s">
        <v>57</v>
      </c>
      <c r="G915" s="43">
        <v>43948</v>
      </c>
      <c r="H915">
        <v>5</v>
      </c>
      <c r="I915">
        <v>6804</v>
      </c>
      <c r="J915">
        <v>12000000</v>
      </c>
      <c r="P915" s="77">
        <f t="shared" si="98"/>
        <v>734</v>
      </c>
      <c r="Q915" s="78">
        <f t="shared" si="99"/>
        <v>22.68</v>
      </c>
      <c r="R915" s="78">
        <f t="shared" si="100"/>
        <v>2.288818359375</v>
      </c>
      <c r="S915" s="78">
        <f t="shared" si="101"/>
        <v>24</v>
      </c>
      <c r="T915" s="78">
        <f t="shared" si="102"/>
        <v>5.2919999999999998</v>
      </c>
      <c r="U915" s="78" t="str">
        <f t="shared" si="103"/>
        <v>&lt;35</v>
      </c>
      <c r="V915" s="78" t="str">
        <f t="shared" si="104"/>
        <v>&lt;10 Гб</v>
      </c>
    </row>
    <row r="916" spans="1:22" x14ac:dyDescent="0.25">
      <c r="A916" t="s">
        <v>1021</v>
      </c>
      <c r="B916" s="43">
        <v>35705</v>
      </c>
      <c r="C916" t="s">
        <v>50</v>
      </c>
      <c r="D916" t="s">
        <v>51</v>
      </c>
      <c r="E916" t="s">
        <v>54</v>
      </c>
      <c r="F916" t="s">
        <v>63</v>
      </c>
      <c r="G916" s="43">
        <v>43964</v>
      </c>
      <c r="H916">
        <v>5</v>
      </c>
      <c r="I916">
        <v>9624</v>
      </c>
      <c r="J916">
        <v>160000000</v>
      </c>
      <c r="P916" s="77">
        <f t="shared" si="98"/>
        <v>718</v>
      </c>
      <c r="Q916" s="78">
        <f t="shared" si="99"/>
        <v>32.08</v>
      </c>
      <c r="R916" s="78">
        <f t="shared" si="100"/>
        <v>30.517578125</v>
      </c>
      <c r="S916" s="78">
        <f t="shared" si="101"/>
        <v>24</v>
      </c>
      <c r="T916" s="78">
        <f t="shared" si="102"/>
        <v>7.4853333333333332</v>
      </c>
      <c r="U916" s="78" t="str">
        <f t="shared" si="103"/>
        <v>&lt;35</v>
      </c>
      <c r="V916" s="78" t="str">
        <f t="shared" si="104"/>
        <v>31-40 Гб</v>
      </c>
    </row>
    <row r="917" spans="1:22" x14ac:dyDescent="0.25">
      <c r="A917" t="s">
        <v>214</v>
      </c>
      <c r="B917" s="43">
        <v>35704</v>
      </c>
      <c r="C917" t="s">
        <v>50</v>
      </c>
      <c r="D917" t="s">
        <v>51</v>
      </c>
      <c r="E917" t="s">
        <v>54</v>
      </c>
      <c r="F917" t="s">
        <v>56</v>
      </c>
      <c r="G917" s="43">
        <v>42885</v>
      </c>
      <c r="H917">
        <v>5</v>
      </c>
      <c r="I917">
        <v>101468</v>
      </c>
      <c r="J917">
        <v>80000000</v>
      </c>
      <c r="P917" s="77">
        <f t="shared" si="98"/>
        <v>1797</v>
      </c>
      <c r="Q917" s="78">
        <f t="shared" si="99"/>
        <v>338.22666666666669</v>
      </c>
      <c r="R917" s="78">
        <f t="shared" si="100"/>
        <v>15.2587890625</v>
      </c>
      <c r="S917" s="78">
        <f t="shared" si="101"/>
        <v>24</v>
      </c>
      <c r="T917" s="78">
        <f t="shared" si="102"/>
        <v>78.919555555555561</v>
      </c>
      <c r="U917" s="78" t="str">
        <f t="shared" si="103"/>
        <v>61-90</v>
      </c>
      <c r="V917" s="78" t="str">
        <f t="shared" si="104"/>
        <v>10-20 Гб</v>
      </c>
    </row>
    <row r="918" spans="1:22" x14ac:dyDescent="0.25">
      <c r="A918" t="s">
        <v>891</v>
      </c>
      <c r="B918" s="43">
        <v>35703</v>
      </c>
      <c r="C918" t="s">
        <v>50</v>
      </c>
      <c r="D918" t="s">
        <v>51</v>
      </c>
      <c r="E918" t="s">
        <v>54</v>
      </c>
      <c r="F918" t="s">
        <v>63</v>
      </c>
      <c r="G918" s="43">
        <v>43272</v>
      </c>
      <c r="H918">
        <v>5</v>
      </c>
      <c r="I918">
        <v>19436</v>
      </c>
      <c r="J918">
        <v>56000000</v>
      </c>
      <c r="P918" s="77">
        <f t="shared" si="98"/>
        <v>1410</v>
      </c>
      <c r="Q918" s="78">
        <f t="shared" si="99"/>
        <v>64.786666666666662</v>
      </c>
      <c r="R918" s="78">
        <f t="shared" si="100"/>
        <v>10.68115234375</v>
      </c>
      <c r="S918" s="78">
        <f t="shared" si="101"/>
        <v>24</v>
      </c>
      <c r="T918" s="78">
        <f t="shared" si="102"/>
        <v>15.116888888888889</v>
      </c>
      <c r="U918" s="78" t="str">
        <f t="shared" si="103"/>
        <v>&lt;35</v>
      </c>
      <c r="V918" s="78" t="str">
        <f t="shared" si="104"/>
        <v>10-20 Гб</v>
      </c>
    </row>
    <row r="919" spans="1:22" x14ac:dyDescent="0.25">
      <c r="A919" t="s">
        <v>484</v>
      </c>
      <c r="B919" s="43">
        <v>35702</v>
      </c>
      <c r="C919" t="s">
        <v>58</v>
      </c>
      <c r="D919" t="s">
        <v>51</v>
      </c>
      <c r="E919" t="s">
        <v>52</v>
      </c>
      <c r="F919" t="s">
        <v>57</v>
      </c>
      <c r="G919" s="43">
        <v>44428</v>
      </c>
      <c r="H919">
        <v>5</v>
      </c>
      <c r="I919">
        <v>280</v>
      </c>
      <c r="J919">
        <v>36000000</v>
      </c>
      <c r="P919" s="77">
        <f t="shared" si="98"/>
        <v>254</v>
      </c>
      <c r="Q919" s="78">
        <f t="shared" si="99"/>
        <v>0.93333333333333335</v>
      </c>
      <c r="R919" s="78">
        <f t="shared" si="100"/>
        <v>6.866455078125</v>
      </c>
      <c r="S919" s="78">
        <f t="shared" si="101"/>
        <v>24</v>
      </c>
      <c r="T919" s="78">
        <f t="shared" si="102"/>
        <v>0.21777777777777776</v>
      </c>
      <c r="U919" s="78" t="str">
        <f t="shared" si="103"/>
        <v>&lt;35</v>
      </c>
      <c r="V919" s="78" t="str">
        <f t="shared" si="104"/>
        <v>&lt;10 Гб</v>
      </c>
    </row>
    <row r="920" spans="1:22" x14ac:dyDescent="0.25">
      <c r="A920" t="s">
        <v>498</v>
      </c>
      <c r="B920" s="43">
        <v>35702</v>
      </c>
      <c r="C920" t="s">
        <v>50</v>
      </c>
      <c r="D920" t="s">
        <v>51</v>
      </c>
      <c r="E920" t="s">
        <v>52</v>
      </c>
      <c r="F920" t="s">
        <v>57</v>
      </c>
      <c r="G920" s="43">
        <v>43758</v>
      </c>
      <c r="H920">
        <v>5</v>
      </c>
      <c r="I920">
        <v>85880</v>
      </c>
      <c r="J920">
        <v>4000000</v>
      </c>
      <c r="P920" s="77">
        <f t="shared" si="98"/>
        <v>924</v>
      </c>
      <c r="Q920" s="78">
        <f t="shared" si="99"/>
        <v>286.26666666666665</v>
      </c>
      <c r="R920" s="78">
        <f t="shared" si="100"/>
        <v>0.762939453125</v>
      </c>
      <c r="S920" s="78">
        <f t="shared" si="101"/>
        <v>24</v>
      </c>
      <c r="T920" s="78">
        <f t="shared" si="102"/>
        <v>66.795555555555552</v>
      </c>
      <c r="U920" s="78" t="str">
        <f t="shared" si="103"/>
        <v>61-90</v>
      </c>
      <c r="V920" s="78" t="str">
        <f t="shared" si="104"/>
        <v>&lt;10 Гб</v>
      </c>
    </row>
    <row r="921" spans="1:22" x14ac:dyDescent="0.25">
      <c r="A921" t="s">
        <v>903</v>
      </c>
      <c r="B921" s="43">
        <v>35702</v>
      </c>
      <c r="C921" t="s">
        <v>50</v>
      </c>
      <c r="D921" t="s">
        <v>51</v>
      </c>
      <c r="E921" t="s">
        <v>52</v>
      </c>
      <c r="F921" t="s">
        <v>63</v>
      </c>
      <c r="G921" s="43">
        <v>43740</v>
      </c>
      <c r="H921">
        <v>5</v>
      </c>
      <c r="I921">
        <v>17544</v>
      </c>
      <c r="J921">
        <v>156000000</v>
      </c>
      <c r="P921" s="77">
        <f t="shared" si="98"/>
        <v>942</v>
      </c>
      <c r="Q921" s="78">
        <f t="shared" si="99"/>
        <v>58.48</v>
      </c>
      <c r="R921" s="78">
        <f t="shared" si="100"/>
        <v>29.754638671875</v>
      </c>
      <c r="S921" s="78">
        <f t="shared" si="101"/>
        <v>24</v>
      </c>
      <c r="T921" s="78">
        <f t="shared" si="102"/>
        <v>13.645333333333332</v>
      </c>
      <c r="U921" s="78" t="str">
        <f t="shared" si="103"/>
        <v>&lt;35</v>
      </c>
      <c r="V921" s="78" t="str">
        <f t="shared" si="104"/>
        <v>21-30 Гб</v>
      </c>
    </row>
    <row r="922" spans="1:22" x14ac:dyDescent="0.25">
      <c r="A922" t="s">
        <v>524</v>
      </c>
      <c r="B922" s="43">
        <v>35700</v>
      </c>
      <c r="C922" t="s">
        <v>58</v>
      </c>
      <c r="D922" t="s">
        <v>51</v>
      </c>
      <c r="E922" t="s">
        <v>52</v>
      </c>
      <c r="F922" t="s">
        <v>57</v>
      </c>
      <c r="G922" s="43">
        <v>42853</v>
      </c>
      <c r="H922">
        <v>5</v>
      </c>
      <c r="I922">
        <v>1292</v>
      </c>
      <c r="J922">
        <v>108000000</v>
      </c>
      <c r="K922">
        <v>1</v>
      </c>
      <c r="O922">
        <v>1</v>
      </c>
      <c r="P922" s="77">
        <f t="shared" si="98"/>
        <v>1829</v>
      </c>
      <c r="Q922" s="78">
        <f t="shared" si="99"/>
        <v>4.3066666666666666</v>
      </c>
      <c r="R922" s="78">
        <f t="shared" si="100"/>
        <v>20.599365234375</v>
      </c>
      <c r="S922" s="78">
        <f t="shared" si="101"/>
        <v>24</v>
      </c>
      <c r="T922" s="78">
        <f t="shared" si="102"/>
        <v>1.0048888888888889</v>
      </c>
      <c r="U922" s="78" t="str">
        <f t="shared" si="103"/>
        <v>&lt;35</v>
      </c>
      <c r="V922" s="78" t="str">
        <f t="shared" si="104"/>
        <v>21-30 Гб</v>
      </c>
    </row>
    <row r="923" spans="1:22" x14ac:dyDescent="0.25">
      <c r="A923" t="s">
        <v>666</v>
      </c>
      <c r="B923" s="43">
        <v>35693</v>
      </c>
      <c r="C923" t="s">
        <v>50</v>
      </c>
      <c r="D923" t="s">
        <v>51</v>
      </c>
      <c r="E923" t="s">
        <v>52</v>
      </c>
      <c r="F923" t="s">
        <v>57</v>
      </c>
      <c r="G923" s="43">
        <v>43720</v>
      </c>
      <c r="H923">
        <v>5</v>
      </c>
      <c r="I923">
        <v>5280</v>
      </c>
      <c r="J923">
        <v>96000000</v>
      </c>
      <c r="P923" s="77">
        <f t="shared" si="98"/>
        <v>962</v>
      </c>
      <c r="Q923" s="78">
        <f t="shared" si="99"/>
        <v>17.600000000000001</v>
      </c>
      <c r="R923" s="78">
        <f t="shared" si="100"/>
        <v>18.310546875</v>
      </c>
      <c r="S923" s="78">
        <f t="shared" si="101"/>
        <v>24</v>
      </c>
      <c r="T923" s="78">
        <f t="shared" si="102"/>
        <v>4.1066666666666674</v>
      </c>
      <c r="U923" s="78" t="str">
        <f t="shared" si="103"/>
        <v>&lt;35</v>
      </c>
      <c r="V923" s="78" t="str">
        <f t="shared" si="104"/>
        <v>10-20 Гб</v>
      </c>
    </row>
    <row r="924" spans="1:22" x14ac:dyDescent="0.25">
      <c r="A924" t="s">
        <v>387</v>
      </c>
      <c r="B924" s="43">
        <v>35691</v>
      </c>
      <c r="C924" t="s">
        <v>50</v>
      </c>
      <c r="D924" t="s">
        <v>51</v>
      </c>
      <c r="E924" t="s">
        <v>54</v>
      </c>
      <c r="F924" t="s">
        <v>56</v>
      </c>
      <c r="G924" s="43">
        <v>42798</v>
      </c>
      <c r="H924">
        <v>5</v>
      </c>
      <c r="I924">
        <v>102300</v>
      </c>
      <c r="J924">
        <v>136000000</v>
      </c>
      <c r="P924" s="77">
        <f t="shared" si="98"/>
        <v>1884</v>
      </c>
      <c r="Q924" s="78">
        <f t="shared" si="99"/>
        <v>341</v>
      </c>
      <c r="R924" s="78">
        <f t="shared" si="100"/>
        <v>25.93994140625</v>
      </c>
      <c r="S924" s="78">
        <f t="shared" si="101"/>
        <v>24</v>
      </c>
      <c r="T924" s="78">
        <f t="shared" si="102"/>
        <v>79.566666666666663</v>
      </c>
      <c r="U924" s="78" t="str">
        <f t="shared" si="103"/>
        <v>61-90</v>
      </c>
      <c r="V924" s="78" t="str">
        <f t="shared" si="104"/>
        <v>21-30 Гб</v>
      </c>
    </row>
    <row r="925" spans="1:22" x14ac:dyDescent="0.25">
      <c r="A925" t="s">
        <v>75</v>
      </c>
      <c r="B925" s="43">
        <v>35689</v>
      </c>
      <c r="C925" t="s">
        <v>58</v>
      </c>
      <c r="D925" t="s">
        <v>51</v>
      </c>
      <c r="E925" t="s">
        <v>54</v>
      </c>
      <c r="F925" t="s">
        <v>69</v>
      </c>
      <c r="G925" s="43">
        <v>44679</v>
      </c>
      <c r="H925">
        <v>0</v>
      </c>
      <c r="I925">
        <v>454</v>
      </c>
      <c r="J925">
        <v>300000</v>
      </c>
      <c r="P925" s="77">
        <f t="shared" si="98"/>
        <v>3</v>
      </c>
      <c r="Q925" s="78">
        <f t="shared" si="99"/>
        <v>75.666666666666671</v>
      </c>
      <c r="R925" s="78">
        <f t="shared" si="100"/>
        <v>2.86102294921875</v>
      </c>
      <c r="S925" s="78">
        <f t="shared" si="101"/>
        <v>24</v>
      </c>
      <c r="T925" s="78">
        <f t="shared" si="102"/>
        <v>17.655555555555559</v>
      </c>
      <c r="U925" s="78" t="str">
        <f t="shared" si="103"/>
        <v>&lt;35</v>
      </c>
      <c r="V925" s="78" t="str">
        <f t="shared" si="104"/>
        <v>&lt;10 Гб</v>
      </c>
    </row>
    <row r="926" spans="1:22" x14ac:dyDescent="0.25">
      <c r="A926" t="s">
        <v>1050</v>
      </c>
      <c r="B926" s="43">
        <v>35688</v>
      </c>
      <c r="C926" t="s">
        <v>50</v>
      </c>
      <c r="D926" t="s">
        <v>51</v>
      </c>
      <c r="E926" t="s">
        <v>54</v>
      </c>
      <c r="F926" t="s">
        <v>63</v>
      </c>
      <c r="G926" s="43">
        <v>43830</v>
      </c>
      <c r="H926">
        <v>5</v>
      </c>
      <c r="I926">
        <v>32204</v>
      </c>
      <c r="J926">
        <v>12000000</v>
      </c>
      <c r="P926" s="77">
        <f t="shared" si="98"/>
        <v>852</v>
      </c>
      <c r="Q926" s="78">
        <f t="shared" si="99"/>
        <v>107.34666666666666</v>
      </c>
      <c r="R926" s="78">
        <f t="shared" si="100"/>
        <v>2.288818359375</v>
      </c>
      <c r="S926" s="78">
        <f t="shared" si="101"/>
        <v>24</v>
      </c>
      <c r="T926" s="78">
        <f t="shared" si="102"/>
        <v>25.047555555555554</v>
      </c>
      <c r="U926" s="78" t="str">
        <f t="shared" si="103"/>
        <v>&lt;35</v>
      </c>
      <c r="V926" s="78" t="str">
        <f t="shared" si="104"/>
        <v>&lt;10 Гб</v>
      </c>
    </row>
    <row r="927" spans="1:22" x14ac:dyDescent="0.25">
      <c r="A927" t="s">
        <v>585</v>
      </c>
      <c r="B927" s="43">
        <v>35686</v>
      </c>
      <c r="C927" t="s">
        <v>58</v>
      </c>
      <c r="D927" t="s">
        <v>51</v>
      </c>
      <c r="E927" t="s">
        <v>52</v>
      </c>
      <c r="F927" t="s">
        <v>57</v>
      </c>
      <c r="G927" s="43">
        <v>44279</v>
      </c>
      <c r="H927">
        <v>5</v>
      </c>
      <c r="I927">
        <v>46260</v>
      </c>
      <c r="J927">
        <v>84000000</v>
      </c>
      <c r="P927" s="77">
        <f t="shared" si="98"/>
        <v>403</v>
      </c>
      <c r="Q927" s="78">
        <f t="shared" si="99"/>
        <v>154.19999999999999</v>
      </c>
      <c r="R927" s="78">
        <f t="shared" si="100"/>
        <v>16.021728515625</v>
      </c>
      <c r="S927" s="78">
        <f t="shared" si="101"/>
        <v>24</v>
      </c>
      <c r="T927" s="78">
        <f t="shared" si="102"/>
        <v>35.979999999999997</v>
      </c>
      <c r="U927" s="78" t="str">
        <f t="shared" si="103"/>
        <v>35-60</v>
      </c>
      <c r="V927" s="78" t="str">
        <f t="shared" si="104"/>
        <v>10-20 Гб</v>
      </c>
    </row>
    <row r="928" spans="1:22" x14ac:dyDescent="0.25">
      <c r="A928" t="s">
        <v>450</v>
      </c>
      <c r="B928" s="43">
        <v>35685</v>
      </c>
      <c r="C928" t="s">
        <v>58</v>
      </c>
      <c r="D928" t="s">
        <v>51</v>
      </c>
      <c r="E928" t="s">
        <v>54</v>
      </c>
      <c r="F928" t="s">
        <v>57</v>
      </c>
      <c r="G928" s="43">
        <v>44531</v>
      </c>
      <c r="H928">
        <v>5</v>
      </c>
      <c r="I928">
        <v>40532</v>
      </c>
      <c r="J928">
        <v>60000000</v>
      </c>
      <c r="P928" s="77">
        <f t="shared" si="98"/>
        <v>151</v>
      </c>
      <c r="Q928" s="78">
        <f t="shared" si="99"/>
        <v>135.10666666666665</v>
      </c>
      <c r="R928" s="78">
        <f t="shared" si="100"/>
        <v>11.444091796875</v>
      </c>
      <c r="S928" s="78">
        <f t="shared" si="101"/>
        <v>24</v>
      </c>
      <c r="T928" s="78">
        <f t="shared" si="102"/>
        <v>31.524888888888885</v>
      </c>
      <c r="U928" s="78" t="str">
        <f t="shared" si="103"/>
        <v>&lt;35</v>
      </c>
      <c r="V928" s="78" t="str">
        <f t="shared" si="104"/>
        <v>10-20 Гб</v>
      </c>
    </row>
    <row r="929" spans="1:22" x14ac:dyDescent="0.25">
      <c r="A929" t="s">
        <v>899</v>
      </c>
      <c r="B929" s="43">
        <v>35683</v>
      </c>
      <c r="C929" t="s">
        <v>50</v>
      </c>
      <c r="D929" t="s">
        <v>51</v>
      </c>
      <c r="E929" t="s">
        <v>54</v>
      </c>
      <c r="F929" t="s">
        <v>63</v>
      </c>
      <c r="G929" s="43">
        <v>44456</v>
      </c>
      <c r="H929">
        <v>5</v>
      </c>
      <c r="I929">
        <v>10800</v>
      </c>
      <c r="J929">
        <v>36000000</v>
      </c>
      <c r="P929" s="77">
        <f t="shared" si="98"/>
        <v>226</v>
      </c>
      <c r="Q929" s="78">
        <f t="shared" si="99"/>
        <v>36</v>
      </c>
      <c r="R929" s="78">
        <f t="shared" si="100"/>
        <v>6.866455078125</v>
      </c>
      <c r="S929" s="78">
        <f t="shared" si="101"/>
        <v>24</v>
      </c>
      <c r="T929" s="78">
        <f t="shared" si="102"/>
        <v>8.4</v>
      </c>
      <c r="U929" s="78" t="str">
        <f t="shared" si="103"/>
        <v>&lt;35</v>
      </c>
      <c r="V929" s="78" t="str">
        <f t="shared" si="104"/>
        <v>&lt;10 Гб</v>
      </c>
    </row>
    <row r="930" spans="1:22" x14ac:dyDescent="0.25">
      <c r="A930" t="s">
        <v>618</v>
      </c>
      <c r="B930" s="43">
        <v>35682</v>
      </c>
      <c r="C930" t="s">
        <v>50</v>
      </c>
      <c r="D930" t="s">
        <v>51</v>
      </c>
      <c r="E930" t="s">
        <v>52</v>
      </c>
      <c r="F930" t="s">
        <v>57</v>
      </c>
      <c r="G930" s="43">
        <v>43860</v>
      </c>
      <c r="H930">
        <v>5</v>
      </c>
      <c r="I930">
        <v>22492</v>
      </c>
      <c r="J930">
        <v>16000000</v>
      </c>
      <c r="P930" s="77">
        <f t="shared" si="98"/>
        <v>822</v>
      </c>
      <c r="Q930" s="78">
        <f t="shared" si="99"/>
        <v>74.973333333333329</v>
      </c>
      <c r="R930" s="78">
        <f t="shared" si="100"/>
        <v>3.0517578125</v>
      </c>
      <c r="S930" s="78">
        <f t="shared" si="101"/>
        <v>24</v>
      </c>
      <c r="T930" s="78">
        <f t="shared" si="102"/>
        <v>17.493777777777776</v>
      </c>
      <c r="U930" s="78" t="str">
        <f t="shared" si="103"/>
        <v>&lt;35</v>
      </c>
      <c r="V930" s="78" t="str">
        <f t="shared" si="104"/>
        <v>&lt;10 Гб</v>
      </c>
    </row>
    <row r="931" spans="1:22" x14ac:dyDescent="0.25">
      <c r="A931" t="s">
        <v>1159</v>
      </c>
      <c r="B931" s="43">
        <v>35671</v>
      </c>
      <c r="C931" t="s">
        <v>58</v>
      </c>
      <c r="D931" t="s">
        <v>51</v>
      </c>
      <c r="E931" t="s">
        <v>52</v>
      </c>
      <c r="F931" t="s">
        <v>69</v>
      </c>
      <c r="G931" s="43">
        <v>43446</v>
      </c>
      <c r="H931">
        <v>5</v>
      </c>
      <c r="I931">
        <v>20132</v>
      </c>
      <c r="J931">
        <v>20000000</v>
      </c>
      <c r="L931">
        <v>1</v>
      </c>
      <c r="P931" s="77">
        <f t="shared" si="98"/>
        <v>1236</v>
      </c>
      <c r="Q931" s="78">
        <f t="shared" si="99"/>
        <v>67.106666666666669</v>
      </c>
      <c r="R931" s="78">
        <f t="shared" si="100"/>
        <v>3.814697265625</v>
      </c>
      <c r="S931" s="78">
        <f t="shared" si="101"/>
        <v>24</v>
      </c>
      <c r="T931" s="78">
        <f t="shared" si="102"/>
        <v>15.658222222222223</v>
      </c>
      <c r="U931" s="78" t="str">
        <f t="shared" si="103"/>
        <v>&lt;35</v>
      </c>
      <c r="V931" s="78" t="str">
        <f t="shared" si="104"/>
        <v>&lt;10 Гб</v>
      </c>
    </row>
    <row r="932" spans="1:22" x14ac:dyDescent="0.25">
      <c r="A932" t="s">
        <v>1016</v>
      </c>
      <c r="B932" s="43">
        <v>35670</v>
      </c>
      <c r="C932" t="s">
        <v>58</v>
      </c>
      <c r="D932" t="s">
        <v>51</v>
      </c>
      <c r="E932" t="s">
        <v>54</v>
      </c>
      <c r="F932" t="s">
        <v>63</v>
      </c>
      <c r="G932" s="43">
        <v>43426</v>
      </c>
      <c r="H932">
        <v>5</v>
      </c>
      <c r="I932">
        <v>4872</v>
      </c>
      <c r="J932">
        <v>156000000</v>
      </c>
      <c r="N932">
        <v>1</v>
      </c>
      <c r="P932" s="77">
        <f t="shared" si="98"/>
        <v>1256</v>
      </c>
      <c r="Q932" s="78">
        <f t="shared" si="99"/>
        <v>16.239999999999998</v>
      </c>
      <c r="R932" s="78">
        <f t="shared" si="100"/>
        <v>29.754638671875</v>
      </c>
      <c r="S932" s="78">
        <f t="shared" si="101"/>
        <v>24</v>
      </c>
      <c r="T932" s="78">
        <f t="shared" si="102"/>
        <v>3.789333333333333</v>
      </c>
      <c r="U932" s="78" t="str">
        <f t="shared" si="103"/>
        <v>&lt;35</v>
      </c>
      <c r="V932" s="78" t="str">
        <f t="shared" si="104"/>
        <v>21-30 Гб</v>
      </c>
    </row>
    <row r="933" spans="1:22" x14ac:dyDescent="0.25">
      <c r="A933" t="s">
        <v>163</v>
      </c>
      <c r="B933" s="43">
        <v>35668</v>
      </c>
      <c r="C933" t="s">
        <v>50</v>
      </c>
      <c r="D933" t="s">
        <v>51</v>
      </c>
      <c r="E933" t="s">
        <v>54</v>
      </c>
      <c r="F933" t="s">
        <v>53</v>
      </c>
      <c r="G933" s="43">
        <v>43268</v>
      </c>
      <c r="H933">
        <v>5</v>
      </c>
      <c r="I933">
        <v>115676</v>
      </c>
      <c r="J933">
        <v>192000000</v>
      </c>
      <c r="P933" s="77">
        <f t="shared" si="98"/>
        <v>1414</v>
      </c>
      <c r="Q933" s="78">
        <f t="shared" si="99"/>
        <v>385.58666666666664</v>
      </c>
      <c r="R933" s="78">
        <f t="shared" si="100"/>
        <v>36.62109375</v>
      </c>
      <c r="S933" s="78">
        <f t="shared" si="101"/>
        <v>24</v>
      </c>
      <c r="T933" s="78">
        <f t="shared" si="102"/>
        <v>89.970222222222219</v>
      </c>
      <c r="U933" s="78" t="str">
        <f t="shared" si="103"/>
        <v>61-90</v>
      </c>
      <c r="V933" s="78" t="str">
        <f t="shared" si="104"/>
        <v>31-40 Гб</v>
      </c>
    </row>
    <row r="934" spans="1:22" x14ac:dyDescent="0.25">
      <c r="A934" t="s">
        <v>1092</v>
      </c>
      <c r="B934" s="43">
        <v>35661</v>
      </c>
      <c r="C934" t="s">
        <v>58</v>
      </c>
      <c r="D934" t="s">
        <v>51</v>
      </c>
      <c r="E934" t="s">
        <v>52</v>
      </c>
      <c r="F934" t="s">
        <v>63</v>
      </c>
      <c r="G934" s="43">
        <v>43509</v>
      </c>
      <c r="H934">
        <v>5</v>
      </c>
      <c r="I934">
        <v>35012</v>
      </c>
      <c r="J934">
        <v>128000000</v>
      </c>
      <c r="K934">
        <v>1</v>
      </c>
      <c r="P934" s="77">
        <f t="shared" si="98"/>
        <v>1173</v>
      </c>
      <c r="Q934" s="78">
        <f t="shared" si="99"/>
        <v>116.70666666666666</v>
      </c>
      <c r="R934" s="78">
        <f t="shared" si="100"/>
        <v>24.4140625</v>
      </c>
      <c r="S934" s="78">
        <f t="shared" si="101"/>
        <v>24</v>
      </c>
      <c r="T934" s="78">
        <f t="shared" si="102"/>
        <v>27.231555555555552</v>
      </c>
      <c r="U934" s="78" t="str">
        <f t="shared" si="103"/>
        <v>&lt;35</v>
      </c>
      <c r="V934" s="78" t="str">
        <f t="shared" si="104"/>
        <v>21-30 Гб</v>
      </c>
    </row>
    <row r="935" spans="1:22" x14ac:dyDescent="0.25">
      <c r="A935" t="s">
        <v>177</v>
      </c>
      <c r="B935" s="43">
        <v>35660</v>
      </c>
      <c r="C935" t="s">
        <v>58</v>
      </c>
      <c r="D935" t="s">
        <v>51</v>
      </c>
      <c r="E935" t="s">
        <v>52</v>
      </c>
      <c r="F935" t="s">
        <v>53</v>
      </c>
      <c r="G935" s="43">
        <v>44525</v>
      </c>
      <c r="H935">
        <v>5</v>
      </c>
      <c r="I935">
        <v>151344</v>
      </c>
      <c r="J935">
        <v>172000000</v>
      </c>
      <c r="L935">
        <v>1</v>
      </c>
      <c r="P935" s="77">
        <f t="shared" si="98"/>
        <v>157</v>
      </c>
      <c r="Q935" s="78">
        <f t="shared" si="99"/>
        <v>504.48</v>
      </c>
      <c r="R935" s="78">
        <f t="shared" si="100"/>
        <v>32.806396484375</v>
      </c>
      <c r="S935" s="78">
        <f t="shared" si="101"/>
        <v>24</v>
      </c>
      <c r="T935" s="78">
        <f t="shared" si="102"/>
        <v>117.712</v>
      </c>
      <c r="U935" s="78" t="str">
        <f t="shared" si="103"/>
        <v>91-120</v>
      </c>
      <c r="V935" s="78" t="str">
        <f t="shared" si="104"/>
        <v>31-40 Гб</v>
      </c>
    </row>
    <row r="936" spans="1:22" x14ac:dyDescent="0.25">
      <c r="A936" t="s">
        <v>1174</v>
      </c>
      <c r="B936" s="43">
        <v>35654</v>
      </c>
      <c r="C936" t="s">
        <v>58</v>
      </c>
      <c r="D936" t="s">
        <v>51</v>
      </c>
      <c r="E936" t="s">
        <v>54</v>
      </c>
      <c r="F936" t="s">
        <v>69</v>
      </c>
      <c r="G936" s="43">
        <v>42917</v>
      </c>
      <c r="H936">
        <v>5</v>
      </c>
      <c r="I936">
        <v>37640</v>
      </c>
      <c r="J936">
        <v>4000000</v>
      </c>
      <c r="P936" s="77">
        <f t="shared" si="98"/>
        <v>1765</v>
      </c>
      <c r="Q936" s="78">
        <f t="shared" si="99"/>
        <v>125.46666666666667</v>
      </c>
      <c r="R936" s="78">
        <f t="shared" si="100"/>
        <v>0.762939453125</v>
      </c>
      <c r="S936" s="78">
        <f t="shared" si="101"/>
        <v>24</v>
      </c>
      <c r="T936" s="78">
        <f t="shared" si="102"/>
        <v>29.275555555555556</v>
      </c>
      <c r="U936" s="78" t="str">
        <f t="shared" si="103"/>
        <v>&lt;35</v>
      </c>
      <c r="V936" s="78" t="str">
        <f t="shared" si="104"/>
        <v>&lt;10 Гб</v>
      </c>
    </row>
    <row r="937" spans="1:22" x14ac:dyDescent="0.25">
      <c r="A937" t="s">
        <v>759</v>
      </c>
      <c r="B937" s="43">
        <v>35649</v>
      </c>
      <c r="C937" t="s">
        <v>58</v>
      </c>
      <c r="D937" t="s">
        <v>51</v>
      </c>
      <c r="E937" t="s">
        <v>52</v>
      </c>
      <c r="F937" t="s">
        <v>57</v>
      </c>
      <c r="G937" s="43">
        <v>43618</v>
      </c>
      <c r="H937">
        <v>5</v>
      </c>
      <c r="I937">
        <v>54732</v>
      </c>
      <c r="J937">
        <v>0</v>
      </c>
      <c r="P937" s="77">
        <f t="shared" si="98"/>
        <v>1064</v>
      </c>
      <c r="Q937" s="78">
        <f t="shared" si="99"/>
        <v>182.44</v>
      </c>
      <c r="R937" s="78">
        <f t="shared" si="100"/>
        <v>0</v>
      </c>
      <c r="S937" s="78">
        <f t="shared" si="101"/>
        <v>24</v>
      </c>
      <c r="T937" s="78">
        <f t="shared" si="102"/>
        <v>42.569333333333333</v>
      </c>
      <c r="U937" s="78" t="str">
        <f t="shared" si="103"/>
        <v>35-60</v>
      </c>
      <c r="V937" s="78" t="str">
        <f t="shared" si="104"/>
        <v>&lt;10 Гб</v>
      </c>
    </row>
    <row r="938" spans="1:22" x14ac:dyDescent="0.25">
      <c r="A938" t="s">
        <v>433</v>
      </c>
      <c r="B938" s="43">
        <v>35647</v>
      </c>
      <c r="C938" t="s">
        <v>50</v>
      </c>
      <c r="D938" t="s">
        <v>51</v>
      </c>
      <c r="E938" t="s">
        <v>52</v>
      </c>
      <c r="F938" t="s">
        <v>57</v>
      </c>
      <c r="G938" s="43">
        <v>43280</v>
      </c>
      <c r="H938">
        <v>5</v>
      </c>
      <c r="I938">
        <v>36232</v>
      </c>
      <c r="J938">
        <v>108000000</v>
      </c>
      <c r="K938">
        <v>1</v>
      </c>
      <c r="M938">
        <v>1</v>
      </c>
      <c r="O938">
        <v>1</v>
      </c>
      <c r="P938" s="77">
        <f t="shared" si="98"/>
        <v>1402</v>
      </c>
      <c r="Q938" s="78">
        <f t="shared" si="99"/>
        <v>120.77333333333333</v>
      </c>
      <c r="R938" s="78">
        <f t="shared" si="100"/>
        <v>20.599365234375</v>
      </c>
      <c r="S938" s="78">
        <f t="shared" si="101"/>
        <v>24</v>
      </c>
      <c r="T938" s="78">
        <f t="shared" si="102"/>
        <v>28.180444444444444</v>
      </c>
      <c r="U938" s="78" t="str">
        <f t="shared" si="103"/>
        <v>&lt;35</v>
      </c>
      <c r="V938" s="78" t="str">
        <f t="shared" si="104"/>
        <v>21-30 Гб</v>
      </c>
    </row>
    <row r="939" spans="1:22" x14ac:dyDescent="0.25">
      <c r="A939" t="s">
        <v>1140</v>
      </c>
      <c r="B939" s="43">
        <v>35640</v>
      </c>
      <c r="C939" t="s">
        <v>58</v>
      </c>
      <c r="D939" t="s">
        <v>51</v>
      </c>
      <c r="E939" t="s">
        <v>52</v>
      </c>
      <c r="F939" t="s">
        <v>69</v>
      </c>
      <c r="G939" s="43">
        <v>43898</v>
      </c>
      <c r="H939">
        <v>5</v>
      </c>
      <c r="I939">
        <v>10872</v>
      </c>
      <c r="J939">
        <v>16000000</v>
      </c>
      <c r="P939" s="77">
        <f t="shared" si="98"/>
        <v>784</v>
      </c>
      <c r="Q939" s="78">
        <f t="shared" si="99"/>
        <v>36.24</v>
      </c>
      <c r="R939" s="78">
        <f t="shared" si="100"/>
        <v>3.0517578125</v>
      </c>
      <c r="S939" s="78">
        <f t="shared" si="101"/>
        <v>24</v>
      </c>
      <c r="T939" s="78">
        <f t="shared" si="102"/>
        <v>8.4559999999999995</v>
      </c>
      <c r="U939" s="78" t="str">
        <f t="shared" si="103"/>
        <v>&lt;35</v>
      </c>
      <c r="V939" s="78" t="str">
        <f t="shared" si="104"/>
        <v>&lt;10 Гб</v>
      </c>
    </row>
    <row r="940" spans="1:22" x14ac:dyDescent="0.25">
      <c r="A940" t="s">
        <v>148</v>
      </c>
      <c r="B940" s="43">
        <v>35633</v>
      </c>
      <c r="C940" t="s">
        <v>50</v>
      </c>
      <c r="D940" t="s">
        <v>51</v>
      </c>
      <c r="E940" t="s">
        <v>52</v>
      </c>
      <c r="F940" t="s">
        <v>57</v>
      </c>
      <c r="G940" s="43">
        <v>44554</v>
      </c>
      <c r="H940">
        <v>4</v>
      </c>
      <c r="I940">
        <v>20770</v>
      </c>
      <c r="J940">
        <v>88000000</v>
      </c>
      <c r="K940">
        <v>1</v>
      </c>
      <c r="L940">
        <v>1</v>
      </c>
      <c r="P940" s="77">
        <f t="shared" si="98"/>
        <v>128</v>
      </c>
      <c r="Q940" s="78">
        <f t="shared" si="99"/>
        <v>69.233333333333334</v>
      </c>
      <c r="R940" s="78">
        <f t="shared" si="100"/>
        <v>16.78466796875</v>
      </c>
      <c r="S940" s="78">
        <f t="shared" si="101"/>
        <v>24</v>
      </c>
      <c r="T940" s="78">
        <f t="shared" si="102"/>
        <v>16.154444444444444</v>
      </c>
      <c r="U940" s="78" t="str">
        <f t="shared" si="103"/>
        <v>&lt;35</v>
      </c>
      <c r="V940" s="78" t="str">
        <f t="shared" si="104"/>
        <v>10-20 Гб</v>
      </c>
    </row>
    <row r="941" spans="1:22" x14ac:dyDescent="0.25">
      <c r="A941" t="s">
        <v>1065</v>
      </c>
      <c r="B941" s="43">
        <v>35633</v>
      </c>
      <c r="C941" t="s">
        <v>58</v>
      </c>
      <c r="D941" t="s">
        <v>51</v>
      </c>
      <c r="E941" t="s">
        <v>52</v>
      </c>
      <c r="F941" t="s">
        <v>63</v>
      </c>
      <c r="G941" s="43">
        <v>44011</v>
      </c>
      <c r="H941">
        <v>5</v>
      </c>
      <c r="I941">
        <v>19616</v>
      </c>
      <c r="J941">
        <v>152000000</v>
      </c>
      <c r="P941" s="77">
        <f t="shared" si="98"/>
        <v>671</v>
      </c>
      <c r="Q941" s="78">
        <f t="shared" si="99"/>
        <v>65.38666666666667</v>
      </c>
      <c r="R941" s="78">
        <f t="shared" si="100"/>
        <v>28.99169921875</v>
      </c>
      <c r="S941" s="78">
        <f t="shared" si="101"/>
        <v>24</v>
      </c>
      <c r="T941" s="78">
        <f t="shared" si="102"/>
        <v>15.25688888888889</v>
      </c>
      <c r="U941" s="78" t="str">
        <f t="shared" si="103"/>
        <v>&lt;35</v>
      </c>
      <c r="V941" s="78" t="str">
        <f t="shared" si="104"/>
        <v>21-30 Гб</v>
      </c>
    </row>
    <row r="942" spans="1:22" x14ac:dyDescent="0.25">
      <c r="A942" t="s">
        <v>447</v>
      </c>
      <c r="B942" s="43">
        <v>35632</v>
      </c>
      <c r="C942" t="s">
        <v>58</v>
      </c>
      <c r="D942" t="s">
        <v>51</v>
      </c>
      <c r="E942" t="s">
        <v>52</v>
      </c>
      <c r="F942" t="s">
        <v>57</v>
      </c>
      <c r="G942" s="43">
        <v>44221</v>
      </c>
      <c r="H942">
        <v>5</v>
      </c>
      <c r="I942">
        <v>11388</v>
      </c>
      <c r="J942">
        <v>84000000</v>
      </c>
      <c r="P942" s="77">
        <f t="shared" si="98"/>
        <v>461</v>
      </c>
      <c r="Q942" s="78">
        <f t="shared" si="99"/>
        <v>37.96</v>
      </c>
      <c r="R942" s="78">
        <f t="shared" si="100"/>
        <v>16.021728515625</v>
      </c>
      <c r="S942" s="78">
        <f t="shared" si="101"/>
        <v>24</v>
      </c>
      <c r="T942" s="78">
        <f t="shared" si="102"/>
        <v>8.8573333333333348</v>
      </c>
      <c r="U942" s="78" t="str">
        <f t="shared" si="103"/>
        <v>&lt;35</v>
      </c>
      <c r="V942" s="78" t="str">
        <f t="shared" si="104"/>
        <v>10-20 Гб</v>
      </c>
    </row>
    <row r="943" spans="1:22" x14ac:dyDescent="0.25">
      <c r="A943" t="s">
        <v>1058</v>
      </c>
      <c r="B943" s="43">
        <v>35628</v>
      </c>
      <c r="C943" t="s">
        <v>50</v>
      </c>
      <c r="D943" t="s">
        <v>51</v>
      </c>
      <c r="E943" t="s">
        <v>54</v>
      </c>
      <c r="F943" t="s">
        <v>63</v>
      </c>
      <c r="G943" s="43">
        <v>43917</v>
      </c>
      <c r="H943">
        <v>5</v>
      </c>
      <c r="I943">
        <v>22652</v>
      </c>
      <c r="J943">
        <v>152000000</v>
      </c>
      <c r="P943" s="77">
        <f t="shared" si="98"/>
        <v>765</v>
      </c>
      <c r="Q943" s="78">
        <f t="shared" si="99"/>
        <v>75.506666666666661</v>
      </c>
      <c r="R943" s="78">
        <f t="shared" si="100"/>
        <v>28.99169921875</v>
      </c>
      <c r="S943" s="78">
        <f t="shared" si="101"/>
        <v>24</v>
      </c>
      <c r="T943" s="78">
        <f t="shared" si="102"/>
        <v>17.618222222222222</v>
      </c>
      <c r="U943" s="78" t="str">
        <f t="shared" si="103"/>
        <v>&lt;35</v>
      </c>
      <c r="V943" s="78" t="str">
        <f t="shared" si="104"/>
        <v>21-30 Гб</v>
      </c>
    </row>
    <row r="944" spans="1:22" x14ac:dyDescent="0.25">
      <c r="A944" t="s">
        <v>905</v>
      </c>
      <c r="B944" s="43">
        <v>35624</v>
      </c>
      <c r="C944" t="s">
        <v>50</v>
      </c>
      <c r="D944" t="s">
        <v>51</v>
      </c>
      <c r="E944" t="s">
        <v>52</v>
      </c>
      <c r="F944" t="s">
        <v>63</v>
      </c>
      <c r="G944" s="43">
        <v>43913</v>
      </c>
      <c r="H944">
        <v>5</v>
      </c>
      <c r="I944">
        <v>10148</v>
      </c>
      <c r="J944">
        <v>60000000</v>
      </c>
      <c r="P944" s="77">
        <f t="shared" si="98"/>
        <v>769</v>
      </c>
      <c r="Q944" s="78">
        <f t="shared" si="99"/>
        <v>33.826666666666668</v>
      </c>
      <c r="R944" s="78">
        <f t="shared" si="100"/>
        <v>11.444091796875</v>
      </c>
      <c r="S944" s="78">
        <f t="shared" si="101"/>
        <v>24</v>
      </c>
      <c r="T944" s="78">
        <f t="shared" si="102"/>
        <v>7.8928888888888897</v>
      </c>
      <c r="U944" s="78" t="str">
        <f t="shared" si="103"/>
        <v>&lt;35</v>
      </c>
      <c r="V944" s="78" t="str">
        <f t="shared" si="104"/>
        <v>10-20 Гб</v>
      </c>
    </row>
    <row r="945" spans="1:22" x14ac:dyDescent="0.25">
      <c r="A945" t="s">
        <v>575</v>
      </c>
      <c r="B945" s="43">
        <v>35623</v>
      </c>
      <c r="C945" t="s">
        <v>50</v>
      </c>
      <c r="D945" t="s">
        <v>51</v>
      </c>
      <c r="E945" t="s">
        <v>52</v>
      </c>
      <c r="F945" t="s">
        <v>57</v>
      </c>
      <c r="G945" s="43">
        <v>43205</v>
      </c>
      <c r="H945">
        <v>5</v>
      </c>
      <c r="I945">
        <v>27576</v>
      </c>
      <c r="J945">
        <v>96000000</v>
      </c>
      <c r="O945">
        <v>1</v>
      </c>
      <c r="P945" s="77">
        <f t="shared" si="98"/>
        <v>1477</v>
      </c>
      <c r="Q945" s="78">
        <f t="shared" si="99"/>
        <v>91.92</v>
      </c>
      <c r="R945" s="78">
        <f t="shared" si="100"/>
        <v>18.310546875</v>
      </c>
      <c r="S945" s="78">
        <f t="shared" si="101"/>
        <v>24</v>
      </c>
      <c r="T945" s="78">
        <f t="shared" si="102"/>
        <v>21.448</v>
      </c>
      <c r="U945" s="78" t="str">
        <f t="shared" si="103"/>
        <v>&lt;35</v>
      </c>
      <c r="V945" s="78" t="str">
        <f t="shared" si="104"/>
        <v>10-20 Гб</v>
      </c>
    </row>
    <row r="946" spans="1:22" x14ac:dyDescent="0.25">
      <c r="A946" t="s">
        <v>833</v>
      </c>
      <c r="B946" s="43">
        <v>35623</v>
      </c>
      <c r="C946" t="s">
        <v>50</v>
      </c>
      <c r="D946" t="s">
        <v>51</v>
      </c>
      <c r="E946" t="s">
        <v>54</v>
      </c>
      <c r="F946" t="s">
        <v>63</v>
      </c>
      <c r="G946" s="43">
        <v>43630</v>
      </c>
      <c r="H946">
        <v>5</v>
      </c>
      <c r="I946">
        <v>24236</v>
      </c>
      <c r="J946">
        <v>148000000</v>
      </c>
      <c r="L946">
        <v>1</v>
      </c>
      <c r="P946" s="77">
        <f t="shared" si="98"/>
        <v>1052</v>
      </c>
      <c r="Q946" s="78">
        <f t="shared" si="99"/>
        <v>80.786666666666662</v>
      </c>
      <c r="R946" s="78">
        <f t="shared" si="100"/>
        <v>28.228759765625</v>
      </c>
      <c r="S946" s="78">
        <f t="shared" si="101"/>
        <v>24</v>
      </c>
      <c r="T946" s="78">
        <f t="shared" si="102"/>
        <v>18.850222222222222</v>
      </c>
      <c r="U946" s="78" t="str">
        <f t="shared" si="103"/>
        <v>&lt;35</v>
      </c>
      <c r="V946" s="78" t="str">
        <f t="shared" si="104"/>
        <v>21-30 Гб</v>
      </c>
    </row>
    <row r="947" spans="1:22" x14ac:dyDescent="0.25">
      <c r="A947" t="s">
        <v>558</v>
      </c>
      <c r="B947" s="43">
        <v>35619</v>
      </c>
      <c r="C947" t="s">
        <v>58</v>
      </c>
      <c r="D947" t="s">
        <v>51</v>
      </c>
      <c r="E947" t="s">
        <v>52</v>
      </c>
      <c r="F947" t="s">
        <v>57</v>
      </c>
      <c r="G947" s="43">
        <v>43166</v>
      </c>
      <c r="H947">
        <v>5</v>
      </c>
      <c r="I947">
        <v>41872</v>
      </c>
      <c r="J947">
        <v>48000000</v>
      </c>
      <c r="P947" s="77">
        <f t="shared" si="98"/>
        <v>1516</v>
      </c>
      <c r="Q947" s="78">
        <f t="shared" si="99"/>
        <v>139.57333333333332</v>
      </c>
      <c r="R947" s="78">
        <f t="shared" si="100"/>
        <v>9.1552734375</v>
      </c>
      <c r="S947" s="78">
        <f t="shared" si="101"/>
        <v>24</v>
      </c>
      <c r="T947" s="78">
        <f t="shared" si="102"/>
        <v>32.56711111111111</v>
      </c>
      <c r="U947" s="78" t="str">
        <f t="shared" si="103"/>
        <v>&lt;35</v>
      </c>
      <c r="V947" s="78" t="str">
        <f t="shared" si="104"/>
        <v>&lt;10 Гб</v>
      </c>
    </row>
    <row r="948" spans="1:22" x14ac:dyDescent="0.25">
      <c r="A948" t="s">
        <v>536</v>
      </c>
      <c r="B948" s="43">
        <v>35617</v>
      </c>
      <c r="C948" t="s">
        <v>50</v>
      </c>
      <c r="D948" t="s">
        <v>51</v>
      </c>
      <c r="E948" t="s">
        <v>54</v>
      </c>
      <c r="F948" t="s">
        <v>57</v>
      </c>
      <c r="G948" s="43">
        <v>42743</v>
      </c>
      <c r="H948">
        <v>5</v>
      </c>
      <c r="I948">
        <v>6180</v>
      </c>
      <c r="J948">
        <v>104000000</v>
      </c>
      <c r="K948">
        <v>1</v>
      </c>
      <c r="P948" s="77">
        <f t="shared" si="98"/>
        <v>1939</v>
      </c>
      <c r="Q948" s="78">
        <f t="shared" si="99"/>
        <v>20.6</v>
      </c>
      <c r="R948" s="78">
        <f t="shared" si="100"/>
        <v>19.83642578125</v>
      </c>
      <c r="S948" s="78">
        <f t="shared" si="101"/>
        <v>24</v>
      </c>
      <c r="T948" s="78">
        <f t="shared" si="102"/>
        <v>4.8066666666666675</v>
      </c>
      <c r="U948" s="78" t="str">
        <f t="shared" si="103"/>
        <v>&lt;35</v>
      </c>
      <c r="V948" s="78" t="str">
        <f t="shared" si="104"/>
        <v>10-20 Гб</v>
      </c>
    </row>
    <row r="949" spans="1:22" x14ac:dyDescent="0.25">
      <c r="A949" t="s">
        <v>741</v>
      </c>
      <c r="B949" s="43">
        <v>35617</v>
      </c>
      <c r="C949" t="s">
        <v>50</v>
      </c>
      <c r="D949" t="s">
        <v>51</v>
      </c>
      <c r="E949" t="s">
        <v>52</v>
      </c>
      <c r="F949" t="s">
        <v>57</v>
      </c>
      <c r="G949" s="43">
        <v>43161</v>
      </c>
      <c r="H949">
        <v>5</v>
      </c>
      <c r="I949">
        <v>51064</v>
      </c>
      <c r="J949">
        <v>24000000</v>
      </c>
      <c r="K949">
        <v>1</v>
      </c>
      <c r="P949" s="77">
        <f t="shared" si="98"/>
        <v>1521</v>
      </c>
      <c r="Q949" s="78">
        <f t="shared" si="99"/>
        <v>170.21333333333334</v>
      </c>
      <c r="R949" s="78">
        <f t="shared" si="100"/>
        <v>4.57763671875</v>
      </c>
      <c r="S949" s="78">
        <f t="shared" si="101"/>
        <v>24</v>
      </c>
      <c r="T949" s="78">
        <f t="shared" si="102"/>
        <v>39.716444444444441</v>
      </c>
      <c r="U949" s="78" t="str">
        <f t="shared" si="103"/>
        <v>35-60</v>
      </c>
      <c r="V949" s="78" t="str">
        <f t="shared" si="104"/>
        <v>&lt;10 Гб</v>
      </c>
    </row>
    <row r="950" spans="1:22" x14ac:dyDescent="0.25">
      <c r="A950" t="s">
        <v>311</v>
      </c>
      <c r="B950" s="43">
        <v>35616</v>
      </c>
      <c r="C950" t="s">
        <v>50</v>
      </c>
      <c r="D950" t="s">
        <v>51</v>
      </c>
      <c r="E950" t="s">
        <v>54</v>
      </c>
      <c r="F950" t="s">
        <v>56</v>
      </c>
      <c r="G950" s="43">
        <v>43106</v>
      </c>
      <c r="H950">
        <v>5</v>
      </c>
      <c r="I950">
        <v>96440</v>
      </c>
      <c r="J950">
        <v>64000000</v>
      </c>
      <c r="K950">
        <v>1</v>
      </c>
      <c r="P950" s="77">
        <f t="shared" si="98"/>
        <v>1576</v>
      </c>
      <c r="Q950" s="78">
        <f t="shared" si="99"/>
        <v>321.46666666666664</v>
      </c>
      <c r="R950" s="78">
        <f t="shared" si="100"/>
        <v>12.20703125</v>
      </c>
      <c r="S950" s="78">
        <f t="shared" si="101"/>
        <v>24</v>
      </c>
      <c r="T950" s="78">
        <f t="shared" si="102"/>
        <v>75.008888888888876</v>
      </c>
      <c r="U950" s="78" t="str">
        <f t="shared" si="103"/>
        <v>61-90</v>
      </c>
      <c r="V950" s="78" t="str">
        <f t="shared" si="104"/>
        <v>10-20 Гб</v>
      </c>
    </row>
    <row r="951" spans="1:22" x14ac:dyDescent="0.25">
      <c r="A951" t="s">
        <v>779</v>
      </c>
      <c r="B951" s="43">
        <v>35615</v>
      </c>
      <c r="C951" t="s">
        <v>50</v>
      </c>
      <c r="D951" t="s">
        <v>51</v>
      </c>
      <c r="E951" t="s">
        <v>54</v>
      </c>
      <c r="F951" t="s">
        <v>57</v>
      </c>
      <c r="G951" s="43">
        <v>44455</v>
      </c>
      <c r="H951">
        <v>5</v>
      </c>
      <c r="I951">
        <v>26864</v>
      </c>
      <c r="J951">
        <v>104000000</v>
      </c>
      <c r="P951" s="77">
        <f t="shared" si="98"/>
        <v>227</v>
      </c>
      <c r="Q951" s="78">
        <f t="shared" si="99"/>
        <v>89.546666666666667</v>
      </c>
      <c r="R951" s="78">
        <f t="shared" si="100"/>
        <v>19.83642578125</v>
      </c>
      <c r="S951" s="78">
        <f t="shared" si="101"/>
        <v>24</v>
      </c>
      <c r="T951" s="78">
        <f t="shared" si="102"/>
        <v>20.894222222222222</v>
      </c>
      <c r="U951" s="78" t="str">
        <f t="shared" si="103"/>
        <v>&lt;35</v>
      </c>
      <c r="V951" s="78" t="str">
        <f t="shared" si="104"/>
        <v>10-20 Гб</v>
      </c>
    </row>
    <row r="952" spans="1:22" x14ac:dyDescent="0.25">
      <c r="A952" t="s">
        <v>403</v>
      </c>
      <c r="B952" s="43">
        <v>35613</v>
      </c>
      <c r="C952" t="s">
        <v>58</v>
      </c>
      <c r="D952" t="s">
        <v>51</v>
      </c>
      <c r="E952" t="s">
        <v>52</v>
      </c>
      <c r="F952" t="s">
        <v>56</v>
      </c>
      <c r="G952" s="43">
        <v>43308</v>
      </c>
      <c r="H952">
        <v>5</v>
      </c>
      <c r="I952">
        <v>82164</v>
      </c>
      <c r="J952">
        <v>8000000</v>
      </c>
      <c r="P952" s="77">
        <f t="shared" si="98"/>
        <v>1374</v>
      </c>
      <c r="Q952" s="78">
        <f t="shared" si="99"/>
        <v>273.88</v>
      </c>
      <c r="R952" s="78">
        <f t="shared" si="100"/>
        <v>1.52587890625</v>
      </c>
      <c r="S952" s="78">
        <f t="shared" si="101"/>
        <v>24</v>
      </c>
      <c r="T952" s="78">
        <f t="shared" si="102"/>
        <v>63.905333333333331</v>
      </c>
      <c r="U952" s="78" t="str">
        <f t="shared" si="103"/>
        <v>61-90</v>
      </c>
      <c r="V952" s="78" t="str">
        <f t="shared" si="104"/>
        <v>&lt;10 Гб</v>
      </c>
    </row>
    <row r="953" spans="1:22" x14ac:dyDescent="0.25">
      <c r="A953" t="s">
        <v>1045</v>
      </c>
      <c r="B953" s="43">
        <v>35611</v>
      </c>
      <c r="C953" t="s">
        <v>58</v>
      </c>
      <c r="D953" t="s">
        <v>51</v>
      </c>
      <c r="E953" t="s">
        <v>54</v>
      </c>
      <c r="F953" t="s">
        <v>63</v>
      </c>
      <c r="G953" s="43">
        <v>44277</v>
      </c>
      <c r="H953">
        <v>5</v>
      </c>
      <c r="I953">
        <v>12888</v>
      </c>
      <c r="J953">
        <v>140000000</v>
      </c>
      <c r="P953" s="77">
        <f t="shared" si="98"/>
        <v>405</v>
      </c>
      <c r="Q953" s="78">
        <f t="shared" si="99"/>
        <v>42.96</v>
      </c>
      <c r="R953" s="78">
        <f t="shared" si="100"/>
        <v>26.702880859375</v>
      </c>
      <c r="S953" s="78">
        <f t="shared" si="101"/>
        <v>24</v>
      </c>
      <c r="T953" s="78">
        <f t="shared" si="102"/>
        <v>10.024000000000001</v>
      </c>
      <c r="U953" s="78" t="str">
        <f t="shared" si="103"/>
        <v>&lt;35</v>
      </c>
      <c r="V953" s="78" t="str">
        <f t="shared" si="104"/>
        <v>21-30 Гб</v>
      </c>
    </row>
    <row r="954" spans="1:22" x14ac:dyDescent="0.25">
      <c r="A954" t="s">
        <v>699</v>
      </c>
      <c r="B954" s="43">
        <v>35610</v>
      </c>
      <c r="C954" t="s">
        <v>58</v>
      </c>
      <c r="D954" t="s">
        <v>51</v>
      </c>
      <c r="E954" t="s">
        <v>52</v>
      </c>
      <c r="F954" t="s">
        <v>57</v>
      </c>
      <c r="G954" s="43">
        <v>42906</v>
      </c>
      <c r="H954">
        <v>5</v>
      </c>
      <c r="I954">
        <v>87828</v>
      </c>
      <c r="J954">
        <v>96000000</v>
      </c>
      <c r="P954" s="77">
        <f t="shared" si="98"/>
        <v>1776</v>
      </c>
      <c r="Q954" s="78">
        <f t="shared" si="99"/>
        <v>292.76</v>
      </c>
      <c r="R954" s="78">
        <f t="shared" si="100"/>
        <v>18.310546875</v>
      </c>
      <c r="S954" s="78">
        <f t="shared" si="101"/>
        <v>24</v>
      </c>
      <c r="T954" s="78">
        <f t="shared" si="102"/>
        <v>68.310666666666663</v>
      </c>
      <c r="U954" s="78" t="str">
        <f t="shared" si="103"/>
        <v>61-90</v>
      </c>
      <c r="V954" s="78" t="str">
        <f t="shared" si="104"/>
        <v>10-20 Гб</v>
      </c>
    </row>
    <row r="955" spans="1:22" x14ac:dyDescent="0.25">
      <c r="A955" t="s">
        <v>937</v>
      </c>
      <c r="B955" s="43">
        <v>35610</v>
      </c>
      <c r="C955" t="s">
        <v>58</v>
      </c>
      <c r="D955" t="s">
        <v>51</v>
      </c>
      <c r="E955" t="s">
        <v>54</v>
      </c>
      <c r="F955" t="s">
        <v>63</v>
      </c>
      <c r="G955" s="43">
        <v>44459</v>
      </c>
      <c r="H955">
        <v>5</v>
      </c>
      <c r="I955">
        <v>20120</v>
      </c>
      <c r="J955">
        <v>140000000</v>
      </c>
      <c r="P955" s="77">
        <f t="shared" si="98"/>
        <v>223</v>
      </c>
      <c r="Q955" s="78">
        <f t="shared" si="99"/>
        <v>67.066666666666663</v>
      </c>
      <c r="R955" s="78">
        <f t="shared" si="100"/>
        <v>26.702880859375</v>
      </c>
      <c r="S955" s="78">
        <f t="shared" si="101"/>
        <v>24</v>
      </c>
      <c r="T955" s="78">
        <f t="shared" si="102"/>
        <v>15.648888888888887</v>
      </c>
      <c r="U955" s="78" t="str">
        <f t="shared" si="103"/>
        <v>&lt;35</v>
      </c>
      <c r="V955" s="78" t="str">
        <f t="shared" si="104"/>
        <v>21-30 Гб</v>
      </c>
    </row>
    <row r="956" spans="1:22" x14ac:dyDescent="0.25">
      <c r="A956" t="s">
        <v>315</v>
      </c>
      <c r="B956" s="43">
        <v>35608</v>
      </c>
      <c r="C956" t="s">
        <v>50</v>
      </c>
      <c r="D956" t="s">
        <v>51</v>
      </c>
      <c r="E956" t="s">
        <v>52</v>
      </c>
      <c r="F956" t="s">
        <v>56</v>
      </c>
      <c r="G956" s="43">
        <v>43775</v>
      </c>
      <c r="H956">
        <v>5</v>
      </c>
      <c r="I956">
        <v>100268</v>
      </c>
      <c r="J956">
        <v>128000000</v>
      </c>
      <c r="P956" s="77">
        <f t="shared" si="98"/>
        <v>907</v>
      </c>
      <c r="Q956" s="78">
        <f t="shared" si="99"/>
        <v>334.22666666666669</v>
      </c>
      <c r="R956" s="78">
        <f t="shared" si="100"/>
        <v>24.4140625</v>
      </c>
      <c r="S956" s="78">
        <f t="shared" si="101"/>
        <v>24</v>
      </c>
      <c r="T956" s="78">
        <f t="shared" si="102"/>
        <v>77.986222222222239</v>
      </c>
      <c r="U956" s="78" t="str">
        <f t="shared" si="103"/>
        <v>61-90</v>
      </c>
      <c r="V956" s="78" t="str">
        <f t="shared" si="104"/>
        <v>21-30 Гб</v>
      </c>
    </row>
    <row r="957" spans="1:22" x14ac:dyDescent="0.25">
      <c r="A957" t="s">
        <v>381</v>
      </c>
      <c r="B957" s="43">
        <v>35604</v>
      </c>
      <c r="C957" t="s">
        <v>58</v>
      </c>
      <c r="D957" t="s">
        <v>51</v>
      </c>
      <c r="E957" t="s">
        <v>52</v>
      </c>
      <c r="F957" t="s">
        <v>56</v>
      </c>
      <c r="G957" s="43">
        <v>42919</v>
      </c>
      <c r="H957">
        <v>5</v>
      </c>
      <c r="I957">
        <v>66508</v>
      </c>
      <c r="J957">
        <v>8000000</v>
      </c>
      <c r="P957" s="77">
        <f t="shared" si="98"/>
        <v>1763</v>
      </c>
      <c r="Q957" s="78">
        <f t="shared" si="99"/>
        <v>221.69333333333333</v>
      </c>
      <c r="R957" s="78">
        <f t="shared" si="100"/>
        <v>1.52587890625</v>
      </c>
      <c r="S957" s="78">
        <f t="shared" si="101"/>
        <v>24</v>
      </c>
      <c r="T957" s="78">
        <f t="shared" si="102"/>
        <v>51.728444444444442</v>
      </c>
      <c r="U957" s="78" t="str">
        <f t="shared" si="103"/>
        <v>35-60</v>
      </c>
      <c r="V957" s="78" t="str">
        <f t="shared" si="104"/>
        <v>&lt;10 Гб</v>
      </c>
    </row>
    <row r="958" spans="1:22" x14ac:dyDescent="0.25">
      <c r="A958" t="s">
        <v>340</v>
      </c>
      <c r="B958" s="43">
        <v>35602</v>
      </c>
      <c r="C958" t="s">
        <v>58</v>
      </c>
      <c r="D958" t="s">
        <v>51</v>
      </c>
      <c r="E958" t="s">
        <v>54</v>
      </c>
      <c r="F958" t="s">
        <v>56</v>
      </c>
      <c r="G958" s="43">
        <v>43290</v>
      </c>
      <c r="H958">
        <v>5</v>
      </c>
      <c r="I958">
        <v>79528</v>
      </c>
      <c r="J958">
        <v>116000000</v>
      </c>
      <c r="K958">
        <v>1</v>
      </c>
      <c r="L958">
        <v>1</v>
      </c>
      <c r="P958" s="77">
        <f t="shared" si="98"/>
        <v>1392</v>
      </c>
      <c r="Q958" s="78">
        <f t="shared" si="99"/>
        <v>265.09333333333331</v>
      </c>
      <c r="R958" s="78">
        <f t="shared" si="100"/>
        <v>22.125244140625</v>
      </c>
      <c r="S958" s="78">
        <f t="shared" si="101"/>
        <v>24</v>
      </c>
      <c r="T958" s="78">
        <f t="shared" si="102"/>
        <v>61.855111111111107</v>
      </c>
      <c r="U958" s="78" t="str">
        <f t="shared" si="103"/>
        <v>61-90</v>
      </c>
      <c r="V958" s="78" t="str">
        <f t="shared" si="104"/>
        <v>21-30 Гб</v>
      </c>
    </row>
    <row r="959" spans="1:22" x14ac:dyDescent="0.25">
      <c r="A959" t="s">
        <v>942</v>
      </c>
      <c r="B959" s="43">
        <v>35601</v>
      </c>
      <c r="C959" t="s">
        <v>50</v>
      </c>
      <c r="D959" t="s">
        <v>51</v>
      </c>
      <c r="E959" t="s">
        <v>52</v>
      </c>
      <c r="F959" t="s">
        <v>63</v>
      </c>
      <c r="G959" s="43">
        <v>44033</v>
      </c>
      <c r="H959">
        <v>5</v>
      </c>
      <c r="I959">
        <v>23864</v>
      </c>
      <c r="J959">
        <v>148000000</v>
      </c>
      <c r="P959" s="77">
        <f t="shared" si="98"/>
        <v>649</v>
      </c>
      <c r="Q959" s="78">
        <f t="shared" si="99"/>
        <v>79.546666666666667</v>
      </c>
      <c r="R959" s="78">
        <f t="shared" si="100"/>
        <v>28.228759765625</v>
      </c>
      <c r="S959" s="78">
        <f t="shared" si="101"/>
        <v>24</v>
      </c>
      <c r="T959" s="78">
        <f t="shared" si="102"/>
        <v>18.56088888888889</v>
      </c>
      <c r="U959" s="78" t="str">
        <f t="shared" si="103"/>
        <v>&lt;35</v>
      </c>
      <c r="V959" s="78" t="str">
        <f t="shared" si="104"/>
        <v>21-30 Гб</v>
      </c>
    </row>
    <row r="960" spans="1:22" x14ac:dyDescent="0.25">
      <c r="A960" t="s">
        <v>1080</v>
      </c>
      <c r="B960" s="43">
        <v>35595</v>
      </c>
      <c r="C960" t="s">
        <v>58</v>
      </c>
      <c r="D960" t="s">
        <v>51</v>
      </c>
      <c r="E960" t="s">
        <v>54</v>
      </c>
      <c r="F960" t="s">
        <v>57</v>
      </c>
      <c r="G960" s="43">
        <v>44444</v>
      </c>
      <c r="H960">
        <v>5</v>
      </c>
      <c r="I960">
        <v>14056</v>
      </c>
      <c r="J960">
        <v>88000000</v>
      </c>
      <c r="P960" s="77">
        <f t="shared" ref="P960:P1023" si="105">DATEDIF(G960,$C$2,"D")</f>
        <v>238</v>
      </c>
      <c r="Q960" s="78">
        <f t="shared" ref="Q960:Q1023" si="106">IF(P960&lt;DATEDIF($C$3,$C$2,"D"),I960/(60*(P960/30)),I960/(60*5))</f>
        <v>46.853333333333332</v>
      </c>
      <c r="R960" s="78">
        <f t="shared" ref="R960:R1023" si="107">IF(P960&lt;DATEDIF($C$3,$C$2,"D"),J960/(1048576*(P960/30)),J960/(1048576*5))</f>
        <v>16.78466796875</v>
      </c>
      <c r="S960" s="78">
        <f t="shared" ref="S960:S1023" si="108">DATEDIF(B960,$C$2,"Y")</f>
        <v>24</v>
      </c>
      <c r="T960" s="78">
        <f t="shared" si="102"/>
        <v>10.932444444444444</v>
      </c>
      <c r="U960" s="78" t="str">
        <f t="shared" si="103"/>
        <v>&lt;35</v>
      </c>
      <c r="V960" s="78" t="str">
        <f t="shared" si="104"/>
        <v>10-20 Гб</v>
      </c>
    </row>
    <row r="961" spans="1:22" x14ac:dyDescent="0.25">
      <c r="A961" t="s">
        <v>356</v>
      </c>
      <c r="B961" s="43">
        <v>35592</v>
      </c>
      <c r="C961" t="s">
        <v>58</v>
      </c>
      <c r="D961" t="s">
        <v>51</v>
      </c>
      <c r="E961" t="s">
        <v>54</v>
      </c>
      <c r="F961" t="s">
        <v>56</v>
      </c>
      <c r="G961" s="43">
        <v>44467</v>
      </c>
      <c r="H961">
        <v>5</v>
      </c>
      <c r="I961">
        <v>41060</v>
      </c>
      <c r="J961">
        <v>124000000</v>
      </c>
      <c r="M961">
        <v>1</v>
      </c>
      <c r="P961" s="77">
        <f t="shared" si="105"/>
        <v>215</v>
      </c>
      <c r="Q961" s="78">
        <f t="shared" si="106"/>
        <v>136.86666666666667</v>
      </c>
      <c r="R961" s="78">
        <f t="shared" si="107"/>
        <v>23.651123046875</v>
      </c>
      <c r="S961" s="78">
        <f t="shared" si="108"/>
        <v>24</v>
      </c>
      <c r="T961" s="78">
        <f t="shared" si="102"/>
        <v>31.935555555555556</v>
      </c>
      <c r="U961" s="78" t="str">
        <f t="shared" si="103"/>
        <v>&lt;35</v>
      </c>
      <c r="V961" s="78" t="str">
        <f t="shared" si="104"/>
        <v>21-30 Гб</v>
      </c>
    </row>
    <row r="962" spans="1:22" x14ac:dyDescent="0.25">
      <c r="A962" t="s">
        <v>674</v>
      </c>
      <c r="B962" s="43">
        <v>35590</v>
      </c>
      <c r="C962" t="s">
        <v>58</v>
      </c>
      <c r="D962" t="s">
        <v>51</v>
      </c>
      <c r="E962" t="s">
        <v>54</v>
      </c>
      <c r="F962" t="s">
        <v>57</v>
      </c>
      <c r="G962" s="43">
        <v>43777</v>
      </c>
      <c r="H962">
        <v>5</v>
      </c>
      <c r="I962">
        <v>18472</v>
      </c>
      <c r="J962">
        <v>24000000</v>
      </c>
      <c r="K962">
        <v>1</v>
      </c>
      <c r="O962">
        <v>1</v>
      </c>
      <c r="P962" s="77">
        <f t="shared" si="105"/>
        <v>905</v>
      </c>
      <c r="Q962" s="78">
        <f t="shared" si="106"/>
        <v>61.573333333333331</v>
      </c>
      <c r="R962" s="78">
        <f t="shared" si="107"/>
        <v>4.57763671875</v>
      </c>
      <c r="S962" s="78">
        <f t="shared" si="108"/>
        <v>24</v>
      </c>
      <c r="T962" s="78">
        <f t="shared" si="102"/>
        <v>14.367111111111111</v>
      </c>
      <c r="U962" s="78" t="str">
        <f t="shared" si="103"/>
        <v>&lt;35</v>
      </c>
      <c r="V962" s="78" t="str">
        <f t="shared" si="104"/>
        <v>&lt;10 Гб</v>
      </c>
    </row>
    <row r="963" spans="1:22" x14ac:dyDescent="0.25">
      <c r="A963" t="s">
        <v>456</v>
      </c>
      <c r="B963" s="43">
        <v>35588</v>
      </c>
      <c r="C963" t="s">
        <v>50</v>
      </c>
      <c r="D963" t="s">
        <v>51</v>
      </c>
      <c r="E963" t="s">
        <v>54</v>
      </c>
      <c r="F963" t="s">
        <v>57</v>
      </c>
      <c r="G963" s="43">
        <v>42837</v>
      </c>
      <c r="H963">
        <v>5</v>
      </c>
      <c r="I963">
        <v>7160</v>
      </c>
      <c r="J963">
        <v>96000000</v>
      </c>
      <c r="P963" s="77">
        <f t="shared" si="105"/>
        <v>1845</v>
      </c>
      <c r="Q963" s="78">
        <f t="shared" si="106"/>
        <v>23.866666666666667</v>
      </c>
      <c r="R963" s="78">
        <f t="shared" si="107"/>
        <v>18.310546875</v>
      </c>
      <c r="S963" s="78">
        <f t="shared" si="108"/>
        <v>24</v>
      </c>
      <c r="T963" s="78">
        <f t="shared" si="102"/>
        <v>5.568888888888889</v>
      </c>
      <c r="U963" s="78" t="str">
        <f t="shared" si="103"/>
        <v>&lt;35</v>
      </c>
      <c r="V963" s="78" t="str">
        <f t="shared" si="104"/>
        <v>10-20 Гб</v>
      </c>
    </row>
    <row r="964" spans="1:22" x14ac:dyDescent="0.25">
      <c r="A964" t="s">
        <v>977</v>
      </c>
      <c r="B964" s="43">
        <v>35587</v>
      </c>
      <c r="C964" t="s">
        <v>50</v>
      </c>
      <c r="D964" t="s">
        <v>51</v>
      </c>
      <c r="E964" t="s">
        <v>54</v>
      </c>
      <c r="F964" t="s">
        <v>63</v>
      </c>
      <c r="G964" s="43">
        <v>43211</v>
      </c>
      <c r="H964">
        <v>5</v>
      </c>
      <c r="I964">
        <v>21476</v>
      </c>
      <c r="J964">
        <v>152000000</v>
      </c>
      <c r="M964">
        <v>1</v>
      </c>
      <c r="P964" s="77">
        <f t="shared" si="105"/>
        <v>1471</v>
      </c>
      <c r="Q964" s="78">
        <f t="shared" si="106"/>
        <v>71.586666666666673</v>
      </c>
      <c r="R964" s="78">
        <f t="shared" si="107"/>
        <v>28.99169921875</v>
      </c>
      <c r="S964" s="78">
        <f t="shared" si="108"/>
        <v>24</v>
      </c>
      <c r="T964" s="78">
        <f t="shared" si="102"/>
        <v>16.703555555555557</v>
      </c>
      <c r="U964" s="78" t="str">
        <f t="shared" si="103"/>
        <v>&lt;35</v>
      </c>
      <c r="V964" s="78" t="str">
        <f t="shared" si="104"/>
        <v>21-30 Гб</v>
      </c>
    </row>
    <row r="965" spans="1:22" x14ac:dyDescent="0.25">
      <c r="A965" t="s">
        <v>127</v>
      </c>
      <c r="B965" s="43">
        <v>35586</v>
      </c>
      <c r="C965" t="s">
        <v>58</v>
      </c>
      <c r="D965" t="s">
        <v>51</v>
      </c>
      <c r="E965" t="s">
        <v>52</v>
      </c>
      <c r="F965" t="s">
        <v>63</v>
      </c>
      <c r="G965" s="43">
        <v>44592</v>
      </c>
      <c r="H965">
        <v>3</v>
      </c>
      <c r="I965">
        <v>27000</v>
      </c>
      <c r="J965">
        <v>51000000</v>
      </c>
      <c r="P965" s="77">
        <f t="shared" si="105"/>
        <v>90</v>
      </c>
      <c r="Q965" s="78">
        <f t="shared" si="106"/>
        <v>150</v>
      </c>
      <c r="R965" s="78">
        <f t="shared" si="107"/>
        <v>16.21246337890625</v>
      </c>
      <c r="S965" s="78">
        <f t="shared" si="108"/>
        <v>24</v>
      </c>
      <c r="T965" s="78">
        <f t="shared" si="102"/>
        <v>35</v>
      </c>
      <c r="U965" s="78" t="str">
        <f t="shared" si="103"/>
        <v>&lt;35</v>
      </c>
      <c r="V965" s="78" t="str">
        <f t="shared" si="104"/>
        <v>10-20 Гб</v>
      </c>
    </row>
    <row r="966" spans="1:22" x14ac:dyDescent="0.25">
      <c r="A966" t="s">
        <v>593</v>
      </c>
      <c r="B966" s="43">
        <v>35586</v>
      </c>
      <c r="C966" t="s">
        <v>50</v>
      </c>
      <c r="D966" t="s">
        <v>51</v>
      </c>
      <c r="E966" t="s">
        <v>54</v>
      </c>
      <c r="F966" t="s">
        <v>57</v>
      </c>
      <c r="G966" s="43">
        <v>43270</v>
      </c>
      <c r="H966">
        <v>5</v>
      </c>
      <c r="I966">
        <v>39520</v>
      </c>
      <c r="J966">
        <v>92000000</v>
      </c>
      <c r="P966" s="77">
        <f t="shared" si="105"/>
        <v>1412</v>
      </c>
      <c r="Q966" s="78">
        <f t="shared" si="106"/>
        <v>131.73333333333332</v>
      </c>
      <c r="R966" s="78">
        <f t="shared" si="107"/>
        <v>17.547607421875</v>
      </c>
      <c r="S966" s="78">
        <f t="shared" si="108"/>
        <v>24</v>
      </c>
      <c r="T966" s="78">
        <f t="shared" si="102"/>
        <v>30.737777777777772</v>
      </c>
      <c r="U966" s="78" t="str">
        <f t="shared" si="103"/>
        <v>&lt;35</v>
      </c>
      <c r="V966" s="78" t="str">
        <f t="shared" si="104"/>
        <v>10-20 Гб</v>
      </c>
    </row>
    <row r="967" spans="1:22" x14ac:dyDescent="0.25">
      <c r="A967" t="s">
        <v>216</v>
      </c>
      <c r="B967" s="43">
        <v>35584</v>
      </c>
      <c r="C967" t="s">
        <v>58</v>
      </c>
      <c r="D967" t="s">
        <v>51</v>
      </c>
      <c r="E967" t="s">
        <v>52</v>
      </c>
      <c r="F967" t="s">
        <v>56</v>
      </c>
      <c r="G967" s="43">
        <v>42760</v>
      </c>
      <c r="H967">
        <v>5</v>
      </c>
      <c r="I967">
        <v>15664</v>
      </c>
      <c r="J967">
        <v>112000000</v>
      </c>
      <c r="P967" s="77">
        <f t="shared" si="105"/>
        <v>1922</v>
      </c>
      <c r="Q967" s="78">
        <f t="shared" si="106"/>
        <v>52.213333333333331</v>
      </c>
      <c r="R967" s="78">
        <f t="shared" si="107"/>
        <v>21.3623046875</v>
      </c>
      <c r="S967" s="78">
        <f t="shared" si="108"/>
        <v>24</v>
      </c>
      <c r="T967" s="78">
        <f t="shared" ref="T967:T1030" si="109">(Q967*7)/30</f>
        <v>12.183111111111112</v>
      </c>
      <c r="U967" s="78" t="str">
        <f t="shared" ref="U967:U1030" si="110">IF(T967&gt;120,"120+",IF(T967&gt;90,"91-120",IF(T967&gt;60,"61-90",IF(T967&gt;35,"35-60","&lt;35"))))</f>
        <v>&lt;35</v>
      </c>
      <c r="V967" s="78" t="str">
        <f t="shared" ref="V967:V1030" si="111">IF(R967&gt;40,"40+ Гб",IF(R967&gt;30,"31-40 Гб",IF(R967&gt;20,"21-30 Гб",IF(R967&gt;10,"10-20 Гб","&lt;10 Гб"))))</f>
        <v>21-30 Гб</v>
      </c>
    </row>
    <row r="968" spans="1:22" x14ac:dyDescent="0.25">
      <c r="A968" t="s">
        <v>1087</v>
      </c>
      <c r="B968" s="43">
        <v>35584</v>
      </c>
      <c r="C968" t="s">
        <v>50</v>
      </c>
      <c r="D968" t="s">
        <v>51</v>
      </c>
      <c r="E968" t="s">
        <v>52</v>
      </c>
      <c r="F968" t="s">
        <v>63</v>
      </c>
      <c r="G968" s="43">
        <v>43471</v>
      </c>
      <c r="H968">
        <v>5</v>
      </c>
      <c r="I968">
        <v>32544</v>
      </c>
      <c r="J968">
        <v>144000000</v>
      </c>
      <c r="L968">
        <v>1</v>
      </c>
      <c r="P968" s="77">
        <f t="shared" si="105"/>
        <v>1211</v>
      </c>
      <c r="Q968" s="78">
        <f t="shared" si="106"/>
        <v>108.48</v>
      </c>
      <c r="R968" s="78">
        <f t="shared" si="107"/>
        <v>27.4658203125</v>
      </c>
      <c r="S968" s="78">
        <f t="shared" si="108"/>
        <v>24</v>
      </c>
      <c r="T968" s="78">
        <f t="shared" si="109"/>
        <v>25.312000000000001</v>
      </c>
      <c r="U968" s="78" t="str">
        <f t="shared" si="110"/>
        <v>&lt;35</v>
      </c>
      <c r="V968" s="78" t="str">
        <f t="shared" si="111"/>
        <v>21-30 Гб</v>
      </c>
    </row>
    <row r="969" spans="1:22" x14ac:dyDescent="0.25">
      <c r="A969" t="s">
        <v>79</v>
      </c>
      <c r="B969" s="43">
        <v>35579</v>
      </c>
      <c r="C969" t="s">
        <v>50</v>
      </c>
      <c r="D969" t="s">
        <v>51</v>
      </c>
      <c r="E969" t="s">
        <v>52</v>
      </c>
      <c r="F969" t="s">
        <v>56</v>
      </c>
      <c r="G969" s="43">
        <v>44624</v>
      </c>
      <c r="H969">
        <v>1</v>
      </c>
      <c r="I969">
        <v>5107</v>
      </c>
      <c r="J969">
        <v>34473224</v>
      </c>
      <c r="K969">
        <v>1</v>
      </c>
      <c r="L969">
        <v>1</v>
      </c>
      <c r="P969" s="77">
        <f t="shared" si="105"/>
        <v>58</v>
      </c>
      <c r="Q969" s="78">
        <f t="shared" si="106"/>
        <v>44.025862068965516</v>
      </c>
      <c r="R969" s="78">
        <f t="shared" si="107"/>
        <v>17.004945689234241</v>
      </c>
      <c r="S969" s="78">
        <f t="shared" si="108"/>
        <v>24</v>
      </c>
      <c r="T969" s="78">
        <f t="shared" si="109"/>
        <v>10.272701149425286</v>
      </c>
      <c r="U969" s="78" t="str">
        <f t="shared" si="110"/>
        <v>&lt;35</v>
      </c>
      <c r="V969" s="78" t="str">
        <f t="shared" si="111"/>
        <v>10-20 Гб</v>
      </c>
    </row>
    <row r="970" spans="1:22" x14ac:dyDescent="0.25">
      <c r="A970" t="s">
        <v>1002</v>
      </c>
      <c r="B970" s="43">
        <v>35572</v>
      </c>
      <c r="C970" t="s">
        <v>50</v>
      </c>
      <c r="D970" t="s">
        <v>51</v>
      </c>
      <c r="E970" t="s">
        <v>54</v>
      </c>
      <c r="F970" t="s">
        <v>63</v>
      </c>
      <c r="G970" s="43">
        <v>44231</v>
      </c>
      <c r="H970">
        <v>5</v>
      </c>
      <c r="I970">
        <v>14935</v>
      </c>
      <c r="J970">
        <v>159278475</v>
      </c>
      <c r="P970" s="77">
        <f t="shared" si="105"/>
        <v>451</v>
      </c>
      <c r="Q970" s="78">
        <f t="shared" si="106"/>
        <v>49.783333333333331</v>
      </c>
      <c r="R970" s="78">
        <f t="shared" si="107"/>
        <v>30.379958152770996</v>
      </c>
      <c r="S970" s="78">
        <f t="shared" si="108"/>
        <v>24</v>
      </c>
      <c r="T970" s="78">
        <f t="shared" si="109"/>
        <v>11.616111111111111</v>
      </c>
      <c r="U970" s="78" t="str">
        <f t="shared" si="110"/>
        <v>&lt;35</v>
      </c>
      <c r="V970" s="78" t="str">
        <f t="shared" si="111"/>
        <v>31-40 Гб</v>
      </c>
    </row>
    <row r="971" spans="1:22" x14ac:dyDescent="0.25">
      <c r="A971" t="s">
        <v>742</v>
      </c>
      <c r="B971" s="43">
        <v>35569</v>
      </c>
      <c r="C971" t="s">
        <v>58</v>
      </c>
      <c r="D971" t="s">
        <v>51</v>
      </c>
      <c r="E971" t="s">
        <v>52</v>
      </c>
      <c r="F971" t="s">
        <v>57</v>
      </c>
      <c r="G971" s="43">
        <v>43174</v>
      </c>
      <c r="H971">
        <v>5</v>
      </c>
      <c r="I971">
        <v>44955</v>
      </c>
      <c r="J971">
        <v>114591725</v>
      </c>
      <c r="P971" s="77">
        <f t="shared" si="105"/>
        <v>1508</v>
      </c>
      <c r="Q971" s="78">
        <f t="shared" si="106"/>
        <v>149.85</v>
      </c>
      <c r="R971" s="78">
        <f t="shared" si="107"/>
        <v>21.856637001037598</v>
      </c>
      <c r="S971" s="78">
        <f t="shared" si="108"/>
        <v>24</v>
      </c>
      <c r="T971" s="78">
        <f t="shared" si="109"/>
        <v>34.965000000000003</v>
      </c>
      <c r="U971" s="78" t="str">
        <f t="shared" si="110"/>
        <v>&lt;35</v>
      </c>
      <c r="V971" s="78" t="str">
        <f t="shared" si="111"/>
        <v>21-30 Гб</v>
      </c>
    </row>
    <row r="972" spans="1:22" x14ac:dyDescent="0.25">
      <c r="A972" t="s">
        <v>112</v>
      </c>
      <c r="B972" s="43">
        <v>35565</v>
      </c>
      <c r="C972" t="s">
        <v>58</v>
      </c>
      <c r="D972" t="s">
        <v>51</v>
      </c>
      <c r="E972" t="s">
        <v>52</v>
      </c>
      <c r="F972" t="s">
        <v>63</v>
      </c>
      <c r="G972" s="43">
        <v>44595</v>
      </c>
      <c r="H972">
        <v>2</v>
      </c>
      <c r="I972">
        <v>27400</v>
      </c>
      <c r="J972">
        <v>68009250</v>
      </c>
      <c r="L972">
        <v>1</v>
      </c>
      <c r="P972" s="77">
        <f t="shared" si="105"/>
        <v>87</v>
      </c>
      <c r="Q972" s="78">
        <f t="shared" si="106"/>
        <v>157.4712643678161</v>
      </c>
      <c r="R972" s="78">
        <f t="shared" si="107"/>
        <v>22.365060345879918</v>
      </c>
      <c r="S972" s="78">
        <f t="shared" si="108"/>
        <v>24</v>
      </c>
      <c r="T972" s="78">
        <f t="shared" si="109"/>
        <v>36.743295019157095</v>
      </c>
      <c r="U972" s="78" t="str">
        <f t="shared" si="110"/>
        <v>35-60</v>
      </c>
      <c r="V972" s="78" t="str">
        <f t="shared" si="111"/>
        <v>21-30 Гб</v>
      </c>
    </row>
    <row r="973" spans="1:22" x14ac:dyDescent="0.25">
      <c r="A973" t="s">
        <v>1066</v>
      </c>
      <c r="B973" s="43">
        <v>35564</v>
      </c>
      <c r="C973" t="s">
        <v>58</v>
      </c>
      <c r="D973" t="s">
        <v>51</v>
      </c>
      <c r="E973" t="s">
        <v>52</v>
      </c>
      <c r="F973" t="s">
        <v>63</v>
      </c>
      <c r="G973" s="43">
        <v>43856</v>
      </c>
      <c r="H973">
        <v>5</v>
      </c>
      <c r="I973">
        <v>8920</v>
      </c>
      <c r="J973">
        <v>156496550</v>
      </c>
      <c r="P973" s="77">
        <f t="shared" si="105"/>
        <v>826</v>
      </c>
      <c r="Q973" s="78">
        <f t="shared" si="106"/>
        <v>29.733333333333334</v>
      </c>
      <c r="R973" s="78">
        <f t="shared" si="107"/>
        <v>29.849348068237305</v>
      </c>
      <c r="S973" s="78">
        <f t="shared" si="108"/>
        <v>24</v>
      </c>
      <c r="T973" s="78">
        <f t="shared" si="109"/>
        <v>6.9377777777777778</v>
      </c>
      <c r="U973" s="78" t="str">
        <f t="shared" si="110"/>
        <v>&lt;35</v>
      </c>
      <c r="V973" s="78" t="str">
        <f t="shared" si="111"/>
        <v>21-30 Гб</v>
      </c>
    </row>
    <row r="974" spans="1:22" x14ac:dyDescent="0.25">
      <c r="A974" t="s">
        <v>233</v>
      </c>
      <c r="B974" s="43">
        <v>35563</v>
      </c>
      <c r="C974" t="s">
        <v>50</v>
      </c>
      <c r="D974" t="s">
        <v>51</v>
      </c>
      <c r="E974" t="s">
        <v>52</v>
      </c>
      <c r="F974" t="s">
        <v>56</v>
      </c>
      <c r="G974" s="43">
        <v>43287</v>
      </c>
      <c r="H974">
        <v>5</v>
      </c>
      <c r="I974">
        <v>130310</v>
      </c>
      <c r="J974">
        <v>69793150</v>
      </c>
      <c r="K974">
        <v>1</v>
      </c>
      <c r="P974" s="77">
        <f t="shared" si="105"/>
        <v>1395</v>
      </c>
      <c r="Q974" s="78">
        <f t="shared" si="106"/>
        <v>434.36666666666667</v>
      </c>
      <c r="R974" s="78">
        <f t="shared" si="107"/>
        <v>13.311986923217773</v>
      </c>
      <c r="S974" s="78">
        <f t="shared" si="108"/>
        <v>24</v>
      </c>
      <c r="T974" s="78">
        <f t="shared" si="109"/>
        <v>101.35222222222222</v>
      </c>
      <c r="U974" s="78" t="str">
        <f t="shared" si="110"/>
        <v>91-120</v>
      </c>
      <c r="V974" s="78" t="str">
        <f t="shared" si="111"/>
        <v>10-20 Гб</v>
      </c>
    </row>
    <row r="975" spans="1:22" x14ac:dyDescent="0.25">
      <c r="A975" t="s">
        <v>650</v>
      </c>
      <c r="B975" s="43">
        <v>35558</v>
      </c>
      <c r="C975" t="s">
        <v>50</v>
      </c>
      <c r="D975" t="s">
        <v>51</v>
      </c>
      <c r="E975" t="s">
        <v>54</v>
      </c>
      <c r="F975" t="s">
        <v>57</v>
      </c>
      <c r="G975" s="43">
        <v>44525</v>
      </c>
      <c r="H975">
        <v>5</v>
      </c>
      <c r="I975">
        <v>64385</v>
      </c>
      <c r="J975">
        <v>117245675</v>
      </c>
      <c r="P975" s="77">
        <f t="shared" si="105"/>
        <v>157</v>
      </c>
      <c r="Q975" s="78">
        <f t="shared" si="106"/>
        <v>214.61666666666667</v>
      </c>
      <c r="R975" s="78">
        <f t="shared" si="107"/>
        <v>22.362837791442871</v>
      </c>
      <c r="S975" s="78">
        <f t="shared" si="108"/>
        <v>24</v>
      </c>
      <c r="T975" s="78">
        <f t="shared" si="109"/>
        <v>50.077222222222218</v>
      </c>
      <c r="U975" s="78" t="str">
        <f t="shared" si="110"/>
        <v>35-60</v>
      </c>
      <c r="V975" s="78" t="str">
        <f t="shared" si="111"/>
        <v>21-30 Гб</v>
      </c>
    </row>
    <row r="976" spans="1:22" x14ac:dyDescent="0.25">
      <c r="A976" t="s">
        <v>867</v>
      </c>
      <c r="B976" s="43">
        <v>35552</v>
      </c>
      <c r="C976" t="s">
        <v>58</v>
      </c>
      <c r="D976" t="s">
        <v>51</v>
      </c>
      <c r="E976" t="s">
        <v>54</v>
      </c>
      <c r="F976" t="s">
        <v>63</v>
      </c>
      <c r="G976" s="43">
        <v>43931</v>
      </c>
      <c r="H976">
        <v>5</v>
      </c>
      <c r="I976">
        <v>32505</v>
      </c>
      <c r="J976">
        <v>124125575</v>
      </c>
      <c r="P976" s="77">
        <f t="shared" si="105"/>
        <v>751</v>
      </c>
      <c r="Q976" s="78">
        <f t="shared" si="106"/>
        <v>108.35</v>
      </c>
      <c r="R976" s="78">
        <f t="shared" si="107"/>
        <v>23.675074577331543</v>
      </c>
      <c r="S976" s="78">
        <f t="shared" si="108"/>
        <v>24</v>
      </c>
      <c r="T976" s="78">
        <f t="shared" si="109"/>
        <v>25.281666666666663</v>
      </c>
      <c r="U976" s="78" t="str">
        <f t="shared" si="110"/>
        <v>&lt;35</v>
      </c>
      <c r="V976" s="78" t="str">
        <f t="shared" si="111"/>
        <v>21-30 Гб</v>
      </c>
    </row>
    <row r="977" spans="1:22" x14ac:dyDescent="0.25">
      <c r="A977" t="s">
        <v>978</v>
      </c>
      <c r="B977" s="43">
        <v>35551</v>
      </c>
      <c r="C977" t="s">
        <v>50</v>
      </c>
      <c r="D977" t="s">
        <v>51</v>
      </c>
      <c r="E977" t="s">
        <v>52</v>
      </c>
      <c r="F977" t="s">
        <v>63</v>
      </c>
      <c r="G977" s="43">
        <v>43210</v>
      </c>
      <c r="H977">
        <v>5</v>
      </c>
      <c r="I977">
        <v>10460</v>
      </c>
      <c r="J977">
        <v>191810550</v>
      </c>
      <c r="P977" s="77">
        <f t="shared" si="105"/>
        <v>1472</v>
      </c>
      <c r="Q977" s="78">
        <f t="shared" si="106"/>
        <v>34.866666666666667</v>
      </c>
      <c r="R977" s="78">
        <f t="shared" si="107"/>
        <v>36.584959030151367</v>
      </c>
      <c r="S977" s="78">
        <f t="shared" si="108"/>
        <v>25</v>
      </c>
      <c r="T977" s="78">
        <f t="shared" si="109"/>
        <v>8.1355555555555554</v>
      </c>
      <c r="U977" s="78" t="str">
        <f t="shared" si="110"/>
        <v>&lt;35</v>
      </c>
      <c r="V977" s="78" t="str">
        <f t="shared" si="111"/>
        <v>31-40 Гб</v>
      </c>
    </row>
    <row r="978" spans="1:22" x14ac:dyDescent="0.25">
      <c r="A978" t="s">
        <v>195</v>
      </c>
      <c r="B978" s="43">
        <v>35550</v>
      </c>
      <c r="C978" t="s">
        <v>58</v>
      </c>
      <c r="D978" t="s">
        <v>51</v>
      </c>
      <c r="E978" t="s">
        <v>54</v>
      </c>
      <c r="F978" t="s">
        <v>53</v>
      </c>
      <c r="G978" s="43">
        <v>43615</v>
      </c>
      <c r="H978">
        <v>5</v>
      </c>
      <c r="I978">
        <v>189250</v>
      </c>
      <c r="J978">
        <v>40082375</v>
      </c>
      <c r="L978">
        <v>1</v>
      </c>
      <c r="P978" s="77">
        <f t="shared" si="105"/>
        <v>1067</v>
      </c>
      <c r="Q978" s="78">
        <f t="shared" si="106"/>
        <v>630.83333333333337</v>
      </c>
      <c r="R978" s="78">
        <f t="shared" si="107"/>
        <v>7.645106315612793</v>
      </c>
      <c r="S978" s="78">
        <f t="shared" si="108"/>
        <v>25</v>
      </c>
      <c r="T978" s="78">
        <f t="shared" si="109"/>
        <v>147.19444444444446</v>
      </c>
      <c r="U978" s="78" t="str">
        <f t="shared" si="110"/>
        <v>120+</v>
      </c>
      <c r="V978" s="78" t="str">
        <f t="shared" si="111"/>
        <v>&lt;10 Гб</v>
      </c>
    </row>
    <row r="979" spans="1:22" x14ac:dyDescent="0.25">
      <c r="A979" t="s">
        <v>882</v>
      </c>
      <c r="B979" s="43">
        <v>35548</v>
      </c>
      <c r="C979" t="s">
        <v>50</v>
      </c>
      <c r="D979" t="s">
        <v>51</v>
      </c>
      <c r="E979" t="s">
        <v>52</v>
      </c>
      <c r="F979" t="s">
        <v>63</v>
      </c>
      <c r="G979" s="43">
        <v>43986</v>
      </c>
      <c r="H979">
        <v>5</v>
      </c>
      <c r="I979">
        <v>32175</v>
      </c>
      <c r="J979">
        <v>183151775</v>
      </c>
      <c r="P979" s="77">
        <f t="shared" si="105"/>
        <v>696</v>
      </c>
      <c r="Q979" s="78">
        <f t="shared" si="106"/>
        <v>107.25</v>
      </c>
      <c r="R979" s="78">
        <f t="shared" si="107"/>
        <v>34.933428764343262</v>
      </c>
      <c r="S979" s="78">
        <f t="shared" si="108"/>
        <v>25</v>
      </c>
      <c r="T979" s="78">
        <f t="shared" si="109"/>
        <v>25.024999999999999</v>
      </c>
      <c r="U979" s="78" t="str">
        <f t="shared" si="110"/>
        <v>&lt;35</v>
      </c>
      <c r="V979" s="78" t="str">
        <f t="shared" si="111"/>
        <v>31-40 Гб</v>
      </c>
    </row>
    <row r="980" spans="1:22" x14ac:dyDescent="0.25">
      <c r="A980" t="s">
        <v>346</v>
      </c>
      <c r="B980" s="43">
        <v>35547</v>
      </c>
      <c r="C980" t="s">
        <v>50</v>
      </c>
      <c r="D980" t="s">
        <v>51</v>
      </c>
      <c r="E980" t="s">
        <v>52</v>
      </c>
      <c r="F980" t="s">
        <v>56</v>
      </c>
      <c r="G980" s="43">
        <v>42736</v>
      </c>
      <c r="H980">
        <v>5</v>
      </c>
      <c r="I980">
        <v>49620</v>
      </c>
      <c r="J980">
        <v>133553625</v>
      </c>
      <c r="P980" s="77">
        <f t="shared" si="105"/>
        <v>1946</v>
      </c>
      <c r="Q980" s="78">
        <f t="shared" si="106"/>
        <v>165.4</v>
      </c>
      <c r="R980" s="78">
        <f t="shared" si="107"/>
        <v>25.473332405090332</v>
      </c>
      <c r="S980" s="78">
        <f t="shared" si="108"/>
        <v>25</v>
      </c>
      <c r="T980" s="78">
        <f t="shared" si="109"/>
        <v>38.593333333333334</v>
      </c>
      <c r="U980" s="78" t="str">
        <f t="shared" si="110"/>
        <v>35-60</v>
      </c>
      <c r="V980" s="78" t="str">
        <f t="shared" si="111"/>
        <v>21-30 Гб</v>
      </c>
    </row>
    <row r="981" spans="1:22" x14ac:dyDescent="0.25">
      <c r="A981" t="s">
        <v>285</v>
      </c>
      <c r="B981" s="43">
        <v>35544</v>
      </c>
      <c r="C981" t="s">
        <v>58</v>
      </c>
      <c r="D981" t="s">
        <v>51</v>
      </c>
      <c r="E981" t="s">
        <v>54</v>
      </c>
      <c r="F981" t="s">
        <v>56</v>
      </c>
      <c r="G981" s="43">
        <v>43071</v>
      </c>
      <c r="H981">
        <v>5</v>
      </c>
      <c r="I981">
        <v>34105</v>
      </c>
      <c r="J981">
        <v>138129300</v>
      </c>
      <c r="L981">
        <v>1</v>
      </c>
      <c r="M981">
        <v>1</v>
      </c>
      <c r="P981" s="77">
        <f t="shared" si="105"/>
        <v>1611</v>
      </c>
      <c r="Q981" s="78">
        <f t="shared" si="106"/>
        <v>113.68333333333334</v>
      </c>
      <c r="R981" s="78">
        <f t="shared" si="107"/>
        <v>26.346073150634766</v>
      </c>
      <c r="S981" s="78">
        <f t="shared" si="108"/>
        <v>25</v>
      </c>
      <c r="T981" s="78">
        <f t="shared" si="109"/>
        <v>26.52611111111111</v>
      </c>
      <c r="U981" s="78" t="str">
        <f t="shared" si="110"/>
        <v>&lt;35</v>
      </c>
      <c r="V981" s="78" t="str">
        <f t="shared" si="111"/>
        <v>21-30 Гб</v>
      </c>
    </row>
    <row r="982" spans="1:22" x14ac:dyDescent="0.25">
      <c r="A982" t="s">
        <v>879</v>
      </c>
      <c r="B982" s="43">
        <v>35544</v>
      </c>
      <c r="C982" t="s">
        <v>50</v>
      </c>
      <c r="D982" t="s">
        <v>51</v>
      </c>
      <c r="E982" t="s">
        <v>52</v>
      </c>
      <c r="F982" t="s">
        <v>63</v>
      </c>
      <c r="G982" s="43">
        <v>43210</v>
      </c>
      <c r="H982">
        <v>5</v>
      </c>
      <c r="I982">
        <v>21200</v>
      </c>
      <c r="J982">
        <v>160765550</v>
      </c>
      <c r="K982">
        <v>1</v>
      </c>
      <c r="O982">
        <v>1</v>
      </c>
      <c r="P982" s="77">
        <f t="shared" si="105"/>
        <v>1472</v>
      </c>
      <c r="Q982" s="78">
        <f t="shared" si="106"/>
        <v>70.666666666666671</v>
      </c>
      <c r="R982" s="78">
        <f t="shared" si="107"/>
        <v>30.663595199584961</v>
      </c>
      <c r="S982" s="78">
        <f t="shared" si="108"/>
        <v>25</v>
      </c>
      <c r="T982" s="78">
        <f t="shared" si="109"/>
        <v>16.488888888888891</v>
      </c>
      <c r="U982" s="78" t="str">
        <f t="shared" si="110"/>
        <v>&lt;35</v>
      </c>
      <c r="V982" s="78" t="str">
        <f t="shared" si="111"/>
        <v>31-40 Гб</v>
      </c>
    </row>
    <row r="983" spans="1:22" x14ac:dyDescent="0.25">
      <c r="A983" t="s">
        <v>429</v>
      </c>
      <c r="B983" s="43">
        <v>35543</v>
      </c>
      <c r="C983" t="s">
        <v>50</v>
      </c>
      <c r="D983" t="s">
        <v>51</v>
      </c>
      <c r="E983" t="s">
        <v>52</v>
      </c>
      <c r="F983" t="s">
        <v>57</v>
      </c>
      <c r="G983" s="43">
        <v>43159</v>
      </c>
      <c r="H983">
        <v>5</v>
      </c>
      <c r="I983">
        <v>255</v>
      </c>
      <c r="J983">
        <v>148620600</v>
      </c>
      <c r="P983" s="77">
        <f t="shared" si="105"/>
        <v>1523</v>
      </c>
      <c r="Q983" s="78">
        <f t="shared" si="106"/>
        <v>0.85</v>
      </c>
      <c r="R983" s="78">
        <f t="shared" si="107"/>
        <v>28.347129821777344</v>
      </c>
      <c r="S983" s="78">
        <f t="shared" si="108"/>
        <v>25</v>
      </c>
      <c r="T983" s="78">
        <f t="shared" si="109"/>
        <v>0.19833333333333333</v>
      </c>
      <c r="U983" s="78" t="str">
        <f t="shared" si="110"/>
        <v>&lt;35</v>
      </c>
      <c r="V983" s="78" t="str">
        <f t="shared" si="111"/>
        <v>21-30 Гб</v>
      </c>
    </row>
    <row r="984" spans="1:22" x14ac:dyDescent="0.25">
      <c r="A984" t="s">
        <v>928</v>
      </c>
      <c r="B984" s="43">
        <v>35543</v>
      </c>
      <c r="C984" t="s">
        <v>58</v>
      </c>
      <c r="D984" t="s">
        <v>51</v>
      </c>
      <c r="E984" t="s">
        <v>54</v>
      </c>
      <c r="F984" t="s">
        <v>63</v>
      </c>
      <c r="G984" s="43">
        <v>43319</v>
      </c>
      <c r="H984">
        <v>5</v>
      </c>
      <c r="I984">
        <v>12050</v>
      </c>
      <c r="J984">
        <v>55477800</v>
      </c>
      <c r="P984" s="77">
        <f t="shared" si="105"/>
        <v>1363</v>
      </c>
      <c r="Q984" s="78">
        <f t="shared" si="106"/>
        <v>40.166666666666664</v>
      </c>
      <c r="R984" s="78">
        <f t="shared" si="107"/>
        <v>10.581550598144531</v>
      </c>
      <c r="S984" s="78">
        <f t="shared" si="108"/>
        <v>25</v>
      </c>
      <c r="T984" s="78">
        <f t="shared" si="109"/>
        <v>9.3722222222222218</v>
      </c>
      <c r="U984" s="78" t="str">
        <f t="shared" si="110"/>
        <v>&lt;35</v>
      </c>
      <c r="V984" s="78" t="str">
        <f t="shared" si="111"/>
        <v>10-20 Гб</v>
      </c>
    </row>
    <row r="985" spans="1:22" x14ac:dyDescent="0.25">
      <c r="A985" t="s">
        <v>1164</v>
      </c>
      <c r="B985" s="43">
        <v>35541</v>
      </c>
      <c r="C985" t="s">
        <v>50</v>
      </c>
      <c r="D985" t="s">
        <v>51</v>
      </c>
      <c r="E985" t="s">
        <v>52</v>
      </c>
      <c r="F985" t="s">
        <v>69</v>
      </c>
      <c r="G985" s="43">
        <v>44137</v>
      </c>
      <c r="H985">
        <v>5</v>
      </c>
      <c r="I985">
        <v>45665</v>
      </c>
      <c r="J985">
        <v>16671300</v>
      </c>
      <c r="P985" s="77">
        <f t="shared" si="105"/>
        <v>545</v>
      </c>
      <c r="Q985" s="78">
        <f t="shared" si="106"/>
        <v>152.21666666666667</v>
      </c>
      <c r="R985" s="78">
        <f t="shared" si="107"/>
        <v>3.1797981262207031</v>
      </c>
      <c r="S985" s="78">
        <f t="shared" si="108"/>
        <v>25</v>
      </c>
      <c r="T985" s="78">
        <f t="shared" si="109"/>
        <v>35.517222222222223</v>
      </c>
      <c r="U985" s="78" t="str">
        <f t="shared" si="110"/>
        <v>35-60</v>
      </c>
      <c r="V985" s="78" t="str">
        <f t="shared" si="111"/>
        <v>&lt;10 Гб</v>
      </c>
    </row>
    <row r="986" spans="1:22" x14ac:dyDescent="0.25">
      <c r="A986" t="s">
        <v>1003</v>
      </c>
      <c r="B986" s="43">
        <v>35537</v>
      </c>
      <c r="C986" t="s">
        <v>50</v>
      </c>
      <c r="D986" t="s">
        <v>51</v>
      </c>
      <c r="E986" t="s">
        <v>54</v>
      </c>
      <c r="F986" t="s">
        <v>63</v>
      </c>
      <c r="G986" s="43">
        <v>44466</v>
      </c>
      <c r="H986">
        <v>5</v>
      </c>
      <c r="I986">
        <v>3845</v>
      </c>
      <c r="J986">
        <v>90471450</v>
      </c>
      <c r="L986">
        <v>1</v>
      </c>
      <c r="P986" s="77">
        <f t="shared" si="105"/>
        <v>216</v>
      </c>
      <c r="Q986" s="78">
        <f t="shared" si="106"/>
        <v>12.816666666666666</v>
      </c>
      <c r="R986" s="78">
        <f t="shared" si="107"/>
        <v>17.256059646606445</v>
      </c>
      <c r="S986" s="78">
        <f t="shared" si="108"/>
        <v>25</v>
      </c>
      <c r="T986" s="78">
        <f t="shared" si="109"/>
        <v>2.9905555555555554</v>
      </c>
      <c r="U986" s="78" t="str">
        <f t="shared" si="110"/>
        <v>&lt;35</v>
      </c>
      <c r="V986" s="78" t="str">
        <f t="shared" si="111"/>
        <v>10-20 Гб</v>
      </c>
    </row>
    <row r="987" spans="1:22" x14ac:dyDescent="0.25">
      <c r="A987" t="s">
        <v>290</v>
      </c>
      <c r="B987" s="43">
        <v>35535</v>
      </c>
      <c r="C987" t="s">
        <v>58</v>
      </c>
      <c r="D987" t="s">
        <v>51</v>
      </c>
      <c r="E987" t="s">
        <v>52</v>
      </c>
      <c r="F987" t="s">
        <v>56</v>
      </c>
      <c r="G987" s="43">
        <v>43288</v>
      </c>
      <c r="H987">
        <v>5</v>
      </c>
      <c r="I987">
        <v>122180</v>
      </c>
      <c r="J987">
        <v>143278825</v>
      </c>
      <c r="P987" s="77">
        <f t="shared" si="105"/>
        <v>1394</v>
      </c>
      <c r="Q987" s="78">
        <f t="shared" si="106"/>
        <v>407.26666666666665</v>
      </c>
      <c r="R987" s="78">
        <f t="shared" si="107"/>
        <v>27.328267097473145</v>
      </c>
      <c r="S987" s="78">
        <f t="shared" si="108"/>
        <v>25</v>
      </c>
      <c r="T987" s="78">
        <f t="shared" si="109"/>
        <v>95.028888888888886</v>
      </c>
      <c r="U987" s="78" t="str">
        <f t="shared" si="110"/>
        <v>91-120</v>
      </c>
      <c r="V987" s="78" t="str">
        <f t="shared" si="111"/>
        <v>21-30 Гб</v>
      </c>
    </row>
    <row r="988" spans="1:22" x14ac:dyDescent="0.25">
      <c r="A988" t="s">
        <v>261</v>
      </c>
      <c r="B988" s="43">
        <v>35534</v>
      </c>
      <c r="C988" t="s">
        <v>58</v>
      </c>
      <c r="D988" t="s">
        <v>51</v>
      </c>
      <c r="E988" t="s">
        <v>52</v>
      </c>
      <c r="F988" t="s">
        <v>56</v>
      </c>
      <c r="G988" s="43">
        <v>44297</v>
      </c>
      <c r="H988">
        <v>5</v>
      </c>
      <c r="I988">
        <v>110025</v>
      </c>
      <c r="J988">
        <v>147303750</v>
      </c>
      <c r="N988">
        <v>1</v>
      </c>
      <c r="P988" s="77">
        <f t="shared" si="105"/>
        <v>385</v>
      </c>
      <c r="Q988" s="78">
        <f t="shared" si="106"/>
        <v>366.75</v>
      </c>
      <c r="R988" s="78">
        <f t="shared" si="107"/>
        <v>28.09596061706543</v>
      </c>
      <c r="S988" s="78">
        <f t="shared" si="108"/>
        <v>25</v>
      </c>
      <c r="T988" s="78">
        <f t="shared" si="109"/>
        <v>85.575000000000003</v>
      </c>
      <c r="U988" s="78" t="str">
        <f t="shared" si="110"/>
        <v>61-90</v>
      </c>
      <c r="V988" s="78" t="str">
        <f t="shared" si="111"/>
        <v>21-30 Гб</v>
      </c>
    </row>
    <row r="989" spans="1:22" x14ac:dyDescent="0.25">
      <c r="A989" t="s">
        <v>768</v>
      </c>
      <c r="B989" s="43">
        <v>35531</v>
      </c>
      <c r="C989" t="s">
        <v>58</v>
      </c>
      <c r="D989" t="s">
        <v>51</v>
      </c>
      <c r="E989" t="s">
        <v>52</v>
      </c>
      <c r="F989" t="s">
        <v>57</v>
      </c>
      <c r="G989" s="43">
        <v>44183</v>
      </c>
      <c r="H989">
        <v>5</v>
      </c>
      <c r="I989">
        <v>74815</v>
      </c>
      <c r="J989">
        <v>126296950</v>
      </c>
      <c r="P989" s="77">
        <f t="shared" si="105"/>
        <v>499</v>
      </c>
      <c r="Q989" s="78">
        <f t="shared" si="106"/>
        <v>249.38333333333333</v>
      </c>
      <c r="R989" s="78">
        <f t="shared" si="107"/>
        <v>24.089231491088867</v>
      </c>
      <c r="S989" s="78">
        <f t="shared" si="108"/>
        <v>25</v>
      </c>
      <c r="T989" s="78">
        <f t="shared" si="109"/>
        <v>58.189444444444447</v>
      </c>
      <c r="U989" s="78" t="str">
        <f t="shared" si="110"/>
        <v>35-60</v>
      </c>
      <c r="V989" s="78" t="str">
        <f t="shared" si="111"/>
        <v>21-30 Гб</v>
      </c>
    </row>
    <row r="990" spans="1:22" x14ac:dyDescent="0.25">
      <c r="A990" t="s">
        <v>262</v>
      </c>
      <c r="B990" s="43">
        <v>35528</v>
      </c>
      <c r="C990" t="s">
        <v>50</v>
      </c>
      <c r="D990" t="s">
        <v>51</v>
      </c>
      <c r="E990" t="s">
        <v>54</v>
      </c>
      <c r="F990" t="s">
        <v>56</v>
      </c>
      <c r="G990" s="43">
        <v>44098</v>
      </c>
      <c r="H990">
        <v>5</v>
      </c>
      <c r="I990">
        <v>108140</v>
      </c>
      <c r="J990">
        <v>55501375</v>
      </c>
      <c r="M990">
        <v>1</v>
      </c>
      <c r="P990" s="77">
        <f t="shared" si="105"/>
        <v>584</v>
      </c>
      <c r="Q990" s="78">
        <f t="shared" si="106"/>
        <v>360.46666666666664</v>
      </c>
      <c r="R990" s="78">
        <f t="shared" si="107"/>
        <v>10.586047172546387</v>
      </c>
      <c r="S990" s="78">
        <f t="shared" si="108"/>
        <v>25</v>
      </c>
      <c r="T990" s="78">
        <f t="shared" si="109"/>
        <v>84.108888888888885</v>
      </c>
      <c r="U990" s="78" t="str">
        <f t="shared" si="110"/>
        <v>61-90</v>
      </c>
      <c r="V990" s="78" t="str">
        <f t="shared" si="111"/>
        <v>10-20 Гб</v>
      </c>
    </row>
    <row r="991" spans="1:22" x14ac:dyDescent="0.25">
      <c r="A991" t="s">
        <v>658</v>
      </c>
      <c r="B991" s="43">
        <v>35520</v>
      </c>
      <c r="C991" t="s">
        <v>50</v>
      </c>
      <c r="D991" t="s">
        <v>51</v>
      </c>
      <c r="E991" t="s">
        <v>52</v>
      </c>
      <c r="F991" t="s">
        <v>57</v>
      </c>
      <c r="G991" s="43">
        <v>43656</v>
      </c>
      <c r="H991">
        <v>5</v>
      </c>
      <c r="I991">
        <v>11970</v>
      </c>
      <c r="J991">
        <v>123018575</v>
      </c>
      <c r="K991">
        <v>1</v>
      </c>
      <c r="N991">
        <v>1</v>
      </c>
      <c r="P991" s="77">
        <f t="shared" si="105"/>
        <v>1026</v>
      </c>
      <c r="Q991" s="78">
        <f t="shared" si="106"/>
        <v>39.9</v>
      </c>
      <c r="R991" s="78">
        <f t="shared" si="107"/>
        <v>23.463931083679199</v>
      </c>
      <c r="S991" s="78">
        <f t="shared" si="108"/>
        <v>25</v>
      </c>
      <c r="T991" s="78">
        <f t="shared" si="109"/>
        <v>9.31</v>
      </c>
      <c r="U991" s="78" t="str">
        <f t="shared" si="110"/>
        <v>&lt;35</v>
      </c>
      <c r="V991" s="78" t="str">
        <f t="shared" si="111"/>
        <v>21-30 Гб</v>
      </c>
    </row>
    <row r="992" spans="1:22" x14ac:dyDescent="0.25">
      <c r="A992" t="s">
        <v>554</v>
      </c>
      <c r="B992" s="43">
        <v>35514</v>
      </c>
      <c r="C992" t="s">
        <v>50</v>
      </c>
      <c r="D992" t="s">
        <v>51</v>
      </c>
      <c r="E992" t="s">
        <v>54</v>
      </c>
      <c r="F992" t="s">
        <v>57</v>
      </c>
      <c r="G992" s="43">
        <v>44407</v>
      </c>
      <c r="H992">
        <v>5</v>
      </c>
      <c r="I992">
        <v>56580</v>
      </c>
      <c r="J992">
        <v>110944275</v>
      </c>
      <c r="P992" s="77">
        <f t="shared" si="105"/>
        <v>275</v>
      </c>
      <c r="Q992" s="78">
        <f t="shared" si="106"/>
        <v>188.6</v>
      </c>
      <c r="R992" s="78">
        <f t="shared" si="107"/>
        <v>21.160941123962402</v>
      </c>
      <c r="S992" s="78">
        <f t="shared" si="108"/>
        <v>25</v>
      </c>
      <c r="T992" s="78">
        <f t="shared" si="109"/>
        <v>44.006666666666668</v>
      </c>
      <c r="U992" s="78" t="str">
        <f t="shared" si="110"/>
        <v>35-60</v>
      </c>
      <c r="V992" s="78" t="str">
        <f t="shared" si="111"/>
        <v>21-30 Гб</v>
      </c>
    </row>
    <row r="993" spans="1:22" x14ac:dyDescent="0.25">
      <c r="A993" t="s">
        <v>806</v>
      </c>
      <c r="B993" s="43">
        <v>35514</v>
      </c>
      <c r="C993" t="s">
        <v>50</v>
      </c>
      <c r="D993" t="s">
        <v>51</v>
      </c>
      <c r="E993" t="s">
        <v>52</v>
      </c>
      <c r="F993" t="s">
        <v>57</v>
      </c>
      <c r="G993" s="43">
        <v>43535</v>
      </c>
      <c r="H993">
        <v>5</v>
      </c>
      <c r="I993">
        <v>18590</v>
      </c>
      <c r="J993">
        <v>130201100</v>
      </c>
      <c r="L993">
        <v>1</v>
      </c>
      <c r="P993" s="77">
        <f t="shared" si="105"/>
        <v>1147</v>
      </c>
      <c r="Q993" s="78">
        <f t="shared" si="106"/>
        <v>61.966666666666669</v>
      </c>
      <c r="R993" s="78">
        <f t="shared" si="107"/>
        <v>24.833889007568359</v>
      </c>
      <c r="S993" s="78">
        <f t="shared" si="108"/>
        <v>25</v>
      </c>
      <c r="T993" s="78">
        <f t="shared" si="109"/>
        <v>14.458888888888888</v>
      </c>
      <c r="U993" s="78" t="str">
        <f t="shared" si="110"/>
        <v>&lt;35</v>
      </c>
      <c r="V993" s="78" t="str">
        <f t="shared" si="111"/>
        <v>21-30 Гб</v>
      </c>
    </row>
    <row r="994" spans="1:22" x14ac:dyDescent="0.25">
      <c r="A994" t="s">
        <v>138</v>
      </c>
      <c r="B994" s="43">
        <v>35511</v>
      </c>
      <c r="C994" t="s">
        <v>58</v>
      </c>
      <c r="D994" t="s">
        <v>51</v>
      </c>
      <c r="E994" t="s">
        <v>52</v>
      </c>
      <c r="F994" t="s">
        <v>53</v>
      </c>
      <c r="G994" s="43">
        <v>44545</v>
      </c>
      <c r="H994">
        <v>4</v>
      </c>
      <c r="I994">
        <v>170660</v>
      </c>
      <c r="J994">
        <v>264740200</v>
      </c>
      <c r="M994">
        <v>1</v>
      </c>
      <c r="P994" s="77">
        <f t="shared" si="105"/>
        <v>137</v>
      </c>
      <c r="Q994" s="78">
        <f t="shared" si="106"/>
        <v>568.86666666666667</v>
      </c>
      <c r="R994" s="78">
        <f t="shared" si="107"/>
        <v>50.495185852050781</v>
      </c>
      <c r="S994" s="78">
        <f t="shared" si="108"/>
        <v>25</v>
      </c>
      <c r="T994" s="78">
        <f t="shared" si="109"/>
        <v>132.73555555555555</v>
      </c>
      <c r="U994" s="78" t="str">
        <f t="shared" si="110"/>
        <v>120+</v>
      </c>
      <c r="V994" s="78" t="str">
        <f t="shared" si="111"/>
        <v>40+ Гб</v>
      </c>
    </row>
    <row r="995" spans="1:22" x14ac:dyDescent="0.25">
      <c r="A995" t="s">
        <v>167</v>
      </c>
      <c r="B995" s="43">
        <v>35506</v>
      </c>
      <c r="C995" t="s">
        <v>58</v>
      </c>
      <c r="D995" t="s">
        <v>51</v>
      </c>
      <c r="E995" t="s">
        <v>52</v>
      </c>
      <c r="F995" t="s">
        <v>53</v>
      </c>
      <c r="G995" s="43">
        <v>43234</v>
      </c>
      <c r="H995">
        <v>5</v>
      </c>
      <c r="I995">
        <v>123180</v>
      </c>
      <c r="J995">
        <v>226956725</v>
      </c>
      <c r="P995" s="77">
        <f t="shared" si="105"/>
        <v>1448</v>
      </c>
      <c r="Q995" s="78">
        <f t="shared" si="106"/>
        <v>410.6</v>
      </c>
      <c r="R995" s="78">
        <f t="shared" si="107"/>
        <v>43.288559913635254</v>
      </c>
      <c r="S995" s="78">
        <f t="shared" si="108"/>
        <v>25</v>
      </c>
      <c r="T995" s="78">
        <f t="shared" si="109"/>
        <v>95.806666666666672</v>
      </c>
      <c r="U995" s="78" t="str">
        <f t="shared" si="110"/>
        <v>91-120</v>
      </c>
      <c r="V995" s="78" t="str">
        <f t="shared" si="111"/>
        <v>40+ Гб</v>
      </c>
    </row>
    <row r="996" spans="1:22" x14ac:dyDescent="0.25">
      <c r="A996" t="s">
        <v>362</v>
      </c>
      <c r="B996" s="43">
        <v>35501</v>
      </c>
      <c r="C996" t="s">
        <v>50</v>
      </c>
      <c r="D996" t="s">
        <v>51</v>
      </c>
      <c r="E996" t="s">
        <v>52</v>
      </c>
      <c r="F996" t="s">
        <v>56</v>
      </c>
      <c r="G996" s="43">
        <v>43552</v>
      </c>
      <c r="H996">
        <v>5</v>
      </c>
      <c r="I996">
        <v>132415</v>
      </c>
      <c r="J996">
        <v>162473875</v>
      </c>
      <c r="P996" s="77">
        <f t="shared" si="105"/>
        <v>1130</v>
      </c>
      <c r="Q996" s="78">
        <f t="shared" si="106"/>
        <v>441.38333333333333</v>
      </c>
      <c r="R996" s="78">
        <f t="shared" si="107"/>
        <v>30.989432334899902</v>
      </c>
      <c r="S996" s="78">
        <f t="shared" si="108"/>
        <v>25</v>
      </c>
      <c r="T996" s="78">
        <f t="shared" si="109"/>
        <v>102.98944444444444</v>
      </c>
      <c r="U996" s="78" t="str">
        <f t="shared" si="110"/>
        <v>91-120</v>
      </c>
      <c r="V996" s="78" t="str">
        <f t="shared" si="111"/>
        <v>31-40 Гб</v>
      </c>
    </row>
    <row r="997" spans="1:22" x14ac:dyDescent="0.25">
      <c r="A997" t="s">
        <v>747</v>
      </c>
      <c r="B997" s="43">
        <v>35499</v>
      </c>
      <c r="C997" t="s">
        <v>58</v>
      </c>
      <c r="D997" t="s">
        <v>51</v>
      </c>
      <c r="E997" t="s">
        <v>54</v>
      </c>
      <c r="F997" t="s">
        <v>57</v>
      </c>
      <c r="G997" s="43">
        <v>43166</v>
      </c>
      <c r="H997">
        <v>5</v>
      </c>
      <c r="I997">
        <v>56380</v>
      </c>
      <c r="J997">
        <v>143590750</v>
      </c>
      <c r="K997">
        <v>1</v>
      </c>
      <c r="O997">
        <v>1</v>
      </c>
      <c r="P997" s="77">
        <f t="shared" si="105"/>
        <v>1516</v>
      </c>
      <c r="Q997" s="78">
        <f t="shared" si="106"/>
        <v>187.93333333333334</v>
      </c>
      <c r="R997" s="78">
        <f t="shared" si="107"/>
        <v>27.387762069702148</v>
      </c>
      <c r="S997" s="78">
        <f t="shared" si="108"/>
        <v>25</v>
      </c>
      <c r="T997" s="78">
        <f t="shared" si="109"/>
        <v>43.851111111111109</v>
      </c>
      <c r="U997" s="78" t="str">
        <f t="shared" si="110"/>
        <v>35-60</v>
      </c>
      <c r="V997" s="78" t="str">
        <f t="shared" si="111"/>
        <v>21-30 Гб</v>
      </c>
    </row>
    <row r="998" spans="1:22" x14ac:dyDescent="0.25">
      <c r="A998" t="s">
        <v>128</v>
      </c>
      <c r="B998" s="43">
        <v>35497</v>
      </c>
      <c r="C998" t="s">
        <v>50</v>
      </c>
      <c r="D998" t="s">
        <v>51</v>
      </c>
      <c r="E998" t="s">
        <v>52</v>
      </c>
      <c r="F998" t="s">
        <v>63</v>
      </c>
      <c r="G998" s="43">
        <v>44578</v>
      </c>
      <c r="H998">
        <v>3</v>
      </c>
      <c r="I998">
        <v>14820</v>
      </c>
      <c r="J998">
        <v>302948525</v>
      </c>
      <c r="K998">
        <v>1</v>
      </c>
      <c r="P998" s="77">
        <f t="shared" si="105"/>
        <v>104</v>
      </c>
      <c r="Q998" s="78">
        <f t="shared" si="106"/>
        <v>71.25</v>
      </c>
      <c r="R998" s="78">
        <f t="shared" si="107"/>
        <v>83.340642543939438</v>
      </c>
      <c r="S998" s="78">
        <f t="shared" si="108"/>
        <v>25</v>
      </c>
      <c r="T998" s="78">
        <f t="shared" si="109"/>
        <v>16.625</v>
      </c>
      <c r="U998" s="78" t="str">
        <f t="shared" si="110"/>
        <v>&lt;35</v>
      </c>
      <c r="V998" s="78" t="str">
        <f t="shared" si="111"/>
        <v>40+ Гб</v>
      </c>
    </row>
    <row r="999" spans="1:22" x14ac:dyDescent="0.25">
      <c r="A999" t="s">
        <v>497</v>
      </c>
      <c r="B999" s="43">
        <v>35490</v>
      </c>
      <c r="C999" t="s">
        <v>50</v>
      </c>
      <c r="D999" t="s">
        <v>51</v>
      </c>
      <c r="E999" t="s">
        <v>52</v>
      </c>
      <c r="F999" t="s">
        <v>57</v>
      </c>
      <c r="G999" s="43">
        <v>44449</v>
      </c>
      <c r="H999">
        <v>5</v>
      </c>
      <c r="I999">
        <v>81695</v>
      </c>
      <c r="J999">
        <v>57231275</v>
      </c>
      <c r="P999" s="77">
        <f t="shared" si="105"/>
        <v>233</v>
      </c>
      <c r="Q999" s="78">
        <f t="shared" si="106"/>
        <v>272.31666666666666</v>
      </c>
      <c r="R999" s="78">
        <f t="shared" si="107"/>
        <v>10.915999412536621</v>
      </c>
      <c r="S999" s="78">
        <f t="shared" si="108"/>
        <v>25</v>
      </c>
      <c r="T999" s="78">
        <f t="shared" si="109"/>
        <v>63.540555555555557</v>
      </c>
      <c r="U999" s="78" t="str">
        <f t="shared" si="110"/>
        <v>61-90</v>
      </c>
      <c r="V999" s="78" t="str">
        <f t="shared" si="111"/>
        <v>10-20 Гб</v>
      </c>
    </row>
    <row r="1000" spans="1:22" x14ac:dyDescent="0.25">
      <c r="A1000" t="s">
        <v>840</v>
      </c>
      <c r="B1000" s="43">
        <v>35487</v>
      </c>
      <c r="C1000" t="s">
        <v>50</v>
      </c>
      <c r="D1000" t="s">
        <v>51</v>
      </c>
      <c r="E1000" t="s">
        <v>54</v>
      </c>
      <c r="F1000" t="s">
        <v>63</v>
      </c>
      <c r="G1000" s="43">
        <v>43215</v>
      </c>
      <c r="H1000">
        <v>5</v>
      </c>
      <c r="I1000">
        <v>18110</v>
      </c>
      <c r="J1000">
        <v>156551225</v>
      </c>
      <c r="M1000">
        <v>1</v>
      </c>
      <c r="P1000" s="77">
        <f t="shared" si="105"/>
        <v>1467</v>
      </c>
      <c r="Q1000" s="78">
        <f t="shared" si="106"/>
        <v>60.366666666666667</v>
      </c>
      <c r="R1000" s="78">
        <f t="shared" si="107"/>
        <v>29.859776496887207</v>
      </c>
      <c r="S1000" s="78">
        <f t="shared" si="108"/>
        <v>25</v>
      </c>
      <c r="T1000" s="78">
        <f t="shared" si="109"/>
        <v>14.085555555555555</v>
      </c>
      <c r="U1000" s="78" t="str">
        <f t="shared" si="110"/>
        <v>&lt;35</v>
      </c>
      <c r="V1000" s="78" t="str">
        <f t="shared" si="111"/>
        <v>21-30 Гб</v>
      </c>
    </row>
    <row r="1001" spans="1:22" x14ac:dyDescent="0.25">
      <c r="A1001" t="s">
        <v>726</v>
      </c>
      <c r="B1001" s="43">
        <v>35484</v>
      </c>
      <c r="C1001" t="s">
        <v>50</v>
      </c>
      <c r="D1001" t="s">
        <v>51</v>
      </c>
      <c r="E1001" t="s">
        <v>52</v>
      </c>
      <c r="F1001" t="s">
        <v>57</v>
      </c>
      <c r="G1001" s="43">
        <v>43979</v>
      </c>
      <c r="H1001">
        <v>5</v>
      </c>
      <c r="I1001">
        <v>40035</v>
      </c>
      <c r="J1001">
        <v>128453625</v>
      </c>
      <c r="P1001" s="77">
        <f t="shared" si="105"/>
        <v>703</v>
      </c>
      <c r="Q1001" s="78">
        <f t="shared" si="106"/>
        <v>133.44999999999999</v>
      </c>
      <c r="R1001" s="78">
        <f t="shared" si="107"/>
        <v>24.500584602355957</v>
      </c>
      <c r="S1001" s="78">
        <f t="shared" si="108"/>
        <v>25</v>
      </c>
      <c r="T1001" s="78">
        <f t="shared" si="109"/>
        <v>31.138333333333328</v>
      </c>
      <c r="U1001" s="78" t="str">
        <f t="shared" si="110"/>
        <v>&lt;35</v>
      </c>
      <c r="V1001" s="78" t="str">
        <f t="shared" si="111"/>
        <v>21-30 Гб</v>
      </c>
    </row>
    <row r="1002" spans="1:22" x14ac:dyDescent="0.25">
      <c r="A1002" t="s">
        <v>915</v>
      </c>
      <c r="B1002" s="43">
        <v>35482</v>
      </c>
      <c r="C1002" t="s">
        <v>58</v>
      </c>
      <c r="D1002" t="s">
        <v>51</v>
      </c>
      <c r="E1002" t="s">
        <v>54</v>
      </c>
      <c r="F1002" t="s">
        <v>63</v>
      </c>
      <c r="G1002" s="43">
        <v>43190</v>
      </c>
      <c r="H1002">
        <v>5</v>
      </c>
      <c r="I1002">
        <v>9230</v>
      </c>
      <c r="J1002">
        <v>164447400</v>
      </c>
      <c r="P1002" s="77">
        <f t="shared" si="105"/>
        <v>1492</v>
      </c>
      <c r="Q1002" s="78">
        <f t="shared" si="106"/>
        <v>30.766666666666666</v>
      </c>
      <c r="R1002" s="78">
        <f t="shared" si="107"/>
        <v>31.365852355957031</v>
      </c>
      <c r="S1002" s="78">
        <f t="shared" si="108"/>
        <v>25</v>
      </c>
      <c r="T1002" s="78">
        <f t="shared" si="109"/>
        <v>7.1788888888888893</v>
      </c>
      <c r="U1002" s="78" t="str">
        <f t="shared" si="110"/>
        <v>&lt;35</v>
      </c>
      <c r="V1002" s="78" t="str">
        <f t="shared" si="111"/>
        <v>31-40 Гб</v>
      </c>
    </row>
    <row r="1003" spans="1:22" x14ac:dyDescent="0.25">
      <c r="A1003" t="s">
        <v>190</v>
      </c>
      <c r="B1003" s="43">
        <v>35478</v>
      </c>
      <c r="C1003" t="s">
        <v>50</v>
      </c>
      <c r="D1003" t="s">
        <v>51</v>
      </c>
      <c r="E1003" t="s">
        <v>52</v>
      </c>
      <c r="F1003" t="s">
        <v>53</v>
      </c>
      <c r="G1003" s="43">
        <v>43830</v>
      </c>
      <c r="H1003">
        <v>5</v>
      </c>
      <c r="I1003">
        <v>169500</v>
      </c>
      <c r="J1003">
        <v>126435650</v>
      </c>
      <c r="P1003" s="77">
        <f t="shared" si="105"/>
        <v>852</v>
      </c>
      <c r="Q1003" s="78">
        <f t="shared" si="106"/>
        <v>565</v>
      </c>
      <c r="R1003" s="78">
        <f t="shared" si="107"/>
        <v>24.115686416625977</v>
      </c>
      <c r="S1003" s="78">
        <f t="shared" si="108"/>
        <v>25</v>
      </c>
      <c r="T1003" s="78">
        <f t="shared" si="109"/>
        <v>131.83333333333334</v>
      </c>
      <c r="U1003" s="78" t="str">
        <f t="shared" si="110"/>
        <v>120+</v>
      </c>
      <c r="V1003" s="78" t="str">
        <f t="shared" si="111"/>
        <v>21-30 Гб</v>
      </c>
    </row>
    <row r="1004" spans="1:22" x14ac:dyDescent="0.25">
      <c r="A1004" t="s">
        <v>634</v>
      </c>
      <c r="B1004" s="43">
        <v>35478</v>
      </c>
      <c r="C1004" t="s">
        <v>50</v>
      </c>
      <c r="D1004" t="s">
        <v>51</v>
      </c>
      <c r="E1004" t="s">
        <v>54</v>
      </c>
      <c r="F1004" t="s">
        <v>57</v>
      </c>
      <c r="G1004" s="43">
        <v>42940</v>
      </c>
      <c r="H1004">
        <v>5</v>
      </c>
      <c r="I1004">
        <v>77130</v>
      </c>
      <c r="J1004">
        <v>46794675</v>
      </c>
      <c r="L1004">
        <v>1</v>
      </c>
      <c r="P1004" s="77">
        <f t="shared" si="105"/>
        <v>1742</v>
      </c>
      <c r="Q1004" s="78">
        <f t="shared" si="106"/>
        <v>257.10000000000002</v>
      </c>
      <c r="R1004" s="78">
        <f t="shared" si="107"/>
        <v>8.9253759384155273</v>
      </c>
      <c r="S1004" s="78">
        <f t="shared" si="108"/>
        <v>25</v>
      </c>
      <c r="T1004" s="78">
        <f t="shared" si="109"/>
        <v>59.990000000000009</v>
      </c>
      <c r="U1004" s="78" t="str">
        <f t="shared" si="110"/>
        <v>35-60</v>
      </c>
      <c r="V1004" s="78" t="str">
        <f t="shared" si="111"/>
        <v>&lt;10 Гб</v>
      </c>
    </row>
    <row r="1005" spans="1:22" x14ac:dyDescent="0.25">
      <c r="A1005" t="s">
        <v>647</v>
      </c>
      <c r="B1005" s="43">
        <v>35474</v>
      </c>
      <c r="C1005" t="s">
        <v>50</v>
      </c>
      <c r="D1005" t="s">
        <v>51</v>
      </c>
      <c r="E1005" t="s">
        <v>52</v>
      </c>
      <c r="F1005" t="s">
        <v>57</v>
      </c>
      <c r="G1005" s="43">
        <v>42960</v>
      </c>
      <c r="H1005">
        <v>5</v>
      </c>
      <c r="I1005">
        <v>71095</v>
      </c>
      <c r="J1005">
        <v>112642525</v>
      </c>
      <c r="O1005">
        <v>1</v>
      </c>
      <c r="P1005" s="77">
        <f t="shared" si="105"/>
        <v>1722</v>
      </c>
      <c r="Q1005" s="78">
        <f t="shared" si="106"/>
        <v>236.98333333333332</v>
      </c>
      <c r="R1005" s="78">
        <f t="shared" si="107"/>
        <v>21.484856605529785</v>
      </c>
      <c r="S1005" s="78">
        <f t="shared" si="108"/>
        <v>25</v>
      </c>
      <c r="T1005" s="78">
        <f t="shared" si="109"/>
        <v>55.296111111111109</v>
      </c>
      <c r="U1005" s="78" t="str">
        <f t="shared" si="110"/>
        <v>35-60</v>
      </c>
      <c r="V1005" s="78" t="str">
        <f t="shared" si="111"/>
        <v>21-30 Гб</v>
      </c>
    </row>
    <row r="1006" spans="1:22" x14ac:dyDescent="0.25">
      <c r="A1006" t="s">
        <v>801</v>
      </c>
      <c r="B1006" s="43">
        <v>35473</v>
      </c>
      <c r="C1006" t="s">
        <v>58</v>
      </c>
      <c r="D1006" t="s">
        <v>51</v>
      </c>
      <c r="E1006" t="s">
        <v>54</v>
      </c>
      <c r="F1006" t="s">
        <v>57</v>
      </c>
      <c r="G1006" s="43">
        <v>43330</v>
      </c>
      <c r="H1006">
        <v>5</v>
      </c>
      <c r="I1006">
        <v>26400</v>
      </c>
      <c r="J1006">
        <v>113637700</v>
      </c>
      <c r="P1006" s="77">
        <f t="shared" si="105"/>
        <v>1352</v>
      </c>
      <c r="Q1006" s="78">
        <f t="shared" si="106"/>
        <v>88</v>
      </c>
      <c r="R1006" s="78">
        <f t="shared" si="107"/>
        <v>21.674671173095703</v>
      </c>
      <c r="S1006" s="78">
        <f t="shared" si="108"/>
        <v>25</v>
      </c>
      <c r="T1006" s="78">
        <f t="shared" si="109"/>
        <v>20.533333333333335</v>
      </c>
      <c r="U1006" s="78" t="str">
        <f t="shared" si="110"/>
        <v>&lt;35</v>
      </c>
      <c r="V1006" s="78" t="str">
        <f t="shared" si="111"/>
        <v>21-30 Гб</v>
      </c>
    </row>
    <row r="1007" spans="1:22" x14ac:dyDescent="0.25">
      <c r="A1007" t="s">
        <v>1095</v>
      </c>
      <c r="B1007" s="43">
        <v>35473</v>
      </c>
      <c r="C1007" t="s">
        <v>50</v>
      </c>
      <c r="D1007" t="s">
        <v>51</v>
      </c>
      <c r="E1007" t="s">
        <v>54</v>
      </c>
      <c r="F1007" t="s">
        <v>63</v>
      </c>
      <c r="G1007" s="43">
        <v>44165</v>
      </c>
      <c r="H1007">
        <v>5</v>
      </c>
      <c r="I1007">
        <v>21630</v>
      </c>
      <c r="J1007">
        <v>117719225</v>
      </c>
      <c r="P1007" s="77">
        <f t="shared" si="105"/>
        <v>517</v>
      </c>
      <c r="Q1007" s="78">
        <f t="shared" si="106"/>
        <v>72.099999999999994</v>
      </c>
      <c r="R1007" s="78">
        <f t="shared" si="107"/>
        <v>22.453160285949707</v>
      </c>
      <c r="S1007" s="78">
        <f t="shared" si="108"/>
        <v>25</v>
      </c>
      <c r="T1007" s="78">
        <f t="shared" si="109"/>
        <v>16.823333333333331</v>
      </c>
      <c r="U1007" s="78" t="str">
        <f t="shared" si="110"/>
        <v>&lt;35</v>
      </c>
      <c r="V1007" s="78" t="str">
        <f t="shared" si="111"/>
        <v>21-30 Гб</v>
      </c>
    </row>
    <row r="1008" spans="1:22" x14ac:dyDescent="0.25">
      <c r="A1008" t="s">
        <v>1129</v>
      </c>
      <c r="B1008" s="43">
        <v>35470</v>
      </c>
      <c r="C1008" t="s">
        <v>50</v>
      </c>
      <c r="D1008" t="s">
        <v>51</v>
      </c>
      <c r="E1008" t="s">
        <v>52</v>
      </c>
      <c r="F1008" t="s">
        <v>69</v>
      </c>
      <c r="G1008" s="43">
        <v>43587</v>
      </c>
      <c r="H1008">
        <v>5</v>
      </c>
      <c r="I1008">
        <v>42320</v>
      </c>
      <c r="J1008">
        <v>18214250</v>
      </c>
      <c r="L1008">
        <v>1</v>
      </c>
      <c r="N1008">
        <v>1</v>
      </c>
      <c r="P1008" s="77">
        <f t="shared" si="105"/>
        <v>1095</v>
      </c>
      <c r="Q1008" s="78">
        <f t="shared" si="106"/>
        <v>141.06666666666666</v>
      </c>
      <c r="R1008" s="78">
        <f t="shared" si="107"/>
        <v>3.4740924835205078</v>
      </c>
      <c r="S1008" s="78">
        <f t="shared" si="108"/>
        <v>25</v>
      </c>
      <c r="T1008" s="78">
        <f t="shared" si="109"/>
        <v>32.915555555555557</v>
      </c>
      <c r="U1008" s="78" t="str">
        <f t="shared" si="110"/>
        <v>&lt;35</v>
      </c>
      <c r="V1008" s="78" t="str">
        <f t="shared" si="111"/>
        <v>&lt;10 Гб</v>
      </c>
    </row>
    <row r="1009" spans="1:22" x14ac:dyDescent="0.25">
      <c r="A1009" t="s">
        <v>378</v>
      </c>
      <c r="B1009" s="43">
        <v>35462</v>
      </c>
      <c r="C1009" t="s">
        <v>58</v>
      </c>
      <c r="D1009" t="s">
        <v>51</v>
      </c>
      <c r="E1009" t="s">
        <v>52</v>
      </c>
      <c r="F1009" t="s">
        <v>56</v>
      </c>
      <c r="G1009" s="43">
        <v>43008</v>
      </c>
      <c r="H1009">
        <v>5</v>
      </c>
      <c r="I1009">
        <v>103080</v>
      </c>
      <c r="J1009">
        <v>162368725</v>
      </c>
      <c r="P1009" s="77">
        <f t="shared" si="105"/>
        <v>1674</v>
      </c>
      <c r="Q1009" s="78">
        <f t="shared" si="106"/>
        <v>343.6</v>
      </c>
      <c r="R1009" s="78">
        <f t="shared" si="107"/>
        <v>30.969376564025879</v>
      </c>
      <c r="S1009" s="78">
        <f t="shared" si="108"/>
        <v>25</v>
      </c>
      <c r="T1009" s="78">
        <f t="shared" si="109"/>
        <v>80.173333333333346</v>
      </c>
      <c r="U1009" s="78" t="str">
        <f t="shared" si="110"/>
        <v>61-90</v>
      </c>
      <c r="V1009" s="78" t="str">
        <f t="shared" si="111"/>
        <v>31-40 Гб</v>
      </c>
    </row>
    <row r="1010" spans="1:22" x14ac:dyDescent="0.25">
      <c r="A1010" t="s">
        <v>319</v>
      </c>
      <c r="B1010" s="43">
        <v>35460</v>
      </c>
      <c r="C1010" t="s">
        <v>50</v>
      </c>
      <c r="D1010" t="s">
        <v>51</v>
      </c>
      <c r="E1010" t="s">
        <v>52</v>
      </c>
      <c r="F1010" t="s">
        <v>56</v>
      </c>
      <c r="G1010" s="43">
        <v>43913</v>
      </c>
      <c r="H1010">
        <v>5</v>
      </c>
      <c r="I1010">
        <v>134205</v>
      </c>
      <c r="J1010">
        <v>153460950</v>
      </c>
      <c r="P1010" s="77">
        <f t="shared" si="105"/>
        <v>769</v>
      </c>
      <c r="Q1010" s="78">
        <f t="shared" si="106"/>
        <v>447.35</v>
      </c>
      <c r="R1010" s="78">
        <f t="shared" si="107"/>
        <v>29.270353317260742</v>
      </c>
      <c r="S1010" s="78">
        <f t="shared" si="108"/>
        <v>25</v>
      </c>
      <c r="T1010" s="78">
        <f t="shared" si="109"/>
        <v>104.38166666666667</v>
      </c>
      <c r="U1010" s="78" t="str">
        <f t="shared" si="110"/>
        <v>91-120</v>
      </c>
      <c r="V1010" s="78" t="str">
        <f t="shared" si="111"/>
        <v>21-30 Гб</v>
      </c>
    </row>
    <row r="1011" spans="1:22" x14ac:dyDescent="0.25">
      <c r="A1011" t="s">
        <v>395</v>
      </c>
      <c r="B1011" s="43">
        <v>35457</v>
      </c>
      <c r="C1011" t="s">
        <v>50</v>
      </c>
      <c r="D1011" t="s">
        <v>51</v>
      </c>
      <c r="E1011" t="s">
        <v>52</v>
      </c>
      <c r="F1011" t="s">
        <v>56</v>
      </c>
      <c r="G1011" s="43">
        <v>42894</v>
      </c>
      <c r="H1011">
        <v>5</v>
      </c>
      <c r="I1011">
        <v>106625</v>
      </c>
      <c r="J1011">
        <v>113107825</v>
      </c>
      <c r="P1011" s="77">
        <f t="shared" si="105"/>
        <v>1788</v>
      </c>
      <c r="Q1011" s="78">
        <f t="shared" si="106"/>
        <v>355.41666666666669</v>
      </c>
      <c r="R1011" s="78">
        <f t="shared" si="107"/>
        <v>21.573605537414551</v>
      </c>
      <c r="S1011" s="78">
        <f t="shared" si="108"/>
        <v>25</v>
      </c>
      <c r="T1011" s="78">
        <f t="shared" si="109"/>
        <v>82.930555555555571</v>
      </c>
      <c r="U1011" s="78" t="str">
        <f t="shared" si="110"/>
        <v>61-90</v>
      </c>
      <c r="V1011" s="78" t="str">
        <f t="shared" si="111"/>
        <v>21-30 Гб</v>
      </c>
    </row>
    <row r="1012" spans="1:22" x14ac:dyDescent="0.25">
      <c r="A1012" t="s">
        <v>82</v>
      </c>
      <c r="B1012" s="43">
        <v>35454</v>
      </c>
      <c r="C1012" t="s">
        <v>50</v>
      </c>
      <c r="D1012" t="s">
        <v>51</v>
      </c>
      <c r="E1012" t="s">
        <v>52</v>
      </c>
      <c r="F1012" t="s">
        <v>57</v>
      </c>
      <c r="G1012" s="43">
        <v>44628</v>
      </c>
      <c r="H1012">
        <v>1</v>
      </c>
      <c r="I1012">
        <v>23607</v>
      </c>
      <c r="J1012">
        <v>28333691</v>
      </c>
      <c r="M1012">
        <v>1</v>
      </c>
      <c r="P1012" s="77">
        <f t="shared" si="105"/>
        <v>54</v>
      </c>
      <c r="Q1012" s="78">
        <f t="shared" si="106"/>
        <v>218.58333333333334</v>
      </c>
      <c r="R1012" s="78">
        <f t="shared" si="107"/>
        <v>15.011729664272732</v>
      </c>
      <c r="S1012" s="78">
        <f t="shared" si="108"/>
        <v>25</v>
      </c>
      <c r="T1012" s="78">
        <f t="shared" si="109"/>
        <v>51.00277777777778</v>
      </c>
      <c r="U1012" s="78" t="str">
        <f t="shared" si="110"/>
        <v>35-60</v>
      </c>
      <c r="V1012" s="78" t="str">
        <f t="shared" si="111"/>
        <v>10-20 Гб</v>
      </c>
    </row>
    <row r="1013" spans="1:22" x14ac:dyDescent="0.25">
      <c r="A1013" t="s">
        <v>584</v>
      </c>
      <c r="B1013" s="43">
        <v>35453</v>
      </c>
      <c r="C1013" t="s">
        <v>50</v>
      </c>
      <c r="D1013" t="s">
        <v>51</v>
      </c>
      <c r="E1013" t="s">
        <v>52</v>
      </c>
      <c r="F1013" t="s">
        <v>57</v>
      </c>
      <c r="G1013" s="43">
        <v>43239</v>
      </c>
      <c r="H1013">
        <v>5</v>
      </c>
      <c r="I1013">
        <v>30715</v>
      </c>
      <c r="J1013">
        <v>32120075</v>
      </c>
      <c r="P1013" s="77">
        <f t="shared" si="105"/>
        <v>1443</v>
      </c>
      <c r="Q1013" s="78">
        <f t="shared" si="106"/>
        <v>102.38333333333334</v>
      </c>
      <c r="R1013" s="78">
        <f t="shared" si="107"/>
        <v>6.1264181137084961</v>
      </c>
      <c r="S1013" s="78">
        <f t="shared" si="108"/>
        <v>25</v>
      </c>
      <c r="T1013" s="78">
        <f t="shared" si="109"/>
        <v>23.889444444444447</v>
      </c>
      <c r="U1013" s="78" t="str">
        <f t="shared" si="110"/>
        <v>&lt;35</v>
      </c>
      <c r="V1013" s="78" t="str">
        <f t="shared" si="111"/>
        <v>&lt;10 Гб</v>
      </c>
    </row>
    <row r="1014" spans="1:22" x14ac:dyDescent="0.25">
      <c r="A1014" t="s">
        <v>104</v>
      </c>
      <c r="B1014" s="43">
        <v>35452</v>
      </c>
      <c r="C1014" t="s">
        <v>50</v>
      </c>
      <c r="D1014" t="s">
        <v>51</v>
      </c>
      <c r="E1014" t="s">
        <v>54</v>
      </c>
      <c r="F1014" t="s">
        <v>57</v>
      </c>
      <c r="G1014" s="43">
        <v>44608</v>
      </c>
      <c r="H1014">
        <v>2</v>
      </c>
      <c r="I1014">
        <v>110460</v>
      </c>
      <c r="J1014">
        <v>149967525</v>
      </c>
      <c r="K1014">
        <v>1</v>
      </c>
      <c r="O1014">
        <v>1</v>
      </c>
      <c r="P1014" s="77">
        <f t="shared" si="105"/>
        <v>74</v>
      </c>
      <c r="Q1014" s="78">
        <f t="shared" si="106"/>
        <v>746.35135135135135</v>
      </c>
      <c r="R1014" s="78">
        <f t="shared" si="107"/>
        <v>57.981152792234674</v>
      </c>
      <c r="S1014" s="78">
        <f t="shared" si="108"/>
        <v>25</v>
      </c>
      <c r="T1014" s="78">
        <f t="shared" si="109"/>
        <v>174.14864864864865</v>
      </c>
      <c r="U1014" s="78" t="str">
        <f t="shared" si="110"/>
        <v>120+</v>
      </c>
      <c r="V1014" s="78" t="str">
        <f t="shared" si="111"/>
        <v>40+ Гб</v>
      </c>
    </row>
    <row r="1015" spans="1:22" x14ac:dyDescent="0.25">
      <c r="A1015" t="s">
        <v>471</v>
      </c>
      <c r="B1015" s="43">
        <v>35451</v>
      </c>
      <c r="C1015" t="s">
        <v>50</v>
      </c>
      <c r="D1015" t="s">
        <v>51</v>
      </c>
      <c r="E1015" t="s">
        <v>52</v>
      </c>
      <c r="F1015" t="s">
        <v>57</v>
      </c>
      <c r="G1015" s="43">
        <v>44304</v>
      </c>
      <c r="H1015">
        <v>5</v>
      </c>
      <c r="I1015">
        <v>111225</v>
      </c>
      <c r="J1015">
        <v>139672350</v>
      </c>
      <c r="P1015" s="77">
        <f t="shared" si="105"/>
        <v>378</v>
      </c>
      <c r="Q1015" s="78">
        <f t="shared" si="106"/>
        <v>370.75</v>
      </c>
      <c r="R1015" s="78">
        <f t="shared" si="107"/>
        <v>26.640386581420898</v>
      </c>
      <c r="S1015" s="78">
        <f t="shared" si="108"/>
        <v>25</v>
      </c>
      <c r="T1015" s="78">
        <f t="shared" si="109"/>
        <v>86.50833333333334</v>
      </c>
      <c r="U1015" s="78" t="str">
        <f t="shared" si="110"/>
        <v>61-90</v>
      </c>
      <c r="V1015" s="78" t="str">
        <f t="shared" si="111"/>
        <v>21-30 Гб</v>
      </c>
    </row>
    <row r="1016" spans="1:22" x14ac:dyDescent="0.25">
      <c r="A1016" t="s">
        <v>579</v>
      </c>
      <c r="B1016" s="43">
        <v>35450</v>
      </c>
      <c r="C1016" t="s">
        <v>50</v>
      </c>
      <c r="D1016" t="s">
        <v>51</v>
      </c>
      <c r="E1016" t="s">
        <v>54</v>
      </c>
      <c r="F1016" t="s">
        <v>57</v>
      </c>
      <c r="G1016" s="43">
        <v>43502</v>
      </c>
      <c r="H1016">
        <v>5</v>
      </c>
      <c r="I1016">
        <v>24240</v>
      </c>
      <c r="J1016">
        <v>144760525</v>
      </c>
      <c r="P1016" s="77">
        <f t="shared" si="105"/>
        <v>1180</v>
      </c>
      <c r="Q1016" s="78">
        <f t="shared" si="106"/>
        <v>80.8</v>
      </c>
      <c r="R1016" s="78">
        <f t="shared" si="107"/>
        <v>27.610878944396973</v>
      </c>
      <c r="S1016" s="78">
        <f t="shared" si="108"/>
        <v>25</v>
      </c>
      <c r="T1016" s="78">
        <f t="shared" si="109"/>
        <v>18.853333333333335</v>
      </c>
      <c r="U1016" s="78" t="str">
        <f t="shared" si="110"/>
        <v>&lt;35</v>
      </c>
      <c r="V1016" s="78" t="str">
        <f t="shared" si="111"/>
        <v>21-30 Гб</v>
      </c>
    </row>
    <row r="1017" spans="1:22" x14ac:dyDescent="0.25">
      <c r="A1017" t="s">
        <v>673</v>
      </c>
      <c r="B1017" s="43">
        <v>35448</v>
      </c>
      <c r="C1017" t="s">
        <v>58</v>
      </c>
      <c r="D1017" t="s">
        <v>51</v>
      </c>
      <c r="E1017" t="s">
        <v>54</v>
      </c>
      <c r="F1017" t="s">
        <v>57</v>
      </c>
      <c r="G1017" s="43">
        <v>43528</v>
      </c>
      <c r="H1017">
        <v>5</v>
      </c>
      <c r="I1017">
        <v>89695</v>
      </c>
      <c r="J1017">
        <v>103478150</v>
      </c>
      <c r="K1017">
        <v>1</v>
      </c>
      <c r="P1017" s="77">
        <f t="shared" si="105"/>
        <v>1154</v>
      </c>
      <c r="Q1017" s="78">
        <f t="shared" si="106"/>
        <v>298.98333333333335</v>
      </c>
      <c r="R1017" s="78">
        <f t="shared" si="107"/>
        <v>19.73689079284668</v>
      </c>
      <c r="S1017" s="78">
        <f t="shared" si="108"/>
        <v>25</v>
      </c>
      <c r="T1017" s="78">
        <f t="shared" si="109"/>
        <v>69.762777777777771</v>
      </c>
      <c r="U1017" s="78" t="str">
        <f t="shared" si="110"/>
        <v>61-90</v>
      </c>
      <c r="V1017" s="78" t="str">
        <f t="shared" si="111"/>
        <v>10-20 Гб</v>
      </c>
    </row>
    <row r="1018" spans="1:22" x14ac:dyDescent="0.25">
      <c r="A1018" t="s">
        <v>355</v>
      </c>
      <c r="B1018" s="43">
        <v>35445</v>
      </c>
      <c r="C1018" t="s">
        <v>58</v>
      </c>
      <c r="D1018" t="s">
        <v>51</v>
      </c>
      <c r="E1018" t="s">
        <v>54</v>
      </c>
      <c r="F1018" t="s">
        <v>56</v>
      </c>
      <c r="G1018" s="43">
        <v>43079</v>
      </c>
      <c r="H1018">
        <v>5</v>
      </c>
      <c r="I1018">
        <v>124890</v>
      </c>
      <c r="J1018">
        <v>151201025</v>
      </c>
      <c r="M1018">
        <v>1</v>
      </c>
      <c r="P1018" s="77">
        <f t="shared" si="105"/>
        <v>1603</v>
      </c>
      <c r="Q1018" s="78">
        <f t="shared" si="106"/>
        <v>416.3</v>
      </c>
      <c r="R1018" s="78">
        <f t="shared" si="107"/>
        <v>28.839306831359863</v>
      </c>
      <c r="S1018" s="78">
        <f t="shared" si="108"/>
        <v>25</v>
      </c>
      <c r="T1018" s="78">
        <f t="shared" si="109"/>
        <v>97.13666666666667</v>
      </c>
      <c r="U1018" s="78" t="str">
        <f t="shared" si="110"/>
        <v>91-120</v>
      </c>
      <c r="V1018" s="78" t="str">
        <f t="shared" si="111"/>
        <v>21-30 Гб</v>
      </c>
    </row>
    <row r="1019" spans="1:22" x14ac:dyDescent="0.25">
      <c r="A1019" t="s">
        <v>453</v>
      </c>
      <c r="B1019" s="43">
        <v>35445</v>
      </c>
      <c r="C1019" t="s">
        <v>58</v>
      </c>
      <c r="D1019" t="s">
        <v>51</v>
      </c>
      <c r="E1019" t="s">
        <v>54</v>
      </c>
      <c r="F1019" t="s">
        <v>57</v>
      </c>
      <c r="G1019" s="43">
        <v>43170</v>
      </c>
      <c r="H1019">
        <v>5</v>
      </c>
      <c r="I1019">
        <v>39240</v>
      </c>
      <c r="J1019">
        <v>142211575</v>
      </c>
      <c r="N1019">
        <v>1</v>
      </c>
      <c r="P1019" s="77">
        <f t="shared" si="105"/>
        <v>1512</v>
      </c>
      <c r="Q1019" s="78">
        <f t="shared" si="106"/>
        <v>130.80000000000001</v>
      </c>
      <c r="R1019" s="78">
        <f t="shared" si="107"/>
        <v>27.12470531463623</v>
      </c>
      <c r="S1019" s="78">
        <f t="shared" si="108"/>
        <v>25</v>
      </c>
      <c r="T1019" s="78">
        <f t="shared" si="109"/>
        <v>30.520000000000003</v>
      </c>
      <c r="U1019" s="78" t="str">
        <f t="shared" si="110"/>
        <v>&lt;35</v>
      </c>
      <c r="V1019" s="78" t="str">
        <f t="shared" si="111"/>
        <v>21-30 Гб</v>
      </c>
    </row>
    <row r="1020" spans="1:22" x14ac:dyDescent="0.25">
      <c r="A1020" t="s">
        <v>633</v>
      </c>
      <c r="B1020" s="43">
        <v>35444</v>
      </c>
      <c r="C1020" t="s">
        <v>50</v>
      </c>
      <c r="D1020" t="s">
        <v>51</v>
      </c>
      <c r="E1020" t="s">
        <v>52</v>
      </c>
      <c r="F1020" t="s">
        <v>57</v>
      </c>
      <c r="G1020" s="43">
        <v>44200</v>
      </c>
      <c r="H1020">
        <v>5</v>
      </c>
      <c r="I1020">
        <v>60090</v>
      </c>
      <c r="J1020">
        <v>106391375</v>
      </c>
      <c r="P1020" s="77">
        <f t="shared" si="105"/>
        <v>482</v>
      </c>
      <c r="Q1020" s="78">
        <f t="shared" si="106"/>
        <v>200.3</v>
      </c>
      <c r="R1020" s="78">
        <f t="shared" si="107"/>
        <v>20.292544364929199</v>
      </c>
      <c r="S1020" s="78">
        <f t="shared" si="108"/>
        <v>25</v>
      </c>
      <c r="T1020" s="78">
        <f t="shared" si="109"/>
        <v>46.736666666666672</v>
      </c>
      <c r="U1020" s="78" t="str">
        <f t="shared" si="110"/>
        <v>35-60</v>
      </c>
      <c r="V1020" s="78" t="str">
        <f t="shared" si="111"/>
        <v>21-30 Гб</v>
      </c>
    </row>
    <row r="1021" spans="1:22" x14ac:dyDescent="0.25">
      <c r="A1021" t="s">
        <v>919</v>
      </c>
      <c r="B1021" s="43">
        <v>35444</v>
      </c>
      <c r="C1021" t="s">
        <v>58</v>
      </c>
      <c r="D1021" t="s">
        <v>51</v>
      </c>
      <c r="E1021" t="s">
        <v>54</v>
      </c>
      <c r="F1021" t="s">
        <v>63</v>
      </c>
      <c r="G1021" s="43">
        <v>42775</v>
      </c>
      <c r="H1021">
        <v>5</v>
      </c>
      <c r="I1021">
        <v>27945</v>
      </c>
      <c r="J1021">
        <v>110435525</v>
      </c>
      <c r="P1021" s="77">
        <f t="shared" si="105"/>
        <v>1907</v>
      </c>
      <c r="Q1021" s="78">
        <f t="shared" si="106"/>
        <v>93.15</v>
      </c>
      <c r="R1021" s="78">
        <f t="shared" si="107"/>
        <v>21.063904762268066</v>
      </c>
      <c r="S1021" s="78">
        <f t="shared" si="108"/>
        <v>25</v>
      </c>
      <c r="T1021" s="78">
        <f t="shared" si="109"/>
        <v>21.735000000000003</v>
      </c>
      <c r="U1021" s="78" t="str">
        <f t="shared" si="110"/>
        <v>&lt;35</v>
      </c>
      <c r="V1021" s="78" t="str">
        <f t="shared" si="111"/>
        <v>21-30 Гб</v>
      </c>
    </row>
    <row r="1022" spans="1:22" x14ac:dyDescent="0.25">
      <c r="A1022" t="s">
        <v>511</v>
      </c>
      <c r="B1022" s="43">
        <v>35442</v>
      </c>
      <c r="C1022" t="s">
        <v>50</v>
      </c>
      <c r="D1022" t="s">
        <v>51</v>
      </c>
      <c r="E1022" t="s">
        <v>54</v>
      </c>
      <c r="F1022" t="s">
        <v>57</v>
      </c>
      <c r="G1022" s="43">
        <v>43064</v>
      </c>
      <c r="H1022">
        <v>5</v>
      </c>
      <c r="I1022">
        <v>106400</v>
      </c>
      <c r="J1022">
        <v>117626525</v>
      </c>
      <c r="P1022" s="77">
        <f t="shared" si="105"/>
        <v>1618</v>
      </c>
      <c r="Q1022" s="78">
        <f t="shared" si="106"/>
        <v>354.66666666666669</v>
      </c>
      <c r="R1022" s="78">
        <f t="shared" si="107"/>
        <v>22.435479164123535</v>
      </c>
      <c r="S1022" s="78">
        <f t="shared" si="108"/>
        <v>25</v>
      </c>
      <c r="T1022" s="78">
        <f t="shared" si="109"/>
        <v>82.75555555555556</v>
      </c>
      <c r="U1022" s="78" t="str">
        <f t="shared" si="110"/>
        <v>61-90</v>
      </c>
      <c r="V1022" s="78" t="str">
        <f t="shared" si="111"/>
        <v>21-30 Гб</v>
      </c>
    </row>
    <row r="1023" spans="1:22" x14ac:dyDescent="0.25">
      <c r="A1023" t="s">
        <v>1013</v>
      </c>
      <c r="B1023" s="43">
        <v>35442</v>
      </c>
      <c r="C1023" t="s">
        <v>50</v>
      </c>
      <c r="D1023" t="s">
        <v>51</v>
      </c>
      <c r="E1023" t="s">
        <v>52</v>
      </c>
      <c r="F1023" t="s">
        <v>63</v>
      </c>
      <c r="G1023" s="43">
        <v>43936</v>
      </c>
      <c r="H1023">
        <v>5</v>
      </c>
      <c r="I1023">
        <v>7160</v>
      </c>
      <c r="J1023">
        <v>199970775</v>
      </c>
      <c r="P1023" s="77">
        <f t="shared" si="105"/>
        <v>746</v>
      </c>
      <c r="Q1023" s="78">
        <f t="shared" si="106"/>
        <v>23.866666666666667</v>
      </c>
      <c r="R1023" s="78">
        <f t="shared" si="107"/>
        <v>38.141398429870605</v>
      </c>
      <c r="S1023" s="78">
        <f t="shared" si="108"/>
        <v>25</v>
      </c>
      <c r="T1023" s="78">
        <f t="shared" si="109"/>
        <v>5.568888888888889</v>
      </c>
      <c r="U1023" s="78" t="str">
        <f t="shared" si="110"/>
        <v>&lt;35</v>
      </c>
      <c r="V1023" s="78" t="str">
        <f t="shared" si="111"/>
        <v>31-40 Гб</v>
      </c>
    </row>
    <row r="1024" spans="1:22" x14ac:dyDescent="0.25">
      <c r="A1024" t="s">
        <v>1048</v>
      </c>
      <c r="B1024" s="43">
        <v>35441</v>
      </c>
      <c r="C1024" t="s">
        <v>58</v>
      </c>
      <c r="D1024" t="s">
        <v>51</v>
      </c>
      <c r="E1024" t="s">
        <v>54</v>
      </c>
      <c r="F1024" t="s">
        <v>63</v>
      </c>
      <c r="G1024" s="43">
        <v>43106</v>
      </c>
      <c r="H1024">
        <v>5</v>
      </c>
      <c r="I1024">
        <v>14365</v>
      </c>
      <c r="J1024">
        <v>49910925</v>
      </c>
      <c r="K1024">
        <v>1</v>
      </c>
      <c r="L1024">
        <v>1</v>
      </c>
      <c r="O1024">
        <v>1</v>
      </c>
      <c r="P1024" s="77">
        <f t="shared" ref="P1024:P1087" si="112">DATEDIF(G1024,$C$2,"D")</f>
        <v>1576</v>
      </c>
      <c r="Q1024" s="78">
        <f t="shared" ref="Q1024:Q1087" si="113">IF(P1024&lt;DATEDIF($C$3,$C$2,"D"),I1024/(60*(P1024/30)),I1024/(60*5))</f>
        <v>47.883333333333333</v>
      </c>
      <c r="R1024" s="78">
        <f t="shared" ref="R1024:R1087" si="114">IF(P1024&lt;DATEDIF($C$3,$C$2,"D"),J1024/(1048576*(P1024/30)),J1024/(1048576*5))</f>
        <v>9.5197534561157227</v>
      </c>
      <c r="S1024" s="78">
        <f t="shared" ref="S1024:S1087" si="115">DATEDIF(B1024,$C$2,"Y")</f>
        <v>25</v>
      </c>
      <c r="T1024" s="78">
        <f t="shared" si="109"/>
        <v>11.172777777777778</v>
      </c>
      <c r="U1024" s="78" t="str">
        <f t="shared" si="110"/>
        <v>&lt;35</v>
      </c>
      <c r="V1024" s="78" t="str">
        <f t="shared" si="111"/>
        <v>&lt;10 Гб</v>
      </c>
    </row>
    <row r="1025" spans="1:22" x14ac:dyDescent="0.25">
      <c r="A1025" t="s">
        <v>440</v>
      </c>
      <c r="B1025" s="43">
        <v>35440</v>
      </c>
      <c r="C1025" t="s">
        <v>58</v>
      </c>
      <c r="D1025" t="s">
        <v>51</v>
      </c>
      <c r="E1025" t="s">
        <v>54</v>
      </c>
      <c r="F1025" t="s">
        <v>57</v>
      </c>
      <c r="G1025" s="43">
        <v>43716</v>
      </c>
      <c r="H1025">
        <v>5</v>
      </c>
      <c r="I1025">
        <v>74520</v>
      </c>
      <c r="J1025">
        <v>15026875</v>
      </c>
      <c r="P1025" s="77">
        <f t="shared" si="112"/>
        <v>966</v>
      </c>
      <c r="Q1025" s="78">
        <f t="shared" si="113"/>
        <v>248.4</v>
      </c>
      <c r="R1025" s="78">
        <f t="shared" si="114"/>
        <v>2.8661489486694336</v>
      </c>
      <c r="S1025" s="78">
        <f t="shared" si="115"/>
        <v>25</v>
      </c>
      <c r="T1025" s="78">
        <f t="shared" si="109"/>
        <v>57.96</v>
      </c>
      <c r="U1025" s="78" t="str">
        <f t="shared" si="110"/>
        <v>35-60</v>
      </c>
      <c r="V1025" s="78" t="str">
        <f t="shared" si="111"/>
        <v>&lt;10 Гб</v>
      </c>
    </row>
    <row r="1026" spans="1:22" x14ac:dyDescent="0.25">
      <c r="A1026" t="s">
        <v>679</v>
      </c>
      <c r="B1026" s="43">
        <v>35440</v>
      </c>
      <c r="C1026" t="s">
        <v>50</v>
      </c>
      <c r="D1026" t="s">
        <v>51</v>
      </c>
      <c r="E1026" t="s">
        <v>52</v>
      </c>
      <c r="F1026" t="s">
        <v>57</v>
      </c>
      <c r="G1026" s="43">
        <v>44032</v>
      </c>
      <c r="H1026">
        <v>5</v>
      </c>
      <c r="I1026">
        <v>52315</v>
      </c>
      <c r="J1026">
        <v>131125325</v>
      </c>
      <c r="P1026" s="77">
        <f t="shared" si="112"/>
        <v>650</v>
      </c>
      <c r="Q1026" s="78">
        <f t="shared" si="113"/>
        <v>174.38333333333333</v>
      </c>
      <c r="R1026" s="78">
        <f t="shared" si="114"/>
        <v>25.010170936584473</v>
      </c>
      <c r="S1026" s="78">
        <f t="shared" si="115"/>
        <v>25</v>
      </c>
      <c r="T1026" s="78">
        <f t="shared" si="109"/>
        <v>40.689444444444447</v>
      </c>
      <c r="U1026" s="78" t="str">
        <f t="shared" si="110"/>
        <v>35-60</v>
      </c>
      <c r="V1026" s="78" t="str">
        <f t="shared" si="111"/>
        <v>21-30 Гб</v>
      </c>
    </row>
    <row r="1027" spans="1:22" x14ac:dyDescent="0.25">
      <c r="A1027" t="s">
        <v>599</v>
      </c>
      <c r="B1027" s="43">
        <v>35434</v>
      </c>
      <c r="C1027" t="s">
        <v>50</v>
      </c>
      <c r="D1027" t="s">
        <v>51</v>
      </c>
      <c r="E1027" t="s">
        <v>54</v>
      </c>
      <c r="F1027" t="s">
        <v>57</v>
      </c>
      <c r="G1027" s="43">
        <v>43564</v>
      </c>
      <c r="H1027">
        <v>5</v>
      </c>
      <c r="I1027">
        <v>93555</v>
      </c>
      <c r="J1027">
        <v>147729300</v>
      </c>
      <c r="P1027" s="77">
        <f t="shared" si="112"/>
        <v>1118</v>
      </c>
      <c r="Q1027" s="78">
        <f t="shared" si="113"/>
        <v>311.85000000000002</v>
      </c>
      <c r="R1027" s="78">
        <f t="shared" si="114"/>
        <v>28.177127838134766</v>
      </c>
      <c r="S1027" s="78">
        <f t="shared" si="115"/>
        <v>25</v>
      </c>
      <c r="T1027" s="78">
        <f t="shared" si="109"/>
        <v>72.765000000000015</v>
      </c>
      <c r="U1027" s="78" t="str">
        <f t="shared" si="110"/>
        <v>61-90</v>
      </c>
      <c r="V1027" s="78" t="str">
        <f t="shared" si="111"/>
        <v>21-30 Гб</v>
      </c>
    </row>
    <row r="1028" spans="1:22" x14ac:dyDescent="0.25">
      <c r="A1028" t="s">
        <v>621</v>
      </c>
      <c r="B1028" s="43">
        <v>35429</v>
      </c>
      <c r="C1028" t="s">
        <v>58</v>
      </c>
      <c r="D1028" t="s">
        <v>51</v>
      </c>
      <c r="E1028" t="s">
        <v>54</v>
      </c>
      <c r="F1028" t="s">
        <v>57</v>
      </c>
      <c r="G1028" s="43">
        <v>43997</v>
      </c>
      <c r="H1028">
        <v>5</v>
      </c>
      <c r="I1028">
        <v>25280</v>
      </c>
      <c r="J1028">
        <v>99964850</v>
      </c>
      <c r="L1028">
        <v>1</v>
      </c>
      <c r="P1028" s="77">
        <f t="shared" si="112"/>
        <v>685</v>
      </c>
      <c r="Q1028" s="78">
        <f t="shared" si="113"/>
        <v>84.266666666666666</v>
      </c>
      <c r="R1028" s="78">
        <f t="shared" si="114"/>
        <v>19.066781997680664</v>
      </c>
      <c r="S1028" s="78">
        <f t="shared" si="115"/>
        <v>25</v>
      </c>
      <c r="T1028" s="78">
        <f t="shared" si="109"/>
        <v>19.662222222222223</v>
      </c>
      <c r="U1028" s="78" t="str">
        <f t="shared" si="110"/>
        <v>&lt;35</v>
      </c>
      <c r="V1028" s="78" t="str">
        <f t="shared" si="111"/>
        <v>10-20 Гб</v>
      </c>
    </row>
    <row r="1029" spans="1:22" x14ac:dyDescent="0.25">
      <c r="A1029" t="s">
        <v>208</v>
      </c>
      <c r="B1029" s="43">
        <v>35428</v>
      </c>
      <c r="C1029" t="s">
        <v>58</v>
      </c>
      <c r="D1029" t="s">
        <v>51</v>
      </c>
      <c r="E1029" t="s">
        <v>52</v>
      </c>
      <c r="F1029" t="s">
        <v>53</v>
      </c>
      <c r="G1029" s="43">
        <v>43920</v>
      </c>
      <c r="H1029">
        <v>5</v>
      </c>
      <c r="I1029">
        <v>32025</v>
      </c>
      <c r="J1029">
        <v>219340850</v>
      </c>
      <c r="M1029">
        <v>1</v>
      </c>
      <c r="P1029" s="77">
        <f t="shared" si="112"/>
        <v>762</v>
      </c>
      <c r="Q1029" s="78">
        <f t="shared" si="113"/>
        <v>106.75</v>
      </c>
      <c r="R1029" s="78">
        <f t="shared" si="114"/>
        <v>41.835947036743164</v>
      </c>
      <c r="S1029" s="78">
        <f t="shared" si="115"/>
        <v>25</v>
      </c>
      <c r="T1029" s="78">
        <f t="shared" si="109"/>
        <v>24.908333333333335</v>
      </c>
      <c r="U1029" s="78" t="str">
        <f t="shared" si="110"/>
        <v>&lt;35</v>
      </c>
      <c r="V1029" s="78" t="str">
        <f t="shared" si="111"/>
        <v>40+ Гб</v>
      </c>
    </row>
    <row r="1030" spans="1:22" x14ac:dyDescent="0.25">
      <c r="A1030" t="s">
        <v>464</v>
      </c>
      <c r="B1030" s="43">
        <v>35428</v>
      </c>
      <c r="C1030" t="s">
        <v>50</v>
      </c>
      <c r="D1030" t="s">
        <v>51</v>
      </c>
      <c r="E1030" t="s">
        <v>54</v>
      </c>
      <c r="F1030" t="s">
        <v>57</v>
      </c>
      <c r="G1030" s="43">
        <v>44185</v>
      </c>
      <c r="H1030">
        <v>5</v>
      </c>
      <c r="I1030">
        <v>24105</v>
      </c>
      <c r="J1030">
        <v>132210175</v>
      </c>
      <c r="P1030" s="77">
        <f t="shared" si="112"/>
        <v>497</v>
      </c>
      <c r="Q1030" s="78">
        <f t="shared" si="113"/>
        <v>80.349999999999994</v>
      </c>
      <c r="R1030" s="78">
        <f t="shared" si="114"/>
        <v>25.217089653015137</v>
      </c>
      <c r="S1030" s="78">
        <f t="shared" si="115"/>
        <v>25</v>
      </c>
      <c r="T1030" s="78">
        <f t="shared" si="109"/>
        <v>18.748333333333331</v>
      </c>
      <c r="U1030" s="78" t="str">
        <f t="shared" si="110"/>
        <v>&lt;35</v>
      </c>
      <c r="V1030" s="78" t="str">
        <f t="shared" si="111"/>
        <v>21-30 Гб</v>
      </c>
    </row>
    <row r="1031" spans="1:22" x14ac:dyDescent="0.25">
      <c r="A1031" t="s">
        <v>282</v>
      </c>
      <c r="B1031" s="43">
        <v>35424</v>
      </c>
      <c r="C1031" t="s">
        <v>50</v>
      </c>
      <c r="D1031" t="s">
        <v>51</v>
      </c>
      <c r="E1031" t="s">
        <v>52</v>
      </c>
      <c r="F1031" t="s">
        <v>56</v>
      </c>
      <c r="G1031" s="43">
        <v>43423</v>
      </c>
      <c r="H1031">
        <v>5</v>
      </c>
      <c r="I1031">
        <v>107580</v>
      </c>
      <c r="J1031">
        <v>138366825</v>
      </c>
      <c r="P1031" s="77">
        <f t="shared" si="112"/>
        <v>1259</v>
      </c>
      <c r="Q1031" s="78">
        <f t="shared" si="113"/>
        <v>358.6</v>
      </c>
      <c r="R1031" s="78">
        <f t="shared" si="114"/>
        <v>26.391377449035645</v>
      </c>
      <c r="S1031" s="78">
        <f t="shared" si="115"/>
        <v>25</v>
      </c>
      <c r="T1031" s="78">
        <f t="shared" ref="T1031:T1094" si="116">(Q1031*7)/30</f>
        <v>83.673333333333346</v>
      </c>
      <c r="U1031" s="78" t="str">
        <f t="shared" ref="U1031:U1094" si="117">IF(T1031&gt;120,"120+",IF(T1031&gt;90,"91-120",IF(T1031&gt;60,"61-90",IF(T1031&gt;35,"35-60","&lt;35"))))</f>
        <v>61-90</v>
      </c>
      <c r="V1031" s="78" t="str">
        <f t="shared" ref="V1031:V1094" si="118">IF(R1031&gt;40,"40+ Гб",IF(R1031&gt;30,"31-40 Гб",IF(R1031&gt;20,"21-30 Гб",IF(R1031&gt;10,"10-20 Гб","&lt;10 Гб"))))</f>
        <v>21-30 Гб</v>
      </c>
    </row>
    <row r="1032" spans="1:22" x14ac:dyDescent="0.25">
      <c r="A1032" t="s">
        <v>684</v>
      </c>
      <c r="B1032" s="43">
        <v>35424</v>
      </c>
      <c r="C1032" t="s">
        <v>50</v>
      </c>
      <c r="D1032" t="s">
        <v>51</v>
      </c>
      <c r="E1032" t="s">
        <v>52</v>
      </c>
      <c r="F1032" t="s">
        <v>57</v>
      </c>
      <c r="G1032" s="43">
        <v>44243</v>
      </c>
      <c r="H1032">
        <v>5</v>
      </c>
      <c r="I1032">
        <v>25015</v>
      </c>
      <c r="J1032">
        <v>125268950</v>
      </c>
      <c r="M1032">
        <v>1</v>
      </c>
      <c r="N1032">
        <v>1</v>
      </c>
      <c r="P1032" s="77">
        <f t="shared" si="112"/>
        <v>439</v>
      </c>
      <c r="Q1032" s="78">
        <f t="shared" si="113"/>
        <v>83.38333333333334</v>
      </c>
      <c r="R1032" s="78">
        <f t="shared" si="114"/>
        <v>23.893156051635742</v>
      </c>
      <c r="S1032" s="78">
        <f t="shared" si="115"/>
        <v>25</v>
      </c>
      <c r="T1032" s="78">
        <f t="shared" si="116"/>
        <v>19.456111111111113</v>
      </c>
      <c r="U1032" s="78" t="str">
        <f t="shared" si="117"/>
        <v>&lt;35</v>
      </c>
      <c r="V1032" s="78" t="str">
        <f t="shared" si="118"/>
        <v>21-30 Гб</v>
      </c>
    </row>
    <row r="1033" spans="1:22" x14ac:dyDescent="0.25">
      <c r="A1033" t="s">
        <v>114</v>
      </c>
      <c r="B1033" s="43">
        <v>35423</v>
      </c>
      <c r="C1033" t="s">
        <v>50</v>
      </c>
      <c r="D1033" t="s">
        <v>51</v>
      </c>
      <c r="E1033" t="s">
        <v>54</v>
      </c>
      <c r="F1033" t="s">
        <v>56</v>
      </c>
      <c r="G1033" s="43">
        <v>44570</v>
      </c>
      <c r="H1033">
        <v>3</v>
      </c>
      <c r="I1033">
        <v>103880</v>
      </c>
      <c r="J1033">
        <v>255989225</v>
      </c>
      <c r="P1033" s="77">
        <f t="shared" si="112"/>
        <v>112</v>
      </c>
      <c r="Q1033" s="78">
        <f t="shared" si="113"/>
        <v>463.75</v>
      </c>
      <c r="R1033" s="78">
        <f t="shared" si="114"/>
        <v>65.392057810510906</v>
      </c>
      <c r="S1033" s="78">
        <f t="shared" si="115"/>
        <v>25</v>
      </c>
      <c r="T1033" s="78">
        <f t="shared" si="116"/>
        <v>108.20833333333333</v>
      </c>
      <c r="U1033" s="78" t="str">
        <f t="shared" si="117"/>
        <v>91-120</v>
      </c>
      <c r="V1033" s="78" t="str">
        <f t="shared" si="118"/>
        <v>40+ Гб</v>
      </c>
    </row>
    <row r="1034" spans="1:22" x14ac:dyDescent="0.25">
      <c r="A1034" t="s">
        <v>191</v>
      </c>
      <c r="B1034" s="43">
        <v>35413</v>
      </c>
      <c r="C1034" t="s">
        <v>58</v>
      </c>
      <c r="D1034" t="s">
        <v>51</v>
      </c>
      <c r="E1034" t="s">
        <v>54</v>
      </c>
      <c r="F1034" t="s">
        <v>53</v>
      </c>
      <c r="G1034" s="43">
        <v>44121</v>
      </c>
      <c r="H1034">
        <v>5</v>
      </c>
      <c r="I1034">
        <v>166795</v>
      </c>
      <c r="J1034">
        <v>205244075</v>
      </c>
      <c r="M1034">
        <v>1</v>
      </c>
      <c r="P1034" s="77">
        <f t="shared" si="112"/>
        <v>561</v>
      </c>
      <c r="Q1034" s="78">
        <f t="shared" si="113"/>
        <v>555.98333333333335</v>
      </c>
      <c r="R1034" s="78">
        <f t="shared" si="114"/>
        <v>39.147200584411621</v>
      </c>
      <c r="S1034" s="78">
        <f t="shared" si="115"/>
        <v>25</v>
      </c>
      <c r="T1034" s="78">
        <f t="shared" si="116"/>
        <v>129.72944444444445</v>
      </c>
      <c r="U1034" s="78" t="str">
        <f t="shared" si="117"/>
        <v>120+</v>
      </c>
      <c r="V1034" s="78" t="str">
        <f t="shared" si="118"/>
        <v>31-40 Гб</v>
      </c>
    </row>
    <row r="1035" spans="1:22" x14ac:dyDescent="0.25">
      <c r="A1035" t="s">
        <v>1137</v>
      </c>
      <c r="B1035" s="43">
        <v>35409</v>
      </c>
      <c r="C1035" t="s">
        <v>50</v>
      </c>
      <c r="D1035" t="s">
        <v>51</v>
      </c>
      <c r="E1035" t="s">
        <v>54</v>
      </c>
      <c r="F1035" t="s">
        <v>63</v>
      </c>
      <c r="G1035" s="43">
        <v>42871</v>
      </c>
      <c r="H1035">
        <v>5</v>
      </c>
      <c r="I1035">
        <v>40770</v>
      </c>
      <c r="J1035">
        <v>127340650</v>
      </c>
      <c r="N1035">
        <v>1</v>
      </c>
      <c r="P1035" s="77">
        <f t="shared" si="112"/>
        <v>1811</v>
      </c>
      <c r="Q1035" s="78">
        <f t="shared" si="113"/>
        <v>135.9</v>
      </c>
      <c r="R1035" s="78">
        <f t="shared" si="114"/>
        <v>24.288301467895508</v>
      </c>
      <c r="S1035" s="78">
        <f t="shared" si="115"/>
        <v>25</v>
      </c>
      <c r="T1035" s="78">
        <f t="shared" si="116"/>
        <v>31.71</v>
      </c>
      <c r="U1035" s="78" t="str">
        <f t="shared" si="117"/>
        <v>&lt;35</v>
      </c>
      <c r="V1035" s="78" t="str">
        <f t="shared" si="118"/>
        <v>21-30 Гб</v>
      </c>
    </row>
    <row r="1036" spans="1:22" x14ac:dyDescent="0.25">
      <c r="A1036" t="s">
        <v>583</v>
      </c>
      <c r="B1036" s="43">
        <v>35408</v>
      </c>
      <c r="C1036" t="s">
        <v>58</v>
      </c>
      <c r="D1036" t="s">
        <v>51</v>
      </c>
      <c r="E1036" t="s">
        <v>54</v>
      </c>
      <c r="F1036" t="s">
        <v>57</v>
      </c>
      <c r="G1036" s="43">
        <v>44238</v>
      </c>
      <c r="H1036">
        <v>5</v>
      </c>
      <c r="I1036">
        <v>59810</v>
      </c>
      <c r="J1036">
        <v>128271550</v>
      </c>
      <c r="P1036" s="77">
        <f t="shared" si="112"/>
        <v>444</v>
      </c>
      <c r="Q1036" s="78">
        <f t="shared" si="113"/>
        <v>199.36666666666667</v>
      </c>
      <c r="R1036" s="78">
        <f t="shared" si="114"/>
        <v>24.465856552124023</v>
      </c>
      <c r="S1036" s="78">
        <f t="shared" si="115"/>
        <v>25</v>
      </c>
      <c r="T1036" s="78">
        <f t="shared" si="116"/>
        <v>46.518888888888888</v>
      </c>
      <c r="U1036" s="78" t="str">
        <f t="shared" si="117"/>
        <v>35-60</v>
      </c>
      <c r="V1036" s="78" t="str">
        <f t="shared" si="118"/>
        <v>21-30 Гб</v>
      </c>
    </row>
    <row r="1037" spans="1:22" x14ac:dyDescent="0.25">
      <c r="A1037" t="s">
        <v>260</v>
      </c>
      <c r="B1037" s="43">
        <v>35403</v>
      </c>
      <c r="C1037" t="s">
        <v>50</v>
      </c>
      <c r="D1037" t="s">
        <v>51</v>
      </c>
      <c r="E1037" t="s">
        <v>54</v>
      </c>
      <c r="F1037" t="s">
        <v>56</v>
      </c>
      <c r="G1037" s="43">
        <v>43569</v>
      </c>
      <c r="H1037">
        <v>5</v>
      </c>
      <c r="I1037">
        <v>56320</v>
      </c>
      <c r="J1037">
        <v>114260575</v>
      </c>
      <c r="P1037" s="77">
        <f t="shared" si="112"/>
        <v>1113</v>
      </c>
      <c r="Q1037" s="78">
        <f t="shared" si="113"/>
        <v>187.73333333333332</v>
      </c>
      <c r="R1037" s="78">
        <f t="shared" si="114"/>
        <v>21.793475151062012</v>
      </c>
      <c r="S1037" s="78">
        <f t="shared" si="115"/>
        <v>25</v>
      </c>
      <c r="T1037" s="78">
        <f t="shared" si="116"/>
        <v>43.804444444444442</v>
      </c>
      <c r="U1037" s="78" t="str">
        <f t="shared" si="117"/>
        <v>35-60</v>
      </c>
      <c r="V1037" s="78" t="str">
        <f t="shared" si="118"/>
        <v>21-30 Гб</v>
      </c>
    </row>
    <row r="1038" spans="1:22" x14ac:dyDescent="0.25">
      <c r="A1038" t="s">
        <v>194</v>
      </c>
      <c r="B1038" s="43">
        <v>35402</v>
      </c>
      <c r="C1038" t="s">
        <v>58</v>
      </c>
      <c r="D1038" t="s">
        <v>51</v>
      </c>
      <c r="E1038" t="s">
        <v>54</v>
      </c>
      <c r="F1038" t="s">
        <v>53</v>
      </c>
      <c r="G1038" s="43">
        <v>43514</v>
      </c>
      <c r="H1038">
        <v>5</v>
      </c>
      <c r="I1038">
        <v>203725</v>
      </c>
      <c r="J1038">
        <v>94874425</v>
      </c>
      <c r="K1038">
        <v>1</v>
      </c>
      <c r="P1038" s="77">
        <f t="shared" si="112"/>
        <v>1168</v>
      </c>
      <c r="Q1038" s="78">
        <f t="shared" si="113"/>
        <v>679.08333333333337</v>
      </c>
      <c r="R1038" s="78">
        <f t="shared" si="114"/>
        <v>18.095860481262207</v>
      </c>
      <c r="S1038" s="78">
        <f t="shared" si="115"/>
        <v>25</v>
      </c>
      <c r="T1038" s="78">
        <f t="shared" si="116"/>
        <v>158.45277777777781</v>
      </c>
      <c r="U1038" s="78" t="str">
        <f t="shared" si="117"/>
        <v>120+</v>
      </c>
      <c r="V1038" s="78" t="str">
        <f t="shared" si="118"/>
        <v>10-20 Гб</v>
      </c>
    </row>
    <row r="1039" spans="1:22" x14ac:dyDescent="0.25">
      <c r="A1039" t="s">
        <v>209</v>
      </c>
      <c r="B1039" s="43">
        <v>35401</v>
      </c>
      <c r="C1039" t="s">
        <v>58</v>
      </c>
      <c r="D1039" t="s">
        <v>51</v>
      </c>
      <c r="E1039" t="s">
        <v>52</v>
      </c>
      <c r="F1039" t="s">
        <v>56</v>
      </c>
      <c r="G1039" s="43">
        <v>42880</v>
      </c>
      <c r="H1039">
        <v>5</v>
      </c>
      <c r="I1039">
        <v>96430</v>
      </c>
      <c r="J1039">
        <v>152003650</v>
      </c>
      <c r="P1039" s="77">
        <f t="shared" si="112"/>
        <v>1802</v>
      </c>
      <c r="Q1039" s="78">
        <f t="shared" si="113"/>
        <v>321.43333333333334</v>
      </c>
      <c r="R1039" s="78">
        <f t="shared" si="114"/>
        <v>28.992395401000977</v>
      </c>
      <c r="S1039" s="78">
        <f t="shared" si="115"/>
        <v>25</v>
      </c>
      <c r="T1039" s="78">
        <f t="shared" si="116"/>
        <v>75.001111111111115</v>
      </c>
      <c r="U1039" s="78" t="str">
        <f t="shared" si="117"/>
        <v>61-90</v>
      </c>
      <c r="V1039" s="78" t="str">
        <f t="shared" si="118"/>
        <v>21-30 Гб</v>
      </c>
    </row>
    <row r="1040" spans="1:22" x14ac:dyDescent="0.25">
      <c r="A1040" t="s">
        <v>1014</v>
      </c>
      <c r="B1040" s="43">
        <v>35400</v>
      </c>
      <c r="C1040" t="s">
        <v>50</v>
      </c>
      <c r="D1040" t="s">
        <v>51</v>
      </c>
      <c r="E1040" t="s">
        <v>52</v>
      </c>
      <c r="F1040" t="s">
        <v>63</v>
      </c>
      <c r="G1040" s="43">
        <v>42887</v>
      </c>
      <c r="H1040">
        <v>5</v>
      </c>
      <c r="I1040">
        <v>34925</v>
      </c>
      <c r="J1040">
        <v>150009725</v>
      </c>
      <c r="K1040">
        <v>1</v>
      </c>
      <c r="P1040" s="77">
        <f t="shared" si="112"/>
        <v>1795</v>
      </c>
      <c r="Q1040" s="78">
        <f t="shared" si="113"/>
        <v>116.41666666666667</v>
      </c>
      <c r="R1040" s="78">
        <f t="shared" si="114"/>
        <v>28.61208438873291</v>
      </c>
      <c r="S1040" s="78">
        <f t="shared" si="115"/>
        <v>25</v>
      </c>
      <c r="T1040" s="78">
        <f t="shared" si="116"/>
        <v>27.163888888888891</v>
      </c>
      <c r="U1040" s="78" t="str">
        <f t="shared" si="117"/>
        <v>&lt;35</v>
      </c>
      <c r="V1040" s="78" t="str">
        <f t="shared" si="118"/>
        <v>21-30 Гб</v>
      </c>
    </row>
    <row r="1041" spans="1:22" x14ac:dyDescent="0.25">
      <c r="A1041" t="s">
        <v>694</v>
      </c>
      <c r="B1041" s="43">
        <v>35399</v>
      </c>
      <c r="C1041" t="s">
        <v>50</v>
      </c>
      <c r="D1041" t="s">
        <v>51</v>
      </c>
      <c r="E1041" t="s">
        <v>54</v>
      </c>
      <c r="F1041" t="s">
        <v>57</v>
      </c>
      <c r="G1041" s="43">
        <v>43512</v>
      </c>
      <c r="H1041">
        <v>5</v>
      </c>
      <c r="I1041">
        <v>65510</v>
      </c>
      <c r="J1041">
        <v>107018225</v>
      </c>
      <c r="P1041" s="77">
        <f t="shared" si="112"/>
        <v>1170</v>
      </c>
      <c r="Q1041" s="78">
        <f t="shared" si="113"/>
        <v>218.36666666666667</v>
      </c>
      <c r="R1041" s="78">
        <f t="shared" si="114"/>
        <v>20.412106513977051</v>
      </c>
      <c r="S1041" s="78">
        <f t="shared" si="115"/>
        <v>25</v>
      </c>
      <c r="T1041" s="78">
        <f t="shared" si="116"/>
        <v>50.952222222222218</v>
      </c>
      <c r="U1041" s="78" t="str">
        <f t="shared" si="117"/>
        <v>35-60</v>
      </c>
      <c r="V1041" s="78" t="str">
        <f t="shared" si="118"/>
        <v>21-30 Гб</v>
      </c>
    </row>
    <row r="1042" spans="1:22" x14ac:dyDescent="0.25">
      <c r="A1042" t="s">
        <v>1091</v>
      </c>
      <c r="B1042" s="43">
        <v>35399</v>
      </c>
      <c r="C1042" t="s">
        <v>58</v>
      </c>
      <c r="D1042" t="s">
        <v>51</v>
      </c>
      <c r="E1042" t="s">
        <v>52</v>
      </c>
      <c r="F1042" t="s">
        <v>63</v>
      </c>
      <c r="G1042" s="43">
        <v>44437</v>
      </c>
      <c r="H1042">
        <v>5</v>
      </c>
      <c r="I1042">
        <v>16680</v>
      </c>
      <c r="J1042">
        <v>171557275</v>
      </c>
      <c r="P1042" s="77">
        <f t="shared" si="112"/>
        <v>245</v>
      </c>
      <c r="Q1042" s="78">
        <f t="shared" si="113"/>
        <v>55.6</v>
      </c>
      <c r="R1042" s="78">
        <f t="shared" si="114"/>
        <v>32.721953392028809</v>
      </c>
      <c r="S1042" s="78">
        <f t="shared" si="115"/>
        <v>25</v>
      </c>
      <c r="T1042" s="78">
        <f t="shared" si="116"/>
        <v>12.973333333333333</v>
      </c>
      <c r="U1042" s="78" t="str">
        <f t="shared" si="117"/>
        <v>&lt;35</v>
      </c>
      <c r="V1042" s="78" t="str">
        <f t="shared" si="118"/>
        <v>31-40 Гб</v>
      </c>
    </row>
    <row r="1043" spans="1:22" x14ac:dyDescent="0.25">
      <c r="A1043" t="s">
        <v>612</v>
      </c>
      <c r="B1043" s="43">
        <v>35398</v>
      </c>
      <c r="C1043" t="s">
        <v>50</v>
      </c>
      <c r="D1043" t="s">
        <v>51</v>
      </c>
      <c r="E1043" t="s">
        <v>54</v>
      </c>
      <c r="F1043" t="s">
        <v>57</v>
      </c>
      <c r="G1043" s="43">
        <v>43887</v>
      </c>
      <c r="H1043">
        <v>5</v>
      </c>
      <c r="I1043">
        <v>17750</v>
      </c>
      <c r="J1043">
        <v>115433375</v>
      </c>
      <c r="P1043" s="77">
        <f t="shared" si="112"/>
        <v>795</v>
      </c>
      <c r="Q1043" s="78">
        <f t="shared" si="113"/>
        <v>59.166666666666664</v>
      </c>
      <c r="R1043" s="78">
        <f t="shared" si="114"/>
        <v>22.017168998718262</v>
      </c>
      <c r="S1043" s="78">
        <f t="shared" si="115"/>
        <v>25</v>
      </c>
      <c r="T1043" s="78">
        <f t="shared" si="116"/>
        <v>13.805555555555554</v>
      </c>
      <c r="U1043" s="78" t="str">
        <f t="shared" si="117"/>
        <v>&lt;35</v>
      </c>
      <c r="V1043" s="78" t="str">
        <f t="shared" si="118"/>
        <v>21-30 Гб</v>
      </c>
    </row>
    <row r="1044" spans="1:22" x14ac:dyDescent="0.25">
      <c r="A1044" t="s">
        <v>348</v>
      </c>
      <c r="B1044" s="43">
        <v>35395</v>
      </c>
      <c r="C1044" t="s">
        <v>58</v>
      </c>
      <c r="D1044" t="s">
        <v>51</v>
      </c>
      <c r="E1044" t="s">
        <v>52</v>
      </c>
      <c r="F1044" t="s">
        <v>56</v>
      </c>
      <c r="G1044" s="43">
        <v>43320</v>
      </c>
      <c r="H1044">
        <v>5</v>
      </c>
      <c r="I1044">
        <v>119235</v>
      </c>
      <c r="J1044">
        <v>161610850</v>
      </c>
      <c r="P1044" s="77">
        <f t="shared" si="112"/>
        <v>1362</v>
      </c>
      <c r="Q1044" s="78">
        <f t="shared" si="113"/>
        <v>397.45</v>
      </c>
      <c r="R1044" s="78">
        <f t="shared" si="114"/>
        <v>30.824823379516602</v>
      </c>
      <c r="S1044" s="78">
        <f t="shared" si="115"/>
        <v>25</v>
      </c>
      <c r="T1044" s="78">
        <f t="shared" si="116"/>
        <v>92.73833333333333</v>
      </c>
      <c r="U1044" s="78" t="str">
        <f t="shared" si="117"/>
        <v>91-120</v>
      </c>
      <c r="V1044" s="78" t="str">
        <f t="shared" si="118"/>
        <v>31-40 Гб</v>
      </c>
    </row>
    <row r="1045" spans="1:22" x14ac:dyDescent="0.25">
      <c r="A1045" t="s">
        <v>1039</v>
      </c>
      <c r="B1045" s="43">
        <v>35395</v>
      </c>
      <c r="C1045" t="s">
        <v>50</v>
      </c>
      <c r="D1045" t="s">
        <v>51</v>
      </c>
      <c r="E1045" t="s">
        <v>52</v>
      </c>
      <c r="F1045" t="s">
        <v>63</v>
      </c>
      <c r="G1045" s="43">
        <v>44325</v>
      </c>
      <c r="H1045">
        <v>5</v>
      </c>
      <c r="I1045">
        <v>17775</v>
      </c>
      <c r="J1045">
        <v>144216075</v>
      </c>
      <c r="P1045" s="77">
        <f t="shared" si="112"/>
        <v>357</v>
      </c>
      <c r="Q1045" s="78">
        <f t="shared" si="113"/>
        <v>59.25</v>
      </c>
      <c r="R1045" s="78">
        <f t="shared" si="114"/>
        <v>27.507033348083496</v>
      </c>
      <c r="S1045" s="78">
        <f t="shared" si="115"/>
        <v>25</v>
      </c>
      <c r="T1045" s="78">
        <f t="shared" si="116"/>
        <v>13.824999999999999</v>
      </c>
      <c r="U1045" s="78" t="str">
        <f t="shared" si="117"/>
        <v>&lt;35</v>
      </c>
      <c r="V1045" s="78" t="str">
        <f t="shared" si="118"/>
        <v>21-30 Гб</v>
      </c>
    </row>
    <row r="1046" spans="1:22" x14ac:dyDescent="0.25">
      <c r="A1046" t="s">
        <v>878</v>
      </c>
      <c r="B1046" s="43">
        <v>35392</v>
      </c>
      <c r="C1046" t="s">
        <v>50</v>
      </c>
      <c r="D1046" t="s">
        <v>51</v>
      </c>
      <c r="E1046" t="s">
        <v>52</v>
      </c>
      <c r="F1046" t="s">
        <v>63</v>
      </c>
      <c r="G1046" s="43">
        <v>44276</v>
      </c>
      <c r="H1046">
        <v>5</v>
      </c>
      <c r="I1046">
        <v>27180</v>
      </c>
      <c r="J1046">
        <v>139799775</v>
      </c>
      <c r="P1046" s="77">
        <f t="shared" si="112"/>
        <v>406</v>
      </c>
      <c r="Q1046" s="78">
        <f t="shared" si="113"/>
        <v>90.6</v>
      </c>
      <c r="R1046" s="78">
        <f t="shared" si="114"/>
        <v>26.664690971374512</v>
      </c>
      <c r="S1046" s="78">
        <f t="shared" si="115"/>
        <v>25</v>
      </c>
      <c r="T1046" s="78">
        <f t="shared" si="116"/>
        <v>21.139999999999997</v>
      </c>
      <c r="U1046" s="78" t="str">
        <f t="shared" si="117"/>
        <v>&lt;35</v>
      </c>
      <c r="V1046" s="78" t="str">
        <f t="shared" si="118"/>
        <v>21-30 Гб</v>
      </c>
    </row>
    <row r="1047" spans="1:22" x14ac:dyDescent="0.25">
      <c r="A1047" t="s">
        <v>516</v>
      </c>
      <c r="B1047" s="43">
        <v>35390</v>
      </c>
      <c r="C1047" t="s">
        <v>50</v>
      </c>
      <c r="D1047" t="s">
        <v>51</v>
      </c>
      <c r="E1047" t="s">
        <v>52</v>
      </c>
      <c r="F1047" t="s">
        <v>57</v>
      </c>
      <c r="G1047" s="43">
        <v>43995</v>
      </c>
      <c r="H1047">
        <v>5</v>
      </c>
      <c r="I1047">
        <v>12370</v>
      </c>
      <c r="J1047">
        <v>96001975</v>
      </c>
      <c r="P1047" s="77">
        <f t="shared" si="112"/>
        <v>687</v>
      </c>
      <c r="Q1047" s="78">
        <f t="shared" si="113"/>
        <v>41.233333333333334</v>
      </c>
      <c r="R1047" s="78">
        <f t="shared" si="114"/>
        <v>18.31092357635498</v>
      </c>
      <c r="S1047" s="78">
        <f t="shared" si="115"/>
        <v>25</v>
      </c>
      <c r="T1047" s="78">
        <f t="shared" si="116"/>
        <v>9.6211111111111105</v>
      </c>
      <c r="U1047" s="78" t="str">
        <f t="shared" si="117"/>
        <v>&lt;35</v>
      </c>
      <c r="V1047" s="78" t="str">
        <f t="shared" si="118"/>
        <v>10-20 Гб</v>
      </c>
    </row>
    <row r="1048" spans="1:22" x14ac:dyDescent="0.25">
      <c r="A1048" t="s">
        <v>359</v>
      </c>
      <c r="B1048" s="43">
        <v>35387</v>
      </c>
      <c r="C1048" t="s">
        <v>50</v>
      </c>
      <c r="D1048" t="s">
        <v>51</v>
      </c>
      <c r="E1048" t="s">
        <v>54</v>
      </c>
      <c r="F1048" t="s">
        <v>56</v>
      </c>
      <c r="G1048" s="43">
        <v>44131</v>
      </c>
      <c r="H1048">
        <v>5</v>
      </c>
      <c r="I1048">
        <v>90470</v>
      </c>
      <c r="J1048">
        <v>162298375</v>
      </c>
      <c r="P1048" s="77">
        <f t="shared" si="112"/>
        <v>551</v>
      </c>
      <c r="Q1048" s="78">
        <f t="shared" si="113"/>
        <v>301.56666666666666</v>
      </c>
      <c r="R1048" s="78">
        <f t="shared" si="114"/>
        <v>30.955958366394043</v>
      </c>
      <c r="S1048" s="78">
        <f t="shared" si="115"/>
        <v>25</v>
      </c>
      <c r="T1048" s="78">
        <f t="shared" si="116"/>
        <v>70.365555555555559</v>
      </c>
      <c r="U1048" s="78" t="str">
        <f t="shared" si="117"/>
        <v>61-90</v>
      </c>
      <c r="V1048" s="78" t="str">
        <f t="shared" si="118"/>
        <v>31-40 Гб</v>
      </c>
    </row>
    <row r="1049" spans="1:22" x14ac:dyDescent="0.25">
      <c r="A1049" t="s">
        <v>604</v>
      </c>
      <c r="B1049" s="43">
        <v>35386</v>
      </c>
      <c r="C1049" t="s">
        <v>58</v>
      </c>
      <c r="D1049" t="s">
        <v>51</v>
      </c>
      <c r="E1049" t="s">
        <v>54</v>
      </c>
      <c r="F1049" t="s">
        <v>57</v>
      </c>
      <c r="G1049" s="43">
        <v>42946</v>
      </c>
      <c r="H1049">
        <v>5</v>
      </c>
      <c r="I1049">
        <v>106735</v>
      </c>
      <c r="J1049">
        <v>103152500</v>
      </c>
      <c r="P1049" s="77">
        <f t="shared" si="112"/>
        <v>1736</v>
      </c>
      <c r="Q1049" s="78">
        <f t="shared" si="113"/>
        <v>355.78333333333336</v>
      </c>
      <c r="R1049" s="78">
        <f t="shared" si="114"/>
        <v>19.674777984619141</v>
      </c>
      <c r="S1049" s="78">
        <f t="shared" si="115"/>
        <v>25</v>
      </c>
      <c r="T1049" s="78">
        <f t="shared" si="116"/>
        <v>83.016111111111115</v>
      </c>
      <c r="U1049" s="78" t="str">
        <f t="shared" si="117"/>
        <v>61-90</v>
      </c>
      <c r="V1049" s="78" t="str">
        <f t="shared" si="118"/>
        <v>10-20 Гб</v>
      </c>
    </row>
    <row r="1050" spans="1:22" x14ac:dyDescent="0.25">
      <c r="A1050" t="s">
        <v>97</v>
      </c>
      <c r="B1050" s="43">
        <v>35384</v>
      </c>
      <c r="C1050" t="s">
        <v>58</v>
      </c>
      <c r="D1050" t="s">
        <v>51</v>
      </c>
      <c r="E1050" t="s">
        <v>54</v>
      </c>
      <c r="F1050" t="s">
        <v>53</v>
      </c>
      <c r="G1050" s="43">
        <v>44596</v>
      </c>
      <c r="H1050">
        <v>2</v>
      </c>
      <c r="I1050">
        <v>202555</v>
      </c>
      <c r="J1050">
        <v>530995575</v>
      </c>
      <c r="P1050" s="77">
        <f t="shared" si="112"/>
        <v>86</v>
      </c>
      <c r="Q1050" s="78">
        <f t="shared" si="113"/>
        <v>1177.6453488372092</v>
      </c>
      <c r="R1050" s="78">
        <f t="shared" si="114"/>
        <v>176.65006116379138</v>
      </c>
      <c r="S1050" s="78">
        <f t="shared" si="115"/>
        <v>25</v>
      </c>
      <c r="T1050" s="78">
        <f t="shared" si="116"/>
        <v>274.78391472868213</v>
      </c>
      <c r="U1050" s="78" t="str">
        <f t="shared" si="117"/>
        <v>120+</v>
      </c>
      <c r="V1050" s="78" t="str">
        <f t="shared" si="118"/>
        <v>40+ Гб</v>
      </c>
    </row>
    <row r="1051" spans="1:22" x14ac:dyDescent="0.25">
      <c r="A1051" t="s">
        <v>398</v>
      </c>
      <c r="B1051" s="43">
        <v>35381</v>
      </c>
      <c r="C1051" t="s">
        <v>50</v>
      </c>
      <c r="D1051" t="s">
        <v>51</v>
      </c>
      <c r="E1051" t="s">
        <v>52</v>
      </c>
      <c r="F1051" t="s">
        <v>56</v>
      </c>
      <c r="G1051" s="43">
        <v>42877</v>
      </c>
      <c r="H1051">
        <v>5</v>
      </c>
      <c r="I1051">
        <v>147810</v>
      </c>
      <c r="J1051">
        <v>164507425</v>
      </c>
      <c r="P1051" s="77">
        <f t="shared" si="112"/>
        <v>1805</v>
      </c>
      <c r="Q1051" s="78">
        <f t="shared" si="113"/>
        <v>492.7</v>
      </c>
      <c r="R1051" s="78">
        <f t="shared" si="114"/>
        <v>31.377301216125488</v>
      </c>
      <c r="S1051" s="78">
        <f t="shared" si="115"/>
        <v>25</v>
      </c>
      <c r="T1051" s="78">
        <f t="shared" si="116"/>
        <v>114.96333333333334</v>
      </c>
      <c r="U1051" s="78" t="str">
        <f t="shared" si="117"/>
        <v>91-120</v>
      </c>
      <c r="V1051" s="78" t="str">
        <f t="shared" si="118"/>
        <v>31-40 Гб</v>
      </c>
    </row>
    <row r="1052" spans="1:22" x14ac:dyDescent="0.25">
      <c r="A1052" t="s">
        <v>62</v>
      </c>
      <c r="B1052" s="43">
        <v>35379</v>
      </c>
      <c r="C1052" t="s">
        <v>50</v>
      </c>
      <c r="D1052" t="s">
        <v>51</v>
      </c>
      <c r="E1052" t="s">
        <v>52</v>
      </c>
      <c r="F1052" t="s">
        <v>56</v>
      </c>
      <c r="G1052" s="43">
        <v>44660</v>
      </c>
      <c r="H1052">
        <v>0</v>
      </c>
      <c r="I1052">
        <v>5453</v>
      </c>
      <c r="J1052">
        <v>23171993</v>
      </c>
      <c r="P1052" s="77">
        <f t="shared" si="112"/>
        <v>22</v>
      </c>
      <c r="Q1052" s="78">
        <f t="shared" si="113"/>
        <v>123.93181818181819</v>
      </c>
      <c r="R1052" s="78">
        <f t="shared" si="114"/>
        <v>30.134365341880105</v>
      </c>
      <c r="S1052" s="78">
        <f t="shared" si="115"/>
        <v>25</v>
      </c>
      <c r="T1052" s="78">
        <f t="shared" si="116"/>
        <v>28.917424242424243</v>
      </c>
      <c r="U1052" s="78" t="str">
        <f t="shared" si="117"/>
        <v>&lt;35</v>
      </c>
      <c r="V1052" s="78" t="str">
        <f t="shared" si="118"/>
        <v>31-40 Гб</v>
      </c>
    </row>
    <row r="1053" spans="1:22" x14ac:dyDescent="0.25">
      <c r="A1053" t="s">
        <v>590</v>
      </c>
      <c r="B1053" s="43">
        <v>35379</v>
      </c>
      <c r="C1053" t="s">
        <v>50</v>
      </c>
      <c r="D1053" t="s">
        <v>51</v>
      </c>
      <c r="E1053" t="s">
        <v>52</v>
      </c>
      <c r="F1053" t="s">
        <v>57</v>
      </c>
      <c r="G1053" s="43">
        <v>43827</v>
      </c>
      <c r="H1053">
        <v>5</v>
      </c>
      <c r="I1053">
        <v>68900</v>
      </c>
      <c r="J1053">
        <v>112038450</v>
      </c>
      <c r="M1053">
        <v>1</v>
      </c>
      <c r="O1053">
        <v>1</v>
      </c>
      <c r="P1053" s="77">
        <f t="shared" si="112"/>
        <v>855</v>
      </c>
      <c r="Q1053" s="78">
        <f t="shared" si="113"/>
        <v>229.66666666666666</v>
      </c>
      <c r="R1053" s="78">
        <f t="shared" si="114"/>
        <v>21.369638442993164</v>
      </c>
      <c r="S1053" s="78">
        <f t="shared" si="115"/>
        <v>25</v>
      </c>
      <c r="T1053" s="78">
        <f t="shared" si="116"/>
        <v>53.588888888888881</v>
      </c>
      <c r="U1053" s="78" t="str">
        <f t="shared" si="117"/>
        <v>35-60</v>
      </c>
      <c r="V1053" s="78" t="str">
        <f t="shared" si="118"/>
        <v>21-30 Гб</v>
      </c>
    </row>
    <row r="1054" spans="1:22" x14ac:dyDescent="0.25">
      <c r="A1054" t="s">
        <v>220</v>
      </c>
      <c r="B1054" s="43">
        <v>35376</v>
      </c>
      <c r="C1054" t="s">
        <v>58</v>
      </c>
      <c r="D1054" t="s">
        <v>51</v>
      </c>
      <c r="E1054" t="s">
        <v>52</v>
      </c>
      <c r="F1054" t="s">
        <v>57</v>
      </c>
      <c r="G1054" s="43">
        <v>43178</v>
      </c>
      <c r="H1054">
        <v>5</v>
      </c>
      <c r="I1054">
        <v>47790</v>
      </c>
      <c r="J1054">
        <v>104704175</v>
      </c>
      <c r="M1054">
        <v>1</v>
      </c>
      <c r="P1054" s="77">
        <f t="shared" si="112"/>
        <v>1504</v>
      </c>
      <c r="Q1054" s="78">
        <f t="shared" si="113"/>
        <v>159.30000000000001</v>
      </c>
      <c r="R1054" s="78">
        <f t="shared" si="114"/>
        <v>19.970736503601074</v>
      </c>
      <c r="S1054" s="78">
        <f t="shared" si="115"/>
        <v>25</v>
      </c>
      <c r="T1054" s="78">
        <f t="shared" si="116"/>
        <v>37.17</v>
      </c>
      <c r="U1054" s="78" t="str">
        <f t="shared" si="117"/>
        <v>35-60</v>
      </c>
      <c r="V1054" s="78" t="str">
        <f t="shared" si="118"/>
        <v>10-20 Гб</v>
      </c>
    </row>
    <row r="1055" spans="1:22" x14ac:dyDescent="0.25">
      <c r="A1055" t="s">
        <v>884</v>
      </c>
      <c r="B1055" s="43">
        <v>35372</v>
      </c>
      <c r="C1055" t="s">
        <v>50</v>
      </c>
      <c r="D1055" t="s">
        <v>51</v>
      </c>
      <c r="E1055" t="s">
        <v>54</v>
      </c>
      <c r="F1055" t="s">
        <v>63</v>
      </c>
      <c r="G1055" s="43">
        <v>44269</v>
      </c>
      <c r="H1055">
        <v>5</v>
      </c>
      <c r="I1055">
        <v>28970</v>
      </c>
      <c r="J1055">
        <v>184270950</v>
      </c>
      <c r="P1055" s="77">
        <f t="shared" si="112"/>
        <v>413</v>
      </c>
      <c r="Q1055" s="78">
        <f t="shared" si="113"/>
        <v>96.566666666666663</v>
      </c>
      <c r="R1055" s="78">
        <f t="shared" si="114"/>
        <v>35.146894454956055</v>
      </c>
      <c r="S1055" s="78">
        <f t="shared" si="115"/>
        <v>25</v>
      </c>
      <c r="T1055" s="78">
        <f t="shared" si="116"/>
        <v>22.532222222222224</v>
      </c>
      <c r="U1055" s="78" t="str">
        <f t="shared" si="117"/>
        <v>&lt;35</v>
      </c>
      <c r="V1055" s="78" t="str">
        <f t="shared" si="118"/>
        <v>31-40 Гб</v>
      </c>
    </row>
    <row r="1056" spans="1:22" x14ac:dyDescent="0.25">
      <c r="A1056" t="s">
        <v>266</v>
      </c>
      <c r="B1056" s="43">
        <v>35367</v>
      </c>
      <c r="C1056" t="s">
        <v>58</v>
      </c>
      <c r="D1056" t="s">
        <v>51</v>
      </c>
      <c r="E1056" t="s">
        <v>52</v>
      </c>
      <c r="F1056" t="s">
        <v>56</v>
      </c>
      <c r="G1056" s="43">
        <v>43387</v>
      </c>
      <c r="H1056">
        <v>5</v>
      </c>
      <c r="I1056">
        <v>111070</v>
      </c>
      <c r="J1056">
        <v>47660825</v>
      </c>
      <c r="P1056" s="77">
        <f t="shared" si="112"/>
        <v>1295</v>
      </c>
      <c r="Q1056" s="78">
        <f t="shared" si="113"/>
        <v>370.23333333333335</v>
      </c>
      <c r="R1056" s="78">
        <f t="shared" si="114"/>
        <v>9.090580940246582</v>
      </c>
      <c r="S1056" s="78">
        <f t="shared" si="115"/>
        <v>25</v>
      </c>
      <c r="T1056" s="78">
        <f t="shared" si="116"/>
        <v>86.387777777777771</v>
      </c>
      <c r="U1056" s="78" t="str">
        <f t="shared" si="117"/>
        <v>61-90</v>
      </c>
      <c r="V1056" s="78" t="str">
        <f t="shared" si="118"/>
        <v>&lt;10 Гб</v>
      </c>
    </row>
    <row r="1057" spans="1:22" x14ac:dyDescent="0.25">
      <c r="A1057" t="s">
        <v>1121</v>
      </c>
      <c r="B1057" s="43">
        <v>35364</v>
      </c>
      <c r="C1057" t="s">
        <v>58</v>
      </c>
      <c r="D1057" t="s">
        <v>51</v>
      </c>
      <c r="E1057" t="s">
        <v>52</v>
      </c>
      <c r="F1057" t="s">
        <v>69</v>
      </c>
      <c r="G1057" s="43">
        <v>43206</v>
      </c>
      <c r="H1057">
        <v>5</v>
      </c>
      <c r="I1057">
        <v>1620</v>
      </c>
      <c r="J1057">
        <v>14564400</v>
      </c>
      <c r="K1057">
        <v>1</v>
      </c>
      <c r="M1057">
        <v>1</v>
      </c>
      <c r="O1057">
        <v>1</v>
      </c>
      <c r="P1057" s="77">
        <f t="shared" si="112"/>
        <v>1476</v>
      </c>
      <c r="Q1057" s="78">
        <f t="shared" si="113"/>
        <v>5.4</v>
      </c>
      <c r="R1057" s="78">
        <f t="shared" si="114"/>
        <v>2.7779388427734375</v>
      </c>
      <c r="S1057" s="78">
        <f t="shared" si="115"/>
        <v>25</v>
      </c>
      <c r="T1057" s="78">
        <f t="shared" si="116"/>
        <v>1.2600000000000002</v>
      </c>
      <c r="U1057" s="78" t="str">
        <f t="shared" si="117"/>
        <v>&lt;35</v>
      </c>
      <c r="V1057" s="78" t="str">
        <f t="shared" si="118"/>
        <v>&lt;10 Гб</v>
      </c>
    </row>
    <row r="1058" spans="1:22" x14ac:dyDescent="0.25">
      <c r="A1058" t="s">
        <v>677</v>
      </c>
      <c r="B1058" s="43">
        <v>35361</v>
      </c>
      <c r="C1058" t="s">
        <v>58</v>
      </c>
      <c r="D1058" t="s">
        <v>51</v>
      </c>
      <c r="E1058" t="s">
        <v>54</v>
      </c>
      <c r="F1058" t="s">
        <v>57</v>
      </c>
      <c r="G1058" s="43">
        <v>43481</v>
      </c>
      <c r="H1058">
        <v>5</v>
      </c>
      <c r="I1058">
        <v>94990</v>
      </c>
      <c r="J1058">
        <v>88008750</v>
      </c>
      <c r="O1058">
        <v>1</v>
      </c>
      <c r="P1058" s="77">
        <f t="shared" si="112"/>
        <v>1201</v>
      </c>
      <c r="Q1058" s="78">
        <f t="shared" si="113"/>
        <v>316.63333333333333</v>
      </c>
      <c r="R1058" s="78">
        <f t="shared" si="114"/>
        <v>16.786336898803711</v>
      </c>
      <c r="S1058" s="78">
        <f t="shared" si="115"/>
        <v>25</v>
      </c>
      <c r="T1058" s="78">
        <f t="shared" si="116"/>
        <v>73.88111111111111</v>
      </c>
      <c r="U1058" s="78" t="str">
        <f t="shared" si="117"/>
        <v>61-90</v>
      </c>
      <c r="V1058" s="78" t="str">
        <f t="shared" si="118"/>
        <v>10-20 Гб</v>
      </c>
    </row>
    <row r="1059" spans="1:22" x14ac:dyDescent="0.25">
      <c r="A1059" t="s">
        <v>384</v>
      </c>
      <c r="B1059" s="43">
        <v>35360</v>
      </c>
      <c r="C1059" t="s">
        <v>58</v>
      </c>
      <c r="D1059" t="s">
        <v>51</v>
      </c>
      <c r="E1059" t="s">
        <v>52</v>
      </c>
      <c r="F1059" t="s">
        <v>56</v>
      </c>
      <c r="G1059" s="43">
        <v>43990</v>
      </c>
      <c r="H1059">
        <v>5</v>
      </c>
      <c r="I1059">
        <v>35815</v>
      </c>
      <c r="J1059">
        <v>68755375</v>
      </c>
      <c r="M1059">
        <v>1</v>
      </c>
      <c r="P1059" s="77">
        <f t="shared" si="112"/>
        <v>692</v>
      </c>
      <c r="Q1059" s="78">
        <f t="shared" si="113"/>
        <v>119.38333333333334</v>
      </c>
      <c r="R1059" s="78">
        <f t="shared" si="114"/>
        <v>13.114047050476074</v>
      </c>
      <c r="S1059" s="78">
        <f t="shared" si="115"/>
        <v>25</v>
      </c>
      <c r="T1059" s="78">
        <f t="shared" si="116"/>
        <v>27.856111111111112</v>
      </c>
      <c r="U1059" s="78" t="str">
        <f t="shared" si="117"/>
        <v>&lt;35</v>
      </c>
      <c r="V1059" s="78" t="str">
        <f t="shared" si="118"/>
        <v>10-20 Гб</v>
      </c>
    </row>
    <row r="1060" spans="1:22" x14ac:dyDescent="0.25">
      <c r="A1060" t="s">
        <v>895</v>
      </c>
      <c r="B1060" s="43">
        <v>35360</v>
      </c>
      <c r="C1060" t="s">
        <v>58</v>
      </c>
      <c r="D1060" t="s">
        <v>51</v>
      </c>
      <c r="E1060" t="s">
        <v>52</v>
      </c>
      <c r="F1060" t="s">
        <v>63</v>
      </c>
      <c r="G1060" s="43">
        <v>43302</v>
      </c>
      <c r="H1060">
        <v>5</v>
      </c>
      <c r="I1060">
        <v>21410</v>
      </c>
      <c r="J1060">
        <v>192317225</v>
      </c>
      <c r="P1060" s="77">
        <f t="shared" si="112"/>
        <v>1380</v>
      </c>
      <c r="Q1060" s="78">
        <f t="shared" si="113"/>
        <v>71.36666666666666</v>
      </c>
      <c r="R1060" s="78">
        <f t="shared" si="114"/>
        <v>36.681599617004395</v>
      </c>
      <c r="S1060" s="78">
        <f t="shared" si="115"/>
        <v>25</v>
      </c>
      <c r="T1060" s="78">
        <f t="shared" si="116"/>
        <v>16.652222222222221</v>
      </c>
      <c r="U1060" s="78" t="str">
        <f t="shared" si="117"/>
        <v>&lt;35</v>
      </c>
      <c r="V1060" s="78" t="str">
        <f t="shared" si="118"/>
        <v>31-40 Гб</v>
      </c>
    </row>
    <row r="1061" spans="1:22" x14ac:dyDescent="0.25">
      <c r="A1061" t="s">
        <v>1173</v>
      </c>
      <c r="B1061" s="43">
        <v>35359</v>
      </c>
      <c r="C1061" t="s">
        <v>50</v>
      </c>
      <c r="D1061" t="s">
        <v>51</v>
      </c>
      <c r="E1061" t="s">
        <v>54</v>
      </c>
      <c r="F1061" t="s">
        <v>57</v>
      </c>
      <c r="G1061" s="43">
        <v>43590</v>
      </c>
      <c r="H1061">
        <v>5</v>
      </c>
      <c r="I1061">
        <v>26800</v>
      </c>
      <c r="J1061">
        <v>112772550</v>
      </c>
      <c r="P1061" s="77">
        <f t="shared" si="112"/>
        <v>1092</v>
      </c>
      <c r="Q1061" s="78">
        <f t="shared" si="113"/>
        <v>89.333333333333329</v>
      </c>
      <c r="R1061" s="78">
        <f t="shared" si="114"/>
        <v>21.50965690612793</v>
      </c>
      <c r="S1061" s="78">
        <f t="shared" si="115"/>
        <v>25</v>
      </c>
      <c r="T1061" s="78">
        <f t="shared" si="116"/>
        <v>20.844444444444441</v>
      </c>
      <c r="U1061" s="78" t="str">
        <f t="shared" si="117"/>
        <v>&lt;35</v>
      </c>
      <c r="V1061" s="78" t="str">
        <f t="shared" si="118"/>
        <v>21-30 Гб</v>
      </c>
    </row>
    <row r="1062" spans="1:22" x14ac:dyDescent="0.25">
      <c r="A1062" t="s">
        <v>226</v>
      </c>
      <c r="B1062" s="43">
        <v>35358</v>
      </c>
      <c r="C1062" t="s">
        <v>58</v>
      </c>
      <c r="D1062" t="s">
        <v>51</v>
      </c>
      <c r="E1062" t="s">
        <v>54</v>
      </c>
      <c r="F1062" t="s">
        <v>57</v>
      </c>
      <c r="G1062" s="43">
        <v>43825</v>
      </c>
      <c r="H1062">
        <v>5</v>
      </c>
      <c r="I1062">
        <v>30365</v>
      </c>
      <c r="J1062">
        <v>104453775</v>
      </c>
      <c r="K1062">
        <v>1</v>
      </c>
      <c r="P1062" s="77">
        <f t="shared" si="112"/>
        <v>857</v>
      </c>
      <c r="Q1062" s="78">
        <f t="shared" si="113"/>
        <v>101.21666666666667</v>
      </c>
      <c r="R1062" s="78">
        <f t="shared" si="114"/>
        <v>19.922976493835449</v>
      </c>
      <c r="S1062" s="78">
        <f t="shared" si="115"/>
        <v>25</v>
      </c>
      <c r="T1062" s="78">
        <f t="shared" si="116"/>
        <v>23.617222222222221</v>
      </c>
      <c r="U1062" s="78" t="str">
        <f t="shared" si="117"/>
        <v>&lt;35</v>
      </c>
      <c r="V1062" s="78" t="str">
        <f t="shared" si="118"/>
        <v>10-20 Гб</v>
      </c>
    </row>
    <row r="1063" spans="1:22" x14ac:dyDescent="0.25">
      <c r="A1063" t="s">
        <v>1057</v>
      </c>
      <c r="B1063" s="43">
        <v>35355</v>
      </c>
      <c r="C1063" t="s">
        <v>58</v>
      </c>
      <c r="D1063" t="s">
        <v>51</v>
      </c>
      <c r="E1063" t="s">
        <v>54</v>
      </c>
      <c r="F1063" t="s">
        <v>63</v>
      </c>
      <c r="G1063" s="43">
        <v>44319</v>
      </c>
      <c r="H1063">
        <v>5</v>
      </c>
      <c r="I1063">
        <v>30245</v>
      </c>
      <c r="J1063">
        <v>156244450</v>
      </c>
      <c r="P1063" s="77">
        <f t="shared" si="112"/>
        <v>363</v>
      </c>
      <c r="Q1063" s="78">
        <f t="shared" si="113"/>
        <v>100.81666666666666</v>
      </c>
      <c r="R1063" s="78">
        <f t="shared" si="114"/>
        <v>29.801263809204102</v>
      </c>
      <c r="S1063" s="78">
        <f t="shared" si="115"/>
        <v>25</v>
      </c>
      <c r="T1063" s="78">
        <f t="shared" si="116"/>
        <v>23.523888888888891</v>
      </c>
      <c r="U1063" s="78" t="str">
        <f t="shared" si="117"/>
        <v>&lt;35</v>
      </c>
      <c r="V1063" s="78" t="str">
        <f t="shared" si="118"/>
        <v>21-30 Гб</v>
      </c>
    </row>
    <row r="1064" spans="1:22" x14ac:dyDescent="0.25">
      <c r="A1064" t="s">
        <v>367</v>
      </c>
      <c r="B1064" s="43">
        <v>35354</v>
      </c>
      <c r="C1064" t="s">
        <v>50</v>
      </c>
      <c r="D1064" t="s">
        <v>51</v>
      </c>
      <c r="E1064" t="s">
        <v>52</v>
      </c>
      <c r="F1064" t="s">
        <v>56</v>
      </c>
      <c r="G1064" s="43">
        <v>43058</v>
      </c>
      <c r="H1064">
        <v>5</v>
      </c>
      <c r="I1064">
        <v>150070</v>
      </c>
      <c r="J1064">
        <v>141531525</v>
      </c>
      <c r="P1064" s="77">
        <f t="shared" si="112"/>
        <v>1624</v>
      </c>
      <c r="Q1064" s="78">
        <f t="shared" si="113"/>
        <v>500.23333333333335</v>
      </c>
      <c r="R1064" s="78">
        <f t="shared" si="114"/>
        <v>26.994996070861816</v>
      </c>
      <c r="S1064" s="78">
        <f t="shared" si="115"/>
        <v>25</v>
      </c>
      <c r="T1064" s="78">
        <f t="shared" si="116"/>
        <v>116.72111111111111</v>
      </c>
      <c r="U1064" s="78" t="str">
        <f t="shared" si="117"/>
        <v>91-120</v>
      </c>
      <c r="V1064" s="78" t="str">
        <f t="shared" si="118"/>
        <v>21-30 Гб</v>
      </c>
    </row>
    <row r="1065" spans="1:22" x14ac:dyDescent="0.25">
      <c r="A1065" t="s">
        <v>646</v>
      </c>
      <c r="B1065" s="43">
        <v>35351</v>
      </c>
      <c r="C1065" t="s">
        <v>58</v>
      </c>
      <c r="D1065" t="s">
        <v>51</v>
      </c>
      <c r="E1065" t="s">
        <v>52</v>
      </c>
      <c r="F1065" t="s">
        <v>57</v>
      </c>
      <c r="G1065" s="43">
        <v>43168</v>
      </c>
      <c r="H1065">
        <v>5</v>
      </c>
      <c r="I1065">
        <v>58385</v>
      </c>
      <c r="J1065">
        <v>145014150</v>
      </c>
      <c r="L1065">
        <v>1</v>
      </c>
      <c r="N1065">
        <v>1</v>
      </c>
      <c r="P1065" s="77">
        <f t="shared" si="112"/>
        <v>1514</v>
      </c>
      <c r="Q1065" s="78">
        <f t="shared" si="113"/>
        <v>194.61666666666667</v>
      </c>
      <c r="R1065" s="78">
        <f t="shared" si="114"/>
        <v>27.65925407409668</v>
      </c>
      <c r="S1065" s="78">
        <f t="shared" si="115"/>
        <v>25</v>
      </c>
      <c r="T1065" s="78">
        <f t="shared" si="116"/>
        <v>45.410555555555554</v>
      </c>
      <c r="U1065" s="78" t="str">
        <f t="shared" si="117"/>
        <v>35-60</v>
      </c>
      <c r="V1065" s="78" t="str">
        <f t="shared" si="118"/>
        <v>21-30 Гб</v>
      </c>
    </row>
    <row r="1066" spans="1:22" x14ac:dyDescent="0.25">
      <c r="A1066" t="s">
        <v>1104</v>
      </c>
      <c r="B1066" s="43">
        <v>35351</v>
      </c>
      <c r="C1066" t="s">
        <v>50</v>
      </c>
      <c r="D1066" t="s">
        <v>51</v>
      </c>
      <c r="E1066" t="s">
        <v>52</v>
      </c>
      <c r="F1066" t="s">
        <v>63</v>
      </c>
      <c r="G1066" s="43">
        <v>43215</v>
      </c>
      <c r="H1066">
        <v>5</v>
      </c>
      <c r="I1066">
        <v>34360</v>
      </c>
      <c r="J1066">
        <v>196892600</v>
      </c>
      <c r="P1066" s="77">
        <f t="shared" si="112"/>
        <v>1467</v>
      </c>
      <c r="Q1066" s="78">
        <f t="shared" si="113"/>
        <v>114.53333333333333</v>
      </c>
      <c r="R1066" s="78">
        <f t="shared" si="114"/>
        <v>37.554283142089844</v>
      </c>
      <c r="S1066" s="78">
        <f t="shared" si="115"/>
        <v>25</v>
      </c>
      <c r="T1066" s="78">
        <f t="shared" si="116"/>
        <v>26.724444444444444</v>
      </c>
      <c r="U1066" s="78" t="str">
        <f t="shared" si="117"/>
        <v>&lt;35</v>
      </c>
      <c r="V1066" s="78" t="str">
        <f t="shared" si="118"/>
        <v>31-40 Гб</v>
      </c>
    </row>
    <row r="1067" spans="1:22" x14ac:dyDescent="0.25">
      <c r="A1067" t="s">
        <v>485</v>
      </c>
      <c r="B1067" s="43">
        <v>35349</v>
      </c>
      <c r="C1067" t="s">
        <v>58</v>
      </c>
      <c r="D1067" t="s">
        <v>51</v>
      </c>
      <c r="E1067" t="s">
        <v>54</v>
      </c>
      <c r="F1067" t="s">
        <v>57</v>
      </c>
      <c r="G1067" s="43">
        <v>44494</v>
      </c>
      <c r="H1067">
        <v>5</v>
      </c>
      <c r="I1067">
        <v>81670</v>
      </c>
      <c r="J1067">
        <v>15605775</v>
      </c>
      <c r="K1067">
        <v>1</v>
      </c>
      <c r="P1067" s="77">
        <f t="shared" si="112"/>
        <v>188</v>
      </c>
      <c r="Q1067" s="78">
        <f t="shared" si="113"/>
        <v>272.23333333333335</v>
      </c>
      <c r="R1067" s="78">
        <f t="shared" si="114"/>
        <v>2.9765653610229492</v>
      </c>
      <c r="S1067" s="78">
        <f t="shared" si="115"/>
        <v>25</v>
      </c>
      <c r="T1067" s="78">
        <f t="shared" si="116"/>
        <v>63.521111111111118</v>
      </c>
      <c r="U1067" s="78" t="str">
        <f t="shared" si="117"/>
        <v>61-90</v>
      </c>
      <c r="V1067" s="78" t="str">
        <f t="shared" si="118"/>
        <v>&lt;10 Гб</v>
      </c>
    </row>
    <row r="1068" spans="1:22" x14ac:dyDescent="0.25">
      <c r="A1068" t="s">
        <v>312</v>
      </c>
      <c r="B1068" s="43">
        <v>35342</v>
      </c>
      <c r="C1068" t="s">
        <v>50</v>
      </c>
      <c r="D1068" t="s">
        <v>51</v>
      </c>
      <c r="E1068" t="s">
        <v>54</v>
      </c>
      <c r="F1068" t="s">
        <v>56</v>
      </c>
      <c r="G1068" s="43">
        <v>43341</v>
      </c>
      <c r="H1068">
        <v>5</v>
      </c>
      <c r="I1068">
        <v>103685</v>
      </c>
      <c r="J1068">
        <v>167198575</v>
      </c>
      <c r="P1068" s="77">
        <f t="shared" si="112"/>
        <v>1341</v>
      </c>
      <c r="Q1068" s="78">
        <f t="shared" si="113"/>
        <v>345.61666666666667</v>
      </c>
      <c r="R1068" s="78">
        <f t="shared" si="114"/>
        <v>31.890597343444824</v>
      </c>
      <c r="S1068" s="78">
        <f t="shared" si="115"/>
        <v>25</v>
      </c>
      <c r="T1068" s="78">
        <f t="shared" si="116"/>
        <v>80.643888888888881</v>
      </c>
      <c r="U1068" s="78" t="str">
        <f t="shared" si="117"/>
        <v>61-90</v>
      </c>
      <c r="V1068" s="78" t="str">
        <f t="shared" si="118"/>
        <v>31-40 Гб</v>
      </c>
    </row>
    <row r="1069" spans="1:22" x14ac:dyDescent="0.25">
      <c r="A1069" t="s">
        <v>569</v>
      </c>
      <c r="B1069" s="43">
        <v>35339</v>
      </c>
      <c r="C1069" t="s">
        <v>58</v>
      </c>
      <c r="D1069" t="s">
        <v>51</v>
      </c>
      <c r="E1069" t="s">
        <v>52</v>
      </c>
      <c r="F1069" t="s">
        <v>57</v>
      </c>
      <c r="G1069" s="43">
        <v>42756</v>
      </c>
      <c r="H1069">
        <v>5</v>
      </c>
      <c r="I1069">
        <v>74495</v>
      </c>
      <c r="J1069">
        <v>20495000</v>
      </c>
      <c r="P1069" s="77">
        <f t="shared" si="112"/>
        <v>1926</v>
      </c>
      <c r="Q1069" s="78">
        <f t="shared" si="113"/>
        <v>248.31666666666666</v>
      </c>
      <c r="R1069" s="78">
        <f t="shared" si="114"/>
        <v>3.9091110229492188</v>
      </c>
      <c r="S1069" s="78">
        <f t="shared" si="115"/>
        <v>25</v>
      </c>
      <c r="T1069" s="78">
        <f t="shared" si="116"/>
        <v>57.940555555555555</v>
      </c>
      <c r="U1069" s="78" t="str">
        <f t="shared" si="117"/>
        <v>35-60</v>
      </c>
      <c r="V1069" s="78" t="str">
        <f t="shared" si="118"/>
        <v>&lt;10 Гб</v>
      </c>
    </row>
    <row r="1070" spans="1:22" x14ac:dyDescent="0.25">
      <c r="A1070" t="s">
        <v>1149</v>
      </c>
      <c r="B1070" s="43">
        <v>35338</v>
      </c>
      <c r="C1070" t="s">
        <v>50</v>
      </c>
      <c r="D1070" t="s">
        <v>51</v>
      </c>
      <c r="E1070" t="s">
        <v>54</v>
      </c>
      <c r="F1070" t="s">
        <v>63</v>
      </c>
      <c r="G1070" s="43">
        <v>43818</v>
      </c>
      <c r="H1070">
        <v>5</v>
      </c>
      <c r="I1070">
        <v>11450</v>
      </c>
      <c r="J1070">
        <v>125275050</v>
      </c>
      <c r="M1070">
        <v>1</v>
      </c>
      <c r="P1070" s="77">
        <f t="shared" si="112"/>
        <v>864</v>
      </c>
      <c r="Q1070" s="78">
        <f t="shared" si="113"/>
        <v>38.166666666666664</v>
      </c>
      <c r="R1070" s="78">
        <f t="shared" si="114"/>
        <v>23.894319534301758</v>
      </c>
      <c r="S1070" s="78">
        <f t="shared" si="115"/>
        <v>25</v>
      </c>
      <c r="T1070" s="78">
        <f t="shared" si="116"/>
        <v>8.905555555555555</v>
      </c>
      <c r="U1070" s="78" t="str">
        <f t="shared" si="117"/>
        <v>&lt;35</v>
      </c>
      <c r="V1070" s="78" t="str">
        <f t="shared" si="118"/>
        <v>21-30 Гб</v>
      </c>
    </row>
    <row r="1071" spans="1:22" x14ac:dyDescent="0.25">
      <c r="A1071" t="s">
        <v>1113</v>
      </c>
      <c r="B1071" s="43">
        <v>35334</v>
      </c>
      <c r="C1071" t="s">
        <v>58</v>
      </c>
      <c r="D1071" t="s">
        <v>51</v>
      </c>
      <c r="E1071" t="s">
        <v>54</v>
      </c>
      <c r="F1071" t="s">
        <v>69</v>
      </c>
      <c r="G1071" s="43">
        <v>43883</v>
      </c>
      <c r="H1071">
        <v>5</v>
      </c>
      <c r="I1071">
        <v>3880</v>
      </c>
      <c r="J1071">
        <v>11060350</v>
      </c>
      <c r="P1071" s="77">
        <f t="shared" si="112"/>
        <v>799</v>
      </c>
      <c r="Q1071" s="78">
        <f t="shared" si="113"/>
        <v>12.933333333333334</v>
      </c>
      <c r="R1071" s="78">
        <f t="shared" si="114"/>
        <v>2.1095943450927734</v>
      </c>
      <c r="S1071" s="78">
        <f t="shared" si="115"/>
        <v>25</v>
      </c>
      <c r="T1071" s="78">
        <f t="shared" si="116"/>
        <v>3.0177777777777779</v>
      </c>
      <c r="U1071" s="78" t="str">
        <f t="shared" si="117"/>
        <v>&lt;35</v>
      </c>
      <c r="V1071" s="78" t="str">
        <f t="shared" si="118"/>
        <v>&lt;10 Гб</v>
      </c>
    </row>
    <row r="1072" spans="1:22" x14ac:dyDescent="0.25">
      <c r="A1072" t="s">
        <v>1060</v>
      </c>
      <c r="B1072" s="43">
        <v>35333</v>
      </c>
      <c r="C1072" t="s">
        <v>50</v>
      </c>
      <c r="D1072" t="s">
        <v>51</v>
      </c>
      <c r="E1072" t="s">
        <v>52</v>
      </c>
      <c r="F1072" t="s">
        <v>63</v>
      </c>
      <c r="G1072" s="43">
        <v>44332</v>
      </c>
      <c r="H1072">
        <v>5</v>
      </c>
      <c r="I1072">
        <v>44845</v>
      </c>
      <c r="J1072">
        <v>176867225</v>
      </c>
      <c r="K1072">
        <v>1</v>
      </c>
      <c r="O1072">
        <v>1</v>
      </c>
      <c r="P1072" s="77">
        <f t="shared" si="112"/>
        <v>350</v>
      </c>
      <c r="Q1072" s="78">
        <f t="shared" si="113"/>
        <v>149.48333333333332</v>
      </c>
      <c r="R1072" s="78">
        <f t="shared" si="114"/>
        <v>33.734745979309082</v>
      </c>
      <c r="S1072" s="78">
        <f t="shared" si="115"/>
        <v>25</v>
      </c>
      <c r="T1072" s="78">
        <f t="shared" si="116"/>
        <v>34.879444444444438</v>
      </c>
      <c r="U1072" s="78" t="str">
        <f t="shared" si="117"/>
        <v>&lt;35</v>
      </c>
      <c r="V1072" s="78" t="str">
        <f t="shared" si="118"/>
        <v>31-40 Гб</v>
      </c>
    </row>
    <row r="1073" spans="1:22" x14ac:dyDescent="0.25">
      <c r="A1073" t="s">
        <v>198</v>
      </c>
      <c r="B1073" s="43">
        <v>35332</v>
      </c>
      <c r="C1073" t="s">
        <v>50</v>
      </c>
      <c r="D1073" t="s">
        <v>51</v>
      </c>
      <c r="E1073" t="s">
        <v>52</v>
      </c>
      <c r="F1073" t="s">
        <v>53</v>
      </c>
      <c r="G1073" s="43">
        <v>44523</v>
      </c>
      <c r="H1073">
        <v>5</v>
      </c>
      <c r="I1073">
        <v>186435</v>
      </c>
      <c r="J1073">
        <v>241344325</v>
      </c>
      <c r="K1073">
        <v>1</v>
      </c>
      <c r="L1073">
        <v>1</v>
      </c>
      <c r="P1073" s="77">
        <f t="shared" si="112"/>
        <v>159</v>
      </c>
      <c r="Q1073" s="78">
        <f t="shared" si="113"/>
        <v>621.45000000000005</v>
      </c>
      <c r="R1073" s="78">
        <f t="shared" si="114"/>
        <v>46.032776832580566</v>
      </c>
      <c r="S1073" s="78">
        <f t="shared" si="115"/>
        <v>25</v>
      </c>
      <c r="T1073" s="78">
        <f t="shared" si="116"/>
        <v>145.00500000000002</v>
      </c>
      <c r="U1073" s="78" t="str">
        <f t="shared" si="117"/>
        <v>120+</v>
      </c>
      <c r="V1073" s="78" t="str">
        <f t="shared" si="118"/>
        <v>40+ Гб</v>
      </c>
    </row>
    <row r="1074" spans="1:22" x14ac:dyDescent="0.25">
      <c r="A1074" t="s">
        <v>224</v>
      </c>
      <c r="B1074" s="43">
        <v>35325</v>
      </c>
      <c r="C1074" t="s">
        <v>50</v>
      </c>
      <c r="D1074" t="s">
        <v>51</v>
      </c>
      <c r="E1074" t="s">
        <v>52</v>
      </c>
      <c r="F1074" t="s">
        <v>57</v>
      </c>
      <c r="G1074" s="43">
        <v>43284</v>
      </c>
      <c r="H1074">
        <v>5</v>
      </c>
      <c r="I1074">
        <v>87450</v>
      </c>
      <c r="J1074">
        <v>147256750</v>
      </c>
      <c r="K1074">
        <v>1</v>
      </c>
      <c r="M1074">
        <v>1</v>
      </c>
      <c r="O1074">
        <v>1</v>
      </c>
      <c r="P1074" s="77">
        <f t="shared" si="112"/>
        <v>1398</v>
      </c>
      <c r="Q1074" s="78">
        <f t="shared" si="113"/>
        <v>291.5</v>
      </c>
      <c r="R1074" s="78">
        <f t="shared" si="114"/>
        <v>28.086996078491211</v>
      </c>
      <c r="S1074" s="78">
        <f t="shared" si="115"/>
        <v>25</v>
      </c>
      <c r="T1074" s="78">
        <f t="shared" si="116"/>
        <v>68.016666666666666</v>
      </c>
      <c r="U1074" s="78" t="str">
        <f t="shared" si="117"/>
        <v>61-90</v>
      </c>
      <c r="V1074" s="78" t="str">
        <f t="shared" si="118"/>
        <v>21-30 Гб</v>
      </c>
    </row>
    <row r="1075" spans="1:22" x14ac:dyDescent="0.25">
      <c r="A1075" t="s">
        <v>1030</v>
      </c>
      <c r="B1075" s="43">
        <v>35322</v>
      </c>
      <c r="C1075" t="s">
        <v>50</v>
      </c>
      <c r="D1075" t="s">
        <v>51</v>
      </c>
      <c r="E1075" t="s">
        <v>54</v>
      </c>
      <c r="F1075" t="s">
        <v>63</v>
      </c>
      <c r="G1075" s="43">
        <v>44040</v>
      </c>
      <c r="H1075">
        <v>5</v>
      </c>
      <c r="I1075">
        <v>11005</v>
      </c>
      <c r="J1075">
        <v>168035975</v>
      </c>
      <c r="P1075" s="77">
        <f t="shared" si="112"/>
        <v>642</v>
      </c>
      <c r="Q1075" s="78">
        <f t="shared" si="113"/>
        <v>36.68333333333333</v>
      </c>
      <c r="R1075" s="78">
        <f t="shared" si="114"/>
        <v>32.050318717956543</v>
      </c>
      <c r="S1075" s="78">
        <f t="shared" si="115"/>
        <v>25</v>
      </c>
      <c r="T1075" s="78">
        <f t="shared" si="116"/>
        <v>8.5594444444444431</v>
      </c>
      <c r="U1075" s="78" t="str">
        <f t="shared" si="117"/>
        <v>&lt;35</v>
      </c>
      <c r="V1075" s="78" t="str">
        <f t="shared" si="118"/>
        <v>31-40 Гб</v>
      </c>
    </row>
    <row r="1076" spans="1:22" x14ac:dyDescent="0.25">
      <c r="A1076" t="s">
        <v>489</v>
      </c>
      <c r="B1076" s="43">
        <v>35321</v>
      </c>
      <c r="C1076" t="s">
        <v>50</v>
      </c>
      <c r="D1076" t="s">
        <v>51</v>
      </c>
      <c r="E1076" t="s">
        <v>54</v>
      </c>
      <c r="F1076" t="s">
        <v>57</v>
      </c>
      <c r="G1076" s="43">
        <v>43732</v>
      </c>
      <c r="H1076">
        <v>5</v>
      </c>
      <c r="I1076">
        <v>28010</v>
      </c>
      <c r="J1076">
        <v>131908550</v>
      </c>
      <c r="P1076" s="77">
        <f t="shared" si="112"/>
        <v>950</v>
      </c>
      <c r="Q1076" s="78">
        <f t="shared" si="113"/>
        <v>93.36666666666666</v>
      </c>
      <c r="R1076" s="78">
        <f t="shared" si="114"/>
        <v>25.15955924987793</v>
      </c>
      <c r="S1076" s="78">
        <f t="shared" si="115"/>
        <v>25</v>
      </c>
      <c r="T1076" s="78">
        <f t="shared" si="116"/>
        <v>21.785555555555554</v>
      </c>
      <c r="U1076" s="78" t="str">
        <f t="shared" si="117"/>
        <v>&lt;35</v>
      </c>
      <c r="V1076" s="78" t="str">
        <f t="shared" si="118"/>
        <v>21-30 Гб</v>
      </c>
    </row>
    <row r="1077" spans="1:22" x14ac:dyDescent="0.25">
      <c r="A1077" t="s">
        <v>1100</v>
      </c>
      <c r="B1077" s="43">
        <v>35319</v>
      </c>
      <c r="C1077" t="s">
        <v>50</v>
      </c>
      <c r="D1077" t="s">
        <v>51</v>
      </c>
      <c r="E1077" t="s">
        <v>52</v>
      </c>
      <c r="F1077" t="s">
        <v>63</v>
      </c>
      <c r="G1077" s="43">
        <v>44300</v>
      </c>
      <c r="H1077">
        <v>5</v>
      </c>
      <c r="I1077">
        <v>42560</v>
      </c>
      <c r="J1077">
        <v>182348750</v>
      </c>
      <c r="P1077" s="77">
        <f t="shared" si="112"/>
        <v>382</v>
      </c>
      <c r="Q1077" s="78">
        <f t="shared" si="113"/>
        <v>141.86666666666667</v>
      </c>
      <c r="R1077" s="78">
        <f t="shared" si="114"/>
        <v>34.780263900756836</v>
      </c>
      <c r="S1077" s="78">
        <f t="shared" si="115"/>
        <v>25</v>
      </c>
      <c r="T1077" s="78">
        <f t="shared" si="116"/>
        <v>33.102222222222224</v>
      </c>
      <c r="U1077" s="78" t="str">
        <f t="shared" si="117"/>
        <v>&lt;35</v>
      </c>
      <c r="V1077" s="78" t="str">
        <f t="shared" si="118"/>
        <v>31-40 Гб</v>
      </c>
    </row>
    <row r="1078" spans="1:22" x14ac:dyDescent="0.25">
      <c r="A1078" t="s">
        <v>324</v>
      </c>
      <c r="B1078" s="43">
        <v>35317</v>
      </c>
      <c r="C1078" t="s">
        <v>58</v>
      </c>
      <c r="D1078" t="s">
        <v>51</v>
      </c>
      <c r="E1078" t="s">
        <v>54</v>
      </c>
      <c r="F1078" t="s">
        <v>56</v>
      </c>
      <c r="G1078" s="43">
        <v>43490</v>
      </c>
      <c r="H1078">
        <v>5</v>
      </c>
      <c r="I1078">
        <v>143995</v>
      </c>
      <c r="J1078">
        <v>166470050</v>
      </c>
      <c r="L1078">
        <v>1</v>
      </c>
      <c r="P1078" s="77">
        <f t="shared" si="112"/>
        <v>1192</v>
      </c>
      <c r="Q1078" s="78">
        <f t="shared" si="113"/>
        <v>479.98333333333335</v>
      </c>
      <c r="R1078" s="78">
        <f t="shared" si="114"/>
        <v>31.751642227172852</v>
      </c>
      <c r="S1078" s="78">
        <f t="shared" si="115"/>
        <v>25</v>
      </c>
      <c r="T1078" s="78">
        <f t="shared" si="116"/>
        <v>111.99611111111111</v>
      </c>
      <c r="U1078" s="78" t="str">
        <f t="shared" si="117"/>
        <v>91-120</v>
      </c>
      <c r="V1078" s="78" t="str">
        <f t="shared" si="118"/>
        <v>31-40 Гб</v>
      </c>
    </row>
    <row r="1079" spans="1:22" x14ac:dyDescent="0.25">
      <c r="A1079" t="s">
        <v>885</v>
      </c>
      <c r="B1079" s="43">
        <v>35317</v>
      </c>
      <c r="C1079" t="s">
        <v>58</v>
      </c>
      <c r="D1079" t="s">
        <v>51</v>
      </c>
      <c r="E1079" t="s">
        <v>52</v>
      </c>
      <c r="F1079" t="s">
        <v>63</v>
      </c>
      <c r="G1079" s="43">
        <v>44325</v>
      </c>
      <c r="H1079">
        <v>5</v>
      </c>
      <c r="I1079">
        <v>42585</v>
      </c>
      <c r="J1079">
        <v>140482600</v>
      </c>
      <c r="P1079" s="77">
        <f t="shared" si="112"/>
        <v>357</v>
      </c>
      <c r="Q1079" s="78">
        <f t="shared" si="113"/>
        <v>141.94999999999999</v>
      </c>
      <c r="R1079" s="78">
        <f t="shared" si="114"/>
        <v>26.794929504394531</v>
      </c>
      <c r="S1079" s="78">
        <f t="shared" si="115"/>
        <v>25</v>
      </c>
      <c r="T1079" s="78">
        <f t="shared" si="116"/>
        <v>33.121666666666663</v>
      </c>
      <c r="U1079" s="78" t="str">
        <f t="shared" si="117"/>
        <v>&lt;35</v>
      </c>
      <c r="V1079" s="78" t="str">
        <f t="shared" si="118"/>
        <v>21-30 Гб</v>
      </c>
    </row>
    <row r="1080" spans="1:22" x14ac:dyDescent="0.25">
      <c r="A1080" t="s">
        <v>401</v>
      </c>
      <c r="B1080" s="43">
        <v>35311</v>
      </c>
      <c r="C1080" t="s">
        <v>50</v>
      </c>
      <c r="D1080" t="s">
        <v>51</v>
      </c>
      <c r="E1080" t="s">
        <v>52</v>
      </c>
      <c r="F1080" t="s">
        <v>56</v>
      </c>
      <c r="G1080" s="43">
        <v>43211</v>
      </c>
      <c r="H1080">
        <v>5</v>
      </c>
      <c r="I1080">
        <v>22345</v>
      </c>
      <c r="J1080">
        <v>62450600</v>
      </c>
      <c r="P1080" s="77">
        <f t="shared" si="112"/>
        <v>1471</v>
      </c>
      <c r="Q1080" s="78">
        <f t="shared" si="113"/>
        <v>74.483333333333334</v>
      </c>
      <c r="R1080" s="78">
        <f t="shared" si="114"/>
        <v>11.911506652832031</v>
      </c>
      <c r="S1080" s="78">
        <f t="shared" si="115"/>
        <v>25</v>
      </c>
      <c r="T1080" s="78">
        <f t="shared" si="116"/>
        <v>17.379444444444445</v>
      </c>
      <c r="U1080" s="78" t="str">
        <f t="shared" si="117"/>
        <v>&lt;35</v>
      </c>
      <c r="V1080" s="78" t="str">
        <f t="shared" si="118"/>
        <v>10-20 Гб</v>
      </c>
    </row>
    <row r="1081" spans="1:22" x14ac:dyDescent="0.25">
      <c r="A1081" t="s">
        <v>215</v>
      </c>
      <c r="B1081" s="43">
        <v>35310</v>
      </c>
      <c r="C1081" t="s">
        <v>58</v>
      </c>
      <c r="D1081" t="s">
        <v>51</v>
      </c>
      <c r="E1081" t="s">
        <v>52</v>
      </c>
      <c r="F1081" t="s">
        <v>56</v>
      </c>
      <c r="G1081" s="43">
        <v>42941</v>
      </c>
      <c r="H1081">
        <v>5</v>
      </c>
      <c r="I1081">
        <v>138855</v>
      </c>
      <c r="J1081">
        <v>24305750</v>
      </c>
      <c r="K1081">
        <v>1</v>
      </c>
      <c r="P1081" s="77">
        <f t="shared" si="112"/>
        <v>1741</v>
      </c>
      <c r="Q1081" s="78">
        <f t="shared" si="113"/>
        <v>462.85</v>
      </c>
      <c r="R1081" s="78">
        <f t="shared" si="114"/>
        <v>4.6359539031982422</v>
      </c>
      <c r="S1081" s="78">
        <f t="shared" si="115"/>
        <v>25</v>
      </c>
      <c r="T1081" s="78">
        <f t="shared" si="116"/>
        <v>107.99833333333335</v>
      </c>
      <c r="U1081" s="78" t="str">
        <f t="shared" si="117"/>
        <v>91-120</v>
      </c>
      <c r="V1081" s="78" t="str">
        <f t="shared" si="118"/>
        <v>&lt;10 Гб</v>
      </c>
    </row>
    <row r="1082" spans="1:22" x14ac:dyDescent="0.25">
      <c r="A1082" t="s">
        <v>204</v>
      </c>
      <c r="B1082" s="43">
        <v>35309</v>
      </c>
      <c r="C1082" t="s">
        <v>58</v>
      </c>
      <c r="D1082" t="s">
        <v>51</v>
      </c>
      <c r="E1082" t="s">
        <v>52</v>
      </c>
      <c r="F1082" t="s">
        <v>53</v>
      </c>
      <c r="G1082" s="43">
        <v>42860</v>
      </c>
      <c r="H1082">
        <v>5</v>
      </c>
      <c r="I1082">
        <v>203440</v>
      </c>
      <c r="J1082">
        <v>57813600</v>
      </c>
      <c r="P1082" s="77">
        <f t="shared" si="112"/>
        <v>1822</v>
      </c>
      <c r="Q1082" s="78">
        <f t="shared" si="113"/>
        <v>678.13333333333333</v>
      </c>
      <c r="R1082" s="78">
        <f t="shared" si="114"/>
        <v>11.027069091796875</v>
      </c>
      <c r="S1082" s="78">
        <f t="shared" si="115"/>
        <v>25</v>
      </c>
      <c r="T1082" s="78">
        <f t="shared" si="116"/>
        <v>158.23111111111112</v>
      </c>
      <c r="U1082" s="78" t="str">
        <f t="shared" si="117"/>
        <v>120+</v>
      </c>
      <c r="V1082" s="78" t="str">
        <f t="shared" si="118"/>
        <v>10-20 Гб</v>
      </c>
    </row>
    <row r="1083" spans="1:22" x14ac:dyDescent="0.25">
      <c r="A1083" t="s">
        <v>1034</v>
      </c>
      <c r="B1083" s="43">
        <v>35309</v>
      </c>
      <c r="C1083" t="s">
        <v>58</v>
      </c>
      <c r="D1083" t="s">
        <v>51</v>
      </c>
      <c r="E1083" t="s">
        <v>52</v>
      </c>
      <c r="F1083" t="s">
        <v>63</v>
      </c>
      <c r="G1083" s="43">
        <v>42925</v>
      </c>
      <c r="H1083">
        <v>5</v>
      </c>
      <c r="I1083">
        <v>30600</v>
      </c>
      <c r="J1083">
        <v>175595775</v>
      </c>
      <c r="P1083" s="77">
        <f t="shared" si="112"/>
        <v>1757</v>
      </c>
      <c r="Q1083" s="78">
        <f t="shared" si="113"/>
        <v>102</v>
      </c>
      <c r="R1083" s="78">
        <f t="shared" si="114"/>
        <v>33.492236137390137</v>
      </c>
      <c r="S1083" s="78">
        <f t="shared" si="115"/>
        <v>25</v>
      </c>
      <c r="T1083" s="78">
        <f t="shared" si="116"/>
        <v>23.8</v>
      </c>
      <c r="U1083" s="78" t="str">
        <f t="shared" si="117"/>
        <v>&lt;35</v>
      </c>
      <c r="V1083" s="78" t="str">
        <f t="shared" si="118"/>
        <v>31-40 Гб</v>
      </c>
    </row>
    <row r="1084" spans="1:22" x14ac:dyDescent="0.25">
      <c r="A1084" t="s">
        <v>145</v>
      </c>
      <c r="B1084" s="43">
        <v>35308</v>
      </c>
      <c r="C1084" t="s">
        <v>58</v>
      </c>
      <c r="D1084" t="s">
        <v>51</v>
      </c>
      <c r="E1084" t="s">
        <v>52</v>
      </c>
      <c r="F1084" t="s">
        <v>57</v>
      </c>
      <c r="G1084" s="43">
        <v>44537</v>
      </c>
      <c r="H1084">
        <v>4</v>
      </c>
      <c r="I1084">
        <v>45030</v>
      </c>
      <c r="J1084">
        <v>170724500</v>
      </c>
      <c r="K1084">
        <v>1</v>
      </c>
      <c r="P1084" s="77">
        <f t="shared" si="112"/>
        <v>145</v>
      </c>
      <c r="Q1084" s="78">
        <f t="shared" si="113"/>
        <v>150.1</v>
      </c>
      <c r="R1084" s="78">
        <f t="shared" si="114"/>
        <v>32.563114166259766</v>
      </c>
      <c r="S1084" s="78">
        <f t="shared" si="115"/>
        <v>25</v>
      </c>
      <c r="T1084" s="78">
        <f t="shared" si="116"/>
        <v>35.023333333333333</v>
      </c>
      <c r="U1084" s="78" t="str">
        <f t="shared" si="117"/>
        <v>35-60</v>
      </c>
      <c r="V1084" s="78" t="str">
        <f t="shared" si="118"/>
        <v>31-40 Гб</v>
      </c>
    </row>
    <row r="1085" spans="1:22" x14ac:dyDescent="0.25">
      <c r="A1085" t="s">
        <v>158</v>
      </c>
      <c r="B1085" s="43">
        <v>35307</v>
      </c>
      <c r="C1085" t="s">
        <v>58</v>
      </c>
      <c r="D1085" t="s">
        <v>51</v>
      </c>
      <c r="E1085" t="s">
        <v>54</v>
      </c>
      <c r="F1085" t="s">
        <v>53</v>
      </c>
      <c r="G1085" s="43">
        <v>43151</v>
      </c>
      <c r="H1085">
        <v>5</v>
      </c>
      <c r="I1085">
        <v>171135</v>
      </c>
      <c r="J1085">
        <v>18122775</v>
      </c>
      <c r="P1085" s="77">
        <f t="shared" si="112"/>
        <v>1531</v>
      </c>
      <c r="Q1085" s="78">
        <f t="shared" si="113"/>
        <v>570.45000000000005</v>
      </c>
      <c r="R1085" s="78">
        <f t="shared" si="114"/>
        <v>3.4566450119018555</v>
      </c>
      <c r="S1085" s="78">
        <f t="shared" si="115"/>
        <v>25</v>
      </c>
      <c r="T1085" s="78">
        <f t="shared" si="116"/>
        <v>133.10500000000002</v>
      </c>
      <c r="U1085" s="78" t="str">
        <f t="shared" si="117"/>
        <v>120+</v>
      </c>
      <c r="V1085" s="78" t="str">
        <f t="shared" si="118"/>
        <v>&lt;10 Гб</v>
      </c>
    </row>
    <row r="1086" spans="1:22" x14ac:dyDescent="0.25">
      <c r="A1086" t="s">
        <v>139</v>
      </c>
      <c r="B1086" s="43">
        <v>35303</v>
      </c>
      <c r="C1086" t="s">
        <v>50</v>
      </c>
      <c r="D1086" t="s">
        <v>51</v>
      </c>
      <c r="E1086" t="s">
        <v>52</v>
      </c>
      <c r="F1086" t="s">
        <v>56</v>
      </c>
      <c r="G1086" s="43">
        <v>44552</v>
      </c>
      <c r="H1086">
        <v>4</v>
      </c>
      <c r="I1086">
        <v>111835</v>
      </c>
      <c r="J1086">
        <v>193167250</v>
      </c>
      <c r="N1086">
        <v>1</v>
      </c>
      <c r="P1086" s="77">
        <f t="shared" si="112"/>
        <v>130</v>
      </c>
      <c r="Q1086" s="78">
        <f t="shared" si="113"/>
        <v>372.78333333333336</v>
      </c>
      <c r="R1086" s="78">
        <f t="shared" si="114"/>
        <v>36.843729019165039</v>
      </c>
      <c r="S1086" s="78">
        <f t="shared" si="115"/>
        <v>25</v>
      </c>
      <c r="T1086" s="78">
        <f t="shared" si="116"/>
        <v>86.982777777777784</v>
      </c>
      <c r="U1086" s="78" t="str">
        <f t="shared" si="117"/>
        <v>61-90</v>
      </c>
      <c r="V1086" s="78" t="str">
        <f t="shared" si="118"/>
        <v>31-40 Гб</v>
      </c>
    </row>
    <row r="1087" spans="1:22" x14ac:dyDescent="0.25">
      <c r="A1087" t="s">
        <v>890</v>
      </c>
      <c r="B1087" s="43">
        <v>35303</v>
      </c>
      <c r="C1087" t="s">
        <v>50</v>
      </c>
      <c r="D1087" t="s">
        <v>51</v>
      </c>
      <c r="E1087" t="s">
        <v>52</v>
      </c>
      <c r="F1087" t="s">
        <v>63</v>
      </c>
      <c r="G1087" s="43">
        <v>42800</v>
      </c>
      <c r="H1087">
        <v>5</v>
      </c>
      <c r="I1087">
        <v>7935</v>
      </c>
      <c r="J1087">
        <v>145085800</v>
      </c>
      <c r="P1087" s="77">
        <f t="shared" si="112"/>
        <v>1882</v>
      </c>
      <c r="Q1087" s="78">
        <f t="shared" si="113"/>
        <v>26.45</v>
      </c>
      <c r="R1087" s="78">
        <f t="shared" si="114"/>
        <v>27.672920227050781</v>
      </c>
      <c r="S1087" s="78">
        <f t="shared" si="115"/>
        <v>25</v>
      </c>
      <c r="T1087" s="78">
        <f t="shared" si="116"/>
        <v>6.1716666666666669</v>
      </c>
      <c r="U1087" s="78" t="str">
        <f t="shared" si="117"/>
        <v>&lt;35</v>
      </c>
      <c r="V1087" s="78" t="str">
        <f t="shared" si="118"/>
        <v>21-30 Гб</v>
      </c>
    </row>
    <row r="1088" spans="1:22" x14ac:dyDescent="0.25">
      <c r="A1088" t="s">
        <v>1125</v>
      </c>
      <c r="B1088" s="43">
        <v>35303</v>
      </c>
      <c r="C1088" t="s">
        <v>58</v>
      </c>
      <c r="D1088" t="s">
        <v>51</v>
      </c>
      <c r="E1088" t="s">
        <v>52</v>
      </c>
      <c r="F1088" t="s">
        <v>69</v>
      </c>
      <c r="G1088" s="43">
        <v>43652</v>
      </c>
      <c r="H1088">
        <v>5</v>
      </c>
      <c r="I1088">
        <v>4055</v>
      </c>
      <c r="J1088">
        <v>18076025</v>
      </c>
      <c r="P1088" s="77">
        <f t="shared" ref="P1088:P1144" si="119">DATEDIF(G1088,$C$2,"D")</f>
        <v>1030</v>
      </c>
      <c r="Q1088" s="78">
        <f t="shared" ref="Q1088:Q1144" si="120">IF(P1088&lt;DATEDIF($C$3,$C$2,"D"),I1088/(60*(P1088/30)),I1088/(60*5))</f>
        <v>13.516666666666667</v>
      </c>
      <c r="R1088" s="78">
        <f t="shared" ref="R1088:R1144" si="121">IF(P1088&lt;DATEDIF($C$3,$C$2,"D"),J1088/(1048576*(P1088/30)),J1088/(1048576*5))</f>
        <v>3.447728157043457</v>
      </c>
      <c r="S1088" s="78">
        <f t="shared" ref="S1088:S1144" si="122">DATEDIF(B1088,$C$2,"Y")</f>
        <v>25</v>
      </c>
      <c r="T1088" s="78">
        <f t="shared" si="116"/>
        <v>3.153888888888889</v>
      </c>
      <c r="U1088" s="78" t="str">
        <f t="shared" si="117"/>
        <v>&lt;35</v>
      </c>
      <c r="V1088" s="78" t="str">
        <f t="shared" si="118"/>
        <v>&lt;10 Гб</v>
      </c>
    </row>
    <row r="1089" spans="1:22" x14ac:dyDescent="0.25">
      <c r="A1089" t="s">
        <v>811</v>
      </c>
      <c r="B1089" s="43">
        <v>35302</v>
      </c>
      <c r="C1089" t="s">
        <v>50</v>
      </c>
      <c r="D1089" t="s">
        <v>51</v>
      </c>
      <c r="E1089" t="s">
        <v>54</v>
      </c>
      <c r="F1089" t="s">
        <v>57</v>
      </c>
      <c r="G1089" s="43">
        <v>42965</v>
      </c>
      <c r="H1089">
        <v>5</v>
      </c>
      <c r="I1089">
        <v>76555</v>
      </c>
      <c r="J1089">
        <v>52193225</v>
      </c>
      <c r="P1089" s="77">
        <f t="shared" si="119"/>
        <v>1717</v>
      </c>
      <c r="Q1089" s="78">
        <f t="shared" si="120"/>
        <v>255.18333333333334</v>
      </c>
      <c r="R1089" s="78">
        <f t="shared" si="121"/>
        <v>9.9550676345825195</v>
      </c>
      <c r="S1089" s="78">
        <f t="shared" si="122"/>
        <v>25</v>
      </c>
      <c r="T1089" s="78">
        <f t="shared" si="116"/>
        <v>59.542777777777779</v>
      </c>
      <c r="U1089" s="78" t="str">
        <f t="shared" si="117"/>
        <v>35-60</v>
      </c>
      <c r="V1089" s="78" t="str">
        <f t="shared" si="118"/>
        <v>&lt;10 Гб</v>
      </c>
    </row>
    <row r="1090" spans="1:22" x14ac:dyDescent="0.25">
      <c r="A1090" t="s">
        <v>372</v>
      </c>
      <c r="B1090" s="43">
        <v>35301</v>
      </c>
      <c r="C1090" t="s">
        <v>50</v>
      </c>
      <c r="D1090" t="s">
        <v>51</v>
      </c>
      <c r="E1090" t="s">
        <v>52</v>
      </c>
      <c r="F1090" t="s">
        <v>56</v>
      </c>
      <c r="G1090" s="43">
        <v>43216</v>
      </c>
      <c r="H1090">
        <v>5</v>
      </c>
      <c r="I1090">
        <v>116930</v>
      </c>
      <c r="J1090">
        <v>156194475</v>
      </c>
      <c r="P1090" s="77">
        <f t="shared" si="119"/>
        <v>1466</v>
      </c>
      <c r="Q1090" s="78">
        <f t="shared" si="120"/>
        <v>389.76666666666665</v>
      </c>
      <c r="R1090" s="78">
        <f t="shared" si="121"/>
        <v>29.791731834411621</v>
      </c>
      <c r="S1090" s="78">
        <f t="shared" si="122"/>
        <v>25</v>
      </c>
      <c r="T1090" s="78">
        <f t="shared" si="116"/>
        <v>90.945555555555558</v>
      </c>
      <c r="U1090" s="78" t="str">
        <f t="shared" si="117"/>
        <v>91-120</v>
      </c>
      <c r="V1090" s="78" t="str">
        <f t="shared" si="118"/>
        <v>21-30 Гб</v>
      </c>
    </row>
    <row r="1091" spans="1:22" x14ac:dyDescent="0.25">
      <c r="A1091" t="s">
        <v>564</v>
      </c>
      <c r="B1091" s="43">
        <v>35300</v>
      </c>
      <c r="C1091" t="s">
        <v>58</v>
      </c>
      <c r="D1091" t="s">
        <v>51</v>
      </c>
      <c r="E1091" t="s">
        <v>52</v>
      </c>
      <c r="F1091" t="s">
        <v>57</v>
      </c>
      <c r="G1091" s="43">
        <v>43547</v>
      </c>
      <c r="H1091">
        <v>5</v>
      </c>
      <c r="I1091">
        <v>97680</v>
      </c>
      <c r="J1091">
        <v>41361925</v>
      </c>
      <c r="K1091">
        <v>1</v>
      </c>
      <c r="M1091">
        <v>1</v>
      </c>
      <c r="P1091" s="77">
        <f t="shared" si="119"/>
        <v>1135</v>
      </c>
      <c r="Q1091" s="78">
        <f t="shared" si="120"/>
        <v>325.60000000000002</v>
      </c>
      <c r="R1091" s="78">
        <f t="shared" si="121"/>
        <v>7.8891611099243164</v>
      </c>
      <c r="S1091" s="78">
        <f t="shared" si="122"/>
        <v>25</v>
      </c>
      <c r="T1091" s="78">
        <f t="shared" si="116"/>
        <v>75.973333333333343</v>
      </c>
      <c r="U1091" s="78" t="str">
        <f t="shared" si="117"/>
        <v>61-90</v>
      </c>
      <c r="V1091" s="78" t="str">
        <f t="shared" si="118"/>
        <v>&lt;10 Гб</v>
      </c>
    </row>
    <row r="1092" spans="1:22" x14ac:dyDescent="0.25">
      <c r="A1092" t="s">
        <v>1131</v>
      </c>
      <c r="B1092" s="43">
        <v>35300</v>
      </c>
      <c r="C1092" t="s">
        <v>58</v>
      </c>
      <c r="D1092" t="s">
        <v>51</v>
      </c>
      <c r="E1092" t="s">
        <v>52</v>
      </c>
      <c r="F1092" t="s">
        <v>69</v>
      </c>
      <c r="G1092" s="43">
        <v>42982</v>
      </c>
      <c r="H1092">
        <v>5</v>
      </c>
      <c r="I1092">
        <v>58250</v>
      </c>
      <c r="J1092">
        <v>10560925</v>
      </c>
      <c r="M1092">
        <v>1</v>
      </c>
      <c r="P1092" s="77">
        <f t="shared" si="119"/>
        <v>1700</v>
      </c>
      <c r="Q1092" s="78">
        <f t="shared" si="120"/>
        <v>194.16666666666666</v>
      </c>
      <c r="R1092" s="78">
        <f t="shared" si="121"/>
        <v>2.0143365859985352</v>
      </c>
      <c r="S1092" s="78">
        <f t="shared" si="122"/>
        <v>25</v>
      </c>
      <c r="T1092" s="78">
        <f t="shared" si="116"/>
        <v>45.30555555555555</v>
      </c>
      <c r="U1092" s="78" t="str">
        <f t="shared" si="117"/>
        <v>35-60</v>
      </c>
      <c r="V1092" s="78" t="str">
        <f t="shared" si="118"/>
        <v>&lt;10 Гб</v>
      </c>
    </row>
    <row r="1093" spans="1:22" x14ac:dyDescent="0.25">
      <c r="A1093" t="s">
        <v>1143</v>
      </c>
      <c r="B1093" s="43">
        <v>35295</v>
      </c>
      <c r="C1093" t="s">
        <v>58</v>
      </c>
      <c r="D1093" t="s">
        <v>51</v>
      </c>
      <c r="E1093" t="s">
        <v>52</v>
      </c>
      <c r="F1093" t="s">
        <v>63</v>
      </c>
      <c r="G1093" s="43">
        <v>43041</v>
      </c>
      <c r="H1093">
        <v>5</v>
      </c>
      <c r="I1093">
        <v>20270</v>
      </c>
      <c r="J1093">
        <v>160448500</v>
      </c>
      <c r="P1093" s="77">
        <f t="shared" si="119"/>
        <v>1641</v>
      </c>
      <c r="Q1093" s="78">
        <f t="shared" si="120"/>
        <v>67.566666666666663</v>
      </c>
      <c r="R1093" s="78">
        <f t="shared" si="121"/>
        <v>30.603122711181641</v>
      </c>
      <c r="S1093" s="78">
        <f t="shared" si="122"/>
        <v>25</v>
      </c>
      <c r="T1093" s="78">
        <f t="shared" si="116"/>
        <v>15.765555555555554</v>
      </c>
      <c r="U1093" s="78" t="str">
        <f t="shared" si="117"/>
        <v>&lt;35</v>
      </c>
      <c r="V1093" s="78" t="str">
        <f t="shared" si="118"/>
        <v>31-40 Гб</v>
      </c>
    </row>
    <row r="1094" spans="1:22" x14ac:dyDescent="0.25">
      <c r="A1094" t="s">
        <v>329</v>
      </c>
      <c r="B1094" s="43">
        <v>35290</v>
      </c>
      <c r="C1094" t="s">
        <v>50</v>
      </c>
      <c r="D1094" t="s">
        <v>51</v>
      </c>
      <c r="E1094" t="s">
        <v>52</v>
      </c>
      <c r="F1094" t="s">
        <v>56</v>
      </c>
      <c r="G1094" s="43">
        <v>44219</v>
      </c>
      <c r="H1094">
        <v>5</v>
      </c>
      <c r="I1094">
        <v>72215</v>
      </c>
      <c r="J1094">
        <v>153650575</v>
      </c>
      <c r="P1094" s="77">
        <f t="shared" si="119"/>
        <v>463</v>
      </c>
      <c r="Q1094" s="78">
        <f t="shared" si="120"/>
        <v>240.71666666666667</v>
      </c>
      <c r="R1094" s="78">
        <f t="shared" si="121"/>
        <v>29.306521415710449</v>
      </c>
      <c r="S1094" s="78">
        <f t="shared" si="122"/>
        <v>25</v>
      </c>
      <c r="T1094" s="78">
        <f t="shared" si="116"/>
        <v>56.167222222222222</v>
      </c>
      <c r="U1094" s="78" t="str">
        <f t="shared" si="117"/>
        <v>35-60</v>
      </c>
      <c r="V1094" s="78" t="str">
        <f t="shared" si="118"/>
        <v>21-30 Гб</v>
      </c>
    </row>
    <row r="1095" spans="1:22" x14ac:dyDescent="0.25">
      <c r="A1095" t="s">
        <v>570</v>
      </c>
      <c r="B1095" s="43">
        <v>35286</v>
      </c>
      <c r="C1095" t="s">
        <v>50</v>
      </c>
      <c r="D1095" t="s">
        <v>51</v>
      </c>
      <c r="E1095" t="s">
        <v>52</v>
      </c>
      <c r="F1095" t="s">
        <v>57</v>
      </c>
      <c r="G1095" s="43">
        <v>44439</v>
      </c>
      <c r="H1095">
        <v>5</v>
      </c>
      <c r="I1095">
        <v>93330</v>
      </c>
      <c r="J1095">
        <v>16306675</v>
      </c>
      <c r="P1095" s="77">
        <f t="shared" si="119"/>
        <v>243</v>
      </c>
      <c r="Q1095" s="78">
        <f t="shared" si="120"/>
        <v>311.10000000000002</v>
      </c>
      <c r="R1095" s="78">
        <f t="shared" si="121"/>
        <v>3.1102514266967773</v>
      </c>
      <c r="S1095" s="78">
        <f t="shared" si="122"/>
        <v>25</v>
      </c>
      <c r="T1095" s="78">
        <f t="shared" ref="T1095:T1144" si="123">(Q1095*7)/30</f>
        <v>72.59</v>
      </c>
      <c r="U1095" s="78" t="str">
        <f t="shared" ref="U1095:U1144" si="124">IF(T1095&gt;120,"120+",IF(T1095&gt;90,"91-120",IF(T1095&gt;60,"61-90",IF(T1095&gt;35,"35-60","&lt;35"))))</f>
        <v>61-90</v>
      </c>
      <c r="V1095" s="78" t="str">
        <f t="shared" ref="V1095:V1144" si="125">IF(R1095&gt;40,"40+ Гб",IF(R1095&gt;30,"31-40 Гб",IF(R1095&gt;20,"21-30 Гб",IF(R1095&gt;10,"10-20 Гб","&lt;10 Гб"))))</f>
        <v>&lt;10 Гб</v>
      </c>
    </row>
    <row r="1096" spans="1:22" x14ac:dyDescent="0.25">
      <c r="A1096" t="s">
        <v>958</v>
      </c>
      <c r="B1096" s="43">
        <v>35286</v>
      </c>
      <c r="C1096" t="s">
        <v>50</v>
      </c>
      <c r="D1096" t="s">
        <v>51</v>
      </c>
      <c r="E1096" t="s">
        <v>54</v>
      </c>
      <c r="F1096" t="s">
        <v>63</v>
      </c>
      <c r="G1096" s="43">
        <v>43243</v>
      </c>
      <c r="H1096">
        <v>5</v>
      </c>
      <c r="I1096">
        <v>37440</v>
      </c>
      <c r="J1096">
        <v>196188550</v>
      </c>
      <c r="K1096">
        <v>1</v>
      </c>
      <c r="M1096">
        <v>1</v>
      </c>
      <c r="O1096">
        <v>1</v>
      </c>
      <c r="P1096" s="77">
        <f t="shared" si="119"/>
        <v>1439</v>
      </c>
      <c r="Q1096" s="78">
        <f t="shared" si="120"/>
        <v>124.8</v>
      </c>
      <c r="R1096" s="78">
        <f t="shared" si="121"/>
        <v>37.41999626159668</v>
      </c>
      <c r="S1096" s="78">
        <f t="shared" si="122"/>
        <v>25</v>
      </c>
      <c r="T1096" s="78">
        <f t="shared" si="123"/>
        <v>29.12</v>
      </c>
      <c r="U1096" s="78" t="str">
        <f t="shared" si="124"/>
        <v>&lt;35</v>
      </c>
      <c r="V1096" s="78" t="str">
        <f t="shared" si="125"/>
        <v>31-40 Гб</v>
      </c>
    </row>
    <row r="1097" spans="1:22" x14ac:dyDescent="0.25">
      <c r="A1097" t="s">
        <v>1184</v>
      </c>
      <c r="B1097" s="43">
        <v>35286</v>
      </c>
      <c r="C1097" t="s">
        <v>58</v>
      </c>
      <c r="D1097" t="s">
        <v>51</v>
      </c>
      <c r="E1097" t="s">
        <v>54</v>
      </c>
      <c r="F1097" t="s">
        <v>69</v>
      </c>
      <c r="G1097" s="43">
        <v>43723</v>
      </c>
      <c r="H1097">
        <v>5</v>
      </c>
      <c r="I1097">
        <v>51900</v>
      </c>
      <c r="J1097">
        <v>8991175</v>
      </c>
      <c r="P1097" s="77">
        <f t="shared" si="119"/>
        <v>959</v>
      </c>
      <c r="Q1097" s="78">
        <f t="shared" si="120"/>
        <v>173</v>
      </c>
      <c r="R1097" s="78">
        <f t="shared" si="121"/>
        <v>1.714930534362793</v>
      </c>
      <c r="S1097" s="78">
        <f t="shared" si="122"/>
        <v>25</v>
      </c>
      <c r="T1097" s="78">
        <f t="shared" si="123"/>
        <v>40.366666666666667</v>
      </c>
      <c r="U1097" s="78" t="str">
        <f t="shared" si="124"/>
        <v>35-60</v>
      </c>
      <c r="V1097" s="78" t="str">
        <f t="shared" si="125"/>
        <v>&lt;10 Гб</v>
      </c>
    </row>
    <row r="1098" spans="1:22" x14ac:dyDescent="0.25">
      <c r="A1098" t="s">
        <v>80</v>
      </c>
      <c r="B1098" s="43">
        <v>35285</v>
      </c>
      <c r="C1098" t="s">
        <v>58</v>
      </c>
      <c r="D1098" t="s">
        <v>51</v>
      </c>
      <c r="E1098" t="s">
        <v>54</v>
      </c>
      <c r="F1098" t="s">
        <v>57</v>
      </c>
      <c r="G1098" s="43">
        <v>44632</v>
      </c>
      <c r="H1098">
        <v>1</v>
      </c>
      <c r="I1098">
        <v>22822</v>
      </c>
      <c r="J1098">
        <v>1622613</v>
      </c>
      <c r="P1098" s="77">
        <f t="shared" si="119"/>
        <v>50</v>
      </c>
      <c r="Q1098" s="78">
        <f t="shared" si="120"/>
        <v>228.22</v>
      </c>
      <c r="R1098" s="78">
        <f t="shared" si="121"/>
        <v>0.92846660614013665</v>
      </c>
      <c r="S1098" s="78">
        <f t="shared" si="122"/>
        <v>25</v>
      </c>
      <c r="T1098" s="78">
        <f t="shared" si="123"/>
        <v>53.251333333333335</v>
      </c>
      <c r="U1098" s="78" t="str">
        <f t="shared" si="124"/>
        <v>35-60</v>
      </c>
      <c r="V1098" s="78" t="str">
        <f t="shared" si="125"/>
        <v>&lt;10 Гб</v>
      </c>
    </row>
    <row r="1099" spans="1:22" x14ac:dyDescent="0.25">
      <c r="A1099" t="s">
        <v>720</v>
      </c>
      <c r="B1099" s="43">
        <v>35282</v>
      </c>
      <c r="C1099" t="s">
        <v>58</v>
      </c>
      <c r="D1099" t="s">
        <v>51</v>
      </c>
      <c r="E1099" t="s">
        <v>54</v>
      </c>
      <c r="F1099" t="s">
        <v>57</v>
      </c>
      <c r="G1099" s="43">
        <v>43169</v>
      </c>
      <c r="H1099">
        <v>5</v>
      </c>
      <c r="I1099">
        <v>7055</v>
      </c>
      <c r="J1099">
        <v>34244275</v>
      </c>
      <c r="P1099" s="77">
        <f t="shared" si="119"/>
        <v>1513</v>
      </c>
      <c r="Q1099" s="78">
        <f t="shared" si="120"/>
        <v>23.516666666666666</v>
      </c>
      <c r="R1099" s="78">
        <f t="shared" si="121"/>
        <v>6.5315771102905273</v>
      </c>
      <c r="S1099" s="78">
        <f t="shared" si="122"/>
        <v>25</v>
      </c>
      <c r="T1099" s="78">
        <f t="shared" si="123"/>
        <v>5.4872222222222229</v>
      </c>
      <c r="U1099" s="78" t="str">
        <f t="shared" si="124"/>
        <v>&lt;35</v>
      </c>
      <c r="V1099" s="78" t="str">
        <f t="shared" si="125"/>
        <v>&lt;10 Гб</v>
      </c>
    </row>
    <row r="1100" spans="1:22" x14ac:dyDescent="0.25">
      <c r="A1100" t="s">
        <v>517</v>
      </c>
      <c r="B1100" s="43">
        <v>35279</v>
      </c>
      <c r="C1100" t="s">
        <v>50</v>
      </c>
      <c r="D1100" t="s">
        <v>51</v>
      </c>
      <c r="E1100" t="s">
        <v>52</v>
      </c>
      <c r="F1100" t="s">
        <v>57</v>
      </c>
      <c r="G1100" s="43">
        <v>43175</v>
      </c>
      <c r="H1100">
        <v>5</v>
      </c>
      <c r="I1100">
        <v>63920</v>
      </c>
      <c r="J1100">
        <v>103338850</v>
      </c>
      <c r="P1100" s="77">
        <f t="shared" si="119"/>
        <v>1507</v>
      </c>
      <c r="Q1100" s="78">
        <f t="shared" si="120"/>
        <v>213.06666666666666</v>
      </c>
      <c r="R1100" s="78">
        <f t="shared" si="121"/>
        <v>19.710321426391602</v>
      </c>
      <c r="S1100" s="78">
        <f t="shared" si="122"/>
        <v>25</v>
      </c>
      <c r="T1100" s="78">
        <f t="shared" si="123"/>
        <v>49.715555555555554</v>
      </c>
      <c r="U1100" s="78" t="str">
        <f t="shared" si="124"/>
        <v>35-60</v>
      </c>
      <c r="V1100" s="78" t="str">
        <f t="shared" si="125"/>
        <v>10-20 Гб</v>
      </c>
    </row>
    <row r="1101" spans="1:22" x14ac:dyDescent="0.25">
      <c r="A1101" t="s">
        <v>871</v>
      </c>
      <c r="B1101" s="43">
        <v>35279</v>
      </c>
      <c r="C1101" t="s">
        <v>58</v>
      </c>
      <c r="D1101" t="s">
        <v>51</v>
      </c>
      <c r="E1101" t="s">
        <v>52</v>
      </c>
      <c r="F1101" t="s">
        <v>63</v>
      </c>
      <c r="G1101" s="43">
        <v>43508</v>
      </c>
      <c r="H1101">
        <v>5</v>
      </c>
      <c r="I1101">
        <v>28840</v>
      </c>
      <c r="J1101">
        <v>185042675</v>
      </c>
      <c r="K1101">
        <v>1</v>
      </c>
      <c r="M1101">
        <v>1</v>
      </c>
      <c r="O1101">
        <v>1</v>
      </c>
      <c r="P1101" s="77">
        <f t="shared" si="119"/>
        <v>1174</v>
      </c>
      <c r="Q1101" s="78">
        <f t="shared" si="120"/>
        <v>96.13333333333334</v>
      </c>
      <c r="R1101" s="78">
        <f t="shared" si="121"/>
        <v>35.294089317321777</v>
      </c>
      <c r="S1101" s="78">
        <f t="shared" si="122"/>
        <v>25</v>
      </c>
      <c r="T1101" s="78">
        <f t="shared" si="123"/>
        <v>22.431111111111115</v>
      </c>
      <c r="U1101" s="78" t="str">
        <f t="shared" si="124"/>
        <v>&lt;35</v>
      </c>
      <c r="V1101" s="78" t="str">
        <f t="shared" si="125"/>
        <v>31-40 Гб</v>
      </c>
    </row>
    <row r="1102" spans="1:22" x14ac:dyDescent="0.25">
      <c r="A1102" t="s">
        <v>1168</v>
      </c>
      <c r="B1102" s="43">
        <v>35277</v>
      </c>
      <c r="C1102" t="s">
        <v>50</v>
      </c>
      <c r="D1102" t="s">
        <v>51</v>
      </c>
      <c r="E1102" t="s">
        <v>54</v>
      </c>
      <c r="F1102" t="s">
        <v>63</v>
      </c>
      <c r="G1102" s="43">
        <v>43744</v>
      </c>
      <c r="H1102">
        <v>5</v>
      </c>
      <c r="I1102">
        <v>13105</v>
      </c>
      <c r="J1102">
        <v>160423600</v>
      </c>
      <c r="P1102" s="77">
        <f t="shared" si="119"/>
        <v>938</v>
      </c>
      <c r="Q1102" s="78">
        <f t="shared" si="120"/>
        <v>43.68333333333333</v>
      </c>
      <c r="R1102" s="78">
        <f t="shared" si="121"/>
        <v>30.598373413085938</v>
      </c>
      <c r="S1102" s="78">
        <f t="shared" si="122"/>
        <v>25</v>
      </c>
      <c r="T1102" s="78">
        <f t="shared" si="123"/>
        <v>10.192777777777776</v>
      </c>
      <c r="U1102" s="78" t="str">
        <f t="shared" si="124"/>
        <v>&lt;35</v>
      </c>
      <c r="V1102" s="78" t="str">
        <f t="shared" si="125"/>
        <v>31-40 Гб</v>
      </c>
    </row>
    <row r="1103" spans="1:22" x14ac:dyDescent="0.25">
      <c r="A1103" t="s">
        <v>61</v>
      </c>
      <c r="B1103" s="43">
        <v>35275</v>
      </c>
      <c r="C1103" t="s">
        <v>50</v>
      </c>
      <c r="D1103" t="s">
        <v>51</v>
      </c>
      <c r="E1103" t="s">
        <v>54</v>
      </c>
      <c r="F1103" t="s">
        <v>56</v>
      </c>
      <c r="G1103" s="43">
        <v>44674</v>
      </c>
      <c r="H1103">
        <v>0</v>
      </c>
      <c r="I1103">
        <v>2832</v>
      </c>
      <c r="J1103">
        <v>8826887</v>
      </c>
      <c r="P1103" s="77">
        <f t="shared" si="119"/>
        <v>8</v>
      </c>
      <c r="Q1103" s="78">
        <f t="shared" si="120"/>
        <v>177</v>
      </c>
      <c r="R1103" s="78">
        <f t="shared" si="121"/>
        <v>31.567407846450806</v>
      </c>
      <c r="S1103" s="78">
        <f t="shared" si="122"/>
        <v>25</v>
      </c>
      <c r="T1103" s="78">
        <f t="shared" si="123"/>
        <v>41.3</v>
      </c>
      <c r="U1103" s="78" t="str">
        <f t="shared" si="124"/>
        <v>35-60</v>
      </c>
      <c r="V1103" s="78" t="str">
        <f t="shared" si="125"/>
        <v>31-40 Гб</v>
      </c>
    </row>
    <row r="1104" spans="1:22" x14ac:dyDescent="0.25">
      <c r="A1104" t="s">
        <v>492</v>
      </c>
      <c r="B1104" s="43">
        <v>35275</v>
      </c>
      <c r="C1104" t="s">
        <v>58</v>
      </c>
      <c r="D1104" t="s">
        <v>51</v>
      </c>
      <c r="E1104" t="s">
        <v>52</v>
      </c>
      <c r="F1104" t="s">
        <v>57</v>
      </c>
      <c r="G1104" s="43">
        <v>43112</v>
      </c>
      <c r="H1104">
        <v>5</v>
      </c>
      <c r="I1104">
        <v>22365</v>
      </c>
      <c r="J1104">
        <v>141739750</v>
      </c>
      <c r="L1104">
        <v>1</v>
      </c>
      <c r="M1104">
        <v>1</v>
      </c>
      <c r="P1104" s="77">
        <f t="shared" si="119"/>
        <v>1570</v>
      </c>
      <c r="Q1104" s="78">
        <f t="shared" si="120"/>
        <v>74.55</v>
      </c>
      <c r="R1104" s="78">
        <f t="shared" si="121"/>
        <v>27.034711837768555</v>
      </c>
      <c r="S1104" s="78">
        <f t="shared" si="122"/>
        <v>25</v>
      </c>
      <c r="T1104" s="78">
        <f t="shared" si="123"/>
        <v>17.395</v>
      </c>
      <c r="U1104" s="78" t="str">
        <f t="shared" si="124"/>
        <v>&lt;35</v>
      </c>
      <c r="V1104" s="78" t="str">
        <f t="shared" si="125"/>
        <v>21-30 Гб</v>
      </c>
    </row>
    <row r="1105" spans="1:22" x14ac:dyDescent="0.25">
      <c r="A1105" t="s">
        <v>251</v>
      </c>
      <c r="B1105" s="43">
        <v>35269</v>
      </c>
      <c r="C1105" t="s">
        <v>58</v>
      </c>
      <c r="D1105" t="s">
        <v>51</v>
      </c>
      <c r="E1105" t="s">
        <v>52</v>
      </c>
      <c r="F1105" t="s">
        <v>56</v>
      </c>
      <c r="G1105" s="43">
        <v>44030</v>
      </c>
      <c r="H1105">
        <v>5</v>
      </c>
      <c r="I1105">
        <v>77650</v>
      </c>
      <c r="J1105">
        <v>139775900</v>
      </c>
      <c r="O1105">
        <v>1</v>
      </c>
      <c r="P1105" s="77">
        <f t="shared" si="119"/>
        <v>652</v>
      </c>
      <c r="Q1105" s="78">
        <f t="shared" si="120"/>
        <v>258.83333333333331</v>
      </c>
      <c r="R1105" s="78">
        <f t="shared" si="121"/>
        <v>26.660137176513672</v>
      </c>
      <c r="S1105" s="78">
        <f t="shared" si="122"/>
        <v>25</v>
      </c>
      <c r="T1105" s="78">
        <f t="shared" si="123"/>
        <v>60.394444444444439</v>
      </c>
      <c r="U1105" s="78" t="str">
        <f t="shared" si="124"/>
        <v>61-90</v>
      </c>
      <c r="V1105" s="78" t="str">
        <f t="shared" si="125"/>
        <v>21-30 Гб</v>
      </c>
    </row>
    <row r="1106" spans="1:22" x14ac:dyDescent="0.25">
      <c r="A1106" t="s">
        <v>716</v>
      </c>
      <c r="B1106" s="43">
        <v>35269</v>
      </c>
      <c r="C1106" t="s">
        <v>58</v>
      </c>
      <c r="D1106" t="s">
        <v>51</v>
      </c>
      <c r="E1106" t="s">
        <v>52</v>
      </c>
      <c r="F1106" t="s">
        <v>57</v>
      </c>
      <c r="G1106" s="43">
        <v>43937</v>
      </c>
      <c r="H1106">
        <v>5</v>
      </c>
      <c r="I1106">
        <v>87170</v>
      </c>
      <c r="J1106">
        <v>141181400</v>
      </c>
      <c r="O1106">
        <v>1</v>
      </c>
      <c r="P1106" s="77">
        <f t="shared" si="119"/>
        <v>745</v>
      </c>
      <c r="Q1106" s="78">
        <f t="shared" si="120"/>
        <v>290.56666666666666</v>
      </c>
      <c r="R1106" s="78">
        <f t="shared" si="121"/>
        <v>26.928215026855469</v>
      </c>
      <c r="S1106" s="78">
        <f t="shared" si="122"/>
        <v>25</v>
      </c>
      <c r="T1106" s="78">
        <f t="shared" si="123"/>
        <v>67.798888888888897</v>
      </c>
      <c r="U1106" s="78" t="str">
        <f t="shared" si="124"/>
        <v>61-90</v>
      </c>
      <c r="V1106" s="78" t="str">
        <f t="shared" si="125"/>
        <v>21-30 Гб</v>
      </c>
    </row>
    <row r="1107" spans="1:22" x14ac:dyDescent="0.25">
      <c r="A1107" t="s">
        <v>1120</v>
      </c>
      <c r="B1107" s="43">
        <v>35269</v>
      </c>
      <c r="C1107" t="s">
        <v>58</v>
      </c>
      <c r="D1107" t="s">
        <v>51</v>
      </c>
      <c r="E1107" t="s">
        <v>54</v>
      </c>
      <c r="F1107" t="s">
        <v>69</v>
      </c>
      <c r="G1107" s="43">
        <v>44410</v>
      </c>
      <c r="H1107">
        <v>5</v>
      </c>
      <c r="I1107">
        <v>17705</v>
      </c>
      <c r="J1107">
        <v>7856625</v>
      </c>
      <c r="K1107">
        <v>1</v>
      </c>
      <c r="P1107" s="77">
        <f t="shared" si="119"/>
        <v>272</v>
      </c>
      <c r="Q1107" s="78">
        <f t="shared" si="120"/>
        <v>59.016666666666666</v>
      </c>
      <c r="R1107" s="78">
        <f t="shared" si="121"/>
        <v>1.4985322952270508</v>
      </c>
      <c r="S1107" s="78">
        <f t="shared" si="122"/>
        <v>25</v>
      </c>
      <c r="T1107" s="78">
        <f t="shared" si="123"/>
        <v>13.770555555555555</v>
      </c>
      <c r="U1107" s="78" t="str">
        <f t="shared" si="124"/>
        <v>&lt;35</v>
      </c>
      <c r="V1107" s="78" t="str">
        <f t="shared" si="125"/>
        <v>&lt;10 Гб</v>
      </c>
    </row>
    <row r="1108" spans="1:22" x14ac:dyDescent="0.25">
      <c r="A1108" t="s">
        <v>162</v>
      </c>
      <c r="B1108" s="43">
        <v>35265</v>
      </c>
      <c r="C1108" t="s">
        <v>50</v>
      </c>
      <c r="D1108" t="s">
        <v>51</v>
      </c>
      <c r="E1108" t="s">
        <v>54</v>
      </c>
      <c r="F1108" t="s">
        <v>53</v>
      </c>
      <c r="G1108" s="43">
        <v>44350</v>
      </c>
      <c r="H1108">
        <v>5</v>
      </c>
      <c r="I1108">
        <v>163970</v>
      </c>
      <c r="J1108">
        <v>238098625</v>
      </c>
      <c r="P1108" s="77">
        <f t="shared" si="119"/>
        <v>332</v>
      </c>
      <c r="Q1108" s="78">
        <f t="shared" si="120"/>
        <v>546.56666666666672</v>
      </c>
      <c r="R1108" s="78">
        <f t="shared" si="121"/>
        <v>45.413708686828613</v>
      </c>
      <c r="S1108" s="78">
        <f t="shared" si="122"/>
        <v>25</v>
      </c>
      <c r="T1108" s="78">
        <f t="shared" si="123"/>
        <v>127.53222222222225</v>
      </c>
      <c r="U1108" s="78" t="str">
        <f t="shared" si="124"/>
        <v>120+</v>
      </c>
      <c r="V1108" s="78" t="str">
        <f t="shared" si="125"/>
        <v>40+ Гб</v>
      </c>
    </row>
    <row r="1109" spans="1:22" x14ac:dyDescent="0.25">
      <c r="A1109" t="s">
        <v>389</v>
      </c>
      <c r="B1109" s="43">
        <v>35265</v>
      </c>
      <c r="C1109" t="s">
        <v>50</v>
      </c>
      <c r="D1109" t="s">
        <v>51</v>
      </c>
      <c r="E1109" t="s">
        <v>54</v>
      </c>
      <c r="F1109" t="s">
        <v>56</v>
      </c>
      <c r="G1109" s="43">
        <v>43502</v>
      </c>
      <c r="H1109">
        <v>5</v>
      </c>
      <c r="I1109">
        <v>134900</v>
      </c>
      <c r="J1109">
        <v>139740100</v>
      </c>
      <c r="P1109" s="77">
        <f t="shared" si="119"/>
        <v>1180</v>
      </c>
      <c r="Q1109" s="78">
        <f t="shared" si="120"/>
        <v>449.66666666666669</v>
      </c>
      <c r="R1109" s="78">
        <f t="shared" si="121"/>
        <v>26.653308868408203</v>
      </c>
      <c r="S1109" s="78">
        <f t="shared" si="122"/>
        <v>25</v>
      </c>
      <c r="T1109" s="78">
        <f t="shared" si="123"/>
        <v>104.92222222222223</v>
      </c>
      <c r="U1109" s="78" t="str">
        <f t="shared" si="124"/>
        <v>91-120</v>
      </c>
      <c r="V1109" s="78" t="str">
        <f t="shared" si="125"/>
        <v>21-30 Гб</v>
      </c>
    </row>
    <row r="1110" spans="1:22" x14ac:dyDescent="0.25">
      <c r="A1110" t="s">
        <v>596</v>
      </c>
      <c r="B1110" s="43">
        <v>35265</v>
      </c>
      <c r="C1110" t="s">
        <v>58</v>
      </c>
      <c r="D1110" t="s">
        <v>51</v>
      </c>
      <c r="E1110" t="s">
        <v>52</v>
      </c>
      <c r="F1110" t="s">
        <v>57</v>
      </c>
      <c r="G1110" s="43">
        <v>43239</v>
      </c>
      <c r="H1110">
        <v>5</v>
      </c>
      <c r="I1110">
        <v>100125</v>
      </c>
      <c r="J1110">
        <v>10889150</v>
      </c>
      <c r="P1110" s="77">
        <f t="shared" si="119"/>
        <v>1443</v>
      </c>
      <c r="Q1110" s="78">
        <f t="shared" si="120"/>
        <v>333.75</v>
      </c>
      <c r="R1110" s="78">
        <f t="shared" si="121"/>
        <v>2.0769405364990234</v>
      </c>
      <c r="S1110" s="78">
        <f t="shared" si="122"/>
        <v>25</v>
      </c>
      <c r="T1110" s="78">
        <f t="shared" si="123"/>
        <v>77.875</v>
      </c>
      <c r="U1110" s="78" t="str">
        <f t="shared" si="124"/>
        <v>61-90</v>
      </c>
      <c r="V1110" s="78" t="str">
        <f t="shared" si="125"/>
        <v>&lt;10 Гб</v>
      </c>
    </row>
    <row r="1111" spans="1:22" x14ac:dyDescent="0.25">
      <c r="A1111" t="s">
        <v>141</v>
      </c>
      <c r="B1111" s="43">
        <v>35255</v>
      </c>
      <c r="C1111" t="s">
        <v>50</v>
      </c>
      <c r="D1111" t="s">
        <v>51</v>
      </c>
      <c r="E1111" t="s">
        <v>54</v>
      </c>
      <c r="F1111" t="s">
        <v>56</v>
      </c>
      <c r="G1111" s="43">
        <v>44558</v>
      </c>
      <c r="H1111">
        <v>4</v>
      </c>
      <c r="I1111">
        <v>82780</v>
      </c>
      <c r="J1111">
        <v>185766750</v>
      </c>
      <c r="P1111" s="77">
        <f t="shared" si="119"/>
        <v>124</v>
      </c>
      <c r="Q1111" s="78">
        <f t="shared" si="120"/>
        <v>275.93333333333334</v>
      </c>
      <c r="R1111" s="78">
        <f t="shared" si="121"/>
        <v>35.432195663452148</v>
      </c>
      <c r="S1111" s="78">
        <f t="shared" si="122"/>
        <v>25</v>
      </c>
      <c r="T1111" s="78">
        <f t="shared" si="123"/>
        <v>64.384444444444441</v>
      </c>
      <c r="U1111" s="78" t="str">
        <f t="shared" si="124"/>
        <v>61-90</v>
      </c>
      <c r="V1111" s="78" t="str">
        <f t="shared" si="125"/>
        <v>31-40 Гб</v>
      </c>
    </row>
    <row r="1112" spans="1:22" x14ac:dyDescent="0.25">
      <c r="A1112" t="s">
        <v>687</v>
      </c>
      <c r="B1112" s="43">
        <v>35254</v>
      </c>
      <c r="C1112" t="s">
        <v>50</v>
      </c>
      <c r="D1112" t="s">
        <v>51</v>
      </c>
      <c r="E1112" t="s">
        <v>52</v>
      </c>
      <c r="F1112" t="s">
        <v>57</v>
      </c>
      <c r="G1112" s="43">
        <v>43294</v>
      </c>
      <c r="H1112">
        <v>5</v>
      </c>
      <c r="I1112">
        <v>49200</v>
      </c>
      <c r="J1112">
        <v>145986450</v>
      </c>
      <c r="N1112">
        <v>1</v>
      </c>
      <c r="P1112" s="77">
        <f t="shared" si="119"/>
        <v>1388</v>
      </c>
      <c r="Q1112" s="78">
        <f t="shared" si="120"/>
        <v>164</v>
      </c>
      <c r="R1112" s="78">
        <f t="shared" si="121"/>
        <v>27.844705581665039</v>
      </c>
      <c r="S1112" s="78">
        <f t="shared" si="122"/>
        <v>25</v>
      </c>
      <c r="T1112" s="78">
        <f t="shared" si="123"/>
        <v>38.266666666666666</v>
      </c>
      <c r="U1112" s="78" t="str">
        <f t="shared" si="124"/>
        <v>35-60</v>
      </c>
      <c r="V1112" s="78" t="str">
        <f t="shared" si="125"/>
        <v>21-30 Гб</v>
      </c>
    </row>
    <row r="1113" spans="1:22" x14ac:dyDescent="0.25">
      <c r="A1113" t="s">
        <v>96</v>
      </c>
      <c r="B1113" s="43">
        <v>35252</v>
      </c>
      <c r="C1113" t="s">
        <v>50</v>
      </c>
      <c r="D1113" t="s">
        <v>51</v>
      </c>
      <c r="E1113" t="s">
        <v>52</v>
      </c>
      <c r="F1113" t="s">
        <v>53</v>
      </c>
      <c r="G1113" s="43">
        <v>44598</v>
      </c>
      <c r="H1113">
        <v>2</v>
      </c>
      <c r="I1113">
        <v>145415</v>
      </c>
      <c r="J1113">
        <v>150898825</v>
      </c>
      <c r="O1113">
        <v>1</v>
      </c>
      <c r="P1113" s="77">
        <f t="shared" si="119"/>
        <v>84</v>
      </c>
      <c r="Q1113" s="78">
        <f t="shared" si="120"/>
        <v>865.56547619047615</v>
      </c>
      <c r="R1113" s="78">
        <f t="shared" si="121"/>
        <v>51.395833492279053</v>
      </c>
      <c r="S1113" s="78">
        <f t="shared" si="122"/>
        <v>25</v>
      </c>
      <c r="T1113" s="78">
        <f t="shared" si="123"/>
        <v>201.96527777777777</v>
      </c>
      <c r="U1113" s="78" t="str">
        <f t="shared" si="124"/>
        <v>120+</v>
      </c>
      <c r="V1113" s="78" t="str">
        <f t="shared" si="125"/>
        <v>40+ Гб</v>
      </c>
    </row>
    <row r="1114" spans="1:22" x14ac:dyDescent="0.25">
      <c r="A1114" t="s">
        <v>1198</v>
      </c>
      <c r="B1114" s="43">
        <v>35250</v>
      </c>
      <c r="C1114" t="s">
        <v>50</v>
      </c>
      <c r="D1114" t="s">
        <v>51</v>
      </c>
      <c r="E1114" t="s">
        <v>54</v>
      </c>
      <c r="F1114" t="s">
        <v>69</v>
      </c>
      <c r="G1114" s="43">
        <v>43444</v>
      </c>
      <c r="H1114">
        <v>5</v>
      </c>
      <c r="I1114">
        <v>57600</v>
      </c>
      <c r="J1114">
        <v>5756075</v>
      </c>
      <c r="M1114">
        <v>1</v>
      </c>
      <c r="P1114" s="77">
        <f t="shared" si="119"/>
        <v>1238</v>
      </c>
      <c r="Q1114" s="78">
        <f t="shared" si="120"/>
        <v>192</v>
      </c>
      <c r="R1114" s="78">
        <f t="shared" si="121"/>
        <v>1.0978841781616211</v>
      </c>
      <c r="S1114" s="78">
        <f t="shared" si="122"/>
        <v>25</v>
      </c>
      <c r="T1114" s="78">
        <f t="shared" si="123"/>
        <v>44.8</v>
      </c>
      <c r="U1114" s="78" t="str">
        <f t="shared" si="124"/>
        <v>35-60</v>
      </c>
      <c r="V1114" s="78" t="str">
        <f t="shared" si="125"/>
        <v>&lt;10 Гб</v>
      </c>
    </row>
    <row r="1115" spans="1:22" x14ac:dyDescent="0.25">
      <c r="A1115" t="s">
        <v>466</v>
      </c>
      <c r="B1115" s="43">
        <v>35249</v>
      </c>
      <c r="C1115" t="s">
        <v>58</v>
      </c>
      <c r="D1115" t="s">
        <v>51</v>
      </c>
      <c r="E1115" t="s">
        <v>54</v>
      </c>
      <c r="F1115" t="s">
        <v>57</v>
      </c>
      <c r="G1115" s="43">
        <v>43800</v>
      </c>
      <c r="H1115">
        <v>5</v>
      </c>
      <c r="I1115">
        <v>6910</v>
      </c>
      <c r="J1115">
        <v>94640175</v>
      </c>
      <c r="M1115">
        <v>1</v>
      </c>
      <c r="P1115" s="77">
        <f t="shared" si="119"/>
        <v>882</v>
      </c>
      <c r="Q1115" s="78">
        <f t="shared" si="120"/>
        <v>23.033333333333335</v>
      </c>
      <c r="R1115" s="78">
        <f t="shared" si="121"/>
        <v>18.051180839538574</v>
      </c>
      <c r="S1115" s="78">
        <f t="shared" si="122"/>
        <v>25</v>
      </c>
      <c r="T1115" s="78">
        <f t="shared" si="123"/>
        <v>5.3744444444444452</v>
      </c>
      <c r="U1115" s="78" t="str">
        <f t="shared" si="124"/>
        <v>&lt;35</v>
      </c>
      <c r="V1115" s="78" t="str">
        <f t="shared" si="125"/>
        <v>10-20 Гб</v>
      </c>
    </row>
    <row r="1116" spans="1:22" x14ac:dyDescent="0.25">
      <c r="A1116" t="s">
        <v>1117</v>
      </c>
      <c r="B1116" s="43">
        <v>35249</v>
      </c>
      <c r="C1116" t="s">
        <v>58</v>
      </c>
      <c r="D1116" t="s">
        <v>51</v>
      </c>
      <c r="E1116" t="s">
        <v>52</v>
      </c>
      <c r="F1116" t="s">
        <v>69</v>
      </c>
      <c r="G1116" s="43">
        <v>43454</v>
      </c>
      <c r="H1116">
        <v>5</v>
      </c>
      <c r="I1116">
        <v>52745</v>
      </c>
      <c r="J1116">
        <v>24409325</v>
      </c>
      <c r="P1116" s="77">
        <f t="shared" si="119"/>
        <v>1228</v>
      </c>
      <c r="Q1116" s="78">
        <f t="shared" si="120"/>
        <v>175.81666666666666</v>
      </c>
      <c r="R1116" s="78">
        <f t="shared" si="121"/>
        <v>4.6557092666625977</v>
      </c>
      <c r="S1116" s="78">
        <f t="shared" si="122"/>
        <v>25</v>
      </c>
      <c r="T1116" s="78">
        <f t="shared" si="123"/>
        <v>41.023888888888891</v>
      </c>
      <c r="U1116" s="78" t="str">
        <f t="shared" si="124"/>
        <v>35-60</v>
      </c>
      <c r="V1116" s="78" t="str">
        <f t="shared" si="125"/>
        <v>&lt;10 Гб</v>
      </c>
    </row>
    <row r="1117" spans="1:22" x14ac:dyDescent="0.25">
      <c r="A1117" t="s">
        <v>515</v>
      </c>
      <c r="B1117" s="43">
        <v>35248</v>
      </c>
      <c r="C1117" t="s">
        <v>58</v>
      </c>
      <c r="D1117" t="s">
        <v>51</v>
      </c>
      <c r="E1117" t="s">
        <v>52</v>
      </c>
      <c r="F1117" t="s">
        <v>57</v>
      </c>
      <c r="G1117" s="43">
        <v>43266</v>
      </c>
      <c r="H1117">
        <v>5</v>
      </c>
      <c r="I1117">
        <v>100820</v>
      </c>
      <c r="J1117">
        <v>105491350</v>
      </c>
      <c r="P1117" s="77">
        <f t="shared" si="119"/>
        <v>1416</v>
      </c>
      <c r="Q1117" s="78">
        <f t="shared" si="120"/>
        <v>336.06666666666666</v>
      </c>
      <c r="R1117" s="78">
        <f t="shared" si="121"/>
        <v>20.120878219604492</v>
      </c>
      <c r="S1117" s="78">
        <f t="shared" si="122"/>
        <v>25</v>
      </c>
      <c r="T1117" s="78">
        <f t="shared" si="123"/>
        <v>78.415555555555557</v>
      </c>
      <c r="U1117" s="78" t="str">
        <f t="shared" si="124"/>
        <v>61-90</v>
      </c>
      <c r="V1117" s="78" t="str">
        <f t="shared" si="125"/>
        <v>21-30 Гб</v>
      </c>
    </row>
    <row r="1118" spans="1:22" x14ac:dyDescent="0.25">
      <c r="A1118" t="s">
        <v>1041</v>
      </c>
      <c r="B1118" s="43">
        <v>35248</v>
      </c>
      <c r="C1118" t="s">
        <v>50</v>
      </c>
      <c r="D1118" t="s">
        <v>51</v>
      </c>
      <c r="E1118" t="s">
        <v>54</v>
      </c>
      <c r="F1118" t="s">
        <v>63</v>
      </c>
      <c r="G1118" s="43">
        <v>43231</v>
      </c>
      <c r="H1118">
        <v>5</v>
      </c>
      <c r="I1118">
        <v>3560</v>
      </c>
      <c r="J1118">
        <v>149446025</v>
      </c>
      <c r="P1118" s="77">
        <f t="shared" si="119"/>
        <v>1451</v>
      </c>
      <c r="Q1118" s="78">
        <f t="shared" si="120"/>
        <v>11.866666666666667</v>
      </c>
      <c r="R1118" s="78">
        <f t="shared" si="121"/>
        <v>28.50456714630127</v>
      </c>
      <c r="S1118" s="78">
        <f t="shared" si="122"/>
        <v>25</v>
      </c>
      <c r="T1118" s="78">
        <f t="shared" si="123"/>
        <v>2.7688888888888887</v>
      </c>
      <c r="U1118" s="78" t="str">
        <f t="shared" si="124"/>
        <v>&lt;35</v>
      </c>
      <c r="V1118" s="78" t="str">
        <f t="shared" si="125"/>
        <v>21-30 Гб</v>
      </c>
    </row>
    <row r="1119" spans="1:22" x14ac:dyDescent="0.25">
      <c r="A1119" t="s">
        <v>795</v>
      </c>
      <c r="B1119" s="43">
        <v>35245</v>
      </c>
      <c r="C1119" t="s">
        <v>58</v>
      </c>
      <c r="D1119" t="s">
        <v>51</v>
      </c>
      <c r="E1119" t="s">
        <v>54</v>
      </c>
      <c r="F1119" t="s">
        <v>57</v>
      </c>
      <c r="G1119" s="43">
        <v>43245</v>
      </c>
      <c r="H1119">
        <v>5</v>
      </c>
      <c r="I1119">
        <v>19225</v>
      </c>
      <c r="J1119">
        <v>115311025</v>
      </c>
      <c r="P1119" s="77">
        <f t="shared" si="119"/>
        <v>1437</v>
      </c>
      <c r="Q1119" s="78">
        <f t="shared" si="120"/>
        <v>64.083333333333329</v>
      </c>
      <c r="R1119" s="78">
        <f t="shared" si="121"/>
        <v>21.993832588195801</v>
      </c>
      <c r="S1119" s="78">
        <f t="shared" si="122"/>
        <v>25</v>
      </c>
      <c r="T1119" s="78">
        <f t="shared" si="123"/>
        <v>14.952777777777778</v>
      </c>
      <c r="U1119" s="78" t="str">
        <f t="shared" si="124"/>
        <v>&lt;35</v>
      </c>
      <c r="V1119" s="78" t="str">
        <f t="shared" si="125"/>
        <v>21-30 Гб</v>
      </c>
    </row>
    <row r="1120" spans="1:22" x14ac:dyDescent="0.25">
      <c r="A1120" t="s">
        <v>1123</v>
      </c>
      <c r="B1120" s="43">
        <v>35245</v>
      </c>
      <c r="C1120" t="s">
        <v>58</v>
      </c>
      <c r="D1120" t="s">
        <v>51</v>
      </c>
      <c r="E1120" t="s">
        <v>52</v>
      </c>
      <c r="F1120" t="s">
        <v>69</v>
      </c>
      <c r="G1120" s="43">
        <v>43142</v>
      </c>
      <c r="H1120">
        <v>5</v>
      </c>
      <c r="I1120">
        <v>1650</v>
      </c>
      <c r="J1120">
        <v>23174550</v>
      </c>
      <c r="K1120">
        <v>1</v>
      </c>
      <c r="L1120">
        <v>1</v>
      </c>
      <c r="M1120">
        <v>1</v>
      </c>
      <c r="P1120" s="77">
        <f t="shared" si="119"/>
        <v>1540</v>
      </c>
      <c r="Q1120" s="78">
        <f t="shared" si="120"/>
        <v>5.5</v>
      </c>
      <c r="R1120" s="78">
        <f t="shared" si="121"/>
        <v>4.4201946258544922</v>
      </c>
      <c r="S1120" s="78">
        <f t="shared" si="122"/>
        <v>25</v>
      </c>
      <c r="T1120" s="78">
        <f t="shared" si="123"/>
        <v>1.2833333333333334</v>
      </c>
      <c r="U1120" s="78" t="str">
        <f t="shared" si="124"/>
        <v>&lt;35</v>
      </c>
      <c r="V1120" s="78" t="str">
        <f t="shared" si="125"/>
        <v>&lt;10 Гб</v>
      </c>
    </row>
    <row r="1121" spans="1:22" x14ac:dyDescent="0.25">
      <c r="A1121" t="s">
        <v>749</v>
      </c>
      <c r="B1121" s="43">
        <v>35243</v>
      </c>
      <c r="C1121" t="s">
        <v>50</v>
      </c>
      <c r="D1121" t="s">
        <v>51</v>
      </c>
      <c r="E1121" t="s">
        <v>52</v>
      </c>
      <c r="F1121" t="s">
        <v>57</v>
      </c>
      <c r="G1121" s="43">
        <v>43868</v>
      </c>
      <c r="H1121">
        <v>5</v>
      </c>
      <c r="I1121">
        <v>77655</v>
      </c>
      <c r="J1121">
        <v>130470125</v>
      </c>
      <c r="P1121" s="77">
        <f t="shared" si="119"/>
        <v>814</v>
      </c>
      <c r="Q1121" s="78">
        <f t="shared" si="120"/>
        <v>258.85000000000002</v>
      </c>
      <c r="R1121" s="78">
        <f t="shared" si="121"/>
        <v>24.885201454162598</v>
      </c>
      <c r="S1121" s="78">
        <f t="shared" si="122"/>
        <v>25</v>
      </c>
      <c r="T1121" s="78">
        <f t="shared" si="123"/>
        <v>60.398333333333341</v>
      </c>
      <c r="U1121" s="78" t="str">
        <f t="shared" si="124"/>
        <v>61-90</v>
      </c>
      <c r="V1121" s="78" t="str">
        <f t="shared" si="125"/>
        <v>21-30 Гб</v>
      </c>
    </row>
    <row r="1122" spans="1:22" x14ac:dyDescent="0.25">
      <c r="A1122" t="s">
        <v>84</v>
      </c>
      <c r="B1122" s="43">
        <v>35238</v>
      </c>
      <c r="C1122" t="s">
        <v>58</v>
      </c>
      <c r="D1122" t="s">
        <v>51</v>
      </c>
      <c r="E1122" t="s">
        <v>54</v>
      </c>
      <c r="F1122" t="s">
        <v>57</v>
      </c>
      <c r="G1122" s="43">
        <v>44648</v>
      </c>
      <c r="H1122">
        <v>1</v>
      </c>
      <c r="I1122">
        <v>12613</v>
      </c>
      <c r="J1122">
        <v>23137680</v>
      </c>
      <c r="K1122">
        <v>1</v>
      </c>
      <c r="M1122">
        <v>1</v>
      </c>
      <c r="O1122">
        <v>1</v>
      </c>
      <c r="P1122" s="77">
        <f t="shared" si="119"/>
        <v>34</v>
      </c>
      <c r="Q1122" s="78">
        <f t="shared" si="120"/>
        <v>185.48529411764707</v>
      </c>
      <c r="R1122" s="78">
        <f t="shared" si="121"/>
        <v>19.469833374023438</v>
      </c>
      <c r="S1122" s="78">
        <f t="shared" si="122"/>
        <v>25</v>
      </c>
      <c r="T1122" s="78">
        <f t="shared" si="123"/>
        <v>43.279901960784315</v>
      </c>
      <c r="U1122" s="78" t="str">
        <f t="shared" si="124"/>
        <v>35-60</v>
      </c>
      <c r="V1122" s="78" t="str">
        <f t="shared" si="125"/>
        <v>10-20 Гб</v>
      </c>
    </row>
    <row r="1123" spans="1:22" x14ac:dyDescent="0.25">
      <c r="A1123" t="s">
        <v>375</v>
      </c>
      <c r="B1123" s="43">
        <v>35232</v>
      </c>
      <c r="C1123" t="s">
        <v>50</v>
      </c>
      <c r="D1123" t="s">
        <v>51</v>
      </c>
      <c r="E1123" t="s">
        <v>54</v>
      </c>
      <c r="F1123" t="s">
        <v>56</v>
      </c>
      <c r="G1123" s="43">
        <v>44485</v>
      </c>
      <c r="H1123">
        <v>5</v>
      </c>
      <c r="I1123">
        <v>120500</v>
      </c>
      <c r="J1123">
        <v>129843900</v>
      </c>
      <c r="P1123" s="77">
        <f t="shared" si="119"/>
        <v>197</v>
      </c>
      <c r="Q1123" s="78">
        <f t="shared" si="120"/>
        <v>401.66666666666669</v>
      </c>
      <c r="R1123" s="78">
        <f t="shared" si="121"/>
        <v>24.765758514404297</v>
      </c>
      <c r="S1123" s="78">
        <f t="shared" si="122"/>
        <v>25</v>
      </c>
      <c r="T1123" s="78">
        <f t="shared" si="123"/>
        <v>93.722222222222229</v>
      </c>
      <c r="U1123" s="78" t="str">
        <f t="shared" si="124"/>
        <v>91-120</v>
      </c>
      <c r="V1123" s="78" t="str">
        <f t="shared" si="125"/>
        <v>21-30 Гб</v>
      </c>
    </row>
    <row r="1124" spans="1:22" x14ac:dyDescent="0.25">
      <c r="A1124" t="s">
        <v>964</v>
      </c>
      <c r="B1124" s="43">
        <v>35229</v>
      </c>
      <c r="C1124" t="s">
        <v>58</v>
      </c>
      <c r="D1124" t="s">
        <v>51</v>
      </c>
      <c r="E1124" t="s">
        <v>52</v>
      </c>
      <c r="F1124" t="s">
        <v>63</v>
      </c>
      <c r="G1124" s="43">
        <v>43592</v>
      </c>
      <c r="H1124">
        <v>5</v>
      </c>
      <c r="I1124">
        <v>17750</v>
      </c>
      <c r="J1124">
        <v>176847525</v>
      </c>
      <c r="K1124">
        <v>1</v>
      </c>
      <c r="L1124">
        <v>1</v>
      </c>
      <c r="P1124" s="77">
        <f t="shared" si="119"/>
        <v>1090</v>
      </c>
      <c r="Q1124" s="78">
        <f t="shared" si="120"/>
        <v>59.166666666666664</v>
      </c>
      <c r="R1124" s="78">
        <f t="shared" si="121"/>
        <v>33.730988502502441</v>
      </c>
      <c r="S1124" s="78">
        <f t="shared" si="122"/>
        <v>25</v>
      </c>
      <c r="T1124" s="78">
        <f t="shared" si="123"/>
        <v>13.805555555555554</v>
      </c>
      <c r="U1124" s="78" t="str">
        <f t="shared" si="124"/>
        <v>&lt;35</v>
      </c>
      <c r="V1124" s="78" t="str">
        <f t="shared" si="125"/>
        <v>31-40 Гб</v>
      </c>
    </row>
    <row r="1125" spans="1:22" x14ac:dyDescent="0.25">
      <c r="A1125" t="s">
        <v>507</v>
      </c>
      <c r="B1125" s="43">
        <v>35228</v>
      </c>
      <c r="C1125" t="s">
        <v>50</v>
      </c>
      <c r="D1125" t="s">
        <v>51</v>
      </c>
      <c r="E1125" t="s">
        <v>52</v>
      </c>
      <c r="F1125" t="s">
        <v>57</v>
      </c>
      <c r="G1125" s="43">
        <v>43973</v>
      </c>
      <c r="H1125">
        <v>5</v>
      </c>
      <c r="I1125">
        <v>62630</v>
      </c>
      <c r="J1125">
        <v>140323875</v>
      </c>
      <c r="P1125" s="77">
        <f t="shared" si="119"/>
        <v>709</v>
      </c>
      <c r="Q1125" s="78">
        <f t="shared" si="120"/>
        <v>208.76666666666668</v>
      </c>
      <c r="R1125" s="78">
        <f t="shared" si="121"/>
        <v>26.764655113220215</v>
      </c>
      <c r="S1125" s="78">
        <f t="shared" si="122"/>
        <v>25</v>
      </c>
      <c r="T1125" s="78">
        <f t="shared" si="123"/>
        <v>48.712222222222223</v>
      </c>
      <c r="U1125" s="78" t="str">
        <f t="shared" si="124"/>
        <v>35-60</v>
      </c>
      <c r="V1125" s="78" t="str">
        <f t="shared" si="125"/>
        <v>21-30 Гб</v>
      </c>
    </row>
    <row r="1126" spans="1:22" x14ac:dyDescent="0.25">
      <c r="A1126" t="s">
        <v>808</v>
      </c>
      <c r="B1126" s="43">
        <v>35225</v>
      </c>
      <c r="C1126" t="s">
        <v>50</v>
      </c>
      <c r="D1126" t="s">
        <v>51</v>
      </c>
      <c r="E1126" t="s">
        <v>54</v>
      </c>
      <c r="F1126" t="s">
        <v>57</v>
      </c>
      <c r="G1126" s="43">
        <v>43411</v>
      </c>
      <c r="H1126">
        <v>5</v>
      </c>
      <c r="I1126">
        <v>91725</v>
      </c>
      <c r="J1126">
        <v>122819950</v>
      </c>
      <c r="P1126" s="77">
        <f t="shared" si="119"/>
        <v>1271</v>
      </c>
      <c r="Q1126" s="78">
        <f t="shared" si="120"/>
        <v>305.75</v>
      </c>
      <c r="R1126" s="78">
        <f t="shared" si="121"/>
        <v>23.426046371459961</v>
      </c>
      <c r="S1126" s="78">
        <f t="shared" si="122"/>
        <v>25</v>
      </c>
      <c r="T1126" s="78">
        <f t="shared" si="123"/>
        <v>71.341666666666669</v>
      </c>
      <c r="U1126" s="78" t="str">
        <f t="shared" si="124"/>
        <v>61-90</v>
      </c>
      <c r="V1126" s="78" t="str">
        <f t="shared" si="125"/>
        <v>21-30 Гб</v>
      </c>
    </row>
    <row r="1127" spans="1:22" x14ac:dyDescent="0.25">
      <c r="A1127" t="s">
        <v>1128</v>
      </c>
      <c r="B1127" s="43">
        <v>35225</v>
      </c>
      <c r="C1127" t="s">
        <v>58</v>
      </c>
      <c r="D1127" t="s">
        <v>51</v>
      </c>
      <c r="E1127" t="s">
        <v>52</v>
      </c>
      <c r="F1127" t="s">
        <v>69</v>
      </c>
      <c r="G1127" s="43">
        <v>43841</v>
      </c>
      <c r="H1127">
        <v>5</v>
      </c>
      <c r="I1127">
        <v>10910</v>
      </c>
      <c r="J1127">
        <v>9945275</v>
      </c>
      <c r="P1127" s="77">
        <f t="shared" si="119"/>
        <v>841</v>
      </c>
      <c r="Q1127" s="78">
        <f t="shared" si="120"/>
        <v>36.366666666666667</v>
      </c>
      <c r="R1127" s="78">
        <f t="shared" si="121"/>
        <v>1.8969106674194336</v>
      </c>
      <c r="S1127" s="78">
        <f t="shared" si="122"/>
        <v>25</v>
      </c>
      <c r="T1127" s="78">
        <f t="shared" si="123"/>
        <v>8.4855555555555551</v>
      </c>
      <c r="U1127" s="78" t="str">
        <f t="shared" si="124"/>
        <v>&lt;35</v>
      </c>
      <c r="V1127" s="78" t="str">
        <f t="shared" si="125"/>
        <v>&lt;10 Гб</v>
      </c>
    </row>
    <row r="1128" spans="1:22" x14ac:dyDescent="0.25">
      <c r="A1128" t="s">
        <v>896</v>
      </c>
      <c r="B1128" s="43">
        <v>35223</v>
      </c>
      <c r="C1128" t="s">
        <v>50</v>
      </c>
      <c r="D1128" t="s">
        <v>51</v>
      </c>
      <c r="E1128" t="s">
        <v>54</v>
      </c>
      <c r="F1128" t="s">
        <v>63</v>
      </c>
      <c r="G1128" s="43">
        <v>44189</v>
      </c>
      <c r="H1128">
        <v>5</v>
      </c>
      <c r="I1128">
        <v>16600</v>
      </c>
      <c r="J1128">
        <v>166393825</v>
      </c>
      <c r="M1128">
        <v>1</v>
      </c>
      <c r="P1128" s="77">
        <f t="shared" si="119"/>
        <v>493</v>
      </c>
      <c r="Q1128" s="78">
        <f t="shared" si="120"/>
        <v>55.333333333333336</v>
      </c>
      <c r="R1128" s="78">
        <f t="shared" si="121"/>
        <v>31.737103462219238</v>
      </c>
      <c r="S1128" s="78">
        <f t="shared" si="122"/>
        <v>25</v>
      </c>
      <c r="T1128" s="78">
        <f t="shared" si="123"/>
        <v>12.911111111111113</v>
      </c>
      <c r="U1128" s="78" t="str">
        <f t="shared" si="124"/>
        <v>&lt;35</v>
      </c>
      <c r="V1128" s="78" t="str">
        <f t="shared" si="125"/>
        <v>31-40 Гб</v>
      </c>
    </row>
    <row r="1129" spans="1:22" x14ac:dyDescent="0.25">
      <c r="A1129" t="s">
        <v>586</v>
      </c>
      <c r="B1129" s="43">
        <v>35221</v>
      </c>
      <c r="C1129" t="s">
        <v>58</v>
      </c>
      <c r="D1129" t="s">
        <v>51</v>
      </c>
      <c r="E1129" t="s">
        <v>54</v>
      </c>
      <c r="F1129" t="s">
        <v>57</v>
      </c>
      <c r="G1129" s="43">
        <v>44311</v>
      </c>
      <c r="H1129">
        <v>5</v>
      </c>
      <c r="I1129">
        <v>109010</v>
      </c>
      <c r="J1129">
        <v>37306150</v>
      </c>
      <c r="L1129">
        <v>1</v>
      </c>
      <c r="M1129">
        <v>1</v>
      </c>
      <c r="P1129" s="77">
        <f t="shared" si="119"/>
        <v>371</v>
      </c>
      <c r="Q1129" s="78">
        <f t="shared" si="120"/>
        <v>363.36666666666667</v>
      </c>
      <c r="R1129" s="78">
        <f t="shared" si="121"/>
        <v>7.1155834197998047</v>
      </c>
      <c r="S1129" s="78">
        <f t="shared" si="122"/>
        <v>25</v>
      </c>
      <c r="T1129" s="78">
        <f t="shared" si="123"/>
        <v>84.785555555555547</v>
      </c>
      <c r="U1129" s="78" t="str">
        <f t="shared" si="124"/>
        <v>61-90</v>
      </c>
      <c r="V1129" s="78" t="str">
        <f t="shared" si="125"/>
        <v>&lt;10 Гб</v>
      </c>
    </row>
    <row r="1130" spans="1:22" x14ac:dyDescent="0.25">
      <c r="A1130" t="s">
        <v>567</v>
      </c>
      <c r="B1130" s="43">
        <v>35220</v>
      </c>
      <c r="C1130" t="s">
        <v>58</v>
      </c>
      <c r="D1130" t="s">
        <v>51</v>
      </c>
      <c r="E1130" t="s">
        <v>54</v>
      </c>
      <c r="F1130" t="s">
        <v>57</v>
      </c>
      <c r="G1130" s="43">
        <v>42774</v>
      </c>
      <c r="H1130">
        <v>5</v>
      </c>
      <c r="I1130">
        <v>54385</v>
      </c>
      <c r="J1130">
        <v>86203700</v>
      </c>
      <c r="K1130">
        <v>1</v>
      </c>
      <c r="P1130" s="77">
        <f t="shared" si="119"/>
        <v>1908</v>
      </c>
      <c r="Q1130" s="78">
        <f t="shared" si="120"/>
        <v>181.28333333333333</v>
      </c>
      <c r="R1130" s="78">
        <f t="shared" si="121"/>
        <v>16.442050933837891</v>
      </c>
      <c r="S1130" s="78">
        <f t="shared" si="122"/>
        <v>25</v>
      </c>
      <c r="T1130" s="78">
        <f t="shared" si="123"/>
        <v>42.299444444444447</v>
      </c>
      <c r="U1130" s="78" t="str">
        <f t="shared" si="124"/>
        <v>35-60</v>
      </c>
      <c r="V1130" s="78" t="str">
        <f t="shared" si="125"/>
        <v>10-20 Гб</v>
      </c>
    </row>
    <row r="1131" spans="1:22" x14ac:dyDescent="0.25">
      <c r="A1131" t="s">
        <v>70</v>
      </c>
      <c r="B1131" s="43">
        <v>35217</v>
      </c>
      <c r="C1131" t="s">
        <v>50</v>
      </c>
      <c r="D1131" t="s">
        <v>51</v>
      </c>
      <c r="E1131" t="s">
        <v>54</v>
      </c>
      <c r="F1131" t="s">
        <v>63</v>
      </c>
      <c r="G1131" s="43">
        <v>44671</v>
      </c>
      <c r="H1131">
        <v>0</v>
      </c>
      <c r="I1131">
        <v>446</v>
      </c>
      <c r="J1131">
        <v>5398826</v>
      </c>
      <c r="P1131" s="77">
        <f t="shared" si="119"/>
        <v>11</v>
      </c>
      <c r="Q1131" s="78">
        <f t="shared" si="120"/>
        <v>20.272727272727273</v>
      </c>
      <c r="R1131" s="78">
        <f t="shared" si="121"/>
        <v>14.041968258944426</v>
      </c>
      <c r="S1131" s="78">
        <f t="shared" si="122"/>
        <v>25</v>
      </c>
      <c r="T1131" s="78">
        <f t="shared" si="123"/>
        <v>4.7303030303030305</v>
      </c>
      <c r="U1131" s="78" t="str">
        <f t="shared" si="124"/>
        <v>&lt;35</v>
      </c>
      <c r="V1131" s="78" t="str">
        <f t="shared" si="125"/>
        <v>10-20 Гб</v>
      </c>
    </row>
    <row r="1132" spans="1:22" x14ac:dyDescent="0.25">
      <c r="A1132" t="s">
        <v>491</v>
      </c>
      <c r="B1132" s="43">
        <v>35217</v>
      </c>
      <c r="C1132" t="s">
        <v>58</v>
      </c>
      <c r="D1132" t="s">
        <v>51</v>
      </c>
      <c r="E1132" t="s">
        <v>54</v>
      </c>
      <c r="F1132" t="s">
        <v>57</v>
      </c>
      <c r="G1132" s="43">
        <v>43316</v>
      </c>
      <c r="H1132">
        <v>5</v>
      </c>
      <c r="I1132">
        <v>70995</v>
      </c>
      <c r="J1132">
        <v>8489925</v>
      </c>
      <c r="P1132" s="77">
        <f t="shared" si="119"/>
        <v>1366</v>
      </c>
      <c r="Q1132" s="78">
        <f t="shared" si="120"/>
        <v>236.65</v>
      </c>
      <c r="R1132" s="78">
        <f t="shared" si="121"/>
        <v>1.6193246841430664</v>
      </c>
      <c r="S1132" s="78">
        <f t="shared" si="122"/>
        <v>25</v>
      </c>
      <c r="T1132" s="78">
        <f t="shared" si="123"/>
        <v>55.218333333333334</v>
      </c>
      <c r="U1132" s="78" t="str">
        <f t="shared" si="124"/>
        <v>35-60</v>
      </c>
      <c r="V1132" s="78" t="str">
        <f t="shared" si="125"/>
        <v>&lt;10 Гб</v>
      </c>
    </row>
    <row r="1133" spans="1:22" x14ac:dyDescent="0.25">
      <c r="A1133" t="s">
        <v>697</v>
      </c>
      <c r="B1133" s="43">
        <v>35213</v>
      </c>
      <c r="C1133" t="s">
        <v>58</v>
      </c>
      <c r="D1133" t="s">
        <v>51</v>
      </c>
      <c r="E1133" t="s">
        <v>52</v>
      </c>
      <c r="F1133" t="s">
        <v>57</v>
      </c>
      <c r="G1133" s="43">
        <v>44188</v>
      </c>
      <c r="H1133">
        <v>5</v>
      </c>
      <c r="I1133">
        <v>43535</v>
      </c>
      <c r="J1133">
        <v>142333425</v>
      </c>
      <c r="P1133" s="77">
        <f t="shared" si="119"/>
        <v>494</v>
      </c>
      <c r="Q1133" s="78">
        <f t="shared" si="120"/>
        <v>145.11666666666667</v>
      </c>
      <c r="R1133" s="78">
        <f t="shared" si="121"/>
        <v>27.147946357727051</v>
      </c>
      <c r="S1133" s="78">
        <f t="shared" si="122"/>
        <v>25</v>
      </c>
      <c r="T1133" s="78">
        <f t="shared" si="123"/>
        <v>33.860555555555557</v>
      </c>
      <c r="U1133" s="78" t="str">
        <f t="shared" si="124"/>
        <v>&lt;35</v>
      </c>
      <c r="V1133" s="78" t="str">
        <f t="shared" si="125"/>
        <v>21-30 Гб</v>
      </c>
    </row>
    <row r="1134" spans="1:22" x14ac:dyDescent="0.25">
      <c r="A1134" t="s">
        <v>352</v>
      </c>
      <c r="B1134" s="43">
        <v>35207</v>
      </c>
      <c r="C1134" t="s">
        <v>58</v>
      </c>
      <c r="D1134" t="s">
        <v>51</v>
      </c>
      <c r="E1134" t="s">
        <v>54</v>
      </c>
      <c r="F1134" t="s">
        <v>56</v>
      </c>
      <c r="G1134" s="43">
        <v>43885</v>
      </c>
      <c r="H1134">
        <v>5</v>
      </c>
      <c r="I1134">
        <v>101630</v>
      </c>
      <c r="J1134">
        <v>170377200</v>
      </c>
      <c r="N1134">
        <v>1</v>
      </c>
      <c r="P1134" s="77">
        <f t="shared" si="119"/>
        <v>797</v>
      </c>
      <c r="Q1134" s="78">
        <f t="shared" si="120"/>
        <v>338.76666666666665</v>
      </c>
      <c r="R1134" s="78">
        <f t="shared" si="121"/>
        <v>32.496871948242188</v>
      </c>
      <c r="S1134" s="78">
        <f t="shared" si="122"/>
        <v>25</v>
      </c>
      <c r="T1134" s="78">
        <f t="shared" si="123"/>
        <v>79.045555555555566</v>
      </c>
      <c r="U1134" s="78" t="str">
        <f t="shared" si="124"/>
        <v>61-90</v>
      </c>
      <c r="V1134" s="78" t="str">
        <f t="shared" si="125"/>
        <v>31-40 Гб</v>
      </c>
    </row>
    <row r="1135" spans="1:22" x14ac:dyDescent="0.25">
      <c r="A1135" t="s">
        <v>1151</v>
      </c>
      <c r="B1135" s="43">
        <v>35207</v>
      </c>
      <c r="C1135" t="s">
        <v>50</v>
      </c>
      <c r="D1135" t="s">
        <v>51</v>
      </c>
      <c r="E1135" t="s">
        <v>54</v>
      </c>
      <c r="F1135" t="s">
        <v>63</v>
      </c>
      <c r="G1135" s="43">
        <v>43447</v>
      </c>
      <c r="H1135">
        <v>5</v>
      </c>
      <c r="I1135">
        <v>26080</v>
      </c>
      <c r="J1135">
        <v>147789675</v>
      </c>
      <c r="P1135" s="77">
        <f t="shared" si="119"/>
        <v>1235</v>
      </c>
      <c r="Q1135" s="78">
        <f t="shared" si="120"/>
        <v>86.933333333333337</v>
      </c>
      <c r="R1135" s="78">
        <f t="shared" si="121"/>
        <v>28.188643455505371</v>
      </c>
      <c r="S1135" s="78">
        <f t="shared" si="122"/>
        <v>25</v>
      </c>
      <c r="T1135" s="78">
        <f t="shared" si="123"/>
        <v>20.284444444444443</v>
      </c>
      <c r="U1135" s="78" t="str">
        <f t="shared" si="124"/>
        <v>&lt;35</v>
      </c>
      <c r="V1135" s="78" t="str">
        <f t="shared" si="125"/>
        <v>21-30 Гб</v>
      </c>
    </row>
    <row r="1136" spans="1:22" x14ac:dyDescent="0.25">
      <c r="A1136" t="s">
        <v>241</v>
      </c>
      <c r="B1136" s="43">
        <v>35206</v>
      </c>
      <c r="C1136" t="s">
        <v>58</v>
      </c>
      <c r="D1136" t="s">
        <v>51</v>
      </c>
      <c r="E1136" t="s">
        <v>54</v>
      </c>
      <c r="F1136" t="s">
        <v>56</v>
      </c>
      <c r="G1136" s="43">
        <v>44151</v>
      </c>
      <c r="H1136">
        <v>5</v>
      </c>
      <c r="I1136">
        <v>116100</v>
      </c>
      <c r="J1136">
        <v>65030700</v>
      </c>
      <c r="P1136" s="77">
        <f t="shared" si="119"/>
        <v>531</v>
      </c>
      <c r="Q1136" s="78">
        <f t="shared" si="120"/>
        <v>387</v>
      </c>
      <c r="R1136" s="78">
        <f t="shared" si="121"/>
        <v>12.403621673583984</v>
      </c>
      <c r="S1136" s="78">
        <f t="shared" si="122"/>
        <v>25</v>
      </c>
      <c r="T1136" s="78">
        <f t="shared" si="123"/>
        <v>90.3</v>
      </c>
      <c r="U1136" s="78" t="str">
        <f t="shared" si="124"/>
        <v>91-120</v>
      </c>
      <c r="V1136" s="78" t="str">
        <f t="shared" si="125"/>
        <v>10-20 Гб</v>
      </c>
    </row>
    <row r="1137" spans="1:22" x14ac:dyDescent="0.25">
      <c r="A1137" t="s">
        <v>711</v>
      </c>
      <c r="B1137" s="43">
        <v>35205</v>
      </c>
      <c r="C1137" t="s">
        <v>58</v>
      </c>
      <c r="D1137" t="s">
        <v>51</v>
      </c>
      <c r="E1137" t="s">
        <v>52</v>
      </c>
      <c r="F1137" t="s">
        <v>57</v>
      </c>
      <c r="G1137" s="43">
        <v>42909</v>
      </c>
      <c r="H1137">
        <v>5</v>
      </c>
      <c r="I1137">
        <v>77835</v>
      </c>
      <c r="J1137">
        <v>7599550</v>
      </c>
      <c r="P1137" s="77">
        <f t="shared" si="119"/>
        <v>1773</v>
      </c>
      <c r="Q1137" s="78">
        <f t="shared" si="120"/>
        <v>259.45</v>
      </c>
      <c r="R1137" s="78">
        <f t="shared" si="121"/>
        <v>1.4494991302490234</v>
      </c>
      <c r="S1137" s="78">
        <f t="shared" si="122"/>
        <v>25</v>
      </c>
      <c r="T1137" s="78">
        <f t="shared" si="123"/>
        <v>60.538333333333327</v>
      </c>
      <c r="U1137" s="78" t="str">
        <f t="shared" si="124"/>
        <v>61-90</v>
      </c>
      <c r="V1137" s="78" t="str">
        <f t="shared" si="125"/>
        <v>&lt;10 Гб</v>
      </c>
    </row>
    <row r="1138" spans="1:22" x14ac:dyDescent="0.25">
      <c r="A1138" t="s">
        <v>407</v>
      </c>
      <c r="B1138" s="43">
        <v>35200</v>
      </c>
      <c r="C1138" t="s">
        <v>58</v>
      </c>
      <c r="D1138" t="s">
        <v>51</v>
      </c>
      <c r="E1138" t="s">
        <v>54</v>
      </c>
      <c r="F1138" t="s">
        <v>56</v>
      </c>
      <c r="G1138" s="43">
        <v>43416</v>
      </c>
      <c r="H1138">
        <v>5</v>
      </c>
      <c r="I1138">
        <v>117145</v>
      </c>
      <c r="J1138">
        <v>38151475</v>
      </c>
      <c r="P1138" s="77">
        <f t="shared" si="119"/>
        <v>1266</v>
      </c>
      <c r="Q1138" s="78">
        <f t="shared" si="120"/>
        <v>390.48333333333335</v>
      </c>
      <c r="R1138" s="78">
        <f t="shared" si="121"/>
        <v>7.2768163681030273</v>
      </c>
      <c r="S1138" s="78">
        <f t="shared" si="122"/>
        <v>25</v>
      </c>
      <c r="T1138" s="78">
        <f t="shared" si="123"/>
        <v>91.112777777777779</v>
      </c>
      <c r="U1138" s="78" t="str">
        <f t="shared" si="124"/>
        <v>91-120</v>
      </c>
      <c r="V1138" s="78" t="str">
        <f t="shared" si="125"/>
        <v>&lt;10 Гб</v>
      </c>
    </row>
    <row r="1139" spans="1:22" x14ac:dyDescent="0.25">
      <c r="A1139" t="s">
        <v>537</v>
      </c>
      <c r="B1139" s="43">
        <v>35200</v>
      </c>
      <c r="C1139" t="s">
        <v>58</v>
      </c>
      <c r="D1139" t="s">
        <v>51</v>
      </c>
      <c r="E1139" t="s">
        <v>52</v>
      </c>
      <c r="F1139" t="s">
        <v>57</v>
      </c>
      <c r="G1139" s="43">
        <v>43545</v>
      </c>
      <c r="H1139">
        <v>5</v>
      </c>
      <c r="I1139">
        <v>76255</v>
      </c>
      <c r="J1139">
        <v>142206200</v>
      </c>
      <c r="K1139">
        <v>1</v>
      </c>
      <c r="P1139" s="77">
        <f t="shared" si="119"/>
        <v>1137</v>
      </c>
      <c r="Q1139" s="78">
        <f t="shared" si="120"/>
        <v>254.18333333333334</v>
      </c>
      <c r="R1139" s="78">
        <f t="shared" si="121"/>
        <v>27.123680114746094</v>
      </c>
      <c r="S1139" s="78">
        <f t="shared" si="122"/>
        <v>25</v>
      </c>
      <c r="T1139" s="78">
        <f t="shared" si="123"/>
        <v>59.309444444444445</v>
      </c>
      <c r="U1139" s="78" t="str">
        <f t="shared" si="124"/>
        <v>35-60</v>
      </c>
      <c r="V1139" s="78" t="str">
        <f t="shared" si="125"/>
        <v>21-30 Гб</v>
      </c>
    </row>
    <row r="1140" spans="1:22" x14ac:dyDescent="0.25">
      <c r="A1140" t="s">
        <v>732</v>
      </c>
      <c r="B1140" s="43">
        <v>35199</v>
      </c>
      <c r="C1140" t="s">
        <v>50</v>
      </c>
      <c r="D1140" t="s">
        <v>51</v>
      </c>
      <c r="E1140" t="s">
        <v>54</v>
      </c>
      <c r="F1140" t="s">
        <v>57</v>
      </c>
      <c r="G1140" s="43">
        <v>42770</v>
      </c>
      <c r="H1140">
        <v>5</v>
      </c>
      <c r="I1140">
        <v>103885</v>
      </c>
      <c r="J1140">
        <v>130381625</v>
      </c>
      <c r="M1140">
        <v>1</v>
      </c>
      <c r="P1140" s="77">
        <f t="shared" si="119"/>
        <v>1912</v>
      </c>
      <c r="Q1140" s="78">
        <f t="shared" si="120"/>
        <v>346.28333333333336</v>
      </c>
      <c r="R1140" s="78">
        <f t="shared" si="121"/>
        <v>24.868321418762207</v>
      </c>
      <c r="S1140" s="78">
        <f t="shared" si="122"/>
        <v>25</v>
      </c>
      <c r="T1140" s="78">
        <f t="shared" si="123"/>
        <v>80.799444444444447</v>
      </c>
      <c r="U1140" s="78" t="str">
        <f t="shared" si="124"/>
        <v>61-90</v>
      </c>
      <c r="V1140" s="78" t="str">
        <f t="shared" si="125"/>
        <v>21-30 Гб</v>
      </c>
    </row>
    <row r="1141" spans="1:22" x14ac:dyDescent="0.25">
      <c r="A1141" t="s">
        <v>766</v>
      </c>
      <c r="B1141" s="43">
        <v>35199</v>
      </c>
      <c r="C1141" t="s">
        <v>58</v>
      </c>
      <c r="D1141" t="s">
        <v>51</v>
      </c>
      <c r="E1141" t="s">
        <v>52</v>
      </c>
      <c r="F1141" t="s">
        <v>57</v>
      </c>
      <c r="G1141" s="43">
        <v>42803</v>
      </c>
      <c r="H1141">
        <v>5</v>
      </c>
      <c r="I1141">
        <v>25160</v>
      </c>
      <c r="J1141">
        <v>143858375</v>
      </c>
      <c r="K1141">
        <v>1</v>
      </c>
      <c r="P1141" s="77">
        <f t="shared" si="119"/>
        <v>1879</v>
      </c>
      <c r="Q1141" s="78">
        <f t="shared" si="120"/>
        <v>83.86666666666666</v>
      </c>
      <c r="R1141" s="78">
        <f t="shared" si="121"/>
        <v>27.438807487487793</v>
      </c>
      <c r="S1141" s="78">
        <f t="shared" si="122"/>
        <v>25</v>
      </c>
      <c r="T1141" s="78">
        <f t="shared" si="123"/>
        <v>19.568888888888885</v>
      </c>
      <c r="U1141" s="78" t="str">
        <f t="shared" si="124"/>
        <v>&lt;35</v>
      </c>
      <c r="V1141" s="78" t="str">
        <f t="shared" si="125"/>
        <v>21-30 Гб</v>
      </c>
    </row>
    <row r="1142" spans="1:22" x14ac:dyDescent="0.25">
      <c r="A1142" t="s">
        <v>242</v>
      </c>
      <c r="B1142" s="43">
        <v>35198</v>
      </c>
      <c r="C1142" t="s">
        <v>58</v>
      </c>
      <c r="D1142" t="s">
        <v>51</v>
      </c>
      <c r="E1142" t="s">
        <v>52</v>
      </c>
      <c r="F1142" t="s">
        <v>56</v>
      </c>
      <c r="G1142" s="43">
        <v>43245</v>
      </c>
      <c r="H1142">
        <v>5</v>
      </c>
      <c r="I1142">
        <v>142350</v>
      </c>
      <c r="J1142">
        <v>120356100</v>
      </c>
      <c r="P1142" s="77">
        <f t="shared" si="119"/>
        <v>1437</v>
      </c>
      <c r="Q1142" s="78">
        <f t="shared" si="120"/>
        <v>474.5</v>
      </c>
      <c r="R1142" s="78">
        <f t="shared" si="121"/>
        <v>22.956104278564453</v>
      </c>
      <c r="S1142" s="78">
        <f t="shared" si="122"/>
        <v>25</v>
      </c>
      <c r="T1142" s="78">
        <f t="shared" si="123"/>
        <v>110.71666666666667</v>
      </c>
      <c r="U1142" s="78" t="str">
        <f t="shared" si="124"/>
        <v>91-120</v>
      </c>
      <c r="V1142" s="78" t="str">
        <f t="shared" si="125"/>
        <v>21-30 Гб</v>
      </c>
    </row>
    <row r="1143" spans="1:22" x14ac:dyDescent="0.25">
      <c r="A1143" t="s">
        <v>709</v>
      </c>
      <c r="B1143" s="43">
        <v>35198</v>
      </c>
      <c r="C1143" t="s">
        <v>58</v>
      </c>
      <c r="D1143" t="s">
        <v>51</v>
      </c>
      <c r="E1143" t="s">
        <v>52</v>
      </c>
      <c r="F1143" t="s">
        <v>57</v>
      </c>
      <c r="G1143" s="43">
        <v>43293</v>
      </c>
      <c r="H1143">
        <v>5</v>
      </c>
      <c r="I1143">
        <v>77595</v>
      </c>
      <c r="J1143">
        <v>5641675</v>
      </c>
      <c r="P1143" s="77">
        <f t="shared" si="119"/>
        <v>1389</v>
      </c>
      <c r="Q1143" s="78">
        <f t="shared" si="120"/>
        <v>258.64999999999998</v>
      </c>
      <c r="R1143" s="78">
        <f t="shared" si="121"/>
        <v>1.0760641098022461</v>
      </c>
      <c r="S1143" s="78">
        <f t="shared" si="122"/>
        <v>25</v>
      </c>
      <c r="T1143" s="78">
        <f t="shared" si="123"/>
        <v>60.351666666666659</v>
      </c>
      <c r="U1143" s="78" t="str">
        <f t="shared" si="124"/>
        <v>61-90</v>
      </c>
      <c r="V1143" s="78" t="str">
        <f t="shared" si="125"/>
        <v>&lt;10 Гб</v>
      </c>
    </row>
    <row r="1144" spans="1:22" x14ac:dyDescent="0.25">
      <c r="A1144" t="s">
        <v>288</v>
      </c>
      <c r="B1144" s="43">
        <v>35190</v>
      </c>
      <c r="C1144" t="s">
        <v>58</v>
      </c>
      <c r="D1144" t="s">
        <v>51</v>
      </c>
      <c r="E1144" t="s">
        <v>54</v>
      </c>
      <c r="F1144" t="s">
        <v>56</v>
      </c>
      <c r="G1144" s="43">
        <v>43335</v>
      </c>
      <c r="H1144">
        <v>5</v>
      </c>
      <c r="I1144">
        <v>104440</v>
      </c>
      <c r="J1144">
        <v>61944625</v>
      </c>
      <c r="P1144" s="77">
        <f t="shared" si="119"/>
        <v>1347</v>
      </c>
      <c r="Q1144" s="78">
        <f t="shared" si="120"/>
        <v>348.13333333333333</v>
      </c>
      <c r="R1144" s="78">
        <f t="shared" si="121"/>
        <v>11.814999580383301</v>
      </c>
      <c r="S1144" s="78">
        <f t="shared" si="122"/>
        <v>25</v>
      </c>
      <c r="T1144" s="78">
        <f t="shared" si="123"/>
        <v>81.231111111111119</v>
      </c>
      <c r="U1144" s="78" t="str">
        <f t="shared" si="124"/>
        <v>61-90</v>
      </c>
      <c r="V1144" s="78" t="str">
        <f t="shared" si="125"/>
        <v>10-20 Гб</v>
      </c>
    </row>
  </sheetData>
  <autoFilter ref="A5:S1144" xr:uid="{00000000-0001-0000-0200-000000000000}"/>
  <mergeCells count="6">
    <mergeCell ref="X15:AA15"/>
    <mergeCell ref="AC15:AE15"/>
    <mergeCell ref="AC16:AE16"/>
    <mergeCell ref="AC20:AE20"/>
    <mergeCell ref="AC18:AE18"/>
    <mergeCell ref="AC19:AE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99"/>
  <sheetViews>
    <sheetView workbookViewId="0">
      <selection activeCell="C33" sqref="C33"/>
    </sheetView>
  </sheetViews>
  <sheetFormatPr defaultColWidth="11" defaultRowHeight="15.75" x14ac:dyDescent="0.25"/>
  <cols>
    <col min="1" max="1" width="19.5" customWidth="1"/>
    <col min="2" max="2" width="7.875" bestFit="1" customWidth="1"/>
    <col min="3" max="3" width="59.625" bestFit="1" customWidth="1"/>
    <col min="4" max="4" width="42.625" bestFit="1" customWidth="1"/>
    <col min="5" max="5" width="71.625" bestFit="1" customWidth="1"/>
    <col min="6" max="6" width="48.125" bestFit="1" customWidth="1"/>
    <col min="8" max="8" width="26.75" customWidth="1"/>
  </cols>
  <sheetData>
    <row r="1" spans="1:16" x14ac:dyDescent="0.25">
      <c r="A1" s="59" t="s">
        <v>1251</v>
      </c>
      <c r="B1" s="1"/>
      <c r="C1" s="1"/>
      <c r="D1" s="2"/>
      <c r="E1" s="1"/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s="46" customFormat="1" x14ac:dyDescent="0.25">
      <c r="A2" s="46" t="s">
        <v>1199</v>
      </c>
      <c r="B2" s="46" t="s">
        <v>1200</v>
      </c>
      <c r="C2" s="46" t="s">
        <v>1201</v>
      </c>
      <c r="D2" s="46" t="s">
        <v>1202</v>
      </c>
      <c r="E2" s="46" t="s">
        <v>1203</v>
      </c>
      <c r="F2" s="46" t="s">
        <v>1204</v>
      </c>
    </row>
    <row r="3" spans="1:16" x14ac:dyDescent="0.25">
      <c r="A3">
        <v>1</v>
      </c>
      <c r="B3">
        <v>24</v>
      </c>
      <c r="C3" t="s">
        <v>1205</v>
      </c>
      <c r="D3" t="s">
        <v>1206</v>
      </c>
      <c r="E3" t="s">
        <v>1207</v>
      </c>
      <c r="F3" t="s">
        <v>1208</v>
      </c>
      <c r="H3" s="46"/>
    </row>
    <row r="4" spans="1:16" x14ac:dyDescent="0.25">
      <c r="A4">
        <v>2</v>
      </c>
      <c r="B4">
        <v>21</v>
      </c>
      <c r="C4" t="s">
        <v>1209</v>
      </c>
      <c r="D4" t="s">
        <v>1206</v>
      </c>
      <c r="E4" t="s">
        <v>1207</v>
      </c>
      <c r="F4" t="s">
        <v>1208</v>
      </c>
      <c r="H4" s="46"/>
    </row>
    <row r="5" spans="1:16" x14ac:dyDescent="0.25">
      <c r="A5">
        <v>3</v>
      </c>
      <c r="B5">
        <v>25</v>
      </c>
      <c r="C5" t="s">
        <v>1265</v>
      </c>
      <c r="D5" t="s">
        <v>1206</v>
      </c>
      <c r="E5" t="s">
        <v>1210</v>
      </c>
      <c r="F5" t="s">
        <v>1211</v>
      </c>
    </row>
    <row r="6" spans="1:16" x14ac:dyDescent="0.25">
      <c r="A6">
        <v>4</v>
      </c>
      <c r="B6">
        <v>23</v>
      </c>
      <c r="C6" t="s">
        <v>1265</v>
      </c>
      <c r="D6" t="s">
        <v>1206</v>
      </c>
      <c r="E6" t="s">
        <v>1212</v>
      </c>
      <c r="F6" t="s">
        <v>1211</v>
      </c>
    </row>
    <row r="7" spans="1:16" x14ac:dyDescent="0.25">
      <c r="A7">
        <v>5</v>
      </c>
      <c r="B7">
        <v>18</v>
      </c>
      <c r="C7" t="s">
        <v>1205</v>
      </c>
      <c r="D7" t="s">
        <v>1206</v>
      </c>
      <c r="E7" t="s">
        <v>1207</v>
      </c>
      <c r="F7" t="s">
        <v>1208</v>
      </c>
    </row>
    <row r="8" spans="1:16" x14ac:dyDescent="0.25">
      <c r="A8">
        <v>6</v>
      </c>
      <c r="B8">
        <v>19</v>
      </c>
      <c r="C8" t="s">
        <v>1265</v>
      </c>
      <c r="D8" t="s">
        <v>1206</v>
      </c>
      <c r="E8" t="s">
        <v>1212</v>
      </c>
      <c r="F8" t="s">
        <v>1213</v>
      </c>
    </row>
    <row r="9" spans="1:16" x14ac:dyDescent="0.25">
      <c r="A9">
        <v>7</v>
      </c>
      <c r="B9">
        <v>21</v>
      </c>
      <c r="C9" t="s">
        <v>1214</v>
      </c>
      <c r="D9" t="s">
        <v>1206</v>
      </c>
      <c r="E9" t="s">
        <v>1210</v>
      </c>
      <c r="F9" t="s">
        <v>1208</v>
      </c>
    </row>
    <row r="10" spans="1:16" x14ac:dyDescent="0.25">
      <c r="A10">
        <v>8</v>
      </c>
      <c r="B10">
        <v>24</v>
      </c>
      <c r="C10" t="s">
        <v>1265</v>
      </c>
      <c r="D10" t="s">
        <v>1206</v>
      </c>
      <c r="E10" t="s">
        <v>1215</v>
      </c>
      <c r="F10" t="s">
        <v>1216</v>
      </c>
    </row>
    <row r="11" spans="1:16" x14ac:dyDescent="0.25">
      <c r="A11">
        <v>9</v>
      </c>
      <c r="B11">
        <v>21</v>
      </c>
      <c r="C11" t="s">
        <v>1214</v>
      </c>
      <c r="D11" t="s">
        <v>1206</v>
      </c>
      <c r="E11" t="s">
        <v>1217</v>
      </c>
      <c r="F11" t="s">
        <v>1216</v>
      </c>
    </row>
    <row r="12" spans="1:16" x14ac:dyDescent="0.25">
      <c r="A12">
        <v>10</v>
      </c>
      <c r="B12">
        <v>22</v>
      </c>
      <c r="C12" t="s">
        <v>1209</v>
      </c>
      <c r="D12" t="s">
        <v>1206</v>
      </c>
      <c r="E12" t="s">
        <v>1217</v>
      </c>
      <c r="F12" t="s">
        <v>1216</v>
      </c>
    </row>
    <row r="13" spans="1:16" x14ac:dyDescent="0.25">
      <c r="A13">
        <v>11</v>
      </c>
      <c r="B13">
        <v>18</v>
      </c>
      <c r="C13" t="s">
        <v>1209</v>
      </c>
      <c r="D13" t="s">
        <v>1218</v>
      </c>
      <c r="E13" t="s">
        <v>1210</v>
      </c>
      <c r="F13" t="s">
        <v>1211</v>
      </c>
    </row>
    <row r="14" spans="1:16" x14ac:dyDescent="0.25">
      <c r="A14">
        <v>12</v>
      </c>
      <c r="B14">
        <v>18</v>
      </c>
      <c r="C14" t="s">
        <v>1209</v>
      </c>
      <c r="D14" t="s">
        <v>1219</v>
      </c>
      <c r="E14" t="s">
        <v>1210</v>
      </c>
      <c r="F14" t="s">
        <v>1213</v>
      </c>
    </row>
    <row r="15" spans="1:16" x14ac:dyDescent="0.25">
      <c r="A15">
        <v>13</v>
      </c>
      <c r="B15">
        <v>25</v>
      </c>
      <c r="C15" t="s">
        <v>1209</v>
      </c>
      <c r="D15" t="s">
        <v>1206</v>
      </c>
      <c r="E15" t="s">
        <v>1207</v>
      </c>
      <c r="F15" t="s">
        <v>1211</v>
      </c>
    </row>
    <row r="16" spans="1:16" x14ac:dyDescent="0.25">
      <c r="A16">
        <v>14</v>
      </c>
      <c r="B16">
        <v>21</v>
      </c>
      <c r="C16" t="s">
        <v>1265</v>
      </c>
      <c r="D16" t="s">
        <v>1206</v>
      </c>
      <c r="E16" t="s">
        <v>1212</v>
      </c>
      <c r="F16" t="s">
        <v>1216</v>
      </c>
    </row>
    <row r="17" spans="1:6" x14ac:dyDescent="0.25">
      <c r="A17">
        <v>15</v>
      </c>
      <c r="B17">
        <v>20</v>
      </c>
      <c r="C17" t="s">
        <v>1209</v>
      </c>
      <c r="D17" t="s">
        <v>1206</v>
      </c>
      <c r="E17" t="s">
        <v>1215</v>
      </c>
      <c r="F17" t="s">
        <v>1213</v>
      </c>
    </row>
    <row r="18" spans="1:6" x14ac:dyDescent="0.25">
      <c r="A18">
        <v>16</v>
      </c>
      <c r="B18">
        <v>21</v>
      </c>
      <c r="C18" t="s">
        <v>1265</v>
      </c>
      <c r="D18" t="s">
        <v>1206</v>
      </c>
      <c r="E18" t="s">
        <v>1210</v>
      </c>
      <c r="F18" t="s">
        <v>1216</v>
      </c>
    </row>
    <row r="19" spans="1:6" x14ac:dyDescent="0.25">
      <c r="A19">
        <v>17</v>
      </c>
      <c r="B19">
        <v>24</v>
      </c>
      <c r="C19" t="s">
        <v>1214</v>
      </c>
      <c r="D19" t="s">
        <v>1206</v>
      </c>
      <c r="E19" t="s">
        <v>1210</v>
      </c>
      <c r="F19" t="s">
        <v>1208</v>
      </c>
    </row>
    <row r="20" spans="1:6" x14ac:dyDescent="0.25">
      <c r="A20">
        <v>18</v>
      </c>
      <c r="B20">
        <v>22</v>
      </c>
      <c r="C20" t="s">
        <v>1209</v>
      </c>
      <c r="D20" t="s">
        <v>1206</v>
      </c>
      <c r="E20" t="s">
        <v>1215</v>
      </c>
      <c r="F20" t="s">
        <v>1208</v>
      </c>
    </row>
    <row r="21" spans="1:6" x14ac:dyDescent="0.25">
      <c r="A21">
        <v>19</v>
      </c>
      <c r="B21">
        <v>25</v>
      </c>
      <c r="C21" t="s">
        <v>1209</v>
      </c>
      <c r="D21" t="s">
        <v>1218</v>
      </c>
      <c r="E21" t="s">
        <v>1212</v>
      </c>
      <c r="F21" t="s">
        <v>1216</v>
      </c>
    </row>
    <row r="22" spans="1:6" x14ac:dyDescent="0.25">
      <c r="A22">
        <v>20</v>
      </c>
      <c r="B22">
        <v>23</v>
      </c>
      <c r="C22" t="s">
        <v>1209</v>
      </c>
      <c r="D22" t="s">
        <v>1206</v>
      </c>
      <c r="E22" t="s">
        <v>1210</v>
      </c>
      <c r="F22" t="s">
        <v>1208</v>
      </c>
    </row>
    <row r="23" spans="1:6" x14ac:dyDescent="0.25">
      <c r="A23">
        <v>21</v>
      </c>
      <c r="B23">
        <v>20</v>
      </c>
      <c r="C23" t="s">
        <v>1265</v>
      </c>
      <c r="D23" t="s">
        <v>1206</v>
      </c>
      <c r="E23" t="s">
        <v>1212</v>
      </c>
      <c r="F23" t="s">
        <v>1211</v>
      </c>
    </row>
    <row r="24" spans="1:6" x14ac:dyDescent="0.25">
      <c r="A24">
        <v>22</v>
      </c>
      <c r="B24">
        <v>19</v>
      </c>
      <c r="C24" t="s">
        <v>1265</v>
      </c>
      <c r="D24" t="s">
        <v>1206</v>
      </c>
      <c r="E24" t="s">
        <v>1210</v>
      </c>
      <c r="F24" t="s">
        <v>1216</v>
      </c>
    </row>
    <row r="25" spans="1:6" x14ac:dyDescent="0.25">
      <c r="A25">
        <v>23</v>
      </c>
      <c r="B25">
        <v>18</v>
      </c>
      <c r="C25" t="s">
        <v>1265</v>
      </c>
      <c r="D25" t="s">
        <v>1220</v>
      </c>
      <c r="E25" t="s">
        <v>1212</v>
      </c>
      <c r="F25" t="s">
        <v>1221</v>
      </c>
    </row>
    <row r="26" spans="1:6" x14ac:dyDescent="0.25">
      <c r="A26">
        <v>24</v>
      </c>
      <c r="B26">
        <v>23</v>
      </c>
      <c r="C26" t="s">
        <v>1265</v>
      </c>
      <c r="D26" t="s">
        <v>1222</v>
      </c>
      <c r="E26" t="s">
        <v>1210</v>
      </c>
      <c r="F26" t="s">
        <v>1216</v>
      </c>
    </row>
    <row r="27" spans="1:6" x14ac:dyDescent="0.25">
      <c r="A27">
        <v>25</v>
      </c>
      <c r="B27">
        <v>18</v>
      </c>
      <c r="C27" t="s">
        <v>1265</v>
      </c>
      <c r="D27" t="s">
        <v>1219</v>
      </c>
      <c r="E27" t="s">
        <v>1207</v>
      </c>
      <c r="F27" t="s">
        <v>1208</v>
      </c>
    </row>
    <row r="28" spans="1:6" x14ac:dyDescent="0.25">
      <c r="A28">
        <v>26</v>
      </c>
      <c r="B28">
        <v>20</v>
      </c>
      <c r="C28" t="s">
        <v>1209</v>
      </c>
      <c r="D28" t="s">
        <v>1206</v>
      </c>
      <c r="E28" t="s">
        <v>1215</v>
      </c>
      <c r="F28" t="s">
        <v>1216</v>
      </c>
    </row>
    <row r="29" spans="1:6" x14ac:dyDescent="0.25">
      <c r="A29">
        <v>27</v>
      </c>
      <c r="B29">
        <v>18</v>
      </c>
      <c r="C29" t="s">
        <v>1205</v>
      </c>
      <c r="D29" t="s">
        <v>1206</v>
      </c>
      <c r="E29" t="s">
        <v>1215</v>
      </c>
      <c r="F29" t="s">
        <v>1221</v>
      </c>
    </row>
    <row r="30" spans="1:6" x14ac:dyDescent="0.25">
      <c r="A30">
        <v>28</v>
      </c>
      <c r="B30">
        <v>18</v>
      </c>
      <c r="C30" t="s">
        <v>1214</v>
      </c>
      <c r="D30" t="s">
        <v>1206</v>
      </c>
      <c r="E30" t="s">
        <v>1217</v>
      </c>
      <c r="F30" t="s">
        <v>1208</v>
      </c>
    </row>
    <row r="31" spans="1:6" x14ac:dyDescent="0.25">
      <c r="A31">
        <v>29</v>
      </c>
      <c r="B31">
        <v>24</v>
      </c>
      <c r="C31" t="s">
        <v>1265</v>
      </c>
      <c r="D31" t="s">
        <v>1222</v>
      </c>
      <c r="E31" t="s">
        <v>1210</v>
      </c>
      <c r="F31" t="s">
        <v>1216</v>
      </c>
    </row>
    <row r="32" spans="1:6" x14ac:dyDescent="0.25">
      <c r="A32">
        <v>30</v>
      </c>
      <c r="B32">
        <v>19</v>
      </c>
      <c r="C32" t="s">
        <v>1209</v>
      </c>
      <c r="D32" t="s">
        <v>1222</v>
      </c>
      <c r="E32" t="s">
        <v>1210</v>
      </c>
      <c r="F32" t="s">
        <v>1213</v>
      </c>
    </row>
    <row r="33" spans="1:6" x14ac:dyDescent="0.25">
      <c r="A33">
        <v>31</v>
      </c>
      <c r="B33">
        <v>25</v>
      </c>
      <c r="C33" t="s">
        <v>1214</v>
      </c>
      <c r="D33" t="s">
        <v>1218</v>
      </c>
      <c r="E33" t="s">
        <v>1210</v>
      </c>
      <c r="F33" t="s">
        <v>1221</v>
      </c>
    </row>
    <row r="34" spans="1:6" x14ac:dyDescent="0.25">
      <c r="A34">
        <v>32</v>
      </c>
      <c r="B34">
        <v>18</v>
      </c>
      <c r="C34" t="s">
        <v>1265</v>
      </c>
      <c r="D34" t="s">
        <v>1206</v>
      </c>
      <c r="E34" t="s">
        <v>1215</v>
      </c>
      <c r="F34" t="s">
        <v>1216</v>
      </c>
    </row>
    <row r="35" spans="1:6" x14ac:dyDescent="0.25">
      <c r="A35">
        <v>33</v>
      </c>
      <c r="B35">
        <v>21</v>
      </c>
      <c r="C35" t="s">
        <v>1265</v>
      </c>
      <c r="D35" t="s">
        <v>1218</v>
      </c>
      <c r="E35" t="s">
        <v>1210</v>
      </c>
      <c r="F35" t="s">
        <v>1216</v>
      </c>
    </row>
    <row r="36" spans="1:6" x14ac:dyDescent="0.25">
      <c r="A36">
        <v>34</v>
      </c>
      <c r="B36">
        <v>18</v>
      </c>
      <c r="C36" t="s">
        <v>1209</v>
      </c>
      <c r="D36" t="s">
        <v>1206</v>
      </c>
      <c r="E36" t="s">
        <v>1215</v>
      </c>
      <c r="F36" t="s">
        <v>1216</v>
      </c>
    </row>
    <row r="37" spans="1:6" x14ac:dyDescent="0.25">
      <c r="A37">
        <v>35</v>
      </c>
      <c r="B37">
        <v>21</v>
      </c>
      <c r="C37" t="s">
        <v>1265</v>
      </c>
      <c r="D37" t="s">
        <v>1206</v>
      </c>
      <c r="E37" t="s">
        <v>1215</v>
      </c>
      <c r="F37" t="s">
        <v>1216</v>
      </c>
    </row>
    <row r="38" spans="1:6" x14ac:dyDescent="0.25">
      <c r="A38">
        <v>36</v>
      </c>
      <c r="B38">
        <v>21</v>
      </c>
      <c r="C38" t="s">
        <v>1265</v>
      </c>
      <c r="D38" t="s">
        <v>1220</v>
      </c>
      <c r="E38" t="s">
        <v>1210</v>
      </c>
      <c r="F38" t="s">
        <v>1213</v>
      </c>
    </row>
    <row r="39" spans="1:6" x14ac:dyDescent="0.25">
      <c r="A39">
        <v>37</v>
      </c>
      <c r="B39">
        <v>18</v>
      </c>
      <c r="C39" t="s">
        <v>1209</v>
      </c>
      <c r="D39" t="s">
        <v>1219</v>
      </c>
      <c r="E39" t="s">
        <v>1210</v>
      </c>
      <c r="F39" t="s">
        <v>1213</v>
      </c>
    </row>
    <row r="40" spans="1:6" x14ac:dyDescent="0.25">
      <c r="A40">
        <v>38</v>
      </c>
      <c r="B40">
        <v>21</v>
      </c>
      <c r="C40" t="s">
        <v>1223</v>
      </c>
      <c r="D40" t="s">
        <v>1206</v>
      </c>
      <c r="E40" t="s">
        <v>1212</v>
      </c>
      <c r="F40" t="s">
        <v>1213</v>
      </c>
    </row>
    <row r="41" spans="1:6" x14ac:dyDescent="0.25">
      <c r="A41">
        <v>39</v>
      </c>
      <c r="B41">
        <v>19</v>
      </c>
      <c r="C41" t="s">
        <v>1214</v>
      </c>
      <c r="D41" t="s">
        <v>1206</v>
      </c>
      <c r="E41" t="s">
        <v>1210</v>
      </c>
      <c r="F41" t="s">
        <v>1213</v>
      </c>
    </row>
    <row r="42" spans="1:6" x14ac:dyDescent="0.25">
      <c r="A42">
        <v>40</v>
      </c>
      <c r="B42">
        <v>19</v>
      </c>
      <c r="C42" t="s">
        <v>1205</v>
      </c>
      <c r="D42" t="s">
        <v>1222</v>
      </c>
      <c r="E42" t="s">
        <v>1212</v>
      </c>
      <c r="F42" t="s">
        <v>1216</v>
      </c>
    </row>
    <row r="43" spans="1:6" x14ac:dyDescent="0.25">
      <c r="A43">
        <v>41</v>
      </c>
      <c r="B43">
        <v>19</v>
      </c>
      <c r="C43" t="s">
        <v>1265</v>
      </c>
      <c r="D43" t="s">
        <v>1206</v>
      </c>
      <c r="E43" t="s">
        <v>1215</v>
      </c>
      <c r="F43" t="s">
        <v>1221</v>
      </c>
    </row>
    <row r="44" spans="1:6" x14ac:dyDescent="0.25">
      <c r="A44">
        <v>42</v>
      </c>
      <c r="B44">
        <v>25</v>
      </c>
      <c r="C44" t="s">
        <v>1209</v>
      </c>
      <c r="D44" t="s">
        <v>1206</v>
      </c>
      <c r="E44" t="s">
        <v>1215</v>
      </c>
      <c r="F44" t="s">
        <v>1216</v>
      </c>
    </row>
    <row r="45" spans="1:6" x14ac:dyDescent="0.25">
      <c r="A45">
        <v>43</v>
      </c>
      <c r="B45">
        <v>19</v>
      </c>
      <c r="C45" t="s">
        <v>1209</v>
      </c>
      <c r="D45" t="s">
        <v>1218</v>
      </c>
      <c r="E45" t="s">
        <v>1217</v>
      </c>
      <c r="F45" t="s">
        <v>1213</v>
      </c>
    </row>
    <row r="46" spans="1:6" x14ac:dyDescent="0.25">
      <c r="A46">
        <v>44</v>
      </c>
      <c r="B46">
        <v>19</v>
      </c>
      <c r="C46" t="s">
        <v>1214</v>
      </c>
      <c r="D46" t="s">
        <v>1206</v>
      </c>
      <c r="E46" t="s">
        <v>1210</v>
      </c>
      <c r="F46" t="s">
        <v>1221</v>
      </c>
    </row>
    <row r="47" spans="1:6" x14ac:dyDescent="0.25">
      <c r="A47">
        <v>45</v>
      </c>
      <c r="B47">
        <v>23</v>
      </c>
      <c r="C47" t="s">
        <v>1265</v>
      </c>
      <c r="D47" t="s">
        <v>1222</v>
      </c>
      <c r="E47" t="s">
        <v>1215</v>
      </c>
      <c r="F47" t="s">
        <v>1221</v>
      </c>
    </row>
    <row r="48" spans="1:6" x14ac:dyDescent="0.25">
      <c r="A48">
        <v>46</v>
      </c>
      <c r="B48">
        <v>24</v>
      </c>
      <c r="C48" t="s">
        <v>1209</v>
      </c>
      <c r="D48" t="s">
        <v>1219</v>
      </c>
      <c r="E48" t="s">
        <v>1210</v>
      </c>
      <c r="F48" t="s">
        <v>1221</v>
      </c>
    </row>
    <row r="49" spans="1:6" x14ac:dyDescent="0.25">
      <c r="A49">
        <v>47</v>
      </c>
      <c r="B49">
        <v>22</v>
      </c>
      <c r="C49" t="s">
        <v>1214</v>
      </c>
      <c r="D49" t="s">
        <v>1206</v>
      </c>
      <c r="E49" t="s">
        <v>1215</v>
      </c>
      <c r="F49" t="s">
        <v>1213</v>
      </c>
    </row>
    <row r="50" spans="1:6" x14ac:dyDescent="0.25">
      <c r="A50">
        <v>48</v>
      </c>
      <c r="B50">
        <v>25</v>
      </c>
      <c r="C50" t="s">
        <v>1214</v>
      </c>
      <c r="D50" t="s">
        <v>1206</v>
      </c>
      <c r="E50" t="s">
        <v>1215</v>
      </c>
      <c r="F50" t="s">
        <v>1208</v>
      </c>
    </row>
    <row r="51" spans="1:6" x14ac:dyDescent="0.25">
      <c r="A51">
        <v>49</v>
      </c>
      <c r="B51">
        <v>22</v>
      </c>
      <c r="C51" t="s">
        <v>1209</v>
      </c>
      <c r="D51" t="s">
        <v>1219</v>
      </c>
      <c r="E51" t="s">
        <v>1210</v>
      </c>
      <c r="F51" t="s">
        <v>1213</v>
      </c>
    </row>
    <row r="52" spans="1:6" x14ac:dyDescent="0.25">
      <c r="A52">
        <v>50</v>
      </c>
      <c r="B52">
        <v>25</v>
      </c>
      <c r="C52" t="s">
        <v>1205</v>
      </c>
      <c r="D52" t="s">
        <v>1206</v>
      </c>
      <c r="E52" t="s">
        <v>1217</v>
      </c>
      <c r="F52" t="s">
        <v>1213</v>
      </c>
    </row>
    <row r="53" spans="1:6" x14ac:dyDescent="0.25">
      <c r="A53">
        <v>51</v>
      </c>
      <c r="B53">
        <v>20</v>
      </c>
      <c r="C53" t="s">
        <v>1223</v>
      </c>
      <c r="D53" t="s">
        <v>1206</v>
      </c>
      <c r="E53" t="s">
        <v>1210</v>
      </c>
      <c r="F53" t="s">
        <v>1221</v>
      </c>
    </row>
    <row r="54" spans="1:6" x14ac:dyDescent="0.25">
      <c r="A54">
        <v>52</v>
      </c>
      <c r="B54">
        <v>25</v>
      </c>
      <c r="C54" t="s">
        <v>1223</v>
      </c>
      <c r="D54" t="s">
        <v>1206</v>
      </c>
      <c r="E54" t="s">
        <v>1217</v>
      </c>
      <c r="F54" t="s">
        <v>1208</v>
      </c>
    </row>
    <row r="55" spans="1:6" x14ac:dyDescent="0.25">
      <c r="A55">
        <v>53</v>
      </c>
      <c r="B55">
        <v>24</v>
      </c>
      <c r="C55" t="s">
        <v>1214</v>
      </c>
      <c r="D55" t="s">
        <v>1220</v>
      </c>
      <c r="E55" t="s">
        <v>1215</v>
      </c>
      <c r="F55" t="s">
        <v>1213</v>
      </c>
    </row>
    <row r="56" spans="1:6" x14ac:dyDescent="0.25">
      <c r="A56">
        <v>54</v>
      </c>
      <c r="B56">
        <v>22</v>
      </c>
      <c r="C56" t="s">
        <v>1265</v>
      </c>
      <c r="D56" t="s">
        <v>1220</v>
      </c>
      <c r="E56" t="s">
        <v>1212</v>
      </c>
      <c r="F56" t="s">
        <v>1216</v>
      </c>
    </row>
    <row r="57" spans="1:6" x14ac:dyDescent="0.25">
      <c r="A57">
        <v>55</v>
      </c>
      <c r="B57">
        <v>21</v>
      </c>
      <c r="C57" t="s">
        <v>1209</v>
      </c>
      <c r="D57" t="s">
        <v>1206</v>
      </c>
      <c r="E57" t="s">
        <v>1215</v>
      </c>
      <c r="F57" t="s">
        <v>1216</v>
      </c>
    </row>
    <row r="58" spans="1:6" x14ac:dyDescent="0.25">
      <c r="A58">
        <v>56</v>
      </c>
      <c r="B58">
        <v>21</v>
      </c>
      <c r="C58" t="s">
        <v>1209</v>
      </c>
      <c r="D58" t="s">
        <v>1218</v>
      </c>
      <c r="E58" t="s">
        <v>1212</v>
      </c>
      <c r="F58" t="s">
        <v>1221</v>
      </c>
    </row>
    <row r="59" spans="1:6" x14ac:dyDescent="0.25">
      <c r="A59">
        <v>57</v>
      </c>
      <c r="B59">
        <v>18</v>
      </c>
      <c r="C59" t="s">
        <v>1265</v>
      </c>
      <c r="D59" t="s">
        <v>1206</v>
      </c>
      <c r="E59" t="s">
        <v>1207</v>
      </c>
      <c r="F59" t="s">
        <v>1213</v>
      </c>
    </row>
    <row r="60" spans="1:6" x14ac:dyDescent="0.25">
      <c r="A60">
        <v>58</v>
      </c>
      <c r="B60">
        <v>21</v>
      </c>
      <c r="C60" t="s">
        <v>1265</v>
      </c>
      <c r="D60" t="s">
        <v>1206</v>
      </c>
      <c r="E60" t="s">
        <v>1215</v>
      </c>
      <c r="F60" t="s">
        <v>1216</v>
      </c>
    </row>
    <row r="61" spans="1:6" x14ac:dyDescent="0.25">
      <c r="A61">
        <v>59</v>
      </c>
      <c r="B61">
        <v>25</v>
      </c>
      <c r="C61" t="s">
        <v>1265</v>
      </c>
      <c r="D61" t="s">
        <v>1206</v>
      </c>
      <c r="E61" t="s">
        <v>1215</v>
      </c>
      <c r="F61" t="s">
        <v>1208</v>
      </c>
    </row>
    <row r="62" spans="1:6" x14ac:dyDescent="0.25">
      <c r="A62">
        <v>60</v>
      </c>
      <c r="B62">
        <v>23</v>
      </c>
      <c r="C62" t="s">
        <v>1205</v>
      </c>
      <c r="D62" t="s">
        <v>1206</v>
      </c>
      <c r="E62" t="s">
        <v>1212</v>
      </c>
      <c r="F62" t="s">
        <v>1211</v>
      </c>
    </row>
    <row r="63" spans="1:6" x14ac:dyDescent="0.25">
      <c r="A63">
        <v>61</v>
      </c>
      <c r="B63">
        <v>24</v>
      </c>
      <c r="C63" t="s">
        <v>1265</v>
      </c>
      <c r="D63" t="s">
        <v>1206</v>
      </c>
      <c r="E63" t="s">
        <v>1215</v>
      </c>
      <c r="F63" t="s">
        <v>1208</v>
      </c>
    </row>
    <row r="64" spans="1:6" x14ac:dyDescent="0.25">
      <c r="A64">
        <v>62</v>
      </c>
      <c r="B64">
        <v>21</v>
      </c>
      <c r="C64" t="s">
        <v>1265</v>
      </c>
      <c r="D64" t="s">
        <v>1206</v>
      </c>
      <c r="E64" t="s">
        <v>1207</v>
      </c>
      <c r="F64" t="s">
        <v>1213</v>
      </c>
    </row>
    <row r="65" spans="1:6" x14ac:dyDescent="0.25">
      <c r="A65">
        <v>63</v>
      </c>
      <c r="B65">
        <v>23</v>
      </c>
      <c r="C65" t="s">
        <v>1265</v>
      </c>
      <c r="D65" t="s">
        <v>1206</v>
      </c>
      <c r="E65" t="s">
        <v>1215</v>
      </c>
      <c r="F65" t="s">
        <v>1216</v>
      </c>
    </row>
    <row r="66" spans="1:6" x14ac:dyDescent="0.25">
      <c r="A66">
        <v>64</v>
      </c>
      <c r="B66">
        <v>25</v>
      </c>
      <c r="C66" t="s">
        <v>1209</v>
      </c>
      <c r="D66" t="s">
        <v>1206</v>
      </c>
      <c r="E66" t="s">
        <v>1210</v>
      </c>
      <c r="F66" t="s">
        <v>1213</v>
      </c>
    </row>
    <row r="67" spans="1:6" x14ac:dyDescent="0.25">
      <c r="A67">
        <v>65</v>
      </c>
      <c r="B67">
        <v>19</v>
      </c>
      <c r="C67" t="s">
        <v>1265</v>
      </c>
      <c r="D67" t="s">
        <v>1222</v>
      </c>
      <c r="E67" t="s">
        <v>1207</v>
      </c>
      <c r="F67" t="s">
        <v>1208</v>
      </c>
    </row>
    <row r="68" spans="1:6" x14ac:dyDescent="0.25">
      <c r="A68">
        <v>66</v>
      </c>
      <c r="B68">
        <v>21</v>
      </c>
      <c r="C68" t="s">
        <v>1265</v>
      </c>
      <c r="D68" t="s">
        <v>1206</v>
      </c>
      <c r="E68" t="s">
        <v>1215</v>
      </c>
      <c r="F68" t="s">
        <v>1211</v>
      </c>
    </row>
    <row r="69" spans="1:6" x14ac:dyDescent="0.25">
      <c r="A69">
        <v>67</v>
      </c>
      <c r="B69">
        <v>18</v>
      </c>
      <c r="C69" t="s">
        <v>1265</v>
      </c>
      <c r="D69" t="s">
        <v>1222</v>
      </c>
      <c r="E69" t="s">
        <v>1217</v>
      </c>
      <c r="F69" t="s">
        <v>1213</v>
      </c>
    </row>
    <row r="70" spans="1:6" x14ac:dyDescent="0.25">
      <c r="A70">
        <v>68</v>
      </c>
      <c r="B70">
        <v>21</v>
      </c>
      <c r="C70" t="s">
        <v>1205</v>
      </c>
      <c r="D70" t="s">
        <v>1206</v>
      </c>
      <c r="E70" t="s">
        <v>1215</v>
      </c>
      <c r="F70" t="s">
        <v>1216</v>
      </c>
    </row>
    <row r="71" spans="1:6" x14ac:dyDescent="0.25">
      <c r="A71">
        <v>69</v>
      </c>
      <c r="B71">
        <v>18</v>
      </c>
      <c r="C71" t="s">
        <v>1205</v>
      </c>
      <c r="D71" t="s">
        <v>1220</v>
      </c>
      <c r="E71" t="s">
        <v>1207</v>
      </c>
      <c r="F71" t="s">
        <v>1213</v>
      </c>
    </row>
    <row r="72" spans="1:6" x14ac:dyDescent="0.25">
      <c r="A72">
        <v>70</v>
      </c>
      <c r="B72">
        <v>20</v>
      </c>
      <c r="C72" t="s">
        <v>1209</v>
      </c>
      <c r="D72" t="s">
        <v>1206</v>
      </c>
      <c r="E72" t="s">
        <v>1210</v>
      </c>
      <c r="F72" t="s">
        <v>1213</v>
      </c>
    </row>
    <row r="73" spans="1:6" x14ac:dyDescent="0.25">
      <c r="A73">
        <v>71</v>
      </c>
      <c r="B73">
        <v>19</v>
      </c>
      <c r="C73" t="s">
        <v>1223</v>
      </c>
      <c r="D73" t="s">
        <v>1220</v>
      </c>
      <c r="E73" t="s">
        <v>1212</v>
      </c>
      <c r="F73" t="s">
        <v>1213</v>
      </c>
    </row>
    <row r="74" spans="1:6" x14ac:dyDescent="0.25">
      <c r="A74">
        <v>72</v>
      </c>
      <c r="B74">
        <v>22</v>
      </c>
      <c r="C74" t="s">
        <v>1209</v>
      </c>
      <c r="D74" t="s">
        <v>1206</v>
      </c>
      <c r="E74" t="s">
        <v>1215</v>
      </c>
      <c r="F74" t="s">
        <v>1216</v>
      </c>
    </row>
    <row r="75" spans="1:6" x14ac:dyDescent="0.25">
      <c r="A75">
        <v>73</v>
      </c>
      <c r="B75">
        <v>22</v>
      </c>
      <c r="C75" t="s">
        <v>1265</v>
      </c>
      <c r="D75" t="s">
        <v>1206</v>
      </c>
      <c r="E75" t="s">
        <v>1215</v>
      </c>
      <c r="F75" t="s">
        <v>1216</v>
      </c>
    </row>
    <row r="76" spans="1:6" x14ac:dyDescent="0.25">
      <c r="A76">
        <v>74</v>
      </c>
      <c r="B76">
        <v>21</v>
      </c>
      <c r="C76" t="s">
        <v>1265</v>
      </c>
      <c r="D76" t="s">
        <v>1222</v>
      </c>
      <c r="E76" t="s">
        <v>1210</v>
      </c>
      <c r="F76" t="s">
        <v>1211</v>
      </c>
    </row>
    <row r="77" spans="1:6" x14ac:dyDescent="0.25">
      <c r="A77">
        <v>75</v>
      </c>
      <c r="B77">
        <v>23</v>
      </c>
      <c r="C77" t="s">
        <v>1209</v>
      </c>
      <c r="D77" t="s">
        <v>1206</v>
      </c>
      <c r="E77" t="s">
        <v>1210</v>
      </c>
      <c r="F77" t="s">
        <v>1213</v>
      </c>
    </row>
    <row r="78" spans="1:6" x14ac:dyDescent="0.25">
      <c r="A78">
        <v>76</v>
      </c>
      <c r="B78">
        <v>18</v>
      </c>
      <c r="C78" t="s">
        <v>1209</v>
      </c>
      <c r="D78" t="s">
        <v>1206</v>
      </c>
      <c r="E78" t="s">
        <v>1212</v>
      </c>
      <c r="F78" t="s">
        <v>1216</v>
      </c>
    </row>
    <row r="79" spans="1:6" x14ac:dyDescent="0.25">
      <c r="A79">
        <v>77</v>
      </c>
      <c r="B79">
        <v>19</v>
      </c>
      <c r="C79" t="s">
        <v>1265</v>
      </c>
      <c r="D79" t="s">
        <v>1206</v>
      </c>
      <c r="E79" t="s">
        <v>1215</v>
      </c>
      <c r="F79" t="s">
        <v>1216</v>
      </c>
    </row>
    <row r="80" spans="1:6" x14ac:dyDescent="0.25">
      <c r="A80">
        <v>78</v>
      </c>
      <c r="B80">
        <v>19</v>
      </c>
      <c r="C80" t="s">
        <v>1209</v>
      </c>
      <c r="D80" t="s">
        <v>1219</v>
      </c>
      <c r="E80" t="s">
        <v>1210</v>
      </c>
      <c r="F80" t="s">
        <v>1221</v>
      </c>
    </row>
    <row r="81" spans="1:6" x14ac:dyDescent="0.25">
      <c r="A81">
        <v>80</v>
      </c>
      <c r="B81">
        <v>25</v>
      </c>
      <c r="C81" t="s">
        <v>1265</v>
      </c>
      <c r="D81" t="s">
        <v>1218</v>
      </c>
      <c r="E81" t="s">
        <v>1212</v>
      </c>
      <c r="F81" t="s">
        <v>1211</v>
      </c>
    </row>
    <row r="82" spans="1:6" x14ac:dyDescent="0.25">
      <c r="A82">
        <v>81</v>
      </c>
      <c r="B82">
        <v>21</v>
      </c>
      <c r="C82" t="s">
        <v>1209</v>
      </c>
      <c r="D82" t="s">
        <v>1222</v>
      </c>
      <c r="E82" t="s">
        <v>1210</v>
      </c>
      <c r="F82" t="s">
        <v>1216</v>
      </c>
    </row>
    <row r="83" spans="1:6" x14ac:dyDescent="0.25">
      <c r="A83">
        <v>82</v>
      </c>
      <c r="B83">
        <v>21</v>
      </c>
      <c r="C83" t="s">
        <v>1209</v>
      </c>
      <c r="D83" t="s">
        <v>1220</v>
      </c>
      <c r="E83" t="s">
        <v>1210</v>
      </c>
      <c r="F83" t="s">
        <v>1213</v>
      </c>
    </row>
    <row r="84" spans="1:6" x14ac:dyDescent="0.25">
      <c r="A84">
        <v>83</v>
      </c>
      <c r="B84">
        <v>21</v>
      </c>
      <c r="C84" t="s">
        <v>1265</v>
      </c>
      <c r="D84" t="s">
        <v>1206</v>
      </c>
      <c r="E84" t="s">
        <v>1212</v>
      </c>
      <c r="F84" t="s">
        <v>1211</v>
      </c>
    </row>
    <row r="85" spans="1:6" x14ac:dyDescent="0.25">
      <c r="A85">
        <v>84</v>
      </c>
      <c r="B85">
        <v>24</v>
      </c>
      <c r="C85" t="s">
        <v>1205</v>
      </c>
      <c r="D85" t="s">
        <v>1206</v>
      </c>
      <c r="E85" t="s">
        <v>1210</v>
      </c>
      <c r="F85" t="s">
        <v>1211</v>
      </c>
    </row>
    <row r="86" spans="1:6" x14ac:dyDescent="0.25">
      <c r="A86">
        <v>86</v>
      </c>
      <c r="B86">
        <v>22</v>
      </c>
      <c r="C86" t="s">
        <v>1214</v>
      </c>
      <c r="D86" t="s">
        <v>1206</v>
      </c>
      <c r="E86" t="s">
        <v>1210</v>
      </c>
      <c r="F86" t="s">
        <v>1221</v>
      </c>
    </row>
    <row r="87" spans="1:6" x14ac:dyDescent="0.25">
      <c r="A87">
        <v>87</v>
      </c>
      <c r="B87">
        <v>19</v>
      </c>
      <c r="C87" t="s">
        <v>1209</v>
      </c>
      <c r="D87" t="s">
        <v>1206</v>
      </c>
      <c r="E87" t="s">
        <v>1212</v>
      </c>
      <c r="F87" t="s">
        <v>1211</v>
      </c>
    </row>
    <row r="88" spans="1:6" x14ac:dyDescent="0.25">
      <c r="A88">
        <v>88</v>
      </c>
      <c r="B88">
        <v>21</v>
      </c>
      <c r="C88" t="s">
        <v>1265</v>
      </c>
      <c r="D88" t="s">
        <v>1222</v>
      </c>
      <c r="E88" t="s">
        <v>1210</v>
      </c>
      <c r="F88" t="s">
        <v>1216</v>
      </c>
    </row>
    <row r="89" spans="1:6" x14ac:dyDescent="0.25">
      <c r="A89">
        <v>89</v>
      </c>
      <c r="B89">
        <v>24</v>
      </c>
      <c r="C89" t="s">
        <v>1265</v>
      </c>
      <c r="D89" t="s">
        <v>1219</v>
      </c>
      <c r="E89" t="s">
        <v>1215</v>
      </c>
      <c r="F89" t="s">
        <v>1211</v>
      </c>
    </row>
    <row r="90" spans="1:6" x14ac:dyDescent="0.25">
      <c r="A90">
        <v>90</v>
      </c>
      <c r="B90">
        <v>21</v>
      </c>
      <c r="C90" t="s">
        <v>1214</v>
      </c>
      <c r="D90" t="s">
        <v>1206</v>
      </c>
      <c r="E90" t="s">
        <v>1212</v>
      </c>
      <c r="F90" t="s">
        <v>1211</v>
      </c>
    </row>
    <row r="91" spans="1:6" x14ac:dyDescent="0.25">
      <c r="A91">
        <v>91</v>
      </c>
      <c r="B91">
        <v>18</v>
      </c>
      <c r="C91" t="s">
        <v>1265</v>
      </c>
      <c r="D91" t="s">
        <v>1206</v>
      </c>
      <c r="E91" t="s">
        <v>1210</v>
      </c>
      <c r="F91" t="s">
        <v>1216</v>
      </c>
    </row>
    <row r="92" spans="1:6" x14ac:dyDescent="0.25">
      <c r="A92">
        <v>92</v>
      </c>
      <c r="B92">
        <v>23</v>
      </c>
      <c r="C92" t="s">
        <v>1223</v>
      </c>
      <c r="D92" t="s">
        <v>1220</v>
      </c>
      <c r="E92" t="s">
        <v>1217</v>
      </c>
      <c r="F92" t="s">
        <v>1216</v>
      </c>
    </row>
    <row r="93" spans="1:6" x14ac:dyDescent="0.25">
      <c r="A93">
        <v>93</v>
      </c>
      <c r="B93">
        <v>22</v>
      </c>
      <c r="C93" t="s">
        <v>1265</v>
      </c>
      <c r="D93" t="s">
        <v>1206</v>
      </c>
      <c r="E93" t="s">
        <v>1217</v>
      </c>
      <c r="F93" t="s">
        <v>1216</v>
      </c>
    </row>
    <row r="94" spans="1:6" x14ac:dyDescent="0.25">
      <c r="A94">
        <v>94</v>
      </c>
      <c r="B94">
        <v>21</v>
      </c>
      <c r="C94" t="s">
        <v>1265</v>
      </c>
      <c r="D94" t="s">
        <v>1206</v>
      </c>
      <c r="E94" t="s">
        <v>1217</v>
      </c>
      <c r="F94" t="s">
        <v>1208</v>
      </c>
    </row>
    <row r="95" spans="1:6" x14ac:dyDescent="0.25">
      <c r="A95">
        <v>95</v>
      </c>
      <c r="B95">
        <v>19</v>
      </c>
      <c r="C95" t="s">
        <v>1265</v>
      </c>
      <c r="D95" t="s">
        <v>1206</v>
      </c>
      <c r="E95" t="s">
        <v>1207</v>
      </c>
      <c r="F95" t="s">
        <v>1216</v>
      </c>
    </row>
    <row r="96" spans="1:6" x14ac:dyDescent="0.25">
      <c r="A96">
        <v>96</v>
      </c>
      <c r="B96">
        <v>19</v>
      </c>
      <c r="C96" t="s">
        <v>1209</v>
      </c>
      <c r="D96" t="s">
        <v>1206</v>
      </c>
      <c r="E96" t="s">
        <v>1210</v>
      </c>
      <c r="F96" t="s">
        <v>1221</v>
      </c>
    </row>
    <row r="97" spans="1:6" x14ac:dyDescent="0.25">
      <c r="A97">
        <v>97</v>
      </c>
      <c r="B97">
        <v>19</v>
      </c>
      <c r="C97" t="s">
        <v>1265</v>
      </c>
      <c r="D97" t="s">
        <v>1206</v>
      </c>
      <c r="E97" t="s">
        <v>1215</v>
      </c>
      <c r="F97" t="s">
        <v>1208</v>
      </c>
    </row>
    <row r="98" spans="1:6" x14ac:dyDescent="0.25">
      <c r="A98">
        <v>98</v>
      </c>
      <c r="B98">
        <v>25</v>
      </c>
      <c r="C98" t="s">
        <v>1209</v>
      </c>
      <c r="D98" t="s">
        <v>1206</v>
      </c>
      <c r="E98" t="s">
        <v>1210</v>
      </c>
      <c r="F98" t="s">
        <v>1221</v>
      </c>
    </row>
    <row r="99" spans="1:6" x14ac:dyDescent="0.25">
      <c r="A99">
        <v>99</v>
      </c>
      <c r="B99">
        <v>23</v>
      </c>
      <c r="C99" t="s">
        <v>1205</v>
      </c>
      <c r="D99" t="s">
        <v>1206</v>
      </c>
      <c r="E99" t="s">
        <v>1215</v>
      </c>
      <c r="F99" t="s">
        <v>1211</v>
      </c>
    </row>
    <row r="100" spans="1:6" x14ac:dyDescent="0.25">
      <c r="A100">
        <v>100</v>
      </c>
      <c r="B100">
        <v>22</v>
      </c>
      <c r="C100" t="s">
        <v>1265</v>
      </c>
      <c r="D100" t="s">
        <v>1222</v>
      </c>
      <c r="E100" t="s">
        <v>1210</v>
      </c>
      <c r="F100" t="s">
        <v>1216</v>
      </c>
    </row>
    <row r="101" spans="1:6" x14ac:dyDescent="0.25">
      <c r="A101">
        <v>101</v>
      </c>
      <c r="B101">
        <v>18</v>
      </c>
      <c r="C101" t="s">
        <v>1214</v>
      </c>
      <c r="D101" t="s">
        <v>1218</v>
      </c>
      <c r="E101" t="s">
        <v>1217</v>
      </c>
      <c r="F101" t="s">
        <v>1216</v>
      </c>
    </row>
    <row r="102" spans="1:6" x14ac:dyDescent="0.25">
      <c r="A102">
        <v>102</v>
      </c>
      <c r="B102">
        <v>23</v>
      </c>
      <c r="C102" t="s">
        <v>1265</v>
      </c>
      <c r="D102" t="s">
        <v>1206</v>
      </c>
      <c r="E102" t="s">
        <v>1212</v>
      </c>
      <c r="F102" t="s">
        <v>1213</v>
      </c>
    </row>
    <row r="103" spans="1:6" x14ac:dyDescent="0.25">
      <c r="A103">
        <v>104</v>
      </c>
      <c r="B103">
        <v>21</v>
      </c>
      <c r="C103" t="s">
        <v>1223</v>
      </c>
      <c r="D103" t="s">
        <v>1206</v>
      </c>
      <c r="E103" t="s">
        <v>1210</v>
      </c>
      <c r="F103" t="s">
        <v>1216</v>
      </c>
    </row>
    <row r="104" spans="1:6" x14ac:dyDescent="0.25">
      <c r="A104">
        <v>105</v>
      </c>
      <c r="B104">
        <v>22</v>
      </c>
      <c r="C104" t="s">
        <v>1214</v>
      </c>
      <c r="D104" t="s">
        <v>1206</v>
      </c>
      <c r="E104" t="s">
        <v>1210</v>
      </c>
      <c r="F104" t="s">
        <v>1216</v>
      </c>
    </row>
    <row r="105" spans="1:6" x14ac:dyDescent="0.25">
      <c r="A105">
        <v>106</v>
      </c>
      <c r="B105">
        <v>19</v>
      </c>
      <c r="C105" t="s">
        <v>1265</v>
      </c>
      <c r="D105" t="s">
        <v>1206</v>
      </c>
      <c r="E105" t="s">
        <v>1215</v>
      </c>
      <c r="F105" t="s">
        <v>1221</v>
      </c>
    </row>
    <row r="106" spans="1:6" x14ac:dyDescent="0.25">
      <c r="A106">
        <v>107</v>
      </c>
      <c r="B106">
        <v>19</v>
      </c>
      <c r="C106" t="s">
        <v>1265</v>
      </c>
      <c r="D106" t="s">
        <v>1222</v>
      </c>
      <c r="E106" t="s">
        <v>1215</v>
      </c>
      <c r="F106" t="s">
        <v>1213</v>
      </c>
    </row>
    <row r="107" spans="1:6" x14ac:dyDescent="0.25">
      <c r="A107">
        <v>108</v>
      </c>
      <c r="B107">
        <v>24</v>
      </c>
      <c r="C107" t="s">
        <v>1209</v>
      </c>
      <c r="D107" t="s">
        <v>1219</v>
      </c>
      <c r="E107" t="s">
        <v>1212</v>
      </c>
      <c r="F107" t="s">
        <v>1216</v>
      </c>
    </row>
    <row r="108" spans="1:6" x14ac:dyDescent="0.25">
      <c r="A108">
        <v>110</v>
      </c>
      <c r="B108">
        <v>23</v>
      </c>
      <c r="C108" t="s">
        <v>1265</v>
      </c>
      <c r="D108" t="s">
        <v>1220</v>
      </c>
      <c r="E108" t="s">
        <v>1210</v>
      </c>
      <c r="F108" t="s">
        <v>1213</v>
      </c>
    </row>
    <row r="109" spans="1:6" x14ac:dyDescent="0.25">
      <c r="A109">
        <v>111</v>
      </c>
      <c r="B109">
        <v>24</v>
      </c>
      <c r="C109" t="s">
        <v>1209</v>
      </c>
      <c r="D109" t="s">
        <v>1206</v>
      </c>
      <c r="E109" t="s">
        <v>1210</v>
      </c>
      <c r="F109" t="s">
        <v>1213</v>
      </c>
    </row>
    <row r="110" spans="1:6" x14ac:dyDescent="0.25">
      <c r="A110">
        <v>112</v>
      </c>
      <c r="B110">
        <v>22</v>
      </c>
      <c r="C110" t="s">
        <v>1205</v>
      </c>
      <c r="D110" t="s">
        <v>1206</v>
      </c>
      <c r="E110" t="s">
        <v>1210</v>
      </c>
      <c r="F110" t="s">
        <v>1213</v>
      </c>
    </row>
    <row r="111" spans="1:6" x14ac:dyDescent="0.25">
      <c r="A111">
        <v>113</v>
      </c>
      <c r="B111">
        <v>25</v>
      </c>
      <c r="C111" t="s">
        <v>1265</v>
      </c>
      <c r="D111" t="s">
        <v>1218</v>
      </c>
      <c r="E111" t="s">
        <v>1217</v>
      </c>
      <c r="F111" t="s">
        <v>1213</v>
      </c>
    </row>
    <row r="112" spans="1:6" x14ac:dyDescent="0.25">
      <c r="A112">
        <v>114</v>
      </c>
      <c r="B112">
        <v>25</v>
      </c>
      <c r="C112" t="s">
        <v>1265</v>
      </c>
      <c r="D112" t="s">
        <v>1220</v>
      </c>
      <c r="E112" t="s">
        <v>1212</v>
      </c>
      <c r="F112" t="s">
        <v>1216</v>
      </c>
    </row>
    <row r="113" spans="1:6" x14ac:dyDescent="0.25">
      <c r="A113">
        <v>115</v>
      </c>
      <c r="B113">
        <v>21</v>
      </c>
      <c r="C113" t="s">
        <v>1265</v>
      </c>
      <c r="D113" t="s">
        <v>1206</v>
      </c>
      <c r="E113" t="s">
        <v>1210</v>
      </c>
      <c r="F113" t="s">
        <v>1211</v>
      </c>
    </row>
    <row r="114" spans="1:6" x14ac:dyDescent="0.25">
      <c r="A114">
        <v>116</v>
      </c>
      <c r="B114">
        <v>21</v>
      </c>
      <c r="C114" t="s">
        <v>1209</v>
      </c>
      <c r="D114" t="s">
        <v>1206</v>
      </c>
      <c r="E114" t="s">
        <v>1210</v>
      </c>
      <c r="F114" t="s">
        <v>1211</v>
      </c>
    </row>
    <row r="115" spans="1:6" x14ac:dyDescent="0.25">
      <c r="A115">
        <v>117</v>
      </c>
      <c r="B115">
        <v>20</v>
      </c>
      <c r="C115" t="s">
        <v>1265</v>
      </c>
      <c r="D115" t="s">
        <v>1220</v>
      </c>
      <c r="E115" t="s">
        <v>1210</v>
      </c>
      <c r="F115" t="s">
        <v>1216</v>
      </c>
    </row>
    <row r="116" spans="1:6" x14ac:dyDescent="0.25">
      <c r="A116">
        <v>118</v>
      </c>
      <c r="B116">
        <v>24</v>
      </c>
      <c r="C116" t="s">
        <v>1214</v>
      </c>
      <c r="D116" t="s">
        <v>1219</v>
      </c>
      <c r="E116" t="s">
        <v>1215</v>
      </c>
      <c r="F116" t="s">
        <v>1221</v>
      </c>
    </row>
    <row r="117" spans="1:6" x14ac:dyDescent="0.25">
      <c r="A117">
        <v>119</v>
      </c>
      <c r="B117">
        <v>22</v>
      </c>
      <c r="C117" t="s">
        <v>1265</v>
      </c>
      <c r="D117" t="s">
        <v>1206</v>
      </c>
      <c r="E117" t="s">
        <v>1217</v>
      </c>
      <c r="F117" t="s">
        <v>1213</v>
      </c>
    </row>
    <row r="118" spans="1:6" x14ac:dyDescent="0.25">
      <c r="A118">
        <v>120</v>
      </c>
      <c r="B118">
        <v>18</v>
      </c>
      <c r="C118" t="s">
        <v>1223</v>
      </c>
      <c r="D118" t="s">
        <v>1206</v>
      </c>
      <c r="E118" t="s">
        <v>1210</v>
      </c>
      <c r="F118" t="s">
        <v>1213</v>
      </c>
    </row>
    <row r="119" spans="1:6" x14ac:dyDescent="0.25">
      <c r="A119">
        <v>121</v>
      </c>
      <c r="B119">
        <v>21</v>
      </c>
      <c r="C119" t="s">
        <v>1214</v>
      </c>
      <c r="D119" t="s">
        <v>1219</v>
      </c>
      <c r="E119" t="s">
        <v>1215</v>
      </c>
      <c r="F119" t="s">
        <v>1208</v>
      </c>
    </row>
    <row r="120" spans="1:6" x14ac:dyDescent="0.25">
      <c r="A120">
        <v>122</v>
      </c>
      <c r="B120">
        <v>20</v>
      </c>
      <c r="C120" t="s">
        <v>1209</v>
      </c>
      <c r="D120" t="s">
        <v>1219</v>
      </c>
      <c r="E120" t="s">
        <v>1212</v>
      </c>
      <c r="F120" t="s">
        <v>1208</v>
      </c>
    </row>
    <row r="121" spans="1:6" x14ac:dyDescent="0.25">
      <c r="A121">
        <v>123</v>
      </c>
      <c r="B121">
        <v>19</v>
      </c>
      <c r="C121" t="s">
        <v>1265</v>
      </c>
      <c r="D121" t="s">
        <v>1222</v>
      </c>
      <c r="E121" t="s">
        <v>1210</v>
      </c>
      <c r="F121" t="s">
        <v>1208</v>
      </c>
    </row>
    <row r="122" spans="1:6" x14ac:dyDescent="0.25">
      <c r="A122">
        <v>124</v>
      </c>
      <c r="B122">
        <v>19</v>
      </c>
      <c r="C122" t="s">
        <v>1205</v>
      </c>
      <c r="D122" t="s">
        <v>1220</v>
      </c>
      <c r="E122" t="s">
        <v>1212</v>
      </c>
      <c r="F122" t="s">
        <v>1216</v>
      </c>
    </row>
    <row r="123" spans="1:6" x14ac:dyDescent="0.25">
      <c r="A123">
        <v>125</v>
      </c>
      <c r="B123">
        <v>18</v>
      </c>
      <c r="C123" t="s">
        <v>1214</v>
      </c>
      <c r="D123" t="s">
        <v>1222</v>
      </c>
      <c r="E123" t="s">
        <v>1210</v>
      </c>
      <c r="F123" t="s">
        <v>1221</v>
      </c>
    </row>
    <row r="124" spans="1:6" x14ac:dyDescent="0.25">
      <c r="A124">
        <v>126</v>
      </c>
      <c r="B124">
        <v>18</v>
      </c>
      <c r="C124" t="s">
        <v>1265</v>
      </c>
      <c r="D124" t="s">
        <v>1222</v>
      </c>
      <c r="E124" t="s">
        <v>1215</v>
      </c>
      <c r="F124" t="s">
        <v>1221</v>
      </c>
    </row>
    <row r="125" spans="1:6" x14ac:dyDescent="0.25">
      <c r="A125">
        <v>127</v>
      </c>
      <c r="B125">
        <v>20</v>
      </c>
      <c r="C125" t="s">
        <v>1209</v>
      </c>
      <c r="D125" t="s">
        <v>1206</v>
      </c>
      <c r="E125" t="s">
        <v>1210</v>
      </c>
      <c r="F125" t="s">
        <v>1216</v>
      </c>
    </row>
    <row r="126" spans="1:6" x14ac:dyDescent="0.25">
      <c r="A126">
        <v>128</v>
      </c>
      <c r="B126">
        <v>22</v>
      </c>
      <c r="C126" t="s">
        <v>1209</v>
      </c>
      <c r="D126" t="s">
        <v>1206</v>
      </c>
      <c r="E126" t="s">
        <v>1215</v>
      </c>
      <c r="F126" t="s">
        <v>1213</v>
      </c>
    </row>
    <row r="127" spans="1:6" x14ac:dyDescent="0.25">
      <c r="A127">
        <v>129</v>
      </c>
      <c r="B127">
        <v>21</v>
      </c>
      <c r="C127" t="s">
        <v>1265</v>
      </c>
      <c r="D127" t="s">
        <v>1206</v>
      </c>
      <c r="E127" t="s">
        <v>1212</v>
      </c>
      <c r="F127" t="s">
        <v>1221</v>
      </c>
    </row>
    <row r="128" spans="1:6" x14ac:dyDescent="0.25">
      <c r="A128">
        <v>130</v>
      </c>
      <c r="B128">
        <v>21</v>
      </c>
      <c r="C128" t="s">
        <v>1265</v>
      </c>
      <c r="D128" t="s">
        <v>1219</v>
      </c>
      <c r="E128" t="s">
        <v>1215</v>
      </c>
      <c r="F128" t="s">
        <v>1213</v>
      </c>
    </row>
    <row r="129" spans="1:6" x14ac:dyDescent="0.25">
      <c r="A129">
        <v>131</v>
      </c>
      <c r="B129">
        <v>24</v>
      </c>
      <c r="C129" t="s">
        <v>1214</v>
      </c>
      <c r="D129" t="s">
        <v>1220</v>
      </c>
      <c r="E129" t="s">
        <v>1210</v>
      </c>
      <c r="F129" t="s">
        <v>1213</v>
      </c>
    </row>
    <row r="130" spans="1:6" x14ac:dyDescent="0.25">
      <c r="A130">
        <v>132</v>
      </c>
      <c r="B130">
        <v>21</v>
      </c>
      <c r="C130" t="s">
        <v>1209</v>
      </c>
      <c r="D130" t="s">
        <v>1219</v>
      </c>
      <c r="E130" t="s">
        <v>1207</v>
      </c>
      <c r="F130" t="s">
        <v>1213</v>
      </c>
    </row>
    <row r="131" spans="1:6" x14ac:dyDescent="0.25">
      <c r="A131">
        <v>133</v>
      </c>
      <c r="B131">
        <v>23</v>
      </c>
      <c r="C131" t="s">
        <v>1209</v>
      </c>
      <c r="D131" t="s">
        <v>1222</v>
      </c>
      <c r="E131" t="s">
        <v>1207</v>
      </c>
      <c r="F131" t="s">
        <v>1221</v>
      </c>
    </row>
    <row r="132" spans="1:6" x14ac:dyDescent="0.25">
      <c r="A132">
        <v>134</v>
      </c>
      <c r="B132">
        <v>19</v>
      </c>
      <c r="C132" t="s">
        <v>1214</v>
      </c>
      <c r="D132" t="s">
        <v>1219</v>
      </c>
      <c r="E132" t="s">
        <v>1215</v>
      </c>
      <c r="F132" t="s">
        <v>1216</v>
      </c>
    </row>
    <row r="133" spans="1:6" x14ac:dyDescent="0.25">
      <c r="A133">
        <v>135</v>
      </c>
      <c r="B133">
        <v>25</v>
      </c>
      <c r="C133" t="s">
        <v>1209</v>
      </c>
      <c r="D133" t="s">
        <v>1220</v>
      </c>
      <c r="E133" t="s">
        <v>1215</v>
      </c>
      <c r="F133" t="s">
        <v>1213</v>
      </c>
    </row>
    <row r="134" spans="1:6" x14ac:dyDescent="0.25">
      <c r="A134">
        <v>136</v>
      </c>
      <c r="B134">
        <v>19</v>
      </c>
      <c r="C134" t="s">
        <v>1265</v>
      </c>
      <c r="D134" t="s">
        <v>1206</v>
      </c>
      <c r="E134" t="s">
        <v>1212</v>
      </c>
      <c r="F134" t="s">
        <v>1213</v>
      </c>
    </row>
    <row r="135" spans="1:6" x14ac:dyDescent="0.25">
      <c r="A135">
        <v>137</v>
      </c>
      <c r="B135">
        <v>22</v>
      </c>
      <c r="C135" t="s">
        <v>1265</v>
      </c>
      <c r="D135" t="s">
        <v>1222</v>
      </c>
      <c r="E135" t="s">
        <v>1217</v>
      </c>
      <c r="F135" t="s">
        <v>1213</v>
      </c>
    </row>
    <row r="136" spans="1:6" x14ac:dyDescent="0.25">
      <c r="A136">
        <v>138</v>
      </c>
      <c r="B136">
        <v>25</v>
      </c>
      <c r="C136" t="s">
        <v>1214</v>
      </c>
      <c r="D136" t="s">
        <v>1222</v>
      </c>
      <c r="E136" t="s">
        <v>1210</v>
      </c>
      <c r="F136" t="s">
        <v>1211</v>
      </c>
    </row>
    <row r="137" spans="1:6" x14ac:dyDescent="0.25">
      <c r="A137">
        <v>139</v>
      </c>
      <c r="B137">
        <v>22</v>
      </c>
      <c r="C137" t="s">
        <v>1205</v>
      </c>
      <c r="D137" t="s">
        <v>1206</v>
      </c>
      <c r="E137" t="s">
        <v>1215</v>
      </c>
      <c r="F137" t="s">
        <v>1213</v>
      </c>
    </row>
    <row r="138" spans="1:6" x14ac:dyDescent="0.25">
      <c r="A138">
        <v>140</v>
      </c>
      <c r="B138">
        <v>25</v>
      </c>
      <c r="C138" t="s">
        <v>1265</v>
      </c>
      <c r="D138" t="s">
        <v>1206</v>
      </c>
      <c r="E138" t="s">
        <v>1217</v>
      </c>
      <c r="F138" t="s">
        <v>1216</v>
      </c>
    </row>
    <row r="139" spans="1:6" x14ac:dyDescent="0.25">
      <c r="A139">
        <v>141</v>
      </c>
      <c r="B139">
        <v>19</v>
      </c>
      <c r="C139" t="s">
        <v>1214</v>
      </c>
      <c r="D139" t="s">
        <v>1218</v>
      </c>
      <c r="E139" t="s">
        <v>1207</v>
      </c>
      <c r="F139" t="s">
        <v>1216</v>
      </c>
    </row>
    <row r="140" spans="1:6" x14ac:dyDescent="0.25">
      <c r="A140">
        <v>142</v>
      </c>
      <c r="B140">
        <v>21</v>
      </c>
      <c r="C140" t="s">
        <v>1205</v>
      </c>
      <c r="D140" t="s">
        <v>1219</v>
      </c>
      <c r="E140" t="s">
        <v>1215</v>
      </c>
      <c r="F140" t="s">
        <v>1216</v>
      </c>
    </row>
    <row r="141" spans="1:6" x14ac:dyDescent="0.25">
      <c r="A141">
        <v>143</v>
      </c>
      <c r="B141">
        <v>19</v>
      </c>
      <c r="C141" t="s">
        <v>1265</v>
      </c>
      <c r="D141" t="s">
        <v>1206</v>
      </c>
      <c r="E141" t="s">
        <v>1210</v>
      </c>
      <c r="F141" t="s">
        <v>1213</v>
      </c>
    </row>
    <row r="142" spans="1:6" x14ac:dyDescent="0.25">
      <c r="A142">
        <v>144</v>
      </c>
      <c r="B142">
        <v>23</v>
      </c>
      <c r="C142" t="s">
        <v>1209</v>
      </c>
      <c r="D142" t="s">
        <v>1206</v>
      </c>
      <c r="E142" t="s">
        <v>1215</v>
      </c>
      <c r="F142" t="s">
        <v>1221</v>
      </c>
    </row>
    <row r="143" spans="1:6" x14ac:dyDescent="0.25">
      <c r="A143">
        <v>145</v>
      </c>
      <c r="B143">
        <v>22</v>
      </c>
      <c r="C143" t="s">
        <v>1265</v>
      </c>
      <c r="D143" t="s">
        <v>1206</v>
      </c>
      <c r="E143" t="s">
        <v>1215</v>
      </c>
      <c r="F143" t="s">
        <v>1216</v>
      </c>
    </row>
    <row r="144" spans="1:6" x14ac:dyDescent="0.25">
      <c r="A144">
        <v>146</v>
      </c>
      <c r="B144">
        <v>22</v>
      </c>
      <c r="C144" t="s">
        <v>1265</v>
      </c>
      <c r="D144" t="s">
        <v>1206</v>
      </c>
      <c r="E144" t="s">
        <v>1212</v>
      </c>
      <c r="F144" t="s">
        <v>1221</v>
      </c>
    </row>
    <row r="145" spans="1:6" x14ac:dyDescent="0.25">
      <c r="A145">
        <v>147</v>
      </c>
      <c r="B145">
        <v>21</v>
      </c>
      <c r="C145" t="s">
        <v>1265</v>
      </c>
      <c r="D145" t="s">
        <v>1206</v>
      </c>
      <c r="E145" t="s">
        <v>1215</v>
      </c>
      <c r="F145" t="s">
        <v>1213</v>
      </c>
    </row>
    <row r="146" spans="1:6" x14ac:dyDescent="0.25">
      <c r="A146">
        <v>148</v>
      </c>
      <c r="B146">
        <v>24</v>
      </c>
      <c r="C146" t="s">
        <v>1209</v>
      </c>
      <c r="D146" t="s">
        <v>1206</v>
      </c>
      <c r="E146" t="s">
        <v>1217</v>
      </c>
      <c r="F146" t="s">
        <v>1213</v>
      </c>
    </row>
    <row r="147" spans="1:6" x14ac:dyDescent="0.25">
      <c r="A147">
        <v>149</v>
      </c>
      <c r="B147">
        <v>19</v>
      </c>
      <c r="C147" t="s">
        <v>1209</v>
      </c>
      <c r="D147" t="s">
        <v>1222</v>
      </c>
      <c r="E147" t="s">
        <v>1207</v>
      </c>
      <c r="F147" t="s">
        <v>1221</v>
      </c>
    </row>
    <row r="148" spans="1:6" x14ac:dyDescent="0.25">
      <c r="A148">
        <v>150</v>
      </c>
      <c r="B148">
        <v>23</v>
      </c>
      <c r="C148" t="s">
        <v>1265</v>
      </c>
      <c r="D148" t="s">
        <v>1206</v>
      </c>
      <c r="E148" t="s">
        <v>1215</v>
      </c>
      <c r="F148" t="s">
        <v>1216</v>
      </c>
    </row>
    <row r="149" spans="1:6" x14ac:dyDescent="0.25">
      <c r="A149">
        <v>151</v>
      </c>
      <c r="B149">
        <v>21</v>
      </c>
      <c r="C149" t="s">
        <v>1265</v>
      </c>
      <c r="D149" t="s">
        <v>1206</v>
      </c>
      <c r="E149" t="s">
        <v>1212</v>
      </c>
      <c r="F149" t="s">
        <v>1213</v>
      </c>
    </row>
    <row r="150" spans="1:6" x14ac:dyDescent="0.25">
      <c r="A150">
        <v>152</v>
      </c>
      <c r="B150">
        <v>20</v>
      </c>
      <c r="C150" t="s">
        <v>1214</v>
      </c>
      <c r="D150" t="s">
        <v>1218</v>
      </c>
      <c r="E150" t="s">
        <v>1210</v>
      </c>
      <c r="F150" t="s">
        <v>1213</v>
      </c>
    </row>
    <row r="151" spans="1:6" x14ac:dyDescent="0.25">
      <c r="A151">
        <v>153</v>
      </c>
      <c r="B151">
        <v>18</v>
      </c>
      <c r="C151" t="s">
        <v>1265</v>
      </c>
      <c r="D151" t="s">
        <v>1219</v>
      </c>
      <c r="E151" t="s">
        <v>1210</v>
      </c>
      <c r="F151" t="s">
        <v>1213</v>
      </c>
    </row>
    <row r="152" spans="1:6" x14ac:dyDescent="0.25">
      <c r="A152">
        <v>154</v>
      </c>
      <c r="B152">
        <v>21</v>
      </c>
      <c r="C152" t="s">
        <v>1265</v>
      </c>
      <c r="D152" t="s">
        <v>1206</v>
      </c>
      <c r="E152" t="s">
        <v>1210</v>
      </c>
      <c r="F152" t="s">
        <v>1216</v>
      </c>
    </row>
    <row r="153" spans="1:6" x14ac:dyDescent="0.25">
      <c r="A153">
        <v>155</v>
      </c>
      <c r="B153">
        <v>25</v>
      </c>
      <c r="C153" t="s">
        <v>1209</v>
      </c>
      <c r="D153" t="s">
        <v>1222</v>
      </c>
      <c r="E153" t="s">
        <v>1212</v>
      </c>
      <c r="F153" t="s">
        <v>1221</v>
      </c>
    </row>
    <row r="154" spans="1:6" x14ac:dyDescent="0.25">
      <c r="A154">
        <v>156</v>
      </c>
      <c r="B154">
        <v>21</v>
      </c>
      <c r="C154" t="s">
        <v>1209</v>
      </c>
      <c r="D154" t="s">
        <v>1206</v>
      </c>
      <c r="E154" t="s">
        <v>1207</v>
      </c>
      <c r="F154" t="s">
        <v>1216</v>
      </c>
    </row>
    <row r="155" spans="1:6" x14ac:dyDescent="0.25">
      <c r="A155">
        <v>157</v>
      </c>
      <c r="B155">
        <v>19</v>
      </c>
      <c r="C155" t="s">
        <v>1214</v>
      </c>
      <c r="D155" t="s">
        <v>1219</v>
      </c>
      <c r="E155" t="s">
        <v>1215</v>
      </c>
      <c r="F155" t="s">
        <v>1221</v>
      </c>
    </row>
    <row r="156" spans="1:6" x14ac:dyDescent="0.25">
      <c r="A156">
        <v>158</v>
      </c>
      <c r="B156">
        <v>20</v>
      </c>
      <c r="C156" t="s">
        <v>1214</v>
      </c>
      <c r="D156" t="s">
        <v>1206</v>
      </c>
      <c r="E156" t="s">
        <v>1210</v>
      </c>
      <c r="F156" t="s">
        <v>1208</v>
      </c>
    </row>
    <row r="157" spans="1:6" x14ac:dyDescent="0.25">
      <c r="A157">
        <v>159</v>
      </c>
      <c r="B157">
        <v>21</v>
      </c>
      <c r="C157" t="s">
        <v>1265</v>
      </c>
      <c r="D157" t="s">
        <v>1206</v>
      </c>
      <c r="E157" t="s">
        <v>1215</v>
      </c>
      <c r="F157" t="s">
        <v>1216</v>
      </c>
    </row>
    <row r="158" spans="1:6" x14ac:dyDescent="0.25">
      <c r="A158">
        <v>160</v>
      </c>
      <c r="B158">
        <v>19</v>
      </c>
      <c r="C158" t="s">
        <v>1214</v>
      </c>
      <c r="D158" t="s">
        <v>1206</v>
      </c>
      <c r="E158" t="s">
        <v>1217</v>
      </c>
      <c r="F158" t="s">
        <v>1216</v>
      </c>
    </row>
    <row r="159" spans="1:6" x14ac:dyDescent="0.25">
      <c r="A159">
        <v>161</v>
      </c>
      <c r="B159">
        <v>25</v>
      </c>
      <c r="C159" t="s">
        <v>1214</v>
      </c>
      <c r="D159" t="s">
        <v>1206</v>
      </c>
      <c r="E159" t="s">
        <v>1215</v>
      </c>
      <c r="F159" t="s">
        <v>1213</v>
      </c>
    </row>
    <row r="160" spans="1:6" x14ac:dyDescent="0.25">
      <c r="A160">
        <v>162</v>
      </c>
      <c r="B160">
        <v>21</v>
      </c>
      <c r="C160" t="s">
        <v>1265</v>
      </c>
      <c r="D160" t="s">
        <v>1219</v>
      </c>
      <c r="E160" t="s">
        <v>1212</v>
      </c>
      <c r="F160" t="s">
        <v>1213</v>
      </c>
    </row>
    <row r="161" spans="1:6" x14ac:dyDescent="0.25">
      <c r="A161">
        <v>164</v>
      </c>
      <c r="B161">
        <v>25</v>
      </c>
      <c r="C161" t="s">
        <v>1265</v>
      </c>
      <c r="D161" t="s">
        <v>1218</v>
      </c>
      <c r="E161" t="s">
        <v>1215</v>
      </c>
      <c r="F161" t="s">
        <v>1221</v>
      </c>
    </row>
    <row r="162" spans="1:6" x14ac:dyDescent="0.25">
      <c r="A162">
        <v>165</v>
      </c>
      <c r="B162">
        <v>21</v>
      </c>
      <c r="C162" t="s">
        <v>1265</v>
      </c>
      <c r="D162" t="s">
        <v>1206</v>
      </c>
      <c r="E162" t="s">
        <v>1210</v>
      </c>
      <c r="F162" t="s">
        <v>1216</v>
      </c>
    </row>
    <row r="163" spans="1:6" x14ac:dyDescent="0.25">
      <c r="A163">
        <v>166</v>
      </c>
      <c r="B163">
        <v>25</v>
      </c>
      <c r="C163" t="s">
        <v>1205</v>
      </c>
      <c r="D163" t="s">
        <v>1206</v>
      </c>
      <c r="E163" t="s">
        <v>1215</v>
      </c>
      <c r="F163" t="s">
        <v>1221</v>
      </c>
    </row>
    <row r="164" spans="1:6" x14ac:dyDescent="0.25">
      <c r="A164">
        <v>167</v>
      </c>
      <c r="B164">
        <v>25</v>
      </c>
      <c r="C164" t="s">
        <v>1265</v>
      </c>
      <c r="D164" t="s">
        <v>1219</v>
      </c>
      <c r="E164" t="s">
        <v>1210</v>
      </c>
      <c r="F164" t="s">
        <v>1216</v>
      </c>
    </row>
    <row r="165" spans="1:6" x14ac:dyDescent="0.25">
      <c r="A165">
        <v>168</v>
      </c>
      <c r="B165">
        <v>22</v>
      </c>
      <c r="C165" t="s">
        <v>1265</v>
      </c>
      <c r="D165" t="s">
        <v>1220</v>
      </c>
      <c r="E165" t="s">
        <v>1210</v>
      </c>
      <c r="F165" t="s">
        <v>1216</v>
      </c>
    </row>
    <row r="166" spans="1:6" x14ac:dyDescent="0.25">
      <c r="A166">
        <v>169</v>
      </c>
      <c r="B166">
        <v>21</v>
      </c>
      <c r="C166" t="s">
        <v>1214</v>
      </c>
      <c r="D166" t="s">
        <v>1218</v>
      </c>
      <c r="E166" t="s">
        <v>1217</v>
      </c>
      <c r="F166" t="s">
        <v>1216</v>
      </c>
    </row>
    <row r="167" spans="1:6" x14ac:dyDescent="0.25">
      <c r="A167">
        <v>103</v>
      </c>
      <c r="B167">
        <v>19</v>
      </c>
      <c r="C167" t="s">
        <v>1209</v>
      </c>
      <c r="D167" t="s">
        <v>1206</v>
      </c>
      <c r="E167" t="s">
        <v>1210</v>
      </c>
      <c r="F167" t="s">
        <v>1221</v>
      </c>
    </row>
    <row r="168" spans="1:6" x14ac:dyDescent="0.25">
      <c r="A168">
        <v>170</v>
      </c>
      <c r="B168">
        <v>19</v>
      </c>
      <c r="C168" t="s">
        <v>1209</v>
      </c>
      <c r="D168" t="s">
        <v>1206</v>
      </c>
      <c r="E168" t="s">
        <v>1215</v>
      </c>
      <c r="F168" t="s">
        <v>1221</v>
      </c>
    </row>
    <row r="169" spans="1:6" x14ac:dyDescent="0.25">
      <c r="A169">
        <v>171</v>
      </c>
      <c r="B169">
        <v>25</v>
      </c>
      <c r="C169" t="s">
        <v>1265</v>
      </c>
      <c r="D169" t="s">
        <v>1219</v>
      </c>
      <c r="E169" t="s">
        <v>1210</v>
      </c>
      <c r="F169" t="s">
        <v>1213</v>
      </c>
    </row>
    <row r="170" spans="1:6" x14ac:dyDescent="0.25">
      <c r="A170">
        <v>172</v>
      </c>
      <c r="B170">
        <v>18</v>
      </c>
      <c r="C170" t="s">
        <v>1223</v>
      </c>
      <c r="D170" t="s">
        <v>1206</v>
      </c>
      <c r="E170" t="s">
        <v>1215</v>
      </c>
      <c r="F170" t="s">
        <v>1221</v>
      </c>
    </row>
    <row r="171" spans="1:6" x14ac:dyDescent="0.25">
      <c r="A171">
        <v>173</v>
      </c>
      <c r="B171">
        <v>25</v>
      </c>
      <c r="C171" t="s">
        <v>1265</v>
      </c>
      <c r="D171" t="s">
        <v>1206</v>
      </c>
      <c r="E171" t="s">
        <v>1210</v>
      </c>
      <c r="F171" t="s">
        <v>1211</v>
      </c>
    </row>
    <row r="172" spans="1:6" x14ac:dyDescent="0.25">
      <c r="A172">
        <v>174</v>
      </c>
      <c r="B172">
        <v>25</v>
      </c>
      <c r="C172" t="s">
        <v>1214</v>
      </c>
      <c r="D172" t="s">
        <v>1219</v>
      </c>
      <c r="E172" t="s">
        <v>1210</v>
      </c>
      <c r="F172" t="s">
        <v>1216</v>
      </c>
    </row>
    <row r="173" spans="1:6" x14ac:dyDescent="0.25">
      <c r="A173">
        <v>175</v>
      </c>
      <c r="B173">
        <v>22</v>
      </c>
      <c r="C173" t="s">
        <v>1205</v>
      </c>
      <c r="D173" t="s">
        <v>1220</v>
      </c>
      <c r="E173" t="s">
        <v>1210</v>
      </c>
      <c r="F173" t="s">
        <v>1213</v>
      </c>
    </row>
    <row r="174" spans="1:6" x14ac:dyDescent="0.25">
      <c r="A174">
        <v>176</v>
      </c>
      <c r="B174">
        <v>21</v>
      </c>
      <c r="C174" t="s">
        <v>1209</v>
      </c>
      <c r="D174" t="s">
        <v>1222</v>
      </c>
      <c r="E174" t="s">
        <v>1215</v>
      </c>
      <c r="F174" t="s">
        <v>1213</v>
      </c>
    </row>
    <row r="175" spans="1:6" x14ac:dyDescent="0.25">
      <c r="A175">
        <v>177</v>
      </c>
      <c r="B175">
        <v>21</v>
      </c>
      <c r="C175" t="s">
        <v>1209</v>
      </c>
      <c r="D175" t="s">
        <v>1206</v>
      </c>
      <c r="E175" t="s">
        <v>1215</v>
      </c>
      <c r="F175" t="s">
        <v>1216</v>
      </c>
    </row>
    <row r="176" spans="1:6" x14ac:dyDescent="0.25">
      <c r="A176">
        <v>178</v>
      </c>
      <c r="B176">
        <v>22</v>
      </c>
      <c r="C176" t="s">
        <v>1265</v>
      </c>
      <c r="D176" t="s">
        <v>1206</v>
      </c>
      <c r="E176" t="s">
        <v>1217</v>
      </c>
      <c r="F176" t="s">
        <v>1216</v>
      </c>
    </row>
    <row r="177" spans="1:6" x14ac:dyDescent="0.25">
      <c r="A177">
        <v>179</v>
      </c>
      <c r="B177">
        <v>21</v>
      </c>
      <c r="C177" t="s">
        <v>1209</v>
      </c>
      <c r="D177" t="s">
        <v>1206</v>
      </c>
      <c r="E177" t="s">
        <v>1215</v>
      </c>
      <c r="F177" t="s">
        <v>1216</v>
      </c>
    </row>
    <row r="178" spans="1:6" x14ac:dyDescent="0.25">
      <c r="A178">
        <v>180</v>
      </c>
      <c r="B178">
        <v>25</v>
      </c>
      <c r="C178" t="s">
        <v>1209</v>
      </c>
      <c r="D178" t="s">
        <v>1206</v>
      </c>
      <c r="E178" t="s">
        <v>1207</v>
      </c>
      <c r="F178" t="s">
        <v>1216</v>
      </c>
    </row>
    <row r="179" spans="1:6" x14ac:dyDescent="0.25">
      <c r="A179">
        <v>181</v>
      </c>
      <c r="B179">
        <v>21</v>
      </c>
      <c r="C179" t="s">
        <v>1214</v>
      </c>
      <c r="D179" t="s">
        <v>1220</v>
      </c>
      <c r="E179" t="s">
        <v>1207</v>
      </c>
      <c r="F179" t="s">
        <v>1211</v>
      </c>
    </row>
    <row r="180" spans="1:6" x14ac:dyDescent="0.25">
      <c r="A180">
        <v>182</v>
      </c>
      <c r="B180">
        <v>25</v>
      </c>
      <c r="C180" t="s">
        <v>1209</v>
      </c>
      <c r="D180" t="s">
        <v>1220</v>
      </c>
      <c r="E180" t="s">
        <v>1212</v>
      </c>
      <c r="F180" t="s">
        <v>1221</v>
      </c>
    </row>
    <row r="181" spans="1:6" x14ac:dyDescent="0.25">
      <c r="A181">
        <v>183</v>
      </c>
      <c r="B181">
        <v>21</v>
      </c>
      <c r="C181" t="s">
        <v>1209</v>
      </c>
      <c r="D181" t="s">
        <v>1220</v>
      </c>
      <c r="E181" t="s">
        <v>1212</v>
      </c>
      <c r="F181" t="s">
        <v>1216</v>
      </c>
    </row>
    <row r="182" spans="1:6" x14ac:dyDescent="0.25">
      <c r="A182">
        <v>184</v>
      </c>
      <c r="B182">
        <v>23</v>
      </c>
      <c r="C182" t="s">
        <v>1209</v>
      </c>
      <c r="D182" t="s">
        <v>1206</v>
      </c>
      <c r="E182" t="s">
        <v>1210</v>
      </c>
      <c r="F182" t="s">
        <v>1208</v>
      </c>
    </row>
    <row r="183" spans="1:6" x14ac:dyDescent="0.25">
      <c r="A183">
        <v>185</v>
      </c>
      <c r="B183">
        <v>24</v>
      </c>
      <c r="C183" t="s">
        <v>1265</v>
      </c>
      <c r="D183" t="s">
        <v>1206</v>
      </c>
      <c r="E183" t="s">
        <v>1215</v>
      </c>
      <c r="F183" t="s">
        <v>1221</v>
      </c>
    </row>
    <row r="184" spans="1:6" x14ac:dyDescent="0.25">
      <c r="A184">
        <v>186</v>
      </c>
      <c r="B184">
        <v>22</v>
      </c>
      <c r="C184" t="s">
        <v>1205</v>
      </c>
      <c r="D184" t="s">
        <v>1206</v>
      </c>
      <c r="E184" t="s">
        <v>1215</v>
      </c>
      <c r="F184" t="s">
        <v>1216</v>
      </c>
    </row>
    <row r="185" spans="1:6" x14ac:dyDescent="0.25">
      <c r="A185">
        <v>187</v>
      </c>
      <c r="B185">
        <v>20</v>
      </c>
      <c r="C185" t="s">
        <v>1265</v>
      </c>
      <c r="D185" t="s">
        <v>1206</v>
      </c>
      <c r="E185" t="s">
        <v>1210</v>
      </c>
      <c r="F185" t="s">
        <v>1216</v>
      </c>
    </row>
    <row r="186" spans="1:6" x14ac:dyDescent="0.25">
      <c r="A186">
        <v>188</v>
      </c>
      <c r="B186">
        <v>18</v>
      </c>
      <c r="C186" t="s">
        <v>1265</v>
      </c>
      <c r="D186" t="s">
        <v>1206</v>
      </c>
      <c r="E186" t="s">
        <v>1210</v>
      </c>
      <c r="F186" t="s">
        <v>1213</v>
      </c>
    </row>
    <row r="187" spans="1:6" x14ac:dyDescent="0.25">
      <c r="A187">
        <v>189</v>
      </c>
      <c r="B187">
        <v>20</v>
      </c>
      <c r="C187" t="s">
        <v>1265</v>
      </c>
      <c r="D187" t="s">
        <v>1206</v>
      </c>
      <c r="E187" t="s">
        <v>1210</v>
      </c>
      <c r="F187" t="s">
        <v>1213</v>
      </c>
    </row>
    <row r="188" spans="1:6" x14ac:dyDescent="0.25">
      <c r="A188">
        <v>190</v>
      </c>
      <c r="B188">
        <v>22</v>
      </c>
      <c r="C188" t="s">
        <v>1214</v>
      </c>
      <c r="D188" t="s">
        <v>1206</v>
      </c>
      <c r="E188" t="s">
        <v>1217</v>
      </c>
      <c r="F188" t="s">
        <v>1213</v>
      </c>
    </row>
    <row r="189" spans="1:6" x14ac:dyDescent="0.25">
      <c r="A189">
        <v>191</v>
      </c>
      <c r="B189">
        <v>20</v>
      </c>
      <c r="C189" t="s">
        <v>1205</v>
      </c>
      <c r="D189" t="s">
        <v>1219</v>
      </c>
      <c r="E189" t="s">
        <v>1215</v>
      </c>
      <c r="F189" t="s">
        <v>1208</v>
      </c>
    </row>
    <row r="190" spans="1:6" x14ac:dyDescent="0.25">
      <c r="A190">
        <v>192</v>
      </c>
      <c r="B190">
        <v>18</v>
      </c>
      <c r="C190" t="s">
        <v>1214</v>
      </c>
      <c r="D190" t="s">
        <v>1206</v>
      </c>
      <c r="E190" t="s">
        <v>1215</v>
      </c>
      <c r="F190" t="s">
        <v>1216</v>
      </c>
    </row>
    <row r="191" spans="1:6" x14ac:dyDescent="0.25">
      <c r="A191">
        <v>193</v>
      </c>
      <c r="B191">
        <v>18</v>
      </c>
      <c r="C191" t="s">
        <v>1209</v>
      </c>
      <c r="D191" t="s">
        <v>1218</v>
      </c>
      <c r="E191" t="s">
        <v>1215</v>
      </c>
      <c r="F191" t="s">
        <v>1213</v>
      </c>
    </row>
    <row r="192" spans="1:6" x14ac:dyDescent="0.25">
      <c r="A192">
        <v>194</v>
      </c>
      <c r="B192">
        <v>19</v>
      </c>
      <c r="C192" t="s">
        <v>1205</v>
      </c>
      <c r="D192" t="s">
        <v>1222</v>
      </c>
      <c r="E192" t="s">
        <v>1217</v>
      </c>
      <c r="F192" t="s">
        <v>1221</v>
      </c>
    </row>
    <row r="193" spans="1:6" x14ac:dyDescent="0.25">
      <c r="A193">
        <v>195</v>
      </c>
      <c r="B193">
        <v>20</v>
      </c>
      <c r="C193" t="s">
        <v>1214</v>
      </c>
      <c r="D193" t="s">
        <v>1219</v>
      </c>
      <c r="E193" t="s">
        <v>1210</v>
      </c>
      <c r="F193" t="s">
        <v>1221</v>
      </c>
    </row>
    <row r="194" spans="1:6" x14ac:dyDescent="0.25">
      <c r="A194">
        <v>196</v>
      </c>
      <c r="B194">
        <v>24</v>
      </c>
      <c r="C194" t="s">
        <v>1265</v>
      </c>
      <c r="D194" t="s">
        <v>1206</v>
      </c>
      <c r="E194" t="s">
        <v>1210</v>
      </c>
      <c r="F194" t="s">
        <v>1216</v>
      </c>
    </row>
    <row r="195" spans="1:6" x14ac:dyDescent="0.25">
      <c r="A195">
        <v>197</v>
      </c>
      <c r="B195">
        <v>21</v>
      </c>
      <c r="C195" t="s">
        <v>1205</v>
      </c>
      <c r="D195" t="s">
        <v>1219</v>
      </c>
      <c r="E195" t="s">
        <v>1215</v>
      </c>
      <c r="F195" t="s">
        <v>1221</v>
      </c>
    </row>
    <row r="196" spans="1:6" x14ac:dyDescent="0.25">
      <c r="A196">
        <v>198</v>
      </c>
      <c r="B196">
        <v>24</v>
      </c>
      <c r="C196" t="s">
        <v>1209</v>
      </c>
      <c r="D196" t="s">
        <v>1206</v>
      </c>
      <c r="E196" t="s">
        <v>1215</v>
      </c>
      <c r="F196" t="s">
        <v>1216</v>
      </c>
    </row>
    <row r="197" spans="1:6" x14ac:dyDescent="0.25">
      <c r="A197">
        <v>199</v>
      </c>
      <c r="B197">
        <v>21</v>
      </c>
      <c r="C197" t="s">
        <v>1209</v>
      </c>
      <c r="D197" t="s">
        <v>1220</v>
      </c>
      <c r="E197" t="s">
        <v>1217</v>
      </c>
      <c r="F197" t="s">
        <v>1211</v>
      </c>
    </row>
    <row r="198" spans="1:6" x14ac:dyDescent="0.25">
      <c r="A198">
        <v>200</v>
      </c>
      <c r="B198">
        <v>25</v>
      </c>
      <c r="C198" t="s">
        <v>1205</v>
      </c>
      <c r="D198" t="s">
        <v>1222</v>
      </c>
      <c r="E198" t="s">
        <v>1212</v>
      </c>
      <c r="F198" t="s">
        <v>1216</v>
      </c>
    </row>
    <row r="199" spans="1:6" x14ac:dyDescent="0.25">
      <c r="A199">
        <v>201</v>
      </c>
      <c r="B199">
        <v>25</v>
      </c>
      <c r="C199" t="s">
        <v>1205</v>
      </c>
      <c r="D199" t="s">
        <v>1219</v>
      </c>
      <c r="E199" t="s">
        <v>1210</v>
      </c>
      <c r="F199" t="s">
        <v>1221</v>
      </c>
    </row>
    <row r="200" spans="1:6" x14ac:dyDescent="0.25">
      <c r="A200">
        <v>202</v>
      </c>
      <c r="B200">
        <v>21</v>
      </c>
      <c r="C200" t="s">
        <v>1214</v>
      </c>
      <c r="D200" t="s">
        <v>1206</v>
      </c>
      <c r="E200" t="s">
        <v>1212</v>
      </c>
      <c r="F200" t="s">
        <v>1221</v>
      </c>
    </row>
    <row r="201" spans="1:6" x14ac:dyDescent="0.25">
      <c r="A201">
        <v>203</v>
      </c>
      <c r="B201">
        <v>24</v>
      </c>
      <c r="C201" t="s">
        <v>1265</v>
      </c>
      <c r="D201" t="s">
        <v>1206</v>
      </c>
      <c r="E201" t="s">
        <v>1207</v>
      </c>
      <c r="F201" t="s">
        <v>1216</v>
      </c>
    </row>
    <row r="202" spans="1:6" x14ac:dyDescent="0.25">
      <c r="A202">
        <v>204</v>
      </c>
      <c r="B202">
        <v>18</v>
      </c>
      <c r="C202" t="s">
        <v>1209</v>
      </c>
      <c r="D202" t="s">
        <v>1206</v>
      </c>
      <c r="E202" t="s">
        <v>1215</v>
      </c>
      <c r="F202" t="s">
        <v>1208</v>
      </c>
    </row>
    <row r="203" spans="1:6" x14ac:dyDescent="0.25">
      <c r="A203">
        <v>205</v>
      </c>
      <c r="B203">
        <v>20</v>
      </c>
      <c r="C203" t="s">
        <v>1265</v>
      </c>
      <c r="D203" t="s">
        <v>1206</v>
      </c>
      <c r="E203" t="s">
        <v>1215</v>
      </c>
      <c r="F203" t="s">
        <v>1216</v>
      </c>
    </row>
    <row r="204" spans="1:6" x14ac:dyDescent="0.25">
      <c r="A204">
        <v>206</v>
      </c>
      <c r="B204">
        <v>25</v>
      </c>
      <c r="C204" t="s">
        <v>1209</v>
      </c>
      <c r="D204" t="s">
        <v>1218</v>
      </c>
      <c r="E204" t="s">
        <v>1207</v>
      </c>
      <c r="F204" t="s">
        <v>1208</v>
      </c>
    </row>
    <row r="205" spans="1:6" x14ac:dyDescent="0.25">
      <c r="A205">
        <v>207</v>
      </c>
      <c r="B205">
        <v>20</v>
      </c>
      <c r="C205" t="s">
        <v>1214</v>
      </c>
      <c r="D205" t="s">
        <v>1218</v>
      </c>
      <c r="E205" t="s">
        <v>1207</v>
      </c>
      <c r="F205" t="s">
        <v>1208</v>
      </c>
    </row>
    <row r="206" spans="1:6" x14ac:dyDescent="0.25">
      <c r="A206">
        <v>208</v>
      </c>
      <c r="B206">
        <v>21</v>
      </c>
      <c r="C206" t="s">
        <v>1265</v>
      </c>
      <c r="D206" t="s">
        <v>1219</v>
      </c>
      <c r="E206" t="s">
        <v>1210</v>
      </c>
      <c r="F206" t="s">
        <v>1211</v>
      </c>
    </row>
    <row r="207" spans="1:6" x14ac:dyDescent="0.25">
      <c r="A207">
        <v>209</v>
      </c>
      <c r="B207">
        <v>23</v>
      </c>
      <c r="C207" t="s">
        <v>1265</v>
      </c>
      <c r="D207" t="s">
        <v>1222</v>
      </c>
      <c r="E207" t="s">
        <v>1210</v>
      </c>
      <c r="F207" t="s">
        <v>1213</v>
      </c>
    </row>
    <row r="208" spans="1:6" x14ac:dyDescent="0.25">
      <c r="A208">
        <v>210</v>
      </c>
      <c r="B208">
        <v>24</v>
      </c>
      <c r="C208" t="s">
        <v>1265</v>
      </c>
      <c r="D208" t="s">
        <v>1206</v>
      </c>
      <c r="E208" t="s">
        <v>1215</v>
      </c>
      <c r="F208" t="s">
        <v>1213</v>
      </c>
    </row>
    <row r="209" spans="1:6" x14ac:dyDescent="0.25">
      <c r="A209">
        <v>211</v>
      </c>
      <c r="B209">
        <v>24</v>
      </c>
      <c r="C209" t="s">
        <v>1209</v>
      </c>
      <c r="D209" t="s">
        <v>1206</v>
      </c>
      <c r="E209" t="s">
        <v>1217</v>
      </c>
      <c r="F209" t="s">
        <v>1216</v>
      </c>
    </row>
    <row r="210" spans="1:6" x14ac:dyDescent="0.25">
      <c r="A210">
        <v>212</v>
      </c>
      <c r="B210">
        <v>20</v>
      </c>
      <c r="C210" t="s">
        <v>1209</v>
      </c>
      <c r="D210" t="s">
        <v>1206</v>
      </c>
      <c r="E210" t="s">
        <v>1210</v>
      </c>
      <c r="F210" t="s">
        <v>1221</v>
      </c>
    </row>
    <row r="211" spans="1:6" x14ac:dyDescent="0.25">
      <c r="A211">
        <v>213</v>
      </c>
      <c r="B211">
        <v>21</v>
      </c>
      <c r="C211" t="s">
        <v>1265</v>
      </c>
      <c r="D211" t="s">
        <v>1206</v>
      </c>
      <c r="E211" t="s">
        <v>1215</v>
      </c>
      <c r="F211" t="s">
        <v>1213</v>
      </c>
    </row>
    <row r="212" spans="1:6" x14ac:dyDescent="0.25">
      <c r="A212">
        <v>214</v>
      </c>
      <c r="B212">
        <v>19</v>
      </c>
      <c r="C212" t="s">
        <v>1223</v>
      </c>
      <c r="D212" t="s">
        <v>1206</v>
      </c>
      <c r="E212" t="s">
        <v>1215</v>
      </c>
      <c r="F212" t="s">
        <v>1216</v>
      </c>
    </row>
    <row r="213" spans="1:6" x14ac:dyDescent="0.25">
      <c r="A213">
        <v>215</v>
      </c>
      <c r="B213">
        <v>20</v>
      </c>
      <c r="C213" t="s">
        <v>1265</v>
      </c>
      <c r="D213" t="s">
        <v>1206</v>
      </c>
      <c r="E213" t="s">
        <v>1210</v>
      </c>
      <c r="F213" t="s">
        <v>1216</v>
      </c>
    </row>
    <row r="214" spans="1:6" x14ac:dyDescent="0.25">
      <c r="A214">
        <v>216</v>
      </c>
      <c r="B214">
        <v>21</v>
      </c>
      <c r="C214" t="s">
        <v>1214</v>
      </c>
      <c r="D214" t="s">
        <v>1206</v>
      </c>
      <c r="E214" t="s">
        <v>1215</v>
      </c>
      <c r="F214" t="s">
        <v>1211</v>
      </c>
    </row>
    <row r="215" spans="1:6" x14ac:dyDescent="0.25">
      <c r="A215">
        <v>217</v>
      </c>
      <c r="B215">
        <v>19</v>
      </c>
      <c r="C215" t="s">
        <v>1265</v>
      </c>
      <c r="D215" t="s">
        <v>1219</v>
      </c>
      <c r="E215" t="s">
        <v>1217</v>
      </c>
      <c r="F215" t="s">
        <v>1213</v>
      </c>
    </row>
    <row r="216" spans="1:6" x14ac:dyDescent="0.25">
      <c r="A216">
        <v>218</v>
      </c>
      <c r="B216">
        <v>21</v>
      </c>
      <c r="C216" t="s">
        <v>1214</v>
      </c>
      <c r="D216" t="s">
        <v>1218</v>
      </c>
      <c r="E216" t="s">
        <v>1212</v>
      </c>
      <c r="F216" t="s">
        <v>1216</v>
      </c>
    </row>
    <row r="217" spans="1:6" x14ac:dyDescent="0.25">
      <c r="A217">
        <v>219</v>
      </c>
      <c r="B217">
        <v>24</v>
      </c>
      <c r="C217" t="s">
        <v>1265</v>
      </c>
      <c r="D217" t="s">
        <v>1206</v>
      </c>
      <c r="E217" t="s">
        <v>1215</v>
      </c>
      <c r="F217" t="s">
        <v>1216</v>
      </c>
    </row>
    <row r="218" spans="1:6" x14ac:dyDescent="0.25">
      <c r="A218">
        <v>221</v>
      </c>
      <c r="B218">
        <v>21</v>
      </c>
      <c r="C218" t="s">
        <v>1209</v>
      </c>
      <c r="D218" t="s">
        <v>1220</v>
      </c>
      <c r="E218" t="s">
        <v>1212</v>
      </c>
      <c r="F218" t="s">
        <v>1211</v>
      </c>
    </row>
    <row r="219" spans="1:6" x14ac:dyDescent="0.25">
      <c r="A219">
        <v>222</v>
      </c>
      <c r="B219">
        <v>21</v>
      </c>
      <c r="C219" t="s">
        <v>1214</v>
      </c>
      <c r="D219" t="s">
        <v>1222</v>
      </c>
      <c r="E219" t="s">
        <v>1212</v>
      </c>
      <c r="F219" t="s">
        <v>1213</v>
      </c>
    </row>
    <row r="220" spans="1:6" x14ac:dyDescent="0.25">
      <c r="A220">
        <v>223</v>
      </c>
      <c r="B220">
        <v>21</v>
      </c>
      <c r="C220" t="s">
        <v>1265</v>
      </c>
      <c r="D220" t="s">
        <v>1218</v>
      </c>
      <c r="E220" t="s">
        <v>1210</v>
      </c>
      <c r="F220" t="s">
        <v>1221</v>
      </c>
    </row>
    <row r="221" spans="1:6" x14ac:dyDescent="0.25">
      <c r="A221">
        <v>224</v>
      </c>
      <c r="B221">
        <v>23</v>
      </c>
      <c r="C221" t="s">
        <v>1209</v>
      </c>
      <c r="D221" t="s">
        <v>1206</v>
      </c>
      <c r="E221" t="s">
        <v>1215</v>
      </c>
      <c r="F221" t="s">
        <v>1213</v>
      </c>
    </row>
    <row r="222" spans="1:6" x14ac:dyDescent="0.25">
      <c r="A222">
        <v>225</v>
      </c>
      <c r="B222">
        <v>25</v>
      </c>
      <c r="C222" t="s">
        <v>1265</v>
      </c>
      <c r="D222" t="s">
        <v>1219</v>
      </c>
      <c r="E222" t="s">
        <v>1217</v>
      </c>
      <c r="F222" t="s">
        <v>1221</v>
      </c>
    </row>
    <row r="223" spans="1:6" x14ac:dyDescent="0.25">
      <c r="A223">
        <v>226</v>
      </c>
      <c r="B223">
        <v>21</v>
      </c>
      <c r="C223" t="s">
        <v>1265</v>
      </c>
      <c r="D223" t="s">
        <v>1206</v>
      </c>
      <c r="E223" t="s">
        <v>1207</v>
      </c>
      <c r="F223" t="s">
        <v>1221</v>
      </c>
    </row>
    <row r="224" spans="1:6" x14ac:dyDescent="0.25">
      <c r="A224">
        <v>227</v>
      </c>
      <c r="B224">
        <v>21</v>
      </c>
      <c r="C224" t="s">
        <v>1265</v>
      </c>
      <c r="D224" t="s">
        <v>1206</v>
      </c>
      <c r="E224" t="s">
        <v>1207</v>
      </c>
      <c r="F224" t="s">
        <v>1221</v>
      </c>
    </row>
    <row r="225" spans="1:6" x14ac:dyDescent="0.25">
      <c r="A225">
        <v>228</v>
      </c>
      <c r="B225">
        <v>19</v>
      </c>
      <c r="C225" t="s">
        <v>1214</v>
      </c>
      <c r="D225" t="s">
        <v>1206</v>
      </c>
      <c r="E225" t="s">
        <v>1217</v>
      </c>
      <c r="F225" t="s">
        <v>1211</v>
      </c>
    </row>
    <row r="226" spans="1:6" x14ac:dyDescent="0.25">
      <c r="A226">
        <v>229</v>
      </c>
      <c r="B226">
        <v>18</v>
      </c>
      <c r="C226" t="s">
        <v>1209</v>
      </c>
      <c r="D226" t="s">
        <v>1220</v>
      </c>
      <c r="E226" t="s">
        <v>1212</v>
      </c>
      <c r="F226" t="s">
        <v>1211</v>
      </c>
    </row>
    <row r="227" spans="1:6" x14ac:dyDescent="0.25">
      <c r="A227">
        <v>230</v>
      </c>
      <c r="B227">
        <v>19</v>
      </c>
      <c r="C227" t="s">
        <v>1265</v>
      </c>
      <c r="D227" t="s">
        <v>1218</v>
      </c>
      <c r="E227" t="s">
        <v>1210</v>
      </c>
      <c r="F227" t="s">
        <v>1216</v>
      </c>
    </row>
    <row r="228" spans="1:6" x14ac:dyDescent="0.25">
      <c r="A228">
        <v>231</v>
      </c>
      <c r="B228">
        <v>19</v>
      </c>
      <c r="C228" t="s">
        <v>1223</v>
      </c>
      <c r="D228" t="s">
        <v>1206</v>
      </c>
      <c r="E228" t="s">
        <v>1212</v>
      </c>
      <c r="F228" t="s">
        <v>1216</v>
      </c>
    </row>
    <row r="229" spans="1:6" x14ac:dyDescent="0.25">
      <c r="A229">
        <v>232</v>
      </c>
      <c r="B229">
        <v>18</v>
      </c>
      <c r="C229" t="s">
        <v>1214</v>
      </c>
      <c r="D229" t="s">
        <v>1219</v>
      </c>
      <c r="E229" t="s">
        <v>1212</v>
      </c>
      <c r="F229" t="s">
        <v>1216</v>
      </c>
    </row>
    <row r="230" spans="1:6" x14ac:dyDescent="0.25">
      <c r="A230">
        <v>233</v>
      </c>
      <c r="B230">
        <v>25</v>
      </c>
      <c r="C230" t="s">
        <v>1214</v>
      </c>
      <c r="D230" t="s">
        <v>1218</v>
      </c>
      <c r="E230" t="s">
        <v>1215</v>
      </c>
      <c r="F230" t="s">
        <v>1213</v>
      </c>
    </row>
    <row r="231" spans="1:6" x14ac:dyDescent="0.25">
      <c r="A231">
        <v>234</v>
      </c>
      <c r="B231">
        <v>18</v>
      </c>
      <c r="C231" t="s">
        <v>1209</v>
      </c>
      <c r="D231" t="s">
        <v>1220</v>
      </c>
      <c r="E231" t="s">
        <v>1212</v>
      </c>
      <c r="F231" t="s">
        <v>1211</v>
      </c>
    </row>
    <row r="232" spans="1:6" x14ac:dyDescent="0.25">
      <c r="A232">
        <v>235</v>
      </c>
      <c r="B232">
        <v>18</v>
      </c>
      <c r="C232" t="s">
        <v>1265</v>
      </c>
      <c r="D232" t="s">
        <v>1220</v>
      </c>
      <c r="E232" t="s">
        <v>1210</v>
      </c>
      <c r="F232" t="s">
        <v>1213</v>
      </c>
    </row>
    <row r="233" spans="1:6" x14ac:dyDescent="0.25">
      <c r="A233">
        <v>236</v>
      </c>
      <c r="B233">
        <v>21</v>
      </c>
      <c r="C233" t="s">
        <v>1214</v>
      </c>
      <c r="D233" t="s">
        <v>1206</v>
      </c>
      <c r="E233" t="s">
        <v>1217</v>
      </c>
      <c r="F233" t="s">
        <v>1208</v>
      </c>
    </row>
    <row r="234" spans="1:6" x14ac:dyDescent="0.25">
      <c r="A234">
        <v>237</v>
      </c>
      <c r="B234">
        <v>21</v>
      </c>
      <c r="C234" t="s">
        <v>1214</v>
      </c>
      <c r="D234" t="s">
        <v>1220</v>
      </c>
      <c r="E234" t="s">
        <v>1210</v>
      </c>
      <c r="F234" t="s">
        <v>1216</v>
      </c>
    </row>
    <row r="235" spans="1:6" x14ac:dyDescent="0.25">
      <c r="A235">
        <v>238</v>
      </c>
      <c r="B235">
        <v>20</v>
      </c>
      <c r="C235" t="s">
        <v>1209</v>
      </c>
      <c r="D235" t="s">
        <v>1206</v>
      </c>
      <c r="E235" t="s">
        <v>1215</v>
      </c>
      <c r="F235" t="s">
        <v>1211</v>
      </c>
    </row>
    <row r="236" spans="1:6" x14ac:dyDescent="0.25">
      <c r="A236">
        <v>239</v>
      </c>
      <c r="B236">
        <v>22</v>
      </c>
      <c r="C236" t="s">
        <v>1265</v>
      </c>
      <c r="D236" t="s">
        <v>1206</v>
      </c>
      <c r="E236" t="s">
        <v>1210</v>
      </c>
      <c r="F236" t="s">
        <v>1213</v>
      </c>
    </row>
    <row r="237" spans="1:6" x14ac:dyDescent="0.25">
      <c r="A237">
        <v>240</v>
      </c>
      <c r="B237">
        <v>19</v>
      </c>
      <c r="C237" t="s">
        <v>1265</v>
      </c>
      <c r="D237" t="s">
        <v>1206</v>
      </c>
      <c r="E237" t="s">
        <v>1210</v>
      </c>
      <c r="F237" t="s">
        <v>1213</v>
      </c>
    </row>
    <row r="238" spans="1:6" x14ac:dyDescent="0.25">
      <c r="A238">
        <v>241</v>
      </c>
      <c r="B238">
        <v>19</v>
      </c>
      <c r="C238" t="s">
        <v>1209</v>
      </c>
      <c r="D238" t="s">
        <v>1206</v>
      </c>
      <c r="E238" t="s">
        <v>1215</v>
      </c>
      <c r="F238" t="s">
        <v>1216</v>
      </c>
    </row>
    <row r="239" spans="1:6" x14ac:dyDescent="0.25">
      <c r="A239">
        <v>242</v>
      </c>
      <c r="B239">
        <v>19</v>
      </c>
      <c r="C239" t="s">
        <v>1209</v>
      </c>
      <c r="D239" t="s">
        <v>1220</v>
      </c>
      <c r="E239" t="s">
        <v>1217</v>
      </c>
      <c r="F239" t="s">
        <v>1216</v>
      </c>
    </row>
    <row r="240" spans="1:6" x14ac:dyDescent="0.25">
      <c r="A240">
        <v>243</v>
      </c>
      <c r="B240">
        <v>24</v>
      </c>
      <c r="C240" t="s">
        <v>1265</v>
      </c>
      <c r="D240" t="s">
        <v>1206</v>
      </c>
      <c r="E240" t="s">
        <v>1212</v>
      </c>
      <c r="F240" t="s">
        <v>1216</v>
      </c>
    </row>
    <row r="241" spans="1:6" x14ac:dyDescent="0.25">
      <c r="A241">
        <v>245</v>
      </c>
      <c r="B241">
        <v>22</v>
      </c>
      <c r="C241" t="s">
        <v>1265</v>
      </c>
      <c r="D241" t="s">
        <v>1206</v>
      </c>
      <c r="E241" t="s">
        <v>1210</v>
      </c>
      <c r="F241" t="s">
        <v>1211</v>
      </c>
    </row>
    <row r="242" spans="1:6" x14ac:dyDescent="0.25">
      <c r="A242">
        <v>246</v>
      </c>
      <c r="B242">
        <v>22</v>
      </c>
      <c r="C242" t="s">
        <v>1205</v>
      </c>
      <c r="D242" t="s">
        <v>1206</v>
      </c>
      <c r="E242" t="s">
        <v>1207</v>
      </c>
      <c r="F242" t="s">
        <v>1221</v>
      </c>
    </row>
    <row r="243" spans="1:6" x14ac:dyDescent="0.25">
      <c r="A243">
        <v>247</v>
      </c>
      <c r="B243">
        <v>20</v>
      </c>
      <c r="C243" t="s">
        <v>1214</v>
      </c>
      <c r="D243" t="s">
        <v>1218</v>
      </c>
      <c r="E243" t="s">
        <v>1207</v>
      </c>
      <c r="F243" t="s">
        <v>1213</v>
      </c>
    </row>
    <row r="244" spans="1:6" x14ac:dyDescent="0.25">
      <c r="A244">
        <v>248</v>
      </c>
      <c r="B244">
        <v>23</v>
      </c>
      <c r="C244" t="s">
        <v>1265</v>
      </c>
      <c r="D244" t="s">
        <v>1206</v>
      </c>
      <c r="E244" t="s">
        <v>1215</v>
      </c>
      <c r="F244" t="s">
        <v>1216</v>
      </c>
    </row>
    <row r="245" spans="1:6" x14ac:dyDescent="0.25">
      <c r="A245">
        <v>249</v>
      </c>
      <c r="B245">
        <v>19</v>
      </c>
      <c r="C245" t="s">
        <v>1209</v>
      </c>
      <c r="D245" t="s">
        <v>1206</v>
      </c>
      <c r="E245" t="s">
        <v>1215</v>
      </c>
      <c r="F245" t="s">
        <v>1216</v>
      </c>
    </row>
    <row r="246" spans="1:6" x14ac:dyDescent="0.25">
      <c r="A246">
        <v>250</v>
      </c>
      <c r="B246">
        <v>21</v>
      </c>
      <c r="C246" t="s">
        <v>1265</v>
      </c>
      <c r="D246" t="s">
        <v>1220</v>
      </c>
      <c r="E246" t="s">
        <v>1210</v>
      </c>
      <c r="F246" t="s">
        <v>1216</v>
      </c>
    </row>
    <row r="247" spans="1:6" x14ac:dyDescent="0.25">
      <c r="A247">
        <v>251</v>
      </c>
      <c r="B247">
        <v>21</v>
      </c>
      <c r="C247" t="s">
        <v>1265</v>
      </c>
      <c r="D247" t="s">
        <v>1219</v>
      </c>
      <c r="E247" t="s">
        <v>1217</v>
      </c>
      <c r="F247" t="s">
        <v>1213</v>
      </c>
    </row>
    <row r="248" spans="1:6" x14ac:dyDescent="0.25">
      <c r="A248">
        <v>252</v>
      </c>
      <c r="B248">
        <v>19</v>
      </c>
      <c r="C248" t="s">
        <v>1209</v>
      </c>
      <c r="D248" t="s">
        <v>1219</v>
      </c>
      <c r="E248" t="s">
        <v>1217</v>
      </c>
      <c r="F248" t="s">
        <v>1216</v>
      </c>
    </row>
    <row r="249" spans="1:6" x14ac:dyDescent="0.25">
      <c r="A249">
        <v>253</v>
      </c>
      <c r="B249">
        <v>18</v>
      </c>
      <c r="C249" t="s">
        <v>1265</v>
      </c>
      <c r="D249" t="s">
        <v>1219</v>
      </c>
      <c r="E249" t="s">
        <v>1210</v>
      </c>
      <c r="F249" t="s">
        <v>1216</v>
      </c>
    </row>
    <row r="250" spans="1:6" x14ac:dyDescent="0.25">
      <c r="A250">
        <v>254</v>
      </c>
      <c r="B250">
        <v>20</v>
      </c>
      <c r="C250" t="s">
        <v>1209</v>
      </c>
      <c r="D250" t="s">
        <v>1218</v>
      </c>
      <c r="E250" t="s">
        <v>1210</v>
      </c>
      <c r="F250" t="s">
        <v>1213</v>
      </c>
    </row>
    <row r="251" spans="1:6" x14ac:dyDescent="0.25">
      <c r="A251">
        <v>255</v>
      </c>
      <c r="B251">
        <v>24</v>
      </c>
      <c r="C251" t="s">
        <v>1214</v>
      </c>
      <c r="D251" t="s">
        <v>1206</v>
      </c>
      <c r="E251" t="s">
        <v>1215</v>
      </c>
      <c r="F251" t="s">
        <v>1221</v>
      </c>
    </row>
    <row r="252" spans="1:6" x14ac:dyDescent="0.25">
      <c r="A252">
        <v>256</v>
      </c>
      <c r="B252">
        <v>21</v>
      </c>
      <c r="C252" t="s">
        <v>1265</v>
      </c>
      <c r="D252" t="s">
        <v>1219</v>
      </c>
      <c r="E252" t="s">
        <v>1215</v>
      </c>
      <c r="F252" t="s">
        <v>1216</v>
      </c>
    </row>
    <row r="253" spans="1:6" x14ac:dyDescent="0.25">
      <c r="A253">
        <v>257</v>
      </c>
      <c r="B253">
        <v>21</v>
      </c>
      <c r="C253" t="s">
        <v>1265</v>
      </c>
      <c r="D253" t="s">
        <v>1206</v>
      </c>
      <c r="E253" t="s">
        <v>1207</v>
      </c>
      <c r="F253" t="s">
        <v>1216</v>
      </c>
    </row>
    <row r="254" spans="1:6" x14ac:dyDescent="0.25">
      <c r="A254">
        <v>258</v>
      </c>
      <c r="B254">
        <v>19</v>
      </c>
      <c r="C254" t="s">
        <v>1265</v>
      </c>
      <c r="D254" t="s">
        <v>1218</v>
      </c>
      <c r="E254" t="s">
        <v>1217</v>
      </c>
      <c r="F254" t="s">
        <v>1216</v>
      </c>
    </row>
    <row r="255" spans="1:6" x14ac:dyDescent="0.25">
      <c r="A255">
        <v>259</v>
      </c>
      <c r="B255">
        <v>21</v>
      </c>
      <c r="C255" t="s">
        <v>1209</v>
      </c>
      <c r="D255" t="s">
        <v>1206</v>
      </c>
      <c r="E255" t="s">
        <v>1210</v>
      </c>
      <c r="F255" t="s">
        <v>1213</v>
      </c>
    </row>
    <row r="256" spans="1:6" x14ac:dyDescent="0.25">
      <c r="A256">
        <v>260</v>
      </c>
      <c r="B256">
        <v>19</v>
      </c>
      <c r="C256" t="s">
        <v>1214</v>
      </c>
      <c r="D256" t="s">
        <v>1206</v>
      </c>
      <c r="E256" t="s">
        <v>1217</v>
      </c>
      <c r="F256" t="s">
        <v>1213</v>
      </c>
    </row>
    <row r="257" spans="1:6" x14ac:dyDescent="0.25">
      <c r="A257">
        <v>261</v>
      </c>
      <c r="B257">
        <v>18</v>
      </c>
      <c r="C257" t="s">
        <v>1265</v>
      </c>
      <c r="D257" t="s">
        <v>1220</v>
      </c>
      <c r="E257" t="s">
        <v>1217</v>
      </c>
      <c r="F257" t="s">
        <v>1216</v>
      </c>
    </row>
    <row r="258" spans="1:6" x14ac:dyDescent="0.25">
      <c r="A258">
        <v>262</v>
      </c>
      <c r="B258">
        <v>21</v>
      </c>
      <c r="C258" t="s">
        <v>1265</v>
      </c>
      <c r="D258" t="s">
        <v>1206</v>
      </c>
      <c r="E258" t="s">
        <v>1215</v>
      </c>
      <c r="F258" t="s">
        <v>1216</v>
      </c>
    </row>
    <row r="259" spans="1:6" x14ac:dyDescent="0.25">
      <c r="A259">
        <v>263</v>
      </c>
      <c r="B259">
        <v>22</v>
      </c>
      <c r="C259" t="s">
        <v>1209</v>
      </c>
      <c r="D259" t="s">
        <v>1219</v>
      </c>
      <c r="E259" t="s">
        <v>1207</v>
      </c>
      <c r="F259" t="s">
        <v>1216</v>
      </c>
    </row>
    <row r="260" spans="1:6" x14ac:dyDescent="0.25">
      <c r="A260">
        <v>265</v>
      </c>
      <c r="B260">
        <v>23</v>
      </c>
      <c r="C260" t="s">
        <v>1223</v>
      </c>
      <c r="D260" t="s">
        <v>1219</v>
      </c>
      <c r="E260" t="s">
        <v>1210</v>
      </c>
      <c r="F260" t="s">
        <v>1211</v>
      </c>
    </row>
    <row r="261" spans="1:6" x14ac:dyDescent="0.25">
      <c r="A261">
        <v>220</v>
      </c>
      <c r="B261">
        <v>24</v>
      </c>
      <c r="C261" t="s">
        <v>1265</v>
      </c>
      <c r="D261" t="s">
        <v>1206</v>
      </c>
      <c r="E261" t="s">
        <v>1210</v>
      </c>
      <c r="F261" t="s">
        <v>1216</v>
      </c>
    </row>
    <row r="262" spans="1:6" x14ac:dyDescent="0.25">
      <c r="A262">
        <v>266</v>
      </c>
      <c r="B262">
        <v>24</v>
      </c>
      <c r="C262" t="s">
        <v>1265</v>
      </c>
      <c r="D262" t="s">
        <v>1206</v>
      </c>
      <c r="E262" t="s">
        <v>1215</v>
      </c>
      <c r="F262" t="s">
        <v>1216</v>
      </c>
    </row>
    <row r="263" spans="1:6" x14ac:dyDescent="0.25">
      <c r="A263">
        <v>267</v>
      </c>
      <c r="B263">
        <v>22</v>
      </c>
      <c r="C263" t="s">
        <v>1209</v>
      </c>
      <c r="D263" t="s">
        <v>1206</v>
      </c>
      <c r="E263" t="s">
        <v>1215</v>
      </c>
      <c r="F263" t="s">
        <v>1208</v>
      </c>
    </row>
    <row r="264" spans="1:6" x14ac:dyDescent="0.25">
      <c r="A264">
        <v>268</v>
      </c>
      <c r="B264">
        <v>20</v>
      </c>
      <c r="C264" t="s">
        <v>1265</v>
      </c>
      <c r="D264" t="s">
        <v>1206</v>
      </c>
      <c r="E264" t="s">
        <v>1210</v>
      </c>
      <c r="F264" t="s">
        <v>1211</v>
      </c>
    </row>
    <row r="265" spans="1:6" x14ac:dyDescent="0.25">
      <c r="A265">
        <v>269</v>
      </c>
      <c r="B265">
        <v>21</v>
      </c>
      <c r="C265" t="s">
        <v>1265</v>
      </c>
      <c r="D265" t="s">
        <v>1206</v>
      </c>
      <c r="E265" t="s">
        <v>1210</v>
      </c>
      <c r="F265" t="s">
        <v>1213</v>
      </c>
    </row>
    <row r="266" spans="1:6" x14ac:dyDescent="0.25">
      <c r="A266">
        <v>270</v>
      </c>
      <c r="B266">
        <v>19</v>
      </c>
      <c r="C266" t="s">
        <v>1209</v>
      </c>
      <c r="D266" t="s">
        <v>1219</v>
      </c>
      <c r="E266" t="s">
        <v>1215</v>
      </c>
      <c r="F266" t="s">
        <v>1216</v>
      </c>
    </row>
    <row r="267" spans="1:6" x14ac:dyDescent="0.25">
      <c r="A267">
        <v>271</v>
      </c>
      <c r="B267">
        <v>21</v>
      </c>
      <c r="C267" t="s">
        <v>1214</v>
      </c>
      <c r="D267" t="s">
        <v>1218</v>
      </c>
      <c r="E267" t="s">
        <v>1210</v>
      </c>
      <c r="F267" t="s">
        <v>1208</v>
      </c>
    </row>
    <row r="268" spans="1:6" x14ac:dyDescent="0.25">
      <c r="A268">
        <v>272</v>
      </c>
      <c r="B268">
        <v>25</v>
      </c>
      <c r="C268" t="s">
        <v>1223</v>
      </c>
      <c r="D268" t="s">
        <v>1218</v>
      </c>
      <c r="E268" t="s">
        <v>1210</v>
      </c>
      <c r="F268" t="s">
        <v>1208</v>
      </c>
    </row>
    <row r="269" spans="1:6" x14ac:dyDescent="0.25">
      <c r="A269">
        <v>273</v>
      </c>
      <c r="B269">
        <v>21</v>
      </c>
      <c r="C269" t="s">
        <v>1265</v>
      </c>
      <c r="D269" t="s">
        <v>1206</v>
      </c>
      <c r="E269" t="s">
        <v>1215</v>
      </c>
      <c r="F269" t="s">
        <v>1211</v>
      </c>
    </row>
    <row r="270" spans="1:6" x14ac:dyDescent="0.25">
      <c r="A270">
        <v>274</v>
      </c>
      <c r="B270">
        <v>21</v>
      </c>
      <c r="C270" t="s">
        <v>1265</v>
      </c>
      <c r="D270" t="s">
        <v>1206</v>
      </c>
      <c r="E270" t="s">
        <v>1212</v>
      </c>
      <c r="F270" t="s">
        <v>1208</v>
      </c>
    </row>
    <row r="271" spans="1:6" x14ac:dyDescent="0.25">
      <c r="A271">
        <v>275</v>
      </c>
      <c r="B271">
        <v>21</v>
      </c>
      <c r="C271" t="s">
        <v>1214</v>
      </c>
      <c r="D271" t="s">
        <v>1206</v>
      </c>
      <c r="E271" t="s">
        <v>1215</v>
      </c>
      <c r="F271" t="s">
        <v>1216</v>
      </c>
    </row>
    <row r="272" spans="1:6" x14ac:dyDescent="0.25">
      <c r="A272">
        <v>276</v>
      </c>
      <c r="B272">
        <v>21</v>
      </c>
      <c r="C272" t="s">
        <v>1265</v>
      </c>
      <c r="D272" t="s">
        <v>1206</v>
      </c>
      <c r="E272" t="s">
        <v>1215</v>
      </c>
      <c r="F272" t="s">
        <v>1208</v>
      </c>
    </row>
    <row r="273" spans="1:6" x14ac:dyDescent="0.25">
      <c r="A273">
        <v>277</v>
      </c>
      <c r="B273">
        <v>21</v>
      </c>
      <c r="C273" t="s">
        <v>1209</v>
      </c>
      <c r="D273" t="s">
        <v>1206</v>
      </c>
      <c r="E273" t="s">
        <v>1215</v>
      </c>
      <c r="F273" t="s">
        <v>1213</v>
      </c>
    </row>
    <row r="274" spans="1:6" x14ac:dyDescent="0.25">
      <c r="A274">
        <v>278</v>
      </c>
      <c r="B274">
        <v>25</v>
      </c>
      <c r="C274" t="s">
        <v>1214</v>
      </c>
      <c r="D274" t="s">
        <v>1206</v>
      </c>
      <c r="E274" t="s">
        <v>1215</v>
      </c>
      <c r="F274" t="s">
        <v>1211</v>
      </c>
    </row>
    <row r="275" spans="1:6" x14ac:dyDescent="0.25">
      <c r="A275">
        <v>279</v>
      </c>
      <c r="B275">
        <v>18</v>
      </c>
      <c r="C275" t="s">
        <v>1209</v>
      </c>
      <c r="D275" t="s">
        <v>1206</v>
      </c>
      <c r="E275" t="s">
        <v>1217</v>
      </c>
      <c r="F275" t="s">
        <v>1213</v>
      </c>
    </row>
    <row r="276" spans="1:6" x14ac:dyDescent="0.25">
      <c r="A276">
        <v>280</v>
      </c>
      <c r="B276">
        <v>19</v>
      </c>
      <c r="C276" t="s">
        <v>1265</v>
      </c>
      <c r="D276" t="s">
        <v>1218</v>
      </c>
      <c r="E276" t="s">
        <v>1210</v>
      </c>
      <c r="F276" t="s">
        <v>1216</v>
      </c>
    </row>
    <row r="277" spans="1:6" x14ac:dyDescent="0.25">
      <c r="A277">
        <v>281</v>
      </c>
      <c r="B277">
        <v>19</v>
      </c>
      <c r="C277" t="s">
        <v>1265</v>
      </c>
      <c r="D277" t="s">
        <v>1206</v>
      </c>
      <c r="E277" t="s">
        <v>1210</v>
      </c>
      <c r="F277" t="s">
        <v>1221</v>
      </c>
    </row>
    <row r="278" spans="1:6" x14ac:dyDescent="0.25">
      <c r="A278">
        <v>282</v>
      </c>
      <c r="B278">
        <v>20</v>
      </c>
      <c r="C278" t="s">
        <v>1209</v>
      </c>
      <c r="D278" t="s">
        <v>1206</v>
      </c>
      <c r="E278" t="s">
        <v>1215</v>
      </c>
      <c r="F278" t="s">
        <v>1213</v>
      </c>
    </row>
    <row r="279" spans="1:6" x14ac:dyDescent="0.25">
      <c r="A279">
        <v>283</v>
      </c>
      <c r="B279">
        <v>23</v>
      </c>
      <c r="C279" t="s">
        <v>1209</v>
      </c>
      <c r="D279" t="s">
        <v>1206</v>
      </c>
      <c r="E279" t="s">
        <v>1212</v>
      </c>
      <c r="F279" t="s">
        <v>1213</v>
      </c>
    </row>
    <row r="280" spans="1:6" x14ac:dyDescent="0.25">
      <c r="A280">
        <v>284</v>
      </c>
      <c r="B280">
        <v>18</v>
      </c>
      <c r="C280" t="s">
        <v>1265</v>
      </c>
      <c r="D280" t="s">
        <v>1218</v>
      </c>
      <c r="E280" t="s">
        <v>1207</v>
      </c>
      <c r="F280" t="s">
        <v>1216</v>
      </c>
    </row>
    <row r="281" spans="1:6" x14ac:dyDescent="0.25">
      <c r="A281">
        <v>286</v>
      </c>
      <c r="B281">
        <v>19</v>
      </c>
      <c r="C281" t="s">
        <v>1265</v>
      </c>
      <c r="D281" t="s">
        <v>1206</v>
      </c>
      <c r="E281" t="s">
        <v>1215</v>
      </c>
      <c r="F281" t="s">
        <v>1211</v>
      </c>
    </row>
    <row r="282" spans="1:6" x14ac:dyDescent="0.25">
      <c r="A282">
        <v>287</v>
      </c>
      <c r="B282">
        <v>18</v>
      </c>
      <c r="C282" t="s">
        <v>1205</v>
      </c>
      <c r="D282" t="s">
        <v>1206</v>
      </c>
      <c r="E282" t="s">
        <v>1212</v>
      </c>
      <c r="F282" t="s">
        <v>1211</v>
      </c>
    </row>
    <row r="283" spans="1:6" x14ac:dyDescent="0.25">
      <c r="A283">
        <v>288</v>
      </c>
      <c r="B283">
        <v>21</v>
      </c>
      <c r="C283" t="s">
        <v>1265</v>
      </c>
      <c r="D283" t="s">
        <v>1206</v>
      </c>
      <c r="E283" t="s">
        <v>1210</v>
      </c>
      <c r="F283" t="s">
        <v>1213</v>
      </c>
    </row>
    <row r="284" spans="1:6" x14ac:dyDescent="0.25">
      <c r="A284">
        <v>289</v>
      </c>
      <c r="B284">
        <v>24</v>
      </c>
      <c r="C284" t="s">
        <v>1265</v>
      </c>
      <c r="D284" t="s">
        <v>1218</v>
      </c>
      <c r="E284" t="s">
        <v>1210</v>
      </c>
      <c r="F284" t="s">
        <v>1211</v>
      </c>
    </row>
    <row r="285" spans="1:6" x14ac:dyDescent="0.25">
      <c r="A285">
        <v>290</v>
      </c>
      <c r="B285">
        <v>25</v>
      </c>
      <c r="C285" t="s">
        <v>1265</v>
      </c>
      <c r="D285" t="s">
        <v>1206</v>
      </c>
      <c r="E285" t="s">
        <v>1207</v>
      </c>
      <c r="F285" t="s">
        <v>1216</v>
      </c>
    </row>
    <row r="286" spans="1:6" x14ac:dyDescent="0.25">
      <c r="A286">
        <v>291</v>
      </c>
      <c r="B286">
        <v>19</v>
      </c>
      <c r="C286" t="s">
        <v>1205</v>
      </c>
      <c r="D286" t="s">
        <v>1206</v>
      </c>
      <c r="E286" t="s">
        <v>1212</v>
      </c>
      <c r="F286" t="s">
        <v>1216</v>
      </c>
    </row>
    <row r="287" spans="1:6" x14ac:dyDescent="0.25">
      <c r="A287">
        <v>292</v>
      </c>
      <c r="B287">
        <v>19</v>
      </c>
      <c r="C287" t="s">
        <v>1265</v>
      </c>
      <c r="D287" t="s">
        <v>1206</v>
      </c>
      <c r="E287" t="s">
        <v>1215</v>
      </c>
      <c r="F287" t="s">
        <v>1216</v>
      </c>
    </row>
    <row r="288" spans="1:6" x14ac:dyDescent="0.25">
      <c r="A288">
        <v>293</v>
      </c>
      <c r="B288">
        <v>21</v>
      </c>
      <c r="C288" t="s">
        <v>1209</v>
      </c>
      <c r="D288" t="s">
        <v>1222</v>
      </c>
      <c r="E288" t="s">
        <v>1215</v>
      </c>
      <c r="F288" t="s">
        <v>1213</v>
      </c>
    </row>
    <row r="289" spans="1:6" x14ac:dyDescent="0.25">
      <c r="A289">
        <v>294</v>
      </c>
      <c r="B289">
        <v>22</v>
      </c>
      <c r="C289" t="s">
        <v>1265</v>
      </c>
      <c r="D289" t="s">
        <v>1222</v>
      </c>
      <c r="E289" t="s">
        <v>1215</v>
      </c>
      <c r="F289" t="s">
        <v>1213</v>
      </c>
    </row>
    <row r="290" spans="1:6" x14ac:dyDescent="0.25">
      <c r="A290">
        <v>295</v>
      </c>
      <c r="B290">
        <v>24</v>
      </c>
      <c r="C290" t="s">
        <v>1265</v>
      </c>
      <c r="D290" t="s">
        <v>1206</v>
      </c>
      <c r="E290" t="s">
        <v>1212</v>
      </c>
      <c r="F290" t="s">
        <v>1216</v>
      </c>
    </row>
    <row r="291" spans="1:6" x14ac:dyDescent="0.25">
      <c r="A291">
        <v>296</v>
      </c>
      <c r="B291">
        <v>19</v>
      </c>
      <c r="C291" t="s">
        <v>1265</v>
      </c>
      <c r="D291" t="s">
        <v>1206</v>
      </c>
      <c r="E291" t="s">
        <v>1210</v>
      </c>
      <c r="F291" t="s">
        <v>1213</v>
      </c>
    </row>
    <row r="292" spans="1:6" x14ac:dyDescent="0.25">
      <c r="A292">
        <v>297</v>
      </c>
      <c r="B292">
        <v>24</v>
      </c>
      <c r="C292" t="s">
        <v>1209</v>
      </c>
      <c r="D292" t="s">
        <v>1206</v>
      </c>
      <c r="E292" t="s">
        <v>1212</v>
      </c>
      <c r="F292" t="s">
        <v>1213</v>
      </c>
    </row>
    <row r="293" spans="1:6" x14ac:dyDescent="0.25">
      <c r="A293">
        <v>298</v>
      </c>
      <c r="B293">
        <v>19</v>
      </c>
      <c r="C293" t="s">
        <v>1214</v>
      </c>
      <c r="D293" t="s">
        <v>1206</v>
      </c>
      <c r="E293" t="s">
        <v>1215</v>
      </c>
      <c r="F293" t="s">
        <v>1221</v>
      </c>
    </row>
    <row r="294" spans="1:6" x14ac:dyDescent="0.25">
      <c r="A294">
        <v>299</v>
      </c>
      <c r="B294">
        <v>23</v>
      </c>
      <c r="C294" t="s">
        <v>1209</v>
      </c>
      <c r="D294" t="s">
        <v>1206</v>
      </c>
      <c r="E294" t="s">
        <v>1210</v>
      </c>
      <c r="F294" t="s">
        <v>1213</v>
      </c>
    </row>
    <row r="295" spans="1:6" x14ac:dyDescent="0.25">
      <c r="A295">
        <v>300</v>
      </c>
      <c r="B295">
        <v>20</v>
      </c>
      <c r="C295" t="s">
        <v>1265</v>
      </c>
      <c r="D295" t="s">
        <v>1206</v>
      </c>
      <c r="E295" t="s">
        <v>1215</v>
      </c>
      <c r="F295" t="s">
        <v>1216</v>
      </c>
    </row>
    <row r="296" spans="1:6" x14ac:dyDescent="0.25">
      <c r="A296">
        <v>301</v>
      </c>
      <c r="B296">
        <v>18</v>
      </c>
      <c r="C296" t="s">
        <v>1209</v>
      </c>
      <c r="D296" t="s">
        <v>1219</v>
      </c>
      <c r="E296" t="s">
        <v>1210</v>
      </c>
      <c r="F296" t="s">
        <v>1213</v>
      </c>
    </row>
    <row r="297" spans="1:6" x14ac:dyDescent="0.25">
      <c r="A297">
        <v>302</v>
      </c>
      <c r="B297">
        <v>25</v>
      </c>
      <c r="C297" t="s">
        <v>1205</v>
      </c>
      <c r="D297" t="s">
        <v>1222</v>
      </c>
      <c r="E297" t="s">
        <v>1210</v>
      </c>
      <c r="F297" t="s">
        <v>1216</v>
      </c>
    </row>
    <row r="298" spans="1:6" x14ac:dyDescent="0.25">
      <c r="A298">
        <v>303</v>
      </c>
      <c r="B298">
        <v>18</v>
      </c>
      <c r="C298" t="s">
        <v>1209</v>
      </c>
      <c r="D298" t="s">
        <v>1222</v>
      </c>
      <c r="E298" t="s">
        <v>1210</v>
      </c>
      <c r="F298" t="s">
        <v>1213</v>
      </c>
    </row>
    <row r="299" spans="1:6" x14ac:dyDescent="0.25">
      <c r="A299">
        <v>304</v>
      </c>
      <c r="B299">
        <v>20</v>
      </c>
      <c r="C299" t="s">
        <v>1209</v>
      </c>
      <c r="D299" t="s">
        <v>1220</v>
      </c>
      <c r="E299" t="s">
        <v>1210</v>
      </c>
      <c r="F299" t="s">
        <v>1216</v>
      </c>
    </row>
  </sheetData>
  <autoFilter ref="A2:F299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8547-C660-44F8-93FA-C8D6B2EEAEC5}">
  <dimension ref="A1:S30"/>
  <sheetViews>
    <sheetView workbookViewId="0">
      <selection activeCell="D19" sqref="D19"/>
    </sheetView>
  </sheetViews>
  <sheetFormatPr defaultRowHeight="15.75" x14ac:dyDescent="0.25"/>
  <cols>
    <col min="1" max="1" width="17.25" customWidth="1"/>
    <col min="2" max="2" width="8.875" customWidth="1"/>
    <col min="3" max="5" width="8" bestFit="1" customWidth="1"/>
    <col min="6" max="6" width="6.375" bestFit="1" customWidth="1"/>
    <col min="7" max="7" width="8.375" customWidth="1"/>
    <col min="8" max="8" width="22.375" bestFit="1" customWidth="1"/>
    <col min="9" max="9" width="8" bestFit="1" customWidth="1"/>
    <col min="10" max="16" width="10.375" customWidth="1"/>
    <col min="17" max="17" width="12.875" customWidth="1"/>
    <col min="18" max="18" width="14" customWidth="1"/>
    <col min="19" max="19" width="21.625" customWidth="1"/>
    <col min="20" max="20" width="8.25" bestFit="1" customWidth="1"/>
    <col min="21" max="23" width="8" bestFit="1" customWidth="1"/>
    <col min="24" max="24" width="6.375" bestFit="1" customWidth="1"/>
    <col min="25" max="25" width="11.375" bestFit="1" customWidth="1"/>
    <col min="26" max="27" width="11" bestFit="1" customWidth="1"/>
    <col min="28" max="28" width="8" bestFit="1" customWidth="1"/>
    <col min="29" max="29" width="6.375" bestFit="1" customWidth="1"/>
    <col min="30" max="30" width="11.375" bestFit="1" customWidth="1"/>
    <col min="31" max="32" width="11" bestFit="1" customWidth="1"/>
  </cols>
  <sheetData>
    <row r="1" spans="1:16" x14ac:dyDescent="0.25">
      <c r="A1" s="80" t="s">
        <v>1201</v>
      </c>
      <c r="B1" t="s">
        <v>1278</v>
      </c>
    </row>
    <row r="3" spans="1:16" x14ac:dyDescent="0.25">
      <c r="A3" s="80" t="s">
        <v>1277</v>
      </c>
      <c r="B3" s="80" t="s">
        <v>1276</v>
      </c>
    </row>
    <row r="4" spans="1:16" x14ac:dyDescent="0.25">
      <c r="A4" s="80" t="s">
        <v>1274</v>
      </c>
      <c r="B4" t="s">
        <v>1207</v>
      </c>
      <c r="C4" t="s">
        <v>1217</v>
      </c>
      <c r="D4" t="s">
        <v>1210</v>
      </c>
      <c r="E4" t="s">
        <v>1215</v>
      </c>
      <c r="F4" t="s">
        <v>1212</v>
      </c>
      <c r="G4" t="s">
        <v>1275</v>
      </c>
      <c r="J4" s="81" t="s">
        <v>1274</v>
      </c>
      <c r="K4" s="81" t="s">
        <v>1207</v>
      </c>
      <c r="L4" s="81" t="s">
        <v>1217</v>
      </c>
      <c r="M4" s="81" t="s">
        <v>1210</v>
      </c>
      <c r="N4" s="81" t="s">
        <v>1215</v>
      </c>
      <c r="O4" s="81" t="s">
        <v>1212</v>
      </c>
      <c r="P4" s="81" t="s">
        <v>1275</v>
      </c>
    </row>
    <row r="5" spans="1:16" x14ac:dyDescent="0.25">
      <c r="A5" s="82" t="s">
        <v>1218</v>
      </c>
      <c r="B5">
        <v>4</v>
      </c>
      <c r="C5">
        <v>3</v>
      </c>
      <c r="D5">
        <v>6</v>
      </c>
      <c r="E5">
        <v>2</v>
      </c>
      <c r="F5">
        <v>3</v>
      </c>
      <c r="G5">
        <v>18</v>
      </c>
      <c r="J5" s="82" t="s">
        <v>1218</v>
      </c>
      <c r="K5">
        <v>4</v>
      </c>
      <c r="L5">
        <v>3</v>
      </c>
      <c r="M5">
        <v>6</v>
      </c>
      <c r="N5">
        <v>2</v>
      </c>
      <c r="O5">
        <v>3</v>
      </c>
      <c r="P5">
        <v>18</v>
      </c>
    </row>
    <row r="6" spans="1:16" x14ac:dyDescent="0.25">
      <c r="A6" s="82" t="s">
        <v>1219</v>
      </c>
      <c r="B6">
        <v>2</v>
      </c>
      <c r="C6">
        <v>1</v>
      </c>
      <c r="D6">
        <v>9</v>
      </c>
      <c r="E6">
        <v>5</v>
      </c>
      <c r="F6">
        <v>3</v>
      </c>
      <c r="G6">
        <v>20</v>
      </c>
      <c r="J6" s="82" t="s">
        <v>1219</v>
      </c>
      <c r="K6">
        <v>2</v>
      </c>
      <c r="L6">
        <v>1</v>
      </c>
      <c r="M6">
        <v>9</v>
      </c>
      <c r="N6">
        <v>5</v>
      </c>
      <c r="O6">
        <v>3</v>
      </c>
      <c r="P6">
        <v>20</v>
      </c>
    </row>
    <row r="7" spans="1:16" x14ac:dyDescent="0.25">
      <c r="A7" s="82" t="s">
        <v>1220</v>
      </c>
      <c r="B7">
        <v>1</v>
      </c>
      <c r="C7">
        <v>3</v>
      </c>
      <c r="D7">
        <v>4</v>
      </c>
      <c r="E7">
        <v>2</v>
      </c>
      <c r="F7">
        <v>6</v>
      </c>
      <c r="G7">
        <v>16</v>
      </c>
      <c r="J7" s="82" t="s">
        <v>1220</v>
      </c>
      <c r="K7">
        <v>1</v>
      </c>
      <c r="L7">
        <v>3</v>
      </c>
      <c r="M7">
        <v>4</v>
      </c>
      <c r="N7">
        <v>2</v>
      </c>
      <c r="O7">
        <v>6</v>
      </c>
      <c r="P7">
        <v>16</v>
      </c>
    </row>
    <row r="8" spans="1:16" x14ac:dyDescent="0.25">
      <c r="A8" s="82" t="s">
        <v>1222</v>
      </c>
      <c r="B8">
        <v>2</v>
      </c>
      <c r="D8">
        <v>5</v>
      </c>
      <c r="E8">
        <v>2</v>
      </c>
      <c r="F8">
        <v>2</v>
      </c>
      <c r="G8">
        <v>11</v>
      </c>
      <c r="J8" s="82" t="s">
        <v>1222</v>
      </c>
      <c r="K8">
        <v>2</v>
      </c>
      <c r="M8">
        <v>5</v>
      </c>
      <c r="N8">
        <v>2</v>
      </c>
      <c r="O8">
        <v>2</v>
      </c>
      <c r="P8">
        <v>11</v>
      </c>
    </row>
    <row r="9" spans="1:16" x14ac:dyDescent="0.25">
      <c r="A9" s="82" t="s">
        <v>1206</v>
      </c>
      <c r="B9">
        <v>4</v>
      </c>
      <c r="C9">
        <v>12</v>
      </c>
      <c r="D9">
        <v>24</v>
      </c>
      <c r="E9">
        <v>32</v>
      </c>
      <c r="F9">
        <v>8</v>
      </c>
      <c r="G9">
        <v>80</v>
      </c>
      <c r="J9" s="82" t="s">
        <v>1206</v>
      </c>
      <c r="K9">
        <v>4</v>
      </c>
      <c r="L9">
        <v>12</v>
      </c>
      <c r="M9">
        <v>24</v>
      </c>
      <c r="N9">
        <v>32</v>
      </c>
      <c r="O9">
        <v>8</v>
      </c>
      <c r="P9">
        <v>80</v>
      </c>
    </row>
    <row r="10" spans="1:16" x14ac:dyDescent="0.25">
      <c r="A10" s="82" t="s">
        <v>1275</v>
      </c>
      <c r="B10">
        <v>13</v>
      </c>
      <c r="C10">
        <v>19</v>
      </c>
      <c r="D10">
        <v>48</v>
      </c>
      <c r="E10">
        <v>43</v>
      </c>
      <c r="F10">
        <v>22</v>
      </c>
      <c r="G10">
        <v>145</v>
      </c>
      <c r="J10" s="83" t="s">
        <v>1275</v>
      </c>
      <c r="K10" s="84">
        <v>13</v>
      </c>
      <c r="L10" s="84">
        <v>19</v>
      </c>
      <c r="M10" s="84">
        <v>48</v>
      </c>
      <c r="N10" s="84">
        <v>43</v>
      </c>
      <c r="O10" s="84">
        <v>22</v>
      </c>
      <c r="P10" s="84">
        <v>145</v>
      </c>
    </row>
    <row r="12" spans="1:16" x14ac:dyDescent="0.25">
      <c r="J12" s="81" t="s">
        <v>1274</v>
      </c>
      <c r="K12" s="81" t="s">
        <v>1207</v>
      </c>
      <c r="L12" s="81" t="s">
        <v>1217</v>
      </c>
      <c r="M12" s="81" t="s">
        <v>1210</v>
      </c>
      <c r="N12" s="81" t="s">
        <v>1215</v>
      </c>
      <c r="O12" s="81" t="s">
        <v>1212</v>
      </c>
      <c r="P12" s="81" t="s">
        <v>1275</v>
      </c>
    </row>
    <row r="13" spans="1:16" x14ac:dyDescent="0.25">
      <c r="J13" s="81" t="s">
        <v>1279</v>
      </c>
      <c r="K13" s="87">
        <f>K9/$P$10</f>
        <v>2.7586206896551724E-2</v>
      </c>
      <c r="L13" s="87">
        <f>L9/$P$10</f>
        <v>8.2758620689655171E-2</v>
      </c>
      <c r="M13" s="87">
        <f>M9/$P$10</f>
        <v>0.16551724137931034</v>
      </c>
      <c r="N13" s="87">
        <f>N9/$P$10</f>
        <v>0.22068965517241379</v>
      </c>
      <c r="O13" s="87">
        <f>O9/$P$10</f>
        <v>5.5172413793103448E-2</v>
      </c>
      <c r="P13" s="86">
        <f>P9/$P$10</f>
        <v>0.55172413793103448</v>
      </c>
    </row>
    <row r="14" spans="1:16" x14ac:dyDescent="0.25">
      <c r="J14" s="81" t="s">
        <v>1232</v>
      </c>
      <c r="K14" s="87">
        <f>K7/$P$10</f>
        <v>6.8965517241379309E-3</v>
      </c>
      <c r="L14" s="87">
        <f>L7/$P$10</f>
        <v>2.0689655172413793E-2</v>
      </c>
      <c r="M14" s="87">
        <f>M7/$P$10</f>
        <v>2.7586206896551724E-2</v>
      </c>
      <c r="N14" s="87">
        <f>N7/$P$10</f>
        <v>1.3793103448275862E-2</v>
      </c>
      <c r="O14" s="87">
        <f>O7/$P$10</f>
        <v>4.1379310344827586E-2</v>
      </c>
      <c r="P14" s="86">
        <f>P7/$P$10</f>
        <v>0.1103448275862069</v>
      </c>
    </row>
    <row r="15" spans="1:16" x14ac:dyDescent="0.25">
      <c r="J15" s="81" t="s">
        <v>1233</v>
      </c>
      <c r="K15" s="87">
        <f>K6/$P$10</f>
        <v>1.3793103448275862E-2</v>
      </c>
      <c r="L15" s="87">
        <f>L6/$P$10</f>
        <v>6.8965517241379309E-3</v>
      </c>
      <c r="M15" s="87">
        <f>M6/$P$10</f>
        <v>6.2068965517241378E-2</v>
      </c>
      <c r="N15" s="87">
        <f>N6/$P$10</f>
        <v>3.4482758620689655E-2</v>
      </c>
      <c r="O15" s="87">
        <f>O6/$P$10</f>
        <v>2.0689655172413793E-2</v>
      </c>
      <c r="P15" s="86">
        <f>P6/$P$10</f>
        <v>0.13793103448275862</v>
      </c>
    </row>
    <row r="16" spans="1:16" x14ac:dyDescent="0.25">
      <c r="J16" s="81" t="s">
        <v>1234</v>
      </c>
      <c r="K16" s="87">
        <f>K5/$P$10</f>
        <v>2.7586206896551724E-2</v>
      </c>
      <c r="L16" s="87">
        <f>L5/$P$10</f>
        <v>2.0689655172413793E-2</v>
      </c>
      <c r="M16" s="87">
        <f>M5/$P$10</f>
        <v>4.1379310344827586E-2</v>
      </c>
      <c r="N16" s="87">
        <f>N5/$P$10</f>
        <v>1.3793103448275862E-2</v>
      </c>
      <c r="O16" s="87">
        <f>O5/$P$10</f>
        <v>2.0689655172413793E-2</v>
      </c>
      <c r="P16" s="86">
        <f>P5/$P$10</f>
        <v>0.12413793103448276</v>
      </c>
    </row>
    <row r="17" spans="10:19" x14ac:dyDescent="0.25">
      <c r="J17" s="81" t="s">
        <v>1285</v>
      </c>
      <c r="K17" s="87">
        <f>K8/$P$10</f>
        <v>1.3793103448275862E-2</v>
      </c>
      <c r="L17" s="87">
        <f>L8/$P$10</f>
        <v>0</v>
      </c>
      <c r="M17" s="87">
        <f>M8/$P$10</f>
        <v>3.4482758620689655E-2</v>
      </c>
      <c r="N17" s="87">
        <f>N8/$P$10</f>
        <v>1.3793103448275862E-2</v>
      </c>
      <c r="O17" s="87">
        <f>O8/$P$10</f>
        <v>1.3793103448275862E-2</v>
      </c>
      <c r="P17" s="86">
        <f>P8/$P$10</f>
        <v>7.586206896551724E-2</v>
      </c>
    </row>
    <row r="18" spans="10:19" x14ac:dyDescent="0.25">
      <c r="J18" s="83" t="s">
        <v>1275</v>
      </c>
      <c r="K18" s="86">
        <f t="shared" ref="K18:P18" si="0">K10/$P$10</f>
        <v>8.9655172413793102E-2</v>
      </c>
      <c r="L18" s="86">
        <f t="shared" si="0"/>
        <v>0.1310344827586207</v>
      </c>
      <c r="M18" s="86">
        <f t="shared" si="0"/>
        <v>0.33103448275862069</v>
      </c>
      <c r="N18" s="86">
        <f t="shared" si="0"/>
        <v>0.29655172413793102</v>
      </c>
      <c r="O18" s="86">
        <f t="shared" si="0"/>
        <v>0.15172413793103448</v>
      </c>
      <c r="P18" s="85">
        <f>SUM(K13:O17)</f>
        <v>1.0000000000000002</v>
      </c>
    </row>
    <row r="20" spans="10:19" x14ac:dyDescent="0.25">
      <c r="J20" s="95"/>
      <c r="K20" s="95"/>
    </row>
    <row r="21" spans="10:19" x14ac:dyDescent="0.25">
      <c r="J21" s="96"/>
      <c r="K21" s="97"/>
      <c r="R21" s="89" t="s">
        <v>1280</v>
      </c>
      <c r="S21" s="88" t="s">
        <v>1281</v>
      </c>
    </row>
    <row r="22" spans="10:19" x14ac:dyDescent="0.25">
      <c r="J22" s="96"/>
      <c r="K22" s="97"/>
      <c r="R22" s="89" t="s">
        <v>1283</v>
      </c>
      <c r="S22" t="s">
        <v>1284</v>
      </c>
    </row>
    <row r="23" spans="10:19" x14ac:dyDescent="0.25">
      <c r="J23" s="96"/>
      <c r="K23" s="97"/>
      <c r="R23" s="89" t="s">
        <v>1282</v>
      </c>
      <c r="S23" t="s">
        <v>1279</v>
      </c>
    </row>
    <row r="24" spans="10:19" x14ac:dyDescent="0.25">
      <c r="J24" s="96"/>
      <c r="K24" s="97"/>
    </row>
    <row r="25" spans="10:19" x14ac:dyDescent="0.25">
      <c r="J25" s="96"/>
      <c r="K25" s="97"/>
    </row>
    <row r="26" spans="10:19" x14ac:dyDescent="0.25">
      <c r="J26" s="96"/>
      <c r="K26" s="97"/>
    </row>
    <row r="27" spans="10:19" x14ac:dyDescent="0.25">
      <c r="J27" s="96"/>
      <c r="K27" s="97"/>
    </row>
    <row r="28" spans="10:19" x14ac:dyDescent="0.25">
      <c r="J28" s="96"/>
      <c r="K28" s="97"/>
    </row>
    <row r="29" spans="10:19" x14ac:dyDescent="0.25">
      <c r="J29" s="96"/>
      <c r="K29" s="97"/>
    </row>
    <row r="30" spans="10:19" x14ac:dyDescent="0.25">
      <c r="J30" s="96"/>
      <c r="K30" s="97"/>
    </row>
  </sheetData>
  <conditionalFormatting sqref="K13:O17">
    <cfRule type="top10" dxfId="6" priority="1" rank="1"/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C7EC-258D-43B9-BEE0-C65909D8CCD2}">
  <dimension ref="A1:F1438"/>
  <sheetViews>
    <sheetView topLeftCell="A293" workbookViewId="0">
      <selection activeCell="E300" sqref="E300:E1438"/>
    </sheetView>
  </sheetViews>
  <sheetFormatPr defaultRowHeight="15.75" x14ac:dyDescent="0.25"/>
  <sheetData>
    <row r="1" spans="1:6" x14ac:dyDescent="0.25">
      <c r="A1" s="59" t="s">
        <v>1251</v>
      </c>
      <c r="B1" s="1"/>
      <c r="C1" s="1"/>
      <c r="D1" s="2"/>
      <c r="E1" s="1"/>
      <c r="F1" s="9"/>
    </row>
    <row r="2" spans="1:6" x14ac:dyDescent="0.25">
      <c r="A2" s="44" t="s">
        <v>36</v>
      </c>
      <c r="B2" s="46" t="s">
        <v>1200</v>
      </c>
      <c r="C2" s="46" t="s">
        <v>1201</v>
      </c>
      <c r="D2" s="46" t="s">
        <v>1202</v>
      </c>
      <c r="E2" s="46" t="s">
        <v>1203</v>
      </c>
      <c r="F2" s="46" t="s">
        <v>1204</v>
      </c>
    </row>
    <row r="3" spans="1:6" x14ac:dyDescent="0.25">
      <c r="A3">
        <v>1</v>
      </c>
      <c r="B3">
        <v>24</v>
      </c>
      <c r="C3" t="s">
        <v>1291</v>
      </c>
      <c r="D3" t="s">
        <v>1206</v>
      </c>
      <c r="E3" t="s">
        <v>1207</v>
      </c>
      <c r="F3" t="s">
        <v>1208</v>
      </c>
    </row>
    <row r="4" spans="1:6" x14ac:dyDescent="0.25">
      <c r="A4">
        <v>2</v>
      </c>
      <c r="B4">
        <v>21</v>
      </c>
      <c r="C4" t="s">
        <v>1291</v>
      </c>
      <c r="D4" t="s">
        <v>1206</v>
      </c>
      <c r="E4" t="s">
        <v>1207</v>
      </c>
      <c r="F4" t="s">
        <v>1208</v>
      </c>
    </row>
    <row r="5" spans="1:6" x14ac:dyDescent="0.25">
      <c r="A5">
        <v>3</v>
      </c>
      <c r="B5">
        <v>25</v>
      </c>
      <c r="C5" t="s">
        <v>1291</v>
      </c>
      <c r="D5" t="s">
        <v>1206</v>
      </c>
      <c r="E5" t="s">
        <v>1210</v>
      </c>
      <c r="F5" t="s">
        <v>1211</v>
      </c>
    </row>
    <row r="6" spans="1:6" x14ac:dyDescent="0.25">
      <c r="A6">
        <v>4</v>
      </c>
      <c r="B6">
        <v>23</v>
      </c>
      <c r="C6" t="s">
        <v>1291</v>
      </c>
      <c r="D6" t="s">
        <v>1206</v>
      </c>
      <c r="E6" t="s">
        <v>1212</v>
      </c>
      <c r="F6" t="s">
        <v>1211</v>
      </c>
    </row>
    <row r="7" spans="1:6" x14ac:dyDescent="0.25">
      <c r="A7">
        <v>5</v>
      </c>
      <c r="B7">
        <v>18</v>
      </c>
      <c r="C7" t="s">
        <v>1291</v>
      </c>
      <c r="D7" t="s">
        <v>1206</v>
      </c>
      <c r="E7" t="s">
        <v>1207</v>
      </c>
      <c r="F7" t="s">
        <v>1208</v>
      </c>
    </row>
    <row r="8" spans="1:6" x14ac:dyDescent="0.25">
      <c r="A8">
        <v>6</v>
      </c>
      <c r="B8">
        <v>19</v>
      </c>
      <c r="C8" t="s">
        <v>1291</v>
      </c>
      <c r="D8" t="s">
        <v>1206</v>
      </c>
      <c r="E8" t="s">
        <v>1212</v>
      </c>
      <c r="F8" t="s">
        <v>1213</v>
      </c>
    </row>
    <row r="9" spans="1:6" x14ac:dyDescent="0.25">
      <c r="A9">
        <v>7</v>
      </c>
      <c r="B9">
        <v>21</v>
      </c>
      <c r="C9" t="s">
        <v>1291</v>
      </c>
      <c r="D9" t="s">
        <v>1206</v>
      </c>
      <c r="E9" t="s">
        <v>1210</v>
      </c>
      <c r="F9" t="s">
        <v>1208</v>
      </c>
    </row>
    <row r="10" spans="1:6" x14ac:dyDescent="0.25">
      <c r="A10">
        <v>8</v>
      </c>
      <c r="B10">
        <v>24</v>
      </c>
      <c r="C10" t="s">
        <v>1291</v>
      </c>
      <c r="D10" t="s">
        <v>1206</v>
      </c>
      <c r="E10" t="s">
        <v>1215</v>
      </c>
      <c r="F10" t="s">
        <v>1216</v>
      </c>
    </row>
    <row r="11" spans="1:6" x14ac:dyDescent="0.25">
      <c r="A11">
        <v>9</v>
      </c>
      <c r="B11">
        <v>21</v>
      </c>
      <c r="C11" t="s">
        <v>1291</v>
      </c>
      <c r="D11" t="s">
        <v>1206</v>
      </c>
      <c r="E11" t="s">
        <v>1217</v>
      </c>
      <c r="F11" t="s">
        <v>1216</v>
      </c>
    </row>
    <row r="12" spans="1:6" x14ac:dyDescent="0.25">
      <c r="A12">
        <v>10</v>
      </c>
      <c r="B12">
        <v>22</v>
      </c>
      <c r="C12" t="s">
        <v>1291</v>
      </c>
      <c r="D12" t="s">
        <v>1206</v>
      </c>
      <c r="E12" t="s">
        <v>1217</v>
      </c>
      <c r="F12" t="s">
        <v>1216</v>
      </c>
    </row>
    <row r="13" spans="1:6" x14ac:dyDescent="0.25">
      <c r="A13">
        <v>11</v>
      </c>
      <c r="B13">
        <v>18</v>
      </c>
      <c r="C13" t="s">
        <v>1291</v>
      </c>
      <c r="D13" t="s">
        <v>1218</v>
      </c>
      <c r="E13" t="s">
        <v>1210</v>
      </c>
      <c r="F13" t="s">
        <v>1211</v>
      </c>
    </row>
    <row r="14" spans="1:6" x14ac:dyDescent="0.25">
      <c r="A14">
        <v>12</v>
      </c>
      <c r="B14">
        <v>18</v>
      </c>
      <c r="C14" t="s">
        <v>1291</v>
      </c>
      <c r="D14" t="s">
        <v>1219</v>
      </c>
      <c r="E14" t="s">
        <v>1210</v>
      </c>
      <c r="F14" t="s">
        <v>1213</v>
      </c>
    </row>
    <row r="15" spans="1:6" x14ac:dyDescent="0.25">
      <c r="A15">
        <v>13</v>
      </c>
      <c r="B15">
        <v>25</v>
      </c>
      <c r="C15" t="s">
        <v>1291</v>
      </c>
      <c r="D15" t="s">
        <v>1206</v>
      </c>
      <c r="E15" t="s">
        <v>1207</v>
      </c>
      <c r="F15" t="s">
        <v>1211</v>
      </c>
    </row>
    <row r="16" spans="1:6" x14ac:dyDescent="0.25">
      <c r="A16">
        <v>14</v>
      </c>
      <c r="B16">
        <v>21</v>
      </c>
      <c r="C16" t="s">
        <v>1291</v>
      </c>
      <c r="D16" t="s">
        <v>1206</v>
      </c>
      <c r="E16" t="s">
        <v>1212</v>
      </c>
      <c r="F16" t="s">
        <v>1216</v>
      </c>
    </row>
    <row r="17" spans="1:6" x14ac:dyDescent="0.25">
      <c r="A17">
        <v>15</v>
      </c>
      <c r="B17">
        <v>20</v>
      </c>
      <c r="C17" t="s">
        <v>1291</v>
      </c>
      <c r="D17" t="s">
        <v>1206</v>
      </c>
      <c r="E17" t="s">
        <v>1215</v>
      </c>
      <c r="F17" t="s">
        <v>1213</v>
      </c>
    </row>
    <row r="18" spans="1:6" x14ac:dyDescent="0.25">
      <c r="A18">
        <v>16</v>
      </c>
      <c r="B18">
        <v>21</v>
      </c>
      <c r="C18" t="s">
        <v>1291</v>
      </c>
      <c r="D18" t="s">
        <v>1206</v>
      </c>
      <c r="E18" t="s">
        <v>1210</v>
      </c>
      <c r="F18" t="s">
        <v>1216</v>
      </c>
    </row>
    <row r="19" spans="1:6" x14ac:dyDescent="0.25">
      <c r="A19">
        <v>17</v>
      </c>
      <c r="B19">
        <v>24</v>
      </c>
      <c r="C19" t="s">
        <v>1291</v>
      </c>
      <c r="D19" t="s">
        <v>1206</v>
      </c>
      <c r="E19" t="s">
        <v>1210</v>
      </c>
      <c r="F19" t="s">
        <v>1208</v>
      </c>
    </row>
    <row r="20" spans="1:6" x14ac:dyDescent="0.25">
      <c r="A20">
        <v>18</v>
      </c>
      <c r="B20">
        <v>22</v>
      </c>
      <c r="C20" t="s">
        <v>1291</v>
      </c>
      <c r="D20" t="s">
        <v>1206</v>
      </c>
      <c r="E20" t="s">
        <v>1215</v>
      </c>
      <c r="F20" t="s">
        <v>1208</v>
      </c>
    </row>
    <row r="21" spans="1:6" x14ac:dyDescent="0.25">
      <c r="A21">
        <v>19</v>
      </c>
      <c r="B21">
        <v>25</v>
      </c>
      <c r="C21" t="s">
        <v>1291</v>
      </c>
      <c r="D21" t="s">
        <v>1218</v>
      </c>
      <c r="E21" t="s">
        <v>1212</v>
      </c>
      <c r="F21" t="s">
        <v>1216</v>
      </c>
    </row>
    <row r="22" spans="1:6" x14ac:dyDescent="0.25">
      <c r="A22">
        <v>20</v>
      </c>
      <c r="B22">
        <v>23</v>
      </c>
      <c r="C22" t="s">
        <v>1291</v>
      </c>
      <c r="D22" t="s">
        <v>1206</v>
      </c>
      <c r="E22" t="s">
        <v>1210</v>
      </c>
      <c r="F22" t="s">
        <v>1208</v>
      </c>
    </row>
    <row r="23" spans="1:6" x14ac:dyDescent="0.25">
      <c r="A23">
        <v>21</v>
      </c>
      <c r="B23">
        <v>20</v>
      </c>
      <c r="C23" t="s">
        <v>1291</v>
      </c>
      <c r="D23" t="s">
        <v>1206</v>
      </c>
      <c r="E23" t="s">
        <v>1212</v>
      </c>
      <c r="F23" t="s">
        <v>1211</v>
      </c>
    </row>
    <row r="24" spans="1:6" x14ac:dyDescent="0.25">
      <c r="A24">
        <v>22</v>
      </c>
      <c r="B24">
        <v>19</v>
      </c>
      <c r="C24" t="s">
        <v>1291</v>
      </c>
      <c r="D24" t="s">
        <v>1206</v>
      </c>
      <c r="E24" t="s">
        <v>1210</v>
      </c>
      <c r="F24" t="s">
        <v>1216</v>
      </c>
    </row>
    <row r="25" spans="1:6" x14ac:dyDescent="0.25">
      <c r="A25">
        <v>23</v>
      </c>
      <c r="B25">
        <v>18</v>
      </c>
      <c r="C25" t="s">
        <v>1291</v>
      </c>
      <c r="D25" t="s">
        <v>1220</v>
      </c>
      <c r="E25" t="s">
        <v>1212</v>
      </c>
      <c r="F25" t="s">
        <v>1221</v>
      </c>
    </row>
    <row r="26" spans="1:6" x14ac:dyDescent="0.25">
      <c r="A26">
        <v>24</v>
      </c>
      <c r="B26">
        <v>23</v>
      </c>
      <c r="C26" t="s">
        <v>1291</v>
      </c>
      <c r="D26" t="s">
        <v>1222</v>
      </c>
      <c r="E26" t="s">
        <v>1210</v>
      </c>
      <c r="F26" t="s">
        <v>1216</v>
      </c>
    </row>
    <row r="27" spans="1:6" x14ac:dyDescent="0.25">
      <c r="A27">
        <v>25</v>
      </c>
      <c r="B27">
        <v>18</v>
      </c>
      <c r="C27" t="s">
        <v>1291</v>
      </c>
      <c r="D27" t="s">
        <v>1219</v>
      </c>
      <c r="E27" t="s">
        <v>1207</v>
      </c>
      <c r="F27" t="s">
        <v>1208</v>
      </c>
    </row>
    <row r="28" spans="1:6" x14ac:dyDescent="0.25">
      <c r="A28">
        <v>26</v>
      </c>
      <c r="B28">
        <v>20</v>
      </c>
      <c r="C28" t="s">
        <v>1291</v>
      </c>
      <c r="D28" t="s">
        <v>1206</v>
      </c>
      <c r="E28" t="s">
        <v>1215</v>
      </c>
      <c r="F28" t="s">
        <v>1216</v>
      </c>
    </row>
    <row r="29" spans="1:6" x14ac:dyDescent="0.25">
      <c r="A29">
        <v>27</v>
      </c>
      <c r="B29">
        <v>18</v>
      </c>
      <c r="C29" t="s">
        <v>1291</v>
      </c>
      <c r="D29" t="s">
        <v>1206</v>
      </c>
      <c r="E29" t="s">
        <v>1215</v>
      </c>
      <c r="F29" t="s">
        <v>1221</v>
      </c>
    </row>
    <row r="30" spans="1:6" x14ac:dyDescent="0.25">
      <c r="A30">
        <v>28</v>
      </c>
      <c r="B30">
        <v>18</v>
      </c>
      <c r="C30" t="s">
        <v>1291</v>
      </c>
      <c r="D30" t="s">
        <v>1206</v>
      </c>
      <c r="E30" t="s">
        <v>1217</v>
      </c>
      <c r="F30" t="s">
        <v>1208</v>
      </c>
    </row>
    <row r="31" spans="1:6" x14ac:dyDescent="0.25">
      <c r="A31">
        <v>29</v>
      </c>
      <c r="B31">
        <v>24</v>
      </c>
      <c r="C31" t="s">
        <v>1291</v>
      </c>
      <c r="D31" t="s">
        <v>1222</v>
      </c>
      <c r="E31" t="s">
        <v>1210</v>
      </c>
      <c r="F31" t="s">
        <v>1216</v>
      </c>
    </row>
    <row r="32" spans="1:6" x14ac:dyDescent="0.25">
      <c r="A32">
        <v>30</v>
      </c>
      <c r="B32">
        <v>19</v>
      </c>
      <c r="C32" t="s">
        <v>1291</v>
      </c>
      <c r="D32" t="s">
        <v>1222</v>
      </c>
      <c r="E32" t="s">
        <v>1210</v>
      </c>
      <c r="F32" t="s">
        <v>1213</v>
      </c>
    </row>
    <row r="33" spans="1:6" x14ac:dyDescent="0.25">
      <c r="A33">
        <v>31</v>
      </c>
      <c r="B33">
        <v>25</v>
      </c>
      <c r="C33" t="s">
        <v>1291</v>
      </c>
      <c r="D33" t="s">
        <v>1218</v>
      </c>
      <c r="E33" t="s">
        <v>1210</v>
      </c>
      <c r="F33" t="s">
        <v>1221</v>
      </c>
    </row>
    <row r="34" spans="1:6" x14ac:dyDescent="0.25">
      <c r="A34">
        <v>32</v>
      </c>
      <c r="B34">
        <v>18</v>
      </c>
      <c r="C34" t="s">
        <v>1291</v>
      </c>
      <c r="D34" t="s">
        <v>1206</v>
      </c>
      <c r="E34" t="s">
        <v>1215</v>
      </c>
      <c r="F34" t="s">
        <v>1216</v>
      </c>
    </row>
    <row r="35" spans="1:6" x14ac:dyDescent="0.25">
      <c r="A35">
        <v>33</v>
      </c>
      <c r="B35">
        <v>21</v>
      </c>
      <c r="C35" t="s">
        <v>1291</v>
      </c>
      <c r="D35" t="s">
        <v>1218</v>
      </c>
      <c r="E35" t="s">
        <v>1210</v>
      </c>
      <c r="F35" t="s">
        <v>1216</v>
      </c>
    </row>
    <row r="36" spans="1:6" x14ac:dyDescent="0.25">
      <c r="A36">
        <v>34</v>
      </c>
      <c r="B36">
        <v>18</v>
      </c>
      <c r="C36" t="s">
        <v>1291</v>
      </c>
      <c r="D36" t="s">
        <v>1206</v>
      </c>
      <c r="E36" t="s">
        <v>1215</v>
      </c>
      <c r="F36" t="s">
        <v>1216</v>
      </c>
    </row>
    <row r="37" spans="1:6" x14ac:dyDescent="0.25">
      <c r="A37">
        <v>35</v>
      </c>
      <c r="B37">
        <v>21</v>
      </c>
      <c r="C37" t="s">
        <v>1291</v>
      </c>
      <c r="D37" t="s">
        <v>1206</v>
      </c>
      <c r="E37" t="s">
        <v>1215</v>
      </c>
      <c r="F37" t="s">
        <v>1216</v>
      </c>
    </row>
    <row r="38" spans="1:6" x14ac:dyDescent="0.25">
      <c r="A38">
        <v>36</v>
      </c>
      <c r="B38">
        <v>21</v>
      </c>
      <c r="C38" t="s">
        <v>1291</v>
      </c>
      <c r="D38" t="s">
        <v>1220</v>
      </c>
      <c r="E38" t="s">
        <v>1210</v>
      </c>
      <c r="F38" t="s">
        <v>1213</v>
      </c>
    </row>
    <row r="39" spans="1:6" x14ac:dyDescent="0.25">
      <c r="A39">
        <v>37</v>
      </c>
      <c r="B39">
        <v>18</v>
      </c>
      <c r="C39" t="s">
        <v>1291</v>
      </c>
      <c r="D39" t="s">
        <v>1219</v>
      </c>
      <c r="E39" t="s">
        <v>1210</v>
      </c>
      <c r="F39" t="s">
        <v>1213</v>
      </c>
    </row>
    <row r="40" spans="1:6" x14ac:dyDescent="0.25">
      <c r="A40">
        <v>38</v>
      </c>
      <c r="B40">
        <v>21</v>
      </c>
      <c r="C40" t="s">
        <v>1291</v>
      </c>
      <c r="D40" t="s">
        <v>1206</v>
      </c>
      <c r="E40" t="s">
        <v>1212</v>
      </c>
      <c r="F40" t="s">
        <v>1213</v>
      </c>
    </row>
    <row r="41" spans="1:6" x14ac:dyDescent="0.25">
      <c r="A41">
        <v>39</v>
      </c>
      <c r="B41">
        <v>19</v>
      </c>
      <c r="C41" t="s">
        <v>1291</v>
      </c>
      <c r="D41" t="s">
        <v>1206</v>
      </c>
      <c r="E41" t="s">
        <v>1210</v>
      </c>
      <c r="F41" t="s">
        <v>1213</v>
      </c>
    </row>
    <row r="42" spans="1:6" x14ac:dyDescent="0.25">
      <c r="A42">
        <v>40</v>
      </c>
      <c r="B42">
        <v>19</v>
      </c>
      <c r="C42" t="s">
        <v>1291</v>
      </c>
      <c r="D42" t="s">
        <v>1222</v>
      </c>
      <c r="E42" t="s">
        <v>1212</v>
      </c>
      <c r="F42" t="s">
        <v>1216</v>
      </c>
    </row>
    <row r="43" spans="1:6" x14ac:dyDescent="0.25">
      <c r="A43">
        <v>41</v>
      </c>
      <c r="B43">
        <v>19</v>
      </c>
      <c r="C43" t="s">
        <v>1291</v>
      </c>
      <c r="D43" t="s">
        <v>1206</v>
      </c>
      <c r="E43" t="s">
        <v>1215</v>
      </c>
      <c r="F43" t="s">
        <v>1221</v>
      </c>
    </row>
    <row r="44" spans="1:6" x14ac:dyDescent="0.25">
      <c r="A44">
        <v>42</v>
      </c>
      <c r="B44">
        <v>25</v>
      </c>
      <c r="C44" t="s">
        <v>1291</v>
      </c>
      <c r="D44" t="s">
        <v>1206</v>
      </c>
      <c r="E44" t="s">
        <v>1215</v>
      </c>
      <c r="F44" t="s">
        <v>1216</v>
      </c>
    </row>
    <row r="45" spans="1:6" x14ac:dyDescent="0.25">
      <c r="A45">
        <v>43</v>
      </c>
      <c r="B45">
        <v>19</v>
      </c>
      <c r="C45" t="s">
        <v>1291</v>
      </c>
      <c r="D45" t="s">
        <v>1218</v>
      </c>
      <c r="E45" t="s">
        <v>1217</v>
      </c>
      <c r="F45" t="s">
        <v>1213</v>
      </c>
    </row>
    <row r="46" spans="1:6" x14ac:dyDescent="0.25">
      <c r="A46">
        <v>44</v>
      </c>
      <c r="B46">
        <v>19</v>
      </c>
      <c r="C46" t="s">
        <v>1291</v>
      </c>
      <c r="D46" t="s">
        <v>1206</v>
      </c>
      <c r="E46" t="s">
        <v>1210</v>
      </c>
      <c r="F46" t="s">
        <v>1221</v>
      </c>
    </row>
    <row r="47" spans="1:6" x14ac:dyDescent="0.25">
      <c r="A47">
        <v>45</v>
      </c>
      <c r="B47">
        <v>23</v>
      </c>
      <c r="C47" t="s">
        <v>1291</v>
      </c>
      <c r="D47" t="s">
        <v>1222</v>
      </c>
      <c r="E47" t="s">
        <v>1215</v>
      </c>
      <c r="F47" t="s">
        <v>1221</v>
      </c>
    </row>
    <row r="48" spans="1:6" x14ac:dyDescent="0.25">
      <c r="A48">
        <v>46</v>
      </c>
      <c r="B48">
        <v>24</v>
      </c>
      <c r="C48" t="s">
        <v>1291</v>
      </c>
      <c r="D48" t="s">
        <v>1219</v>
      </c>
      <c r="E48" t="s">
        <v>1210</v>
      </c>
      <c r="F48" t="s">
        <v>1221</v>
      </c>
    </row>
    <row r="49" spans="1:6" x14ac:dyDescent="0.25">
      <c r="A49">
        <v>47</v>
      </c>
      <c r="B49">
        <v>22</v>
      </c>
      <c r="C49" t="s">
        <v>1291</v>
      </c>
      <c r="D49" t="s">
        <v>1206</v>
      </c>
      <c r="E49" t="s">
        <v>1215</v>
      </c>
      <c r="F49" t="s">
        <v>1213</v>
      </c>
    </row>
    <row r="50" spans="1:6" x14ac:dyDescent="0.25">
      <c r="A50">
        <v>48</v>
      </c>
      <c r="B50">
        <v>25</v>
      </c>
      <c r="C50" t="s">
        <v>1291</v>
      </c>
      <c r="D50" t="s">
        <v>1206</v>
      </c>
      <c r="E50" t="s">
        <v>1215</v>
      </c>
      <c r="F50" t="s">
        <v>1208</v>
      </c>
    </row>
    <row r="51" spans="1:6" x14ac:dyDescent="0.25">
      <c r="A51">
        <v>49</v>
      </c>
      <c r="B51">
        <v>22</v>
      </c>
      <c r="C51" t="s">
        <v>1291</v>
      </c>
      <c r="D51" t="s">
        <v>1219</v>
      </c>
      <c r="E51" t="s">
        <v>1210</v>
      </c>
      <c r="F51" t="s">
        <v>1213</v>
      </c>
    </row>
    <row r="52" spans="1:6" x14ac:dyDescent="0.25">
      <c r="A52">
        <v>50</v>
      </c>
      <c r="B52">
        <v>25</v>
      </c>
      <c r="C52" t="s">
        <v>1291</v>
      </c>
      <c r="D52" t="s">
        <v>1206</v>
      </c>
      <c r="E52" t="s">
        <v>1217</v>
      </c>
      <c r="F52" t="s">
        <v>1213</v>
      </c>
    </row>
    <row r="53" spans="1:6" x14ac:dyDescent="0.25">
      <c r="A53">
        <v>51</v>
      </c>
      <c r="B53">
        <v>20</v>
      </c>
      <c r="C53" t="s">
        <v>1291</v>
      </c>
      <c r="D53" t="s">
        <v>1206</v>
      </c>
      <c r="E53" t="s">
        <v>1210</v>
      </c>
      <c r="F53" t="s">
        <v>1221</v>
      </c>
    </row>
    <row r="54" spans="1:6" x14ac:dyDescent="0.25">
      <c r="A54">
        <v>52</v>
      </c>
      <c r="B54">
        <v>25</v>
      </c>
      <c r="C54" t="s">
        <v>1291</v>
      </c>
      <c r="D54" t="s">
        <v>1206</v>
      </c>
      <c r="E54" t="s">
        <v>1217</v>
      </c>
      <c r="F54" t="s">
        <v>1208</v>
      </c>
    </row>
    <row r="55" spans="1:6" x14ac:dyDescent="0.25">
      <c r="A55">
        <v>53</v>
      </c>
      <c r="B55">
        <v>24</v>
      </c>
      <c r="C55" t="s">
        <v>1291</v>
      </c>
      <c r="D55" t="s">
        <v>1220</v>
      </c>
      <c r="E55" t="s">
        <v>1215</v>
      </c>
      <c r="F55" t="s">
        <v>1213</v>
      </c>
    </row>
    <row r="56" spans="1:6" x14ac:dyDescent="0.25">
      <c r="A56">
        <v>54</v>
      </c>
      <c r="B56">
        <v>22</v>
      </c>
      <c r="C56" t="s">
        <v>1291</v>
      </c>
      <c r="D56" t="s">
        <v>1220</v>
      </c>
      <c r="E56" t="s">
        <v>1212</v>
      </c>
      <c r="F56" t="s">
        <v>1216</v>
      </c>
    </row>
    <row r="57" spans="1:6" x14ac:dyDescent="0.25">
      <c r="A57">
        <v>55</v>
      </c>
      <c r="B57">
        <v>21</v>
      </c>
      <c r="C57" t="s">
        <v>1291</v>
      </c>
      <c r="D57" t="s">
        <v>1206</v>
      </c>
      <c r="E57" t="s">
        <v>1215</v>
      </c>
      <c r="F57" t="s">
        <v>1216</v>
      </c>
    </row>
    <row r="58" spans="1:6" x14ac:dyDescent="0.25">
      <c r="A58">
        <v>56</v>
      </c>
      <c r="B58">
        <v>21</v>
      </c>
      <c r="C58" t="s">
        <v>1291</v>
      </c>
      <c r="D58" t="s">
        <v>1218</v>
      </c>
      <c r="E58" t="s">
        <v>1212</v>
      </c>
      <c r="F58" t="s">
        <v>1221</v>
      </c>
    </row>
    <row r="59" spans="1:6" x14ac:dyDescent="0.25">
      <c r="A59">
        <v>57</v>
      </c>
      <c r="B59">
        <v>18</v>
      </c>
      <c r="C59" t="s">
        <v>1291</v>
      </c>
      <c r="D59" t="s">
        <v>1206</v>
      </c>
      <c r="E59" t="s">
        <v>1207</v>
      </c>
      <c r="F59" t="s">
        <v>1213</v>
      </c>
    </row>
    <row r="60" spans="1:6" x14ac:dyDescent="0.25">
      <c r="A60">
        <v>58</v>
      </c>
      <c r="B60">
        <v>21</v>
      </c>
      <c r="C60" t="s">
        <v>1291</v>
      </c>
      <c r="D60" t="s">
        <v>1206</v>
      </c>
      <c r="E60" t="s">
        <v>1215</v>
      </c>
      <c r="F60" t="s">
        <v>1216</v>
      </c>
    </row>
    <row r="61" spans="1:6" x14ac:dyDescent="0.25">
      <c r="A61">
        <v>59</v>
      </c>
      <c r="B61">
        <v>25</v>
      </c>
      <c r="C61" t="s">
        <v>1291</v>
      </c>
      <c r="D61" t="s">
        <v>1206</v>
      </c>
      <c r="E61" t="s">
        <v>1215</v>
      </c>
      <c r="F61" t="s">
        <v>1208</v>
      </c>
    </row>
    <row r="62" spans="1:6" x14ac:dyDescent="0.25">
      <c r="A62">
        <v>60</v>
      </c>
      <c r="B62">
        <v>23</v>
      </c>
      <c r="C62" t="s">
        <v>1291</v>
      </c>
      <c r="D62" t="s">
        <v>1206</v>
      </c>
      <c r="E62" t="s">
        <v>1212</v>
      </c>
      <c r="F62" t="s">
        <v>1211</v>
      </c>
    </row>
    <row r="63" spans="1:6" x14ac:dyDescent="0.25">
      <c r="A63">
        <v>61</v>
      </c>
      <c r="B63">
        <v>24</v>
      </c>
      <c r="C63" t="s">
        <v>1291</v>
      </c>
      <c r="D63" t="s">
        <v>1206</v>
      </c>
      <c r="E63" t="s">
        <v>1215</v>
      </c>
      <c r="F63" t="s">
        <v>1208</v>
      </c>
    </row>
    <row r="64" spans="1:6" x14ac:dyDescent="0.25">
      <c r="A64">
        <v>62</v>
      </c>
      <c r="B64">
        <v>21</v>
      </c>
      <c r="C64" t="s">
        <v>1291</v>
      </c>
      <c r="D64" t="s">
        <v>1206</v>
      </c>
      <c r="E64" t="s">
        <v>1207</v>
      </c>
      <c r="F64" t="s">
        <v>1213</v>
      </c>
    </row>
    <row r="65" spans="1:6" x14ac:dyDescent="0.25">
      <c r="A65">
        <v>63</v>
      </c>
      <c r="B65">
        <v>23</v>
      </c>
      <c r="C65" t="s">
        <v>1291</v>
      </c>
      <c r="D65" t="s">
        <v>1206</v>
      </c>
      <c r="E65" t="s">
        <v>1215</v>
      </c>
      <c r="F65" t="s">
        <v>1216</v>
      </c>
    </row>
    <row r="66" spans="1:6" x14ac:dyDescent="0.25">
      <c r="A66">
        <v>64</v>
      </c>
      <c r="B66">
        <v>25</v>
      </c>
      <c r="C66" t="s">
        <v>1291</v>
      </c>
      <c r="D66" t="s">
        <v>1206</v>
      </c>
      <c r="E66" t="s">
        <v>1210</v>
      </c>
      <c r="F66" t="s">
        <v>1213</v>
      </c>
    </row>
    <row r="67" spans="1:6" x14ac:dyDescent="0.25">
      <c r="A67">
        <v>65</v>
      </c>
      <c r="B67">
        <v>19</v>
      </c>
      <c r="C67" t="s">
        <v>1291</v>
      </c>
      <c r="D67" t="s">
        <v>1222</v>
      </c>
      <c r="E67" t="s">
        <v>1207</v>
      </c>
      <c r="F67" t="s">
        <v>1208</v>
      </c>
    </row>
    <row r="68" spans="1:6" x14ac:dyDescent="0.25">
      <c r="A68">
        <v>66</v>
      </c>
      <c r="B68">
        <v>21</v>
      </c>
      <c r="C68" t="s">
        <v>1291</v>
      </c>
      <c r="D68" t="s">
        <v>1206</v>
      </c>
      <c r="E68" t="s">
        <v>1215</v>
      </c>
      <c r="F68" t="s">
        <v>1211</v>
      </c>
    </row>
    <row r="69" spans="1:6" x14ac:dyDescent="0.25">
      <c r="A69">
        <v>67</v>
      </c>
      <c r="B69">
        <v>18</v>
      </c>
      <c r="C69" t="s">
        <v>1291</v>
      </c>
      <c r="D69" t="s">
        <v>1222</v>
      </c>
      <c r="E69" t="s">
        <v>1217</v>
      </c>
      <c r="F69" t="s">
        <v>1213</v>
      </c>
    </row>
    <row r="70" spans="1:6" x14ac:dyDescent="0.25">
      <c r="A70">
        <v>68</v>
      </c>
      <c r="B70">
        <v>21</v>
      </c>
      <c r="C70" t="s">
        <v>1291</v>
      </c>
      <c r="D70" t="s">
        <v>1206</v>
      </c>
      <c r="E70" t="s">
        <v>1215</v>
      </c>
      <c r="F70" t="s">
        <v>1216</v>
      </c>
    </row>
    <row r="71" spans="1:6" x14ac:dyDescent="0.25">
      <c r="A71">
        <v>69</v>
      </c>
      <c r="B71">
        <v>18</v>
      </c>
      <c r="C71" t="s">
        <v>1291</v>
      </c>
      <c r="D71" t="s">
        <v>1220</v>
      </c>
      <c r="E71" t="s">
        <v>1207</v>
      </c>
      <c r="F71" t="s">
        <v>1213</v>
      </c>
    </row>
    <row r="72" spans="1:6" x14ac:dyDescent="0.25">
      <c r="A72">
        <v>70</v>
      </c>
      <c r="B72">
        <v>20</v>
      </c>
      <c r="C72" t="s">
        <v>1291</v>
      </c>
      <c r="D72" t="s">
        <v>1206</v>
      </c>
      <c r="E72" t="s">
        <v>1210</v>
      </c>
      <c r="F72" t="s">
        <v>1213</v>
      </c>
    </row>
    <row r="73" spans="1:6" x14ac:dyDescent="0.25">
      <c r="A73">
        <v>71</v>
      </c>
      <c r="B73">
        <v>19</v>
      </c>
      <c r="C73" t="s">
        <v>1291</v>
      </c>
      <c r="D73" t="s">
        <v>1220</v>
      </c>
      <c r="E73" t="s">
        <v>1212</v>
      </c>
      <c r="F73" t="s">
        <v>1213</v>
      </c>
    </row>
    <row r="74" spans="1:6" x14ac:dyDescent="0.25">
      <c r="A74">
        <v>72</v>
      </c>
      <c r="B74">
        <v>22</v>
      </c>
      <c r="C74" t="s">
        <v>1291</v>
      </c>
      <c r="D74" t="s">
        <v>1206</v>
      </c>
      <c r="E74" t="s">
        <v>1215</v>
      </c>
      <c r="F74" t="s">
        <v>1216</v>
      </c>
    </row>
    <row r="75" spans="1:6" x14ac:dyDescent="0.25">
      <c r="A75">
        <v>73</v>
      </c>
      <c r="B75">
        <v>22</v>
      </c>
      <c r="C75" t="s">
        <v>1291</v>
      </c>
      <c r="D75" t="s">
        <v>1206</v>
      </c>
      <c r="E75" t="s">
        <v>1215</v>
      </c>
      <c r="F75" t="s">
        <v>1216</v>
      </c>
    </row>
    <row r="76" spans="1:6" x14ac:dyDescent="0.25">
      <c r="A76">
        <v>74</v>
      </c>
      <c r="B76">
        <v>21</v>
      </c>
      <c r="C76" t="s">
        <v>1291</v>
      </c>
      <c r="D76" t="s">
        <v>1222</v>
      </c>
      <c r="E76" t="s">
        <v>1210</v>
      </c>
      <c r="F76" t="s">
        <v>1211</v>
      </c>
    </row>
    <row r="77" spans="1:6" x14ac:dyDescent="0.25">
      <c r="A77">
        <v>75</v>
      </c>
      <c r="B77">
        <v>23</v>
      </c>
      <c r="C77" t="s">
        <v>1291</v>
      </c>
      <c r="D77" t="s">
        <v>1206</v>
      </c>
      <c r="E77" t="s">
        <v>1210</v>
      </c>
      <c r="F77" t="s">
        <v>1213</v>
      </c>
    </row>
    <row r="78" spans="1:6" x14ac:dyDescent="0.25">
      <c r="A78">
        <v>76</v>
      </c>
      <c r="B78">
        <v>18</v>
      </c>
      <c r="C78" t="s">
        <v>1291</v>
      </c>
      <c r="D78" t="s">
        <v>1206</v>
      </c>
      <c r="E78" t="s">
        <v>1212</v>
      </c>
      <c r="F78" t="s">
        <v>1216</v>
      </c>
    </row>
    <row r="79" spans="1:6" x14ac:dyDescent="0.25">
      <c r="A79">
        <v>77</v>
      </c>
      <c r="B79">
        <v>19</v>
      </c>
      <c r="C79" t="s">
        <v>1291</v>
      </c>
      <c r="D79" t="s">
        <v>1206</v>
      </c>
      <c r="E79" t="s">
        <v>1215</v>
      </c>
      <c r="F79" t="s">
        <v>1216</v>
      </c>
    </row>
    <row r="80" spans="1:6" x14ac:dyDescent="0.25">
      <c r="A80">
        <v>78</v>
      </c>
      <c r="B80">
        <v>19</v>
      </c>
      <c r="C80" t="s">
        <v>1291</v>
      </c>
      <c r="D80" t="s">
        <v>1219</v>
      </c>
      <c r="E80" t="s">
        <v>1210</v>
      </c>
      <c r="F80" t="s">
        <v>1221</v>
      </c>
    </row>
    <row r="81" spans="1:6" x14ac:dyDescent="0.25">
      <c r="A81">
        <v>80</v>
      </c>
      <c r="B81">
        <v>25</v>
      </c>
      <c r="C81" t="s">
        <v>1291</v>
      </c>
      <c r="D81" t="s">
        <v>1218</v>
      </c>
      <c r="E81" t="s">
        <v>1212</v>
      </c>
      <c r="F81" t="s">
        <v>1211</v>
      </c>
    </row>
    <row r="82" spans="1:6" x14ac:dyDescent="0.25">
      <c r="A82">
        <v>81</v>
      </c>
      <c r="B82">
        <v>21</v>
      </c>
      <c r="C82" t="s">
        <v>1291</v>
      </c>
      <c r="D82" t="s">
        <v>1222</v>
      </c>
      <c r="E82" t="s">
        <v>1210</v>
      </c>
      <c r="F82" t="s">
        <v>1216</v>
      </c>
    </row>
    <row r="83" spans="1:6" x14ac:dyDescent="0.25">
      <c r="A83">
        <v>82</v>
      </c>
      <c r="B83">
        <v>21</v>
      </c>
      <c r="C83" t="s">
        <v>1291</v>
      </c>
      <c r="D83" t="s">
        <v>1220</v>
      </c>
      <c r="E83" t="s">
        <v>1210</v>
      </c>
      <c r="F83" t="s">
        <v>1213</v>
      </c>
    </row>
    <row r="84" spans="1:6" x14ac:dyDescent="0.25">
      <c r="A84">
        <v>83</v>
      </c>
      <c r="B84">
        <v>21</v>
      </c>
      <c r="C84" t="s">
        <v>1291</v>
      </c>
      <c r="D84" t="s">
        <v>1206</v>
      </c>
      <c r="E84" t="s">
        <v>1212</v>
      </c>
      <c r="F84" t="s">
        <v>1211</v>
      </c>
    </row>
    <row r="85" spans="1:6" x14ac:dyDescent="0.25">
      <c r="A85">
        <v>84</v>
      </c>
      <c r="B85">
        <v>24</v>
      </c>
      <c r="C85" t="s">
        <v>1291</v>
      </c>
      <c r="D85" t="s">
        <v>1206</v>
      </c>
      <c r="E85" t="s">
        <v>1210</v>
      </c>
      <c r="F85" t="s">
        <v>1211</v>
      </c>
    </row>
    <row r="86" spans="1:6" x14ac:dyDescent="0.25">
      <c r="A86">
        <v>86</v>
      </c>
      <c r="B86">
        <v>22</v>
      </c>
      <c r="C86" t="s">
        <v>1291</v>
      </c>
      <c r="D86" t="s">
        <v>1206</v>
      </c>
      <c r="E86" t="s">
        <v>1210</v>
      </c>
      <c r="F86" t="s">
        <v>1221</v>
      </c>
    </row>
    <row r="87" spans="1:6" x14ac:dyDescent="0.25">
      <c r="A87">
        <v>87</v>
      </c>
      <c r="B87">
        <v>19</v>
      </c>
      <c r="C87" t="s">
        <v>1291</v>
      </c>
      <c r="D87" t="s">
        <v>1206</v>
      </c>
      <c r="E87" t="s">
        <v>1212</v>
      </c>
      <c r="F87" t="s">
        <v>1211</v>
      </c>
    </row>
    <row r="88" spans="1:6" x14ac:dyDescent="0.25">
      <c r="A88">
        <v>88</v>
      </c>
      <c r="B88">
        <v>21</v>
      </c>
      <c r="C88" t="s">
        <v>1291</v>
      </c>
      <c r="D88" t="s">
        <v>1222</v>
      </c>
      <c r="E88" t="s">
        <v>1210</v>
      </c>
      <c r="F88" t="s">
        <v>1216</v>
      </c>
    </row>
    <row r="89" spans="1:6" x14ac:dyDescent="0.25">
      <c r="A89">
        <v>89</v>
      </c>
      <c r="B89">
        <v>24</v>
      </c>
      <c r="C89" t="s">
        <v>1291</v>
      </c>
      <c r="D89" t="s">
        <v>1219</v>
      </c>
      <c r="E89" t="s">
        <v>1215</v>
      </c>
      <c r="F89" t="s">
        <v>1211</v>
      </c>
    </row>
    <row r="90" spans="1:6" x14ac:dyDescent="0.25">
      <c r="A90">
        <v>90</v>
      </c>
      <c r="B90">
        <v>21</v>
      </c>
      <c r="C90" t="s">
        <v>1291</v>
      </c>
      <c r="D90" t="s">
        <v>1206</v>
      </c>
      <c r="E90" t="s">
        <v>1212</v>
      </c>
      <c r="F90" t="s">
        <v>1211</v>
      </c>
    </row>
    <row r="91" spans="1:6" x14ac:dyDescent="0.25">
      <c r="A91">
        <v>91</v>
      </c>
      <c r="B91">
        <v>18</v>
      </c>
      <c r="C91" t="s">
        <v>1291</v>
      </c>
      <c r="D91" t="s">
        <v>1206</v>
      </c>
      <c r="E91" t="s">
        <v>1210</v>
      </c>
      <c r="F91" t="s">
        <v>1216</v>
      </c>
    </row>
    <row r="92" spans="1:6" x14ac:dyDescent="0.25">
      <c r="A92">
        <v>92</v>
      </c>
      <c r="B92">
        <v>23</v>
      </c>
      <c r="C92" t="s">
        <v>1291</v>
      </c>
      <c r="D92" t="s">
        <v>1220</v>
      </c>
      <c r="E92" t="s">
        <v>1217</v>
      </c>
      <c r="F92" t="s">
        <v>1216</v>
      </c>
    </row>
    <row r="93" spans="1:6" x14ac:dyDescent="0.25">
      <c r="A93">
        <v>93</v>
      </c>
      <c r="B93">
        <v>22</v>
      </c>
      <c r="C93" t="s">
        <v>1291</v>
      </c>
      <c r="D93" t="s">
        <v>1206</v>
      </c>
      <c r="E93" t="s">
        <v>1217</v>
      </c>
      <c r="F93" t="s">
        <v>1216</v>
      </c>
    </row>
    <row r="94" spans="1:6" x14ac:dyDescent="0.25">
      <c r="A94">
        <v>94</v>
      </c>
      <c r="B94">
        <v>21</v>
      </c>
      <c r="C94" t="s">
        <v>1291</v>
      </c>
      <c r="D94" t="s">
        <v>1206</v>
      </c>
      <c r="E94" t="s">
        <v>1217</v>
      </c>
      <c r="F94" t="s">
        <v>1208</v>
      </c>
    </row>
    <row r="95" spans="1:6" x14ac:dyDescent="0.25">
      <c r="A95">
        <v>95</v>
      </c>
      <c r="B95">
        <v>19</v>
      </c>
      <c r="C95" t="s">
        <v>1291</v>
      </c>
      <c r="D95" t="s">
        <v>1206</v>
      </c>
      <c r="E95" t="s">
        <v>1207</v>
      </c>
      <c r="F95" t="s">
        <v>1216</v>
      </c>
    </row>
    <row r="96" spans="1:6" x14ac:dyDescent="0.25">
      <c r="A96">
        <v>96</v>
      </c>
      <c r="B96">
        <v>19</v>
      </c>
      <c r="C96" t="s">
        <v>1291</v>
      </c>
      <c r="D96" t="s">
        <v>1206</v>
      </c>
      <c r="E96" t="s">
        <v>1210</v>
      </c>
      <c r="F96" t="s">
        <v>1221</v>
      </c>
    </row>
    <row r="97" spans="1:6" x14ac:dyDescent="0.25">
      <c r="A97">
        <v>97</v>
      </c>
      <c r="B97">
        <v>19</v>
      </c>
      <c r="C97" t="s">
        <v>1291</v>
      </c>
      <c r="D97" t="s">
        <v>1206</v>
      </c>
      <c r="E97" t="s">
        <v>1215</v>
      </c>
      <c r="F97" t="s">
        <v>1208</v>
      </c>
    </row>
    <row r="98" spans="1:6" x14ac:dyDescent="0.25">
      <c r="A98">
        <v>98</v>
      </c>
      <c r="B98">
        <v>25</v>
      </c>
      <c r="C98" t="s">
        <v>1291</v>
      </c>
      <c r="D98" t="s">
        <v>1206</v>
      </c>
      <c r="E98" t="s">
        <v>1210</v>
      </c>
      <c r="F98" t="s">
        <v>1221</v>
      </c>
    </row>
    <row r="99" spans="1:6" x14ac:dyDescent="0.25">
      <c r="A99">
        <v>99</v>
      </c>
      <c r="B99">
        <v>23</v>
      </c>
      <c r="C99" t="s">
        <v>1291</v>
      </c>
      <c r="D99" t="s">
        <v>1206</v>
      </c>
      <c r="E99" t="s">
        <v>1215</v>
      </c>
      <c r="F99" t="s">
        <v>1211</v>
      </c>
    </row>
    <row r="100" spans="1:6" x14ac:dyDescent="0.25">
      <c r="A100">
        <v>100</v>
      </c>
      <c r="B100">
        <v>22</v>
      </c>
      <c r="C100" t="s">
        <v>1291</v>
      </c>
      <c r="D100" t="s">
        <v>1222</v>
      </c>
      <c r="E100" t="s">
        <v>1210</v>
      </c>
      <c r="F100" t="s">
        <v>1216</v>
      </c>
    </row>
    <row r="101" spans="1:6" x14ac:dyDescent="0.25">
      <c r="A101">
        <v>101</v>
      </c>
      <c r="B101">
        <v>18</v>
      </c>
      <c r="C101" t="s">
        <v>1291</v>
      </c>
      <c r="D101" t="s">
        <v>1218</v>
      </c>
      <c r="E101" t="s">
        <v>1217</v>
      </c>
      <c r="F101" t="s">
        <v>1216</v>
      </c>
    </row>
    <row r="102" spans="1:6" x14ac:dyDescent="0.25">
      <c r="A102">
        <v>102</v>
      </c>
      <c r="B102">
        <v>23</v>
      </c>
      <c r="C102" t="s">
        <v>1291</v>
      </c>
      <c r="D102" t="s">
        <v>1206</v>
      </c>
      <c r="E102" t="s">
        <v>1212</v>
      </c>
      <c r="F102" t="s">
        <v>1213</v>
      </c>
    </row>
    <row r="103" spans="1:6" x14ac:dyDescent="0.25">
      <c r="A103">
        <v>104</v>
      </c>
      <c r="B103">
        <v>21</v>
      </c>
      <c r="C103" t="s">
        <v>1291</v>
      </c>
      <c r="D103" t="s">
        <v>1206</v>
      </c>
      <c r="E103" t="s">
        <v>1210</v>
      </c>
      <c r="F103" t="s">
        <v>1216</v>
      </c>
    </row>
    <row r="104" spans="1:6" x14ac:dyDescent="0.25">
      <c r="A104">
        <v>105</v>
      </c>
      <c r="B104">
        <v>22</v>
      </c>
      <c r="C104" t="s">
        <v>1291</v>
      </c>
      <c r="D104" t="s">
        <v>1206</v>
      </c>
      <c r="E104" t="s">
        <v>1210</v>
      </c>
      <c r="F104" t="s">
        <v>1216</v>
      </c>
    </row>
    <row r="105" spans="1:6" x14ac:dyDescent="0.25">
      <c r="A105">
        <v>106</v>
      </c>
      <c r="B105">
        <v>19</v>
      </c>
      <c r="C105" t="s">
        <v>1291</v>
      </c>
      <c r="D105" t="s">
        <v>1206</v>
      </c>
      <c r="E105" t="s">
        <v>1215</v>
      </c>
      <c r="F105" t="s">
        <v>1221</v>
      </c>
    </row>
    <row r="106" spans="1:6" x14ac:dyDescent="0.25">
      <c r="A106">
        <v>107</v>
      </c>
      <c r="B106">
        <v>19</v>
      </c>
      <c r="C106" t="s">
        <v>1291</v>
      </c>
      <c r="D106" t="s">
        <v>1222</v>
      </c>
      <c r="E106" t="s">
        <v>1215</v>
      </c>
      <c r="F106" t="s">
        <v>1213</v>
      </c>
    </row>
    <row r="107" spans="1:6" x14ac:dyDescent="0.25">
      <c r="A107">
        <v>108</v>
      </c>
      <c r="B107">
        <v>24</v>
      </c>
      <c r="C107" t="s">
        <v>1291</v>
      </c>
      <c r="D107" t="s">
        <v>1219</v>
      </c>
      <c r="E107" t="s">
        <v>1212</v>
      </c>
      <c r="F107" t="s">
        <v>1216</v>
      </c>
    </row>
    <row r="108" spans="1:6" x14ac:dyDescent="0.25">
      <c r="A108">
        <v>110</v>
      </c>
      <c r="B108">
        <v>23</v>
      </c>
      <c r="C108" t="s">
        <v>1291</v>
      </c>
      <c r="D108" t="s">
        <v>1220</v>
      </c>
      <c r="E108" t="s">
        <v>1210</v>
      </c>
      <c r="F108" t="s">
        <v>1213</v>
      </c>
    </row>
    <row r="109" spans="1:6" x14ac:dyDescent="0.25">
      <c r="A109">
        <v>111</v>
      </c>
      <c r="B109">
        <v>24</v>
      </c>
      <c r="C109" t="s">
        <v>1291</v>
      </c>
      <c r="D109" t="s">
        <v>1206</v>
      </c>
      <c r="E109" t="s">
        <v>1210</v>
      </c>
      <c r="F109" t="s">
        <v>1213</v>
      </c>
    </row>
    <row r="110" spans="1:6" x14ac:dyDescent="0.25">
      <c r="A110">
        <v>112</v>
      </c>
      <c r="B110">
        <v>22</v>
      </c>
      <c r="C110" t="s">
        <v>1291</v>
      </c>
      <c r="D110" t="s">
        <v>1206</v>
      </c>
      <c r="E110" t="s">
        <v>1210</v>
      </c>
      <c r="F110" t="s">
        <v>1213</v>
      </c>
    </row>
    <row r="111" spans="1:6" x14ac:dyDescent="0.25">
      <c r="A111">
        <v>113</v>
      </c>
      <c r="B111">
        <v>25</v>
      </c>
      <c r="C111" t="s">
        <v>1291</v>
      </c>
      <c r="D111" t="s">
        <v>1218</v>
      </c>
      <c r="E111" t="s">
        <v>1217</v>
      </c>
      <c r="F111" t="s">
        <v>1213</v>
      </c>
    </row>
    <row r="112" spans="1:6" x14ac:dyDescent="0.25">
      <c r="A112">
        <v>114</v>
      </c>
      <c r="B112">
        <v>25</v>
      </c>
      <c r="C112" t="s">
        <v>1291</v>
      </c>
      <c r="D112" t="s">
        <v>1220</v>
      </c>
      <c r="E112" t="s">
        <v>1212</v>
      </c>
      <c r="F112" t="s">
        <v>1216</v>
      </c>
    </row>
    <row r="113" spans="1:6" x14ac:dyDescent="0.25">
      <c r="A113">
        <v>115</v>
      </c>
      <c r="B113">
        <v>21</v>
      </c>
      <c r="C113" t="s">
        <v>1291</v>
      </c>
      <c r="D113" t="s">
        <v>1206</v>
      </c>
      <c r="E113" t="s">
        <v>1210</v>
      </c>
      <c r="F113" t="s">
        <v>1211</v>
      </c>
    </row>
    <row r="114" spans="1:6" x14ac:dyDescent="0.25">
      <c r="A114">
        <v>116</v>
      </c>
      <c r="B114">
        <v>21</v>
      </c>
      <c r="C114" t="s">
        <v>1291</v>
      </c>
      <c r="D114" t="s">
        <v>1206</v>
      </c>
      <c r="E114" t="s">
        <v>1210</v>
      </c>
      <c r="F114" t="s">
        <v>1211</v>
      </c>
    </row>
    <row r="115" spans="1:6" x14ac:dyDescent="0.25">
      <c r="A115">
        <v>117</v>
      </c>
      <c r="B115">
        <v>20</v>
      </c>
      <c r="C115" t="s">
        <v>1291</v>
      </c>
      <c r="D115" t="s">
        <v>1220</v>
      </c>
      <c r="E115" t="s">
        <v>1210</v>
      </c>
      <c r="F115" t="s">
        <v>1216</v>
      </c>
    </row>
    <row r="116" spans="1:6" x14ac:dyDescent="0.25">
      <c r="A116">
        <v>118</v>
      </c>
      <c r="B116">
        <v>24</v>
      </c>
      <c r="C116" t="s">
        <v>1291</v>
      </c>
      <c r="D116" t="s">
        <v>1219</v>
      </c>
      <c r="E116" t="s">
        <v>1215</v>
      </c>
      <c r="F116" t="s">
        <v>1221</v>
      </c>
    </row>
    <row r="117" spans="1:6" x14ac:dyDescent="0.25">
      <c r="A117">
        <v>119</v>
      </c>
      <c r="B117">
        <v>22</v>
      </c>
      <c r="C117" t="s">
        <v>1291</v>
      </c>
      <c r="D117" t="s">
        <v>1206</v>
      </c>
      <c r="E117" t="s">
        <v>1217</v>
      </c>
      <c r="F117" t="s">
        <v>1213</v>
      </c>
    </row>
    <row r="118" spans="1:6" x14ac:dyDescent="0.25">
      <c r="A118">
        <v>120</v>
      </c>
      <c r="B118">
        <v>18</v>
      </c>
      <c r="C118" t="s">
        <v>1291</v>
      </c>
      <c r="D118" t="s">
        <v>1206</v>
      </c>
      <c r="E118" t="s">
        <v>1210</v>
      </c>
      <c r="F118" t="s">
        <v>1213</v>
      </c>
    </row>
    <row r="119" spans="1:6" x14ac:dyDescent="0.25">
      <c r="A119">
        <v>121</v>
      </c>
      <c r="B119">
        <v>21</v>
      </c>
      <c r="C119" t="s">
        <v>1291</v>
      </c>
      <c r="D119" t="s">
        <v>1219</v>
      </c>
      <c r="E119" t="s">
        <v>1215</v>
      </c>
      <c r="F119" t="s">
        <v>1208</v>
      </c>
    </row>
    <row r="120" spans="1:6" x14ac:dyDescent="0.25">
      <c r="A120">
        <v>122</v>
      </c>
      <c r="B120">
        <v>20</v>
      </c>
      <c r="C120" t="s">
        <v>1291</v>
      </c>
      <c r="D120" t="s">
        <v>1219</v>
      </c>
      <c r="E120" t="s">
        <v>1212</v>
      </c>
      <c r="F120" t="s">
        <v>1208</v>
      </c>
    </row>
    <row r="121" spans="1:6" x14ac:dyDescent="0.25">
      <c r="A121">
        <v>123</v>
      </c>
      <c r="B121">
        <v>19</v>
      </c>
      <c r="C121" t="s">
        <v>1291</v>
      </c>
      <c r="D121" t="s">
        <v>1222</v>
      </c>
      <c r="E121" t="s">
        <v>1210</v>
      </c>
      <c r="F121" t="s">
        <v>1208</v>
      </c>
    </row>
    <row r="122" spans="1:6" x14ac:dyDescent="0.25">
      <c r="A122">
        <v>124</v>
      </c>
      <c r="B122">
        <v>19</v>
      </c>
      <c r="C122" t="s">
        <v>1291</v>
      </c>
      <c r="D122" t="s">
        <v>1220</v>
      </c>
      <c r="E122" t="s">
        <v>1212</v>
      </c>
      <c r="F122" t="s">
        <v>1216</v>
      </c>
    </row>
    <row r="123" spans="1:6" x14ac:dyDescent="0.25">
      <c r="A123">
        <v>125</v>
      </c>
      <c r="B123">
        <v>18</v>
      </c>
      <c r="C123" t="s">
        <v>1291</v>
      </c>
      <c r="D123" t="s">
        <v>1222</v>
      </c>
      <c r="E123" t="s">
        <v>1210</v>
      </c>
      <c r="F123" t="s">
        <v>1221</v>
      </c>
    </row>
    <row r="124" spans="1:6" x14ac:dyDescent="0.25">
      <c r="A124">
        <v>126</v>
      </c>
      <c r="B124">
        <v>18</v>
      </c>
      <c r="C124" t="s">
        <v>1291</v>
      </c>
      <c r="D124" t="s">
        <v>1222</v>
      </c>
      <c r="E124" t="s">
        <v>1215</v>
      </c>
      <c r="F124" t="s">
        <v>1221</v>
      </c>
    </row>
    <row r="125" spans="1:6" x14ac:dyDescent="0.25">
      <c r="A125">
        <v>127</v>
      </c>
      <c r="B125">
        <v>20</v>
      </c>
      <c r="C125" t="s">
        <v>1291</v>
      </c>
      <c r="D125" t="s">
        <v>1206</v>
      </c>
      <c r="E125" t="s">
        <v>1210</v>
      </c>
      <c r="F125" t="s">
        <v>1216</v>
      </c>
    </row>
    <row r="126" spans="1:6" x14ac:dyDescent="0.25">
      <c r="A126">
        <v>128</v>
      </c>
      <c r="B126">
        <v>22</v>
      </c>
      <c r="C126" t="s">
        <v>1291</v>
      </c>
      <c r="D126" t="s">
        <v>1206</v>
      </c>
      <c r="E126" t="s">
        <v>1215</v>
      </c>
      <c r="F126" t="s">
        <v>1213</v>
      </c>
    </row>
    <row r="127" spans="1:6" x14ac:dyDescent="0.25">
      <c r="A127">
        <v>129</v>
      </c>
      <c r="B127">
        <v>21</v>
      </c>
      <c r="C127" t="s">
        <v>1291</v>
      </c>
      <c r="D127" t="s">
        <v>1206</v>
      </c>
      <c r="E127" t="s">
        <v>1212</v>
      </c>
      <c r="F127" t="s">
        <v>1221</v>
      </c>
    </row>
    <row r="128" spans="1:6" x14ac:dyDescent="0.25">
      <c r="A128">
        <v>130</v>
      </c>
      <c r="B128">
        <v>21</v>
      </c>
      <c r="C128" t="s">
        <v>1291</v>
      </c>
      <c r="D128" t="s">
        <v>1219</v>
      </c>
      <c r="E128" t="s">
        <v>1215</v>
      </c>
      <c r="F128" t="s">
        <v>1213</v>
      </c>
    </row>
    <row r="129" spans="1:6" x14ac:dyDescent="0.25">
      <c r="A129">
        <v>131</v>
      </c>
      <c r="B129">
        <v>24</v>
      </c>
      <c r="C129" t="s">
        <v>1291</v>
      </c>
      <c r="D129" t="s">
        <v>1220</v>
      </c>
      <c r="E129" t="s">
        <v>1210</v>
      </c>
      <c r="F129" t="s">
        <v>1213</v>
      </c>
    </row>
    <row r="130" spans="1:6" x14ac:dyDescent="0.25">
      <c r="A130">
        <v>132</v>
      </c>
      <c r="B130">
        <v>21</v>
      </c>
      <c r="C130" t="s">
        <v>1291</v>
      </c>
      <c r="D130" t="s">
        <v>1219</v>
      </c>
      <c r="E130" t="s">
        <v>1207</v>
      </c>
      <c r="F130" t="s">
        <v>1213</v>
      </c>
    </row>
    <row r="131" spans="1:6" x14ac:dyDescent="0.25">
      <c r="A131">
        <v>133</v>
      </c>
      <c r="B131">
        <v>23</v>
      </c>
      <c r="C131" t="s">
        <v>1291</v>
      </c>
      <c r="D131" t="s">
        <v>1222</v>
      </c>
      <c r="E131" t="s">
        <v>1207</v>
      </c>
      <c r="F131" t="s">
        <v>1221</v>
      </c>
    </row>
    <row r="132" spans="1:6" x14ac:dyDescent="0.25">
      <c r="A132">
        <v>134</v>
      </c>
      <c r="B132">
        <v>19</v>
      </c>
      <c r="C132" t="s">
        <v>1291</v>
      </c>
      <c r="D132" t="s">
        <v>1219</v>
      </c>
      <c r="E132" t="s">
        <v>1215</v>
      </c>
      <c r="F132" t="s">
        <v>1216</v>
      </c>
    </row>
    <row r="133" spans="1:6" x14ac:dyDescent="0.25">
      <c r="A133">
        <v>135</v>
      </c>
      <c r="B133">
        <v>25</v>
      </c>
      <c r="C133" t="s">
        <v>1291</v>
      </c>
      <c r="D133" t="s">
        <v>1220</v>
      </c>
      <c r="E133" t="s">
        <v>1215</v>
      </c>
      <c r="F133" t="s">
        <v>1213</v>
      </c>
    </row>
    <row r="134" spans="1:6" x14ac:dyDescent="0.25">
      <c r="A134">
        <v>136</v>
      </c>
      <c r="B134">
        <v>19</v>
      </c>
      <c r="C134" t="s">
        <v>1291</v>
      </c>
      <c r="D134" t="s">
        <v>1206</v>
      </c>
      <c r="E134" t="s">
        <v>1212</v>
      </c>
      <c r="F134" t="s">
        <v>1213</v>
      </c>
    </row>
    <row r="135" spans="1:6" x14ac:dyDescent="0.25">
      <c r="A135">
        <v>137</v>
      </c>
      <c r="B135">
        <v>22</v>
      </c>
      <c r="C135" t="s">
        <v>1291</v>
      </c>
      <c r="D135" t="s">
        <v>1222</v>
      </c>
      <c r="E135" t="s">
        <v>1217</v>
      </c>
      <c r="F135" t="s">
        <v>1213</v>
      </c>
    </row>
    <row r="136" spans="1:6" x14ac:dyDescent="0.25">
      <c r="A136">
        <v>138</v>
      </c>
      <c r="B136">
        <v>25</v>
      </c>
      <c r="C136" t="s">
        <v>1291</v>
      </c>
      <c r="D136" t="s">
        <v>1222</v>
      </c>
      <c r="E136" t="s">
        <v>1210</v>
      </c>
      <c r="F136" t="s">
        <v>1211</v>
      </c>
    </row>
    <row r="137" spans="1:6" x14ac:dyDescent="0.25">
      <c r="A137">
        <v>139</v>
      </c>
      <c r="B137">
        <v>22</v>
      </c>
      <c r="C137" t="s">
        <v>1291</v>
      </c>
      <c r="D137" t="s">
        <v>1206</v>
      </c>
      <c r="E137" t="s">
        <v>1215</v>
      </c>
      <c r="F137" t="s">
        <v>1213</v>
      </c>
    </row>
    <row r="138" spans="1:6" x14ac:dyDescent="0.25">
      <c r="A138">
        <v>140</v>
      </c>
      <c r="B138">
        <v>25</v>
      </c>
      <c r="C138" t="s">
        <v>1291</v>
      </c>
      <c r="D138" t="s">
        <v>1206</v>
      </c>
      <c r="E138" t="s">
        <v>1217</v>
      </c>
      <c r="F138" t="s">
        <v>1216</v>
      </c>
    </row>
    <row r="139" spans="1:6" x14ac:dyDescent="0.25">
      <c r="A139">
        <v>141</v>
      </c>
      <c r="B139">
        <v>19</v>
      </c>
      <c r="C139" t="s">
        <v>1291</v>
      </c>
      <c r="D139" t="s">
        <v>1218</v>
      </c>
      <c r="E139" t="s">
        <v>1207</v>
      </c>
      <c r="F139" t="s">
        <v>1216</v>
      </c>
    </row>
    <row r="140" spans="1:6" x14ac:dyDescent="0.25">
      <c r="A140">
        <v>142</v>
      </c>
      <c r="B140">
        <v>21</v>
      </c>
      <c r="C140" t="s">
        <v>1291</v>
      </c>
      <c r="D140" t="s">
        <v>1219</v>
      </c>
      <c r="E140" t="s">
        <v>1215</v>
      </c>
      <c r="F140" t="s">
        <v>1216</v>
      </c>
    </row>
    <row r="141" spans="1:6" x14ac:dyDescent="0.25">
      <c r="A141">
        <v>143</v>
      </c>
      <c r="B141">
        <v>19</v>
      </c>
      <c r="C141" t="s">
        <v>1291</v>
      </c>
      <c r="D141" t="s">
        <v>1206</v>
      </c>
      <c r="E141" t="s">
        <v>1210</v>
      </c>
      <c r="F141" t="s">
        <v>1213</v>
      </c>
    </row>
    <row r="142" spans="1:6" x14ac:dyDescent="0.25">
      <c r="A142">
        <v>144</v>
      </c>
      <c r="B142">
        <v>23</v>
      </c>
      <c r="C142" t="s">
        <v>1291</v>
      </c>
      <c r="D142" t="s">
        <v>1206</v>
      </c>
      <c r="E142" t="s">
        <v>1215</v>
      </c>
      <c r="F142" t="s">
        <v>1221</v>
      </c>
    </row>
    <row r="143" spans="1:6" x14ac:dyDescent="0.25">
      <c r="A143">
        <v>145</v>
      </c>
      <c r="B143">
        <v>22</v>
      </c>
      <c r="C143" t="s">
        <v>1291</v>
      </c>
      <c r="D143" t="s">
        <v>1206</v>
      </c>
      <c r="E143" t="s">
        <v>1215</v>
      </c>
      <c r="F143" t="s">
        <v>1216</v>
      </c>
    </row>
    <row r="144" spans="1:6" x14ac:dyDescent="0.25">
      <c r="A144">
        <v>146</v>
      </c>
      <c r="B144">
        <v>22</v>
      </c>
      <c r="C144" t="s">
        <v>1291</v>
      </c>
      <c r="D144" t="s">
        <v>1206</v>
      </c>
      <c r="E144" t="s">
        <v>1212</v>
      </c>
      <c r="F144" t="s">
        <v>1221</v>
      </c>
    </row>
    <row r="145" spans="1:6" x14ac:dyDescent="0.25">
      <c r="A145">
        <v>147</v>
      </c>
      <c r="B145">
        <v>21</v>
      </c>
      <c r="C145" t="s">
        <v>1291</v>
      </c>
      <c r="D145" t="s">
        <v>1206</v>
      </c>
      <c r="E145" t="s">
        <v>1215</v>
      </c>
      <c r="F145" t="s">
        <v>1213</v>
      </c>
    </row>
    <row r="146" spans="1:6" x14ac:dyDescent="0.25">
      <c r="A146">
        <v>148</v>
      </c>
      <c r="B146">
        <v>24</v>
      </c>
      <c r="C146" t="s">
        <v>1291</v>
      </c>
      <c r="D146" t="s">
        <v>1206</v>
      </c>
      <c r="E146" t="s">
        <v>1217</v>
      </c>
      <c r="F146" t="s">
        <v>1213</v>
      </c>
    </row>
    <row r="147" spans="1:6" x14ac:dyDescent="0.25">
      <c r="A147">
        <v>149</v>
      </c>
      <c r="B147">
        <v>19</v>
      </c>
      <c r="C147" t="s">
        <v>1291</v>
      </c>
      <c r="D147" t="s">
        <v>1222</v>
      </c>
      <c r="E147" t="s">
        <v>1207</v>
      </c>
      <c r="F147" t="s">
        <v>1221</v>
      </c>
    </row>
    <row r="148" spans="1:6" x14ac:dyDescent="0.25">
      <c r="A148">
        <v>150</v>
      </c>
      <c r="B148">
        <v>23</v>
      </c>
      <c r="C148" t="s">
        <v>1291</v>
      </c>
      <c r="D148" t="s">
        <v>1206</v>
      </c>
      <c r="E148" t="s">
        <v>1215</v>
      </c>
      <c r="F148" t="s">
        <v>1216</v>
      </c>
    </row>
    <row r="149" spans="1:6" x14ac:dyDescent="0.25">
      <c r="A149">
        <v>151</v>
      </c>
      <c r="B149">
        <v>21</v>
      </c>
      <c r="C149" t="s">
        <v>1291</v>
      </c>
      <c r="D149" t="s">
        <v>1206</v>
      </c>
      <c r="E149" t="s">
        <v>1212</v>
      </c>
      <c r="F149" t="s">
        <v>1213</v>
      </c>
    </row>
    <row r="150" spans="1:6" x14ac:dyDescent="0.25">
      <c r="A150">
        <v>152</v>
      </c>
      <c r="B150">
        <v>20</v>
      </c>
      <c r="C150" t="s">
        <v>1291</v>
      </c>
      <c r="D150" t="s">
        <v>1218</v>
      </c>
      <c r="E150" t="s">
        <v>1210</v>
      </c>
      <c r="F150" t="s">
        <v>1213</v>
      </c>
    </row>
    <row r="151" spans="1:6" x14ac:dyDescent="0.25">
      <c r="A151">
        <v>153</v>
      </c>
      <c r="B151">
        <v>18</v>
      </c>
      <c r="C151" t="s">
        <v>1291</v>
      </c>
      <c r="D151" t="s">
        <v>1219</v>
      </c>
      <c r="E151" t="s">
        <v>1210</v>
      </c>
      <c r="F151" t="s">
        <v>1213</v>
      </c>
    </row>
    <row r="152" spans="1:6" x14ac:dyDescent="0.25">
      <c r="A152">
        <v>154</v>
      </c>
      <c r="B152">
        <v>21</v>
      </c>
      <c r="C152" t="s">
        <v>1291</v>
      </c>
      <c r="D152" t="s">
        <v>1206</v>
      </c>
      <c r="E152" t="s">
        <v>1210</v>
      </c>
      <c r="F152" t="s">
        <v>1216</v>
      </c>
    </row>
    <row r="153" spans="1:6" x14ac:dyDescent="0.25">
      <c r="A153">
        <v>155</v>
      </c>
      <c r="B153">
        <v>25</v>
      </c>
      <c r="C153" t="s">
        <v>1291</v>
      </c>
      <c r="D153" t="s">
        <v>1222</v>
      </c>
      <c r="E153" t="s">
        <v>1212</v>
      </c>
      <c r="F153" t="s">
        <v>1221</v>
      </c>
    </row>
    <row r="154" spans="1:6" x14ac:dyDescent="0.25">
      <c r="A154">
        <v>156</v>
      </c>
      <c r="B154">
        <v>21</v>
      </c>
      <c r="C154" t="s">
        <v>1291</v>
      </c>
      <c r="D154" t="s">
        <v>1206</v>
      </c>
      <c r="E154" t="s">
        <v>1207</v>
      </c>
      <c r="F154" t="s">
        <v>1216</v>
      </c>
    </row>
    <row r="155" spans="1:6" x14ac:dyDescent="0.25">
      <c r="A155">
        <v>157</v>
      </c>
      <c r="B155">
        <v>19</v>
      </c>
      <c r="C155" t="s">
        <v>1291</v>
      </c>
      <c r="D155" t="s">
        <v>1219</v>
      </c>
      <c r="E155" t="s">
        <v>1215</v>
      </c>
      <c r="F155" t="s">
        <v>1221</v>
      </c>
    </row>
    <row r="156" spans="1:6" x14ac:dyDescent="0.25">
      <c r="A156">
        <v>158</v>
      </c>
      <c r="B156">
        <v>20</v>
      </c>
      <c r="C156" t="s">
        <v>1291</v>
      </c>
      <c r="D156" t="s">
        <v>1206</v>
      </c>
      <c r="E156" t="s">
        <v>1210</v>
      </c>
      <c r="F156" t="s">
        <v>1208</v>
      </c>
    </row>
    <row r="157" spans="1:6" x14ac:dyDescent="0.25">
      <c r="A157">
        <v>159</v>
      </c>
      <c r="B157">
        <v>21</v>
      </c>
      <c r="C157" t="s">
        <v>1291</v>
      </c>
      <c r="D157" t="s">
        <v>1206</v>
      </c>
      <c r="E157" t="s">
        <v>1215</v>
      </c>
      <c r="F157" t="s">
        <v>1216</v>
      </c>
    </row>
    <row r="158" spans="1:6" x14ac:dyDescent="0.25">
      <c r="A158">
        <v>160</v>
      </c>
      <c r="B158">
        <v>19</v>
      </c>
      <c r="C158" t="s">
        <v>1291</v>
      </c>
      <c r="D158" t="s">
        <v>1206</v>
      </c>
      <c r="E158" t="s">
        <v>1217</v>
      </c>
      <c r="F158" t="s">
        <v>1216</v>
      </c>
    </row>
    <row r="159" spans="1:6" x14ac:dyDescent="0.25">
      <c r="A159">
        <v>161</v>
      </c>
      <c r="B159">
        <v>25</v>
      </c>
      <c r="C159" t="s">
        <v>1291</v>
      </c>
      <c r="D159" t="s">
        <v>1206</v>
      </c>
      <c r="E159" t="s">
        <v>1215</v>
      </c>
      <c r="F159" t="s">
        <v>1213</v>
      </c>
    </row>
    <row r="160" spans="1:6" x14ac:dyDescent="0.25">
      <c r="A160">
        <v>162</v>
      </c>
      <c r="B160">
        <v>21</v>
      </c>
      <c r="C160" t="s">
        <v>1291</v>
      </c>
      <c r="D160" t="s">
        <v>1219</v>
      </c>
      <c r="E160" t="s">
        <v>1212</v>
      </c>
      <c r="F160" t="s">
        <v>1213</v>
      </c>
    </row>
    <row r="161" spans="1:6" x14ac:dyDescent="0.25">
      <c r="A161">
        <v>164</v>
      </c>
      <c r="B161">
        <v>25</v>
      </c>
      <c r="C161" t="s">
        <v>1291</v>
      </c>
      <c r="D161" t="s">
        <v>1218</v>
      </c>
      <c r="E161" t="s">
        <v>1215</v>
      </c>
      <c r="F161" t="s">
        <v>1221</v>
      </c>
    </row>
    <row r="162" spans="1:6" x14ac:dyDescent="0.25">
      <c r="A162">
        <v>165</v>
      </c>
      <c r="B162">
        <v>21</v>
      </c>
      <c r="C162" t="s">
        <v>1291</v>
      </c>
      <c r="D162" t="s">
        <v>1206</v>
      </c>
      <c r="E162" t="s">
        <v>1210</v>
      </c>
      <c r="F162" t="s">
        <v>1216</v>
      </c>
    </row>
    <row r="163" spans="1:6" x14ac:dyDescent="0.25">
      <c r="A163">
        <v>166</v>
      </c>
      <c r="B163">
        <v>25</v>
      </c>
      <c r="C163" t="s">
        <v>1291</v>
      </c>
      <c r="D163" t="s">
        <v>1206</v>
      </c>
      <c r="E163" t="s">
        <v>1215</v>
      </c>
      <c r="F163" t="s">
        <v>1221</v>
      </c>
    </row>
    <row r="164" spans="1:6" x14ac:dyDescent="0.25">
      <c r="A164">
        <v>167</v>
      </c>
      <c r="B164">
        <v>25</v>
      </c>
      <c r="C164" t="s">
        <v>1291</v>
      </c>
      <c r="D164" t="s">
        <v>1219</v>
      </c>
      <c r="E164" t="s">
        <v>1210</v>
      </c>
      <c r="F164" t="s">
        <v>1216</v>
      </c>
    </row>
    <row r="165" spans="1:6" x14ac:dyDescent="0.25">
      <c r="A165">
        <v>168</v>
      </c>
      <c r="B165">
        <v>22</v>
      </c>
      <c r="C165" t="s">
        <v>1291</v>
      </c>
      <c r="D165" t="s">
        <v>1220</v>
      </c>
      <c r="E165" t="s">
        <v>1210</v>
      </c>
      <c r="F165" t="s">
        <v>1216</v>
      </c>
    </row>
    <row r="166" spans="1:6" x14ac:dyDescent="0.25">
      <c r="A166">
        <v>169</v>
      </c>
      <c r="B166">
        <v>21</v>
      </c>
      <c r="C166" t="s">
        <v>1291</v>
      </c>
      <c r="D166" t="s">
        <v>1218</v>
      </c>
      <c r="E166" t="s">
        <v>1217</v>
      </c>
      <c r="F166" t="s">
        <v>1216</v>
      </c>
    </row>
    <row r="167" spans="1:6" x14ac:dyDescent="0.25">
      <c r="A167">
        <v>103</v>
      </c>
      <c r="B167">
        <v>19</v>
      </c>
      <c r="C167" t="s">
        <v>1291</v>
      </c>
      <c r="D167" t="s">
        <v>1206</v>
      </c>
      <c r="E167" t="s">
        <v>1210</v>
      </c>
      <c r="F167" t="s">
        <v>1221</v>
      </c>
    </row>
    <row r="168" spans="1:6" x14ac:dyDescent="0.25">
      <c r="A168">
        <v>170</v>
      </c>
      <c r="B168">
        <v>19</v>
      </c>
      <c r="C168" t="s">
        <v>1291</v>
      </c>
      <c r="D168" t="s">
        <v>1206</v>
      </c>
      <c r="E168" t="s">
        <v>1215</v>
      </c>
      <c r="F168" t="s">
        <v>1221</v>
      </c>
    </row>
    <row r="169" spans="1:6" x14ac:dyDescent="0.25">
      <c r="A169">
        <v>171</v>
      </c>
      <c r="B169">
        <v>25</v>
      </c>
      <c r="C169" t="s">
        <v>1291</v>
      </c>
      <c r="D169" t="s">
        <v>1219</v>
      </c>
      <c r="E169" t="s">
        <v>1210</v>
      </c>
      <c r="F169" t="s">
        <v>1213</v>
      </c>
    </row>
    <row r="170" spans="1:6" x14ac:dyDescent="0.25">
      <c r="A170">
        <v>172</v>
      </c>
      <c r="B170">
        <v>18</v>
      </c>
      <c r="C170" t="s">
        <v>1291</v>
      </c>
      <c r="D170" t="s">
        <v>1206</v>
      </c>
      <c r="E170" t="s">
        <v>1215</v>
      </c>
      <c r="F170" t="s">
        <v>1221</v>
      </c>
    </row>
    <row r="171" spans="1:6" x14ac:dyDescent="0.25">
      <c r="A171">
        <v>173</v>
      </c>
      <c r="B171">
        <v>25</v>
      </c>
      <c r="C171" t="s">
        <v>1291</v>
      </c>
      <c r="D171" t="s">
        <v>1206</v>
      </c>
      <c r="E171" t="s">
        <v>1210</v>
      </c>
      <c r="F171" t="s">
        <v>1211</v>
      </c>
    </row>
    <row r="172" spans="1:6" x14ac:dyDescent="0.25">
      <c r="A172">
        <v>174</v>
      </c>
      <c r="B172">
        <v>25</v>
      </c>
      <c r="C172" t="s">
        <v>1291</v>
      </c>
      <c r="D172" t="s">
        <v>1219</v>
      </c>
      <c r="E172" t="s">
        <v>1210</v>
      </c>
      <c r="F172" t="s">
        <v>1216</v>
      </c>
    </row>
    <row r="173" spans="1:6" x14ac:dyDescent="0.25">
      <c r="A173">
        <v>175</v>
      </c>
      <c r="B173">
        <v>22</v>
      </c>
      <c r="C173" t="s">
        <v>1291</v>
      </c>
      <c r="D173" t="s">
        <v>1220</v>
      </c>
      <c r="E173" t="s">
        <v>1210</v>
      </c>
      <c r="F173" t="s">
        <v>1213</v>
      </c>
    </row>
    <row r="174" spans="1:6" x14ac:dyDescent="0.25">
      <c r="A174">
        <v>176</v>
      </c>
      <c r="B174">
        <v>21</v>
      </c>
      <c r="C174" t="s">
        <v>1291</v>
      </c>
      <c r="D174" t="s">
        <v>1222</v>
      </c>
      <c r="E174" t="s">
        <v>1215</v>
      </c>
      <c r="F174" t="s">
        <v>1213</v>
      </c>
    </row>
    <row r="175" spans="1:6" x14ac:dyDescent="0.25">
      <c r="A175">
        <v>177</v>
      </c>
      <c r="B175">
        <v>21</v>
      </c>
      <c r="C175" t="s">
        <v>1291</v>
      </c>
      <c r="D175" t="s">
        <v>1206</v>
      </c>
      <c r="E175" t="s">
        <v>1215</v>
      </c>
      <c r="F175" t="s">
        <v>1216</v>
      </c>
    </row>
    <row r="176" spans="1:6" x14ac:dyDescent="0.25">
      <c r="A176">
        <v>178</v>
      </c>
      <c r="B176">
        <v>22</v>
      </c>
      <c r="C176" t="s">
        <v>1291</v>
      </c>
      <c r="D176" t="s">
        <v>1206</v>
      </c>
      <c r="E176" t="s">
        <v>1217</v>
      </c>
      <c r="F176" t="s">
        <v>1216</v>
      </c>
    </row>
    <row r="177" spans="1:6" x14ac:dyDescent="0.25">
      <c r="A177">
        <v>179</v>
      </c>
      <c r="B177">
        <v>21</v>
      </c>
      <c r="C177" t="s">
        <v>1291</v>
      </c>
      <c r="D177" t="s">
        <v>1206</v>
      </c>
      <c r="E177" t="s">
        <v>1215</v>
      </c>
      <c r="F177" t="s">
        <v>1216</v>
      </c>
    </row>
    <row r="178" spans="1:6" x14ac:dyDescent="0.25">
      <c r="A178">
        <v>180</v>
      </c>
      <c r="B178">
        <v>25</v>
      </c>
      <c r="C178" t="s">
        <v>1291</v>
      </c>
      <c r="D178" t="s">
        <v>1206</v>
      </c>
      <c r="E178" t="s">
        <v>1207</v>
      </c>
      <c r="F178" t="s">
        <v>1216</v>
      </c>
    </row>
    <row r="179" spans="1:6" x14ac:dyDescent="0.25">
      <c r="A179">
        <v>181</v>
      </c>
      <c r="B179">
        <v>21</v>
      </c>
      <c r="C179" t="s">
        <v>1291</v>
      </c>
      <c r="D179" t="s">
        <v>1220</v>
      </c>
      <c r="E179" t="s">
        <v>1207</v>
      </c>
      <c r="F179" t="s">
        <v>1211</v>
      </c>
    </row>
    <row r="180" spans="1:6" x14ac:dyDescent="0.25">
      <c r="A180">
        <v>182</v>
      </c>
      <c r="B180">
        <v>25</v>
      </c>
      <c r="C180" t="s">
        <v>1291</v>
      </c>
      <c r="D180" t="s">
        <v>1220</v>
      </c>
      <c r="E180" t="s">
        <v>1212</v>
      </c>
      <c r="F180" t="s">
        <v>1221</v>
      </c>
    </row>
    <row r="181" spans="1:6" x14ac:dyDescent="0.25">
      <c r="A181">
        <v>183</v>
      </c>
      <c r="B181">
        <v>21</v>
      </c>
      <c r="C181" t="s">
        <v>1291</v>
      </c>
      <c r="D181" t="s">
        <v>1220</v>
      </c>
      <c r="E181" t="s">
        <v>1212</v>
      </c>
      <c r="F181" t="s">
        <v>1216</v>
      </c>
    </row>
    <row r="182" spans="1:6" x14ac:dyDescent="0.25">
      <c r="A182">
        <v>184</v>
      </c>
      <c r="B182">
        <v>23</v>
      </c>
      <c r="C182" t="s">
        <v>1291</v>
      </c>
      <c r="D182" t="s">
        <v>1206</v>
      </c>
      <c r="E182" t="s">
        <v>1210</v>
      </c>
      <c r="F182" t="s">
        <v>1208</v>
      </c>
    </row>
    <row r="183" spans="1:6" x14ac:dyDescent="0.25">
      <c r="A183">
        <v>185</v>
      </c>
      <c r="B183">
        <v>24</v>
      </c>
      <c r="C183" t="s">
        <v>1291</v>
      </c>
      <c r="D183" t="s">
        <v>1206</v>
      </c>
      <c r="E183" t="s">
        <v>1215</v>
      </c>
      <c r="F183" t="s">
        <v>1221</v>
      </c>
    </row>
    <row r="184" spans="1:6" x14ac:dyDescent="0.25">
      <c r="A184">
        <v>186</v>
      </c>
      <c r="B184">
        <v>22</v>
      </c>
      <c r="C184" t="s">
        <v>1291</v>
      </c>
      <c r="D184" t="s">
        <v>1206</v>
      </c>
      <c r="E184" t="s">
        <v>1215</v>
      </c>
      <c r="F184" t="s">
        <v>1216</v>
      </c>
    </row>
    <row r="185" spans="1:6" x14ac:dyDescent="0.25">
      <c r="A185">
        <v>187</v>
      </c>
      <c r="B185">
        <v>20</v>
      </c>
      <c r="C185" t="s">
        <v>1291</v>
      </c>
      <c r="D185" t="s">
        <v>1206</v>
      </c>
      <c r="E185" t="s">
        <v>1210</v>
      </c>
      <c r="F185" t="s">
        <v>1216</v>
      </c>
    </row>
    <row r="186" spans="1:6" x14ac:dyDescent="0.25">
      <c r="A186">
        <v>188</v>
      </c>
      <c r="B186">
        <v>18</v>
      </c>
      <c r="C186" t="s">
        <v>1291</v>
      </c>
      <c r="D186" t="s">
        <v>1206</v>
      </c>
      <c r="E186" t="s">
        <v>1210</v>
      </c>
      <c r="F186" t="s">
        <v>1213</v>
      </c>
    </row>
    <row r="187" spans="1:6" x14ac:dyDescent="0.25">
      <c r="A187">
        <v>189</v>
      </c>
      <c r="B187">
        <v>20</v>
      </c>
      <c r="C187" t="s">
        <v>1291</v>
      </c>
      <c r="D187" t="s">
        <v>1206</v>
      </c>
      <c r="E187" t="s">
        <v>1210</v>
      </c>
      <c r="F187" t="s">
        <v>1213</v>
      </c>
    </row>
    <row r="188" spans="1:6" x14ac:dyDescent="0.25">
      <c r="A188">
        <v>190</v>
      </c>
      <c r="B188">
        <v>22</v>
      </c>
      <c r="C188" t="s">
        <v>1291</v>
      </c>
      <c r="D188" t="s">
        <v>1206</v>
      </c>
      <c r="E188" t="s">
        <v>1217</v>
      </c>
      <c r="F188" t="s">
        <v>1213</v>
      </c>
    </row>
    <row r="189" spans="1:6" x14ac:dyDescent="0.25">
      <c r="A189">
        <v>191</v>
      </c>
      <c r="B189">
        <v>20</v>
      </c>
      <c r="C189" t="s">
        <v>1291</v>
      </c>
      <c r="D189" t="s">
        <v>1219</v>
      </c>
      <c r="E189" t="s">
        <v>1215</v>
      </c>
      <c r="F189" t="s">
        <v>1208</v>
      </c>
    </row>
    <row r="190" spans="1:6" x14ac:dyDescent="0.25">
      <c r="A190">
        <v>192</v>
      </c>
      <c r="B190">
        <v>18</v>
      </c>
      <c r="C190" t="s">
        <v>1291</v>
      </c>
      <c r="D190" t="s">
        <v>1206</v>
      </c>
      <c r="E190" t="s">
        <v>1215</v>
      </c>
      <c r="F190" t="s">
        <v>1216</v>
      </c>
    </row>
    <row r="191" spans="1:6" x14ac:dyDescent="0.25">
      <c r="A191">
        <v>193</v>
      </c>
      <c r="B191">
        <v>18</v>
      </c>
      <c r="C191" t="s">
        <v>1291</v>
      </c>
      <c r="D191" t="s">
        <v>1218</v>
      </c>
      <c r="E191" t="s">
        <v>1215</v>
      </c>
      <c r="F191" t="s">
        <v>1213</v>
      </c>
    </row>
    <row r="192" spans="1:6" x14ac:dyDescent="0.25">
      <c r="A192">
        <v>194</v>
      </c>
      <c r="B192">
        <v>19</v>
      </c>
      <c r="C192" t="s">
        <v>1291</v>
      </c>
      <c r="D192" t="s">
        <v>1222</v>
      </c>
      <c r="E192" t="s">
        <v>1217</v>
      </c>
      <c r="F192" t="s">
        <v>1221</v>
      </c>
    </row>
    <row r="193" spans="1:6" x14ac:dyDescent="0.25">
      <c r="A193">
        <v>195</v>
      </c>
      <c r="B193">
        <v>20</v>
      </c>
      <c r="C193" t="s">
        <v>1291</v>
      </c>
      <c r="D193" t="s">
        <v>1219</v>
      </c>
      <c r="E193" t="s">
        <v>1210</v>
      </c>
      <c r="F193" t="s">
        <v>1221</v>
      </c>
    </row>
    <row r="194" spans="1:6" x14ac:dyDescent="0.25">
      <c r="A194">
        <v>196</v>
      </c>
      <c r="B194">
        <v>24</v>
      </c>
      <c r="C194" t="s">
        <v>1291</v>
      </c>
      <c r="D194" t="s">
        <v>1206</v>
      </c>
      <c r="E194" t="s">
        <v>1210</v>
      </c>
      <c r="F194" t="s">
        <v>1216</v>
      </c>
    </row>
    <row r="195" spans="1:6" x14ac:dyDescent="0.25">
      <c r="A195">
        <v>197</v>
      </c>
      <c r="B195">
        <v>21</v>
      </c>
      <c r="C195" t="s">
        <v>1291</v>
      </c>
      <c r="D195" t="s">
        <v>1219</v>
      </c>
      <c r="E195" t="s">
        <v>1215</v>
      </c>
      <c r="F195" t="s">
        <v>1221</v>
      </c>
    </row>
    <row r="196" spans="1:6" x14ac:dyDescent="0.25">
      <c r="A196">
        <v>198</v>
      </c>
      <c r="B196">
        <v>24</v>
      </c>
      <c r="C196" t="s">
        <v>1291</v>
      </c>
      <c r="D196" t="s">
        <v>1206</v>
      </c>
      <c r="E196" t="s">
        <v>1215</v>
      </c>
      <c r="F196" t="s">
        <v>1216</v>
      </c>
    </row>
    <row r="197" spans="1:6" x14ac:dyDescent="0.25">
      <c r="A197">
        <v>199</v>
      </c>
      <c r="B197">
        <v>21</v>
      </c>
      <c r="C197" t="s">
        <v>1291</v>
      </c>
      <c r="D197" t="s">
        <v>1220</v>
      </c>
      <c r="E197" t="s">
        <v>1217</v>
      </c>
      <c r="F197" t="s">
        <v>1211</v>
      </c>
    </row>
    <row r="198" spans="1:6" x14ac:dyDescent="0.25">
      <c r="A198">
        <v>200</v>
      </c>
      <c r="B198">
        <v>25</v>
      </c>
      <c r="C198" t="s">
        <v>1291</v>
      </c>
      <c r="D198" t="s">
        <v>1222</v>
      </c>
      <c r="E198" t="s">
        <v>1212</v>
      </c>
      <c r="F198" t="s">
        <v>1216</v>
      </c>
    </row>
    <row r="199" spans="1:6" x14ac:dyDescent="0.25">
      <c r="A199">
        <v>201</v>
      </c>
      <c r="B199">
        <v>25</v>
      </c>
      <c r="C199" t="s">
        <v>1291</v>
      </c>
      <c r="D199" t="s">
        <v>1219</v>
      </c>
      <c r="E199" t="s">
        <v>1210</v>
      </c>
      <c r="F199" t="s">
        <v>1221</v>
      </c>
    </row>
    <row r="200" spans="1:6" x14ac:dyDescent="0.25">
      <c r="A200">
        <v>202</v>
      </c>
      <c r="B200">
        <v>21</v>
      </c>
      <c r="C200" t="s">
        <v>1291</v>
      </c>
      <c r="D200" t="s">
        <v>1206</v>
      </c>
      <c r="E200" t="s">
        <v>1212</v>
      </c>
      <c r="F200" t="s">
        <v>1221</v>
      </c>
    </row>
    <row r="201" spans="1:6" x14ac:dyDescent="0.25">
      <c r="A201">
        <v>203</v>
      </c>
      <c r="B201">
        <v>24</v>
      </c>
      <c r="C201" t="s">
        <v>1291</v>
      </c>
      <c r="D201" t="s">
        <v>1206</v>
      </c>
      <c r="E201" t="s">
        <v>1207</v>
      </c>
      <c r="F201" t="s">
        <v>1216</v>
      </c>
    </row>
    <row r="202" spans="1:6" x14ac:dyDescent="0.25">
      <c r="A202">
        <v>204</v>
      </c>
      <c r="B202">
        <v>18</v>
      </c>
      <c r="C202" t="s">
        <v>1291</v>
      </c>
      <c r="D202" t="s">
        <v>1206</v>
      </c>
      <c r="E202" t="s">
        <v>1215</v>
      </c>
      <c r="F202" t="s">
        <v>1208</v>
      </c>
    </row>
    <row r="203" spans="1:6" x14ac:dyDescent="0.25">
      <c r="A203">
        <v>205</v>
      </c>
      <c r="B203">
        <v>20</v>
      </c>
      <c r="C203" t="s">
        <v>1291</v>
      </c>
      <c r="D203" t="s">
        <v>1206</v>
      </c>
      <c r="E203" t="s">
        <v>1215</v>
      </c>
      <c r="F203" t="s">
        <v>1216</v>
      </c>
    </row>
    <row r="204" spans="1:6" x14ac:dyDescent="0.25">
      <c r="A204">
        <v>206</v>
      </c>
      <c r="B204">
        <v>25</v>
      </c>
      <c r="C204" t="s">
        <v>1291</v>
      </c>
      <c r="D204" t="s">
        <v>1218</v>
      </c>
      <c r="E204" t="s">
        <v>1207</v>
      </c>
      <c r="F204" t="s">
        <v>1208</v>
      </c>
    </row>
    <row r="205" spans="1:6" x14ac:dyDescent="0.25">
      <c r="A205">
        <v>207</v>
      </c>
      <c r="B205">
        <v>20</v>
      </c>
      <c r="C205" t="s">
        <v>1291</v>
      </c>
      <c r="D205" t="s">
        <v>1218</v>
      </c>
      <c r="E205" t="s">
        <v>1207</v>
      </c>
      <c r="F205" t="s">
        <v>1208</v>
      </c>
    </row>
    <row r="206" spans="1:6" x14ac:dyDescent="0.25">
      <c r="A206">
        <v>208</v>
      </c>
      <c r="B206">
        <v>21</v>
      </c>
      <c r="C206" t="s">
        <v>1291</v>
      </c>
      <c r="D206" t="s">
        <v>1219</v>
      </c>
      <c r="E206" t="s">
        <v>1210</v>
      </c>
      <c r="F206" t="s">
        <v>1211</v>
      </c>
    </row>
    <row r="207" spans="1:6" x14ac:dyDescent="0.25">
      <c r="A207">
        <v>209</v>
      </c>
      <c r="B207">
        <v>23</v>
      </c>
      <c r="C207" t="s">
        <v>1291</v>
      </c>
      <c r="D207" t="s">
        <v>1222</v>
      </c>
      <c r="E207" t="s">
        <v>1210</v>
      </c>
      <c r="F207" t="s">
        <v>1213</v>
      </c>
    </row>
    <row r="208" spans="1:6" x14ac:dyDescent="0.25">
      <c r="A208">
        <v>210</v>
      </c>
      <c r="B208">
        <v>24</v>
      </c>
      <c r="C208" t="s">
        <v>1291</v>
      </c>
      <c r="D208" t="s">
        <v>1206</v>
      </c>
      <c r="E208" t="s">
        <v>1215</v>
      </c>
      <c r="F208" t="s">
        <v>1213</v>
      </c>
    </row>
    <row r="209" spans="1:6" x14ac:dyDescent="0.25">
      <c r="A209">
        <v>211</v>
      </c>
      <c r="B209">
        <v>24</v>
      </c>
      <c r="C209" t="s">
        <v>1291</v>
      </c>
      <c r="D209" t="s">
        <v>1206</v>
      </c>
      <c r="E209" t="s">
        <v>1217</v>
      </c>
      <c r="F209" t="s">
        <v>1216</v>
      </c>
    </row>
    <row r="210" spans="1:6" x14ac:dyDescent="0.25">
      <c r="A210">
        <v>212</v>
      </c>
      <c r="B210">
        <v>20</v>
      </c>
      <c r="C210" t="s">
        <v>1291</v>
      </c>
      <c r="D210" t="s">
        <v>1206</v>
      </c>
      <c r="E210" t="s">
        <v>1210</v>
      </c>
      <c r="F210" t="s">
        <v>1221</v>
      </c>
    </row>
    <row r="211" spans="1:6" x14ac:dyDescent="0.25">
      <c r="A211">
        <v>213</v>
      </c>
      <c r="B211">
        <v>21</v>
      </c>
      <c r="C211" t="s">
        <v>1291</v>
      </c>
      <c r="D211" t="s">
        <v>1206</v>
      </c>
      <c r="E211" t="s">
        <v>1215</v>
      </c>
      <c r="F211" t="s">
        <v>1213</v>
      </c>
    </row>
    <row r="212" spans="1:6" x14ac:dyDescent="0.25">
      <c r="A212">
        <v>214</v>
      </c>
      <c r="B212">
        <v>19</v>
      </c>
      <c r="C212" t="s">
        <v>1291</v>
      </c>
      <c r="D212" t="s">
        <v>1206</v>
      </c>
      <c r="E212" t="s">
        <v>1215</v>
      </c>
      <c r="F212" t="s">
        <v>1216</v>
      </c>
    </row>
    <row r="213" spans="1:6" x14ac:dyDescent="0.25">
      <c r="A213">
        <v>215</v>
      </c>
      <c r="B213">
        <v>20</v>
      </c>
      <c r="C213" t="s">
        <v>1291</v>
      </c>
      <c r="D213" t="s">
        <v>1206</v>
      </c>
      <c r="E213" t="s">
        <v>1210</v>
      </c>
      <c r="F213" t="s">
        <v>1216</v>
      </c>
    </row>
    <row r="214" spans="1:6" x14ac:dyDescent="0.25">
      <c r="A214">
        <v>216</v>
      </c>
      <c r="B214">
        <v>21</v>
      </c>
      <c r="C214" t="s">
        <v>1291</v>
      </c>
      <c r="D214" t="s">
        <v>1206</v>
      </c>
      <c r="E214" t="s">
        <v>1215</v>
      </c>
      <c r="F214" t="s">
        <v>1211</v>
      </c>
    </row>
    <row r="215" spans="1:6" x14ac:dyDescent="0.25">
      <c r="A215">
        <v>217</v>
      </c>
      <c r="B215">
        <v>19</v>
      </c>
      <c r="C215" t="s">
        <v>1291</v>
      </c>
      <c r="D215" t="s">
        <v>1219</v>
      </c>
      <c r="E215" t="s">
        <v>1217</v>
      </c>
      <c r="F215" t="s">
        <v>1213</v>
      </c>
    </row>
    <row r="216" spans="1:6" x14ac:dyDescent="0.25">
      <c r="A216">
        <v>218</v>
      </c>
      <c r="B216">
        <v>21</v>
      </c>
      <c r="C216" t="s">
        <v>1291</v>
      </c>
      <c r="D216" t="s">
        <v>1218</v>
      </c>
      <c r="E216" t="s">
        <v>1212</v>
      </c>
      <c r="F216" t="s">
        <v>1216</v>
      </c>
    </row>
    <row r="217" spans="1:6" x14ac:dyDescent="0.25">
      <c r="A217">
        <v>219</v>
      </c>
      <c r="B217">
        <v>24</v>
      </c>
      <c r="C217" t="s">
        <v>1291</v>
      </c>
      <c r="D217" t="s">
        <v>1206</v>
      </c>
      <c r="E217" t="s">
        <v>1215</v>
      </c>
      <c r="F217" t="s">
        <v>1216</v>
      </c>
    </row>
    <row r="218" spans="1:6" x14ac:dyDescent="0.25">
      <c r="A218">
        <v>221</v>
      </c>
      <c r="B218">
        <v>21</v>
      </c>
      <c r="C218" t="s">
        <v>1291</v>
      </c>
      <c r="D218" t="s">
        <v>1220</v>
      </c>
      <c r="E218" t="s">
        <v>1212</v>
      </c>
      <c r="F218" t="s">
        <v>1211</v>
      </c>
    </row>
    <row r="219" spans="1:6" x14ac:dyDescent="0.25">
      <c r="A219">
        <v>222</v>
      </c>
      <c r="B219">
        <v>21</v>
      </c>
      <c r="C219" t="s">
        <v>1291</v>
      </c>
      <c r="D219" t="s">
        <v>1222</v>
      </c>
      <c r="E219" t="s">
        <v>1212</v>
      </c>
      <c r="F219" t="s">
        <v>1213</v>
      </c>
    </row>
    <row r="220" spans="1:6" x14ac:dyDescent="0.25">
      <c r="A220">
        <v>223</v>
      </c>
      <c r="B220">
        <v>21</v>
      </c>
      <c r="C220" t="s">
        <v>1291</v>
      </c>
      <c r="D220" t="s">
        <v>1218</v>
      </c>
      <c r="E220" t="s">
        <v>1210</v>
      </c>
      <c r="F220" t="s">
        <v>1221</v>
      </c>
    </row>
    <row r="221" spans="1:6" x14ac:dyDescent="0.25">
      <c r="A221">
        <v>224</v>
      </c>
      <c r="B221">
        <v>23</v>
      </c>
      <c r="C221" t="s">
        <v>1291</v>
      </c>
      <c r="D221" t="s">
        <v>1206</v>
      </c>
      <c r="E221" t="s">
        <v>1215</v>
      </c>
      <c r="F221" t="s">
        <v>1213</v>
      </c>
    </row>
    <row r="222" spans="1:6" x14ac:dyDescent="0.25">
      <c r="A222">
        <v>225</v>
      </c>
      <c r="B222">
        <v>25</v>
      </c>
      <c r="C222" t="s">
        <v>1291</v>
      </c>
      <c r="D222" t="s">
        <v>1219</v>
      </c>
      <c r="E222" t="s">
        <v>1217</v>
      </c>
      <c r="F222" t="s">
        <v>1221</v>
      </c>
    </row>
    <row r="223" spans="1:6" x14ac:dyDescent="0.25">
      <c r="A223">
        <v>226</v>
      </c>
      <c r="B223">
        <v>21</v>
      </c>
      <c r="C223" t="s">
        <v>1291</v>
      </c>
      <c r="D223" t="s">
        <v>1206</v>
      </c>
      <c r="E223" t="s">
        <v>1207</v>
      </c>
      <c r="F223" t="s">
        <v>1221</v>
      </c>
    </row>
    <row r="224" spans="1:6" x14ac:dyDescent="0.25">
      <c r="A224">
        <v>227</v>
      </c>
      <c r="B224">
        <v>21</v>
      </c>
      <c r="C224" t="s">
        <v>1291</v>
      </c>
      <c r="D224" t="s">
        <v>1206</v>
      </c>
      <c r="E224" t="s">
        <v>1207</v>
      </c>
      <c r="F224" t="s">
        <v>1221</v>
      </c>
    </row>
    <row r="225" spans="1:6" x14ac:dyDescent="0.25">
      <c r="A225">
        <v>228</v>
      </c>
      <c r="B225">
        <v>19</v>
      </c>
      <c r="C225" t="s">
        <v>1291</v>
      </c>
      <c r="D225" t="s">
        <v>1206</v>
      </c>
      <c r="E225" t="s">
        <v>1217</v>
      </c>
      <c r="F225" t="s">
        <v>1211</v>
      </c>
    </row>
    <row r="226" spans="1:6" x14ac:dyDescent="0.25">
      <c r="A226">
        <v>229</v>
      </c>
      <c r="B226">
        <v>18</v>
      </c>
      <c r="C226" t="s">
        <v>1291</v>
      </c>
      <c r="D226" t="s">
        <v>1220</v>
      </c>
      <c r="E226" t="s">
        <v>1212</v>
      </c>
      <c r="F226" t="s">
        <v>1211</v>
      </c>
    </row>
    <row r="227" spans="1:6" x14ac:dyDescent="0.25">
      <c r="A227">
        <v>230</v>
      </c>
      <c r="B227">
        <v>19</v>
      </c>
      <c r="C227" t="s">
        <v>1291</v>
      </c>
      <c r="D227" t="s">
        <v>1218</v>
      </c>
      <c r="E227" t="s">
        <v>1210</v>
      </c>
      <c r="F227" t="s">
        <v>1216</v>
      </c>
    </row>
    <row r="228" spans="1:6" x14ac:dyDescent="0.25">
      <c r="A228">
        <v>231</v>
      </c>
      <c r="B228">
        <v>19</v>
      </c>
      <c r="C228" t="s">
        <v>1291</v>
      </c>
      <c r="D228" t="s">
        <v>1206</v>
      </c>
      <c r="E228" t="s">
        <v>1212</v>
      </c>
      <c r="F228" t="s">
        <v>1216</v>
      </c>
    </row>
    <row r="229" spans="1:6" x14ac:dyDescent="0.25">
      <c r="A229">
        <v>232</v>
      </c>
      <c r="B229">
        <v>18</v>
      </c>
      <c r="C229" t="s">
        <v>1291</v>
      </c>
      <c r="D229" t="s">
        <v>1219</v>
      </c>
      <c r="E229" t="s">
        <v>1212</v>
      </c>
      <c r="F229" t="s">
        <v>1216</v>
      </c>
    </row>
    <row r="230" spans="1:6" x14ac:dyDescent="0.25">
      <c r="A230">
        <v>233</v>
      </c>
      <c r="B230">
        <v>25</v>
      </c>
      <c r="C230" t="s">
        <v>1291</v>
      </c>
      <c r="D230" t="s">
        <v>1218</v>
      </c>
      <c r="E230" t="s">
        <v>1215</v>
      </c>
      <c r="F230" t="s">
        <v>1213</v>
      </c>
    </row>
    <row r="231" spans="1:6" x14ac:dyDescent="0.25">
      <c r="A231">
        <v>234</v>
      </c>
      <c r="B231">
        <v>18</v>
      </c>
      <c r="C231" t="s">
        <v>1291</v>
      </c>
      <c r="D231" t="s">
        <v>1220</v>
      </c>
      <c r="E231" t="s">
        <v>1212</v>
      </c>
      <c r="F231" t="s">
        <v>1211</v>
      </c>
    </row>
    <row r="232" spans="1:6" x14ac:dyDescent="0.25">
      <c r="A232">
        <v>235</v>
      </c>
      <c r="B232">
        <v>18</v>
      </c>
      <c r="C232" t="s">
        <v>1291</v>
      </c>
      <c r="D232" t="s">
        <v>1220</v>
      </c>
      <c r="E232" t="s">
        <v>1210</v>
      </c>
      <c r="F232" t="s">
        <v>1213</v>
      </c>
    </row>
    <row r="233" spans="1:6" x14ac:dyDescent="0.25">
      <c r="A233">
        <v>236</v>
      </c>
      <c r="B233">
        <v>21</v>
      </c>
      <c r="C233" t="s">
        <v>1291</v>
      </c>
      <c r="D233" t="s">
        <v>1206</v>
      </c>
      <c r="E233" t="s">
        <v>1217</v>
      </c>
      <c r="F233" t="s">
        <v>1208</v>
      </c>
    </row>
    <row r="234" spans="1:6" x14ac:dyDescent="0.25">
      <c r="A234">
        <v>237</v>
      </c>
      <c r="B234">
        <v>21</v>
      </c>
      <c r="C234" t="s">
        <v>1291</v>
      </c>
      <c r="D234" t="s">
        <v>1220</v>
      </c>
      <c r="E234" t="s">
        <v>1210</v>
      </c>
      <c r="F234" t="s">
        <v>1216</v>
      </c>
    </row>
    <row r="235" spans="1:6" x14ac:dyDescent="0.25">
      <c r="A235">
        <v>238</v>
      </c>
      <c r="B235">
        <v>20</v>
      </c>
      <c r="C235" t="s">
        <v>1291</v>
      </c>
      <c r="D235" t="s">
        <v>1206</v>
      </c>
      <c r="E235" t="s">
        <v>1215</v>
      </c>
      <c r="F235" t="s">
        <v>1211</v>
      </c>
    </row>
    <row r="236" spans="1:6" x14ac:dyDescent="0.25">
      <c r="A236">
        <v>239</v>
      </c>
      <c r="B236">
        <v>22</v>
      </c>
      <c r="C236" t="s">
        <v>1291</v>
      </c>
      <c r="D236" t="s">
        <v>1206</v>
      </c>
      <c r="E236" t="s">
        <v>1210</v>
      </c>
      <c r="F236" t="s">
        <v>1213</v>
      </c>
    </row>
    <row r="237" spans="1:6" x14ac:dyDescent="0.25">
      <c r="A237">
        <v>240</v>
      </c>
      <c r="B237">
        <v>19</v>
      </c>
      <c r="C237" t="s">
        <v>1291</v>
      </c>
      <c r="D237" t="s">
        <v>1206</v>
      </c>
      <c r="E237" t="s">
        <v>1210</v>
      </c>
      <c r="F237" t="s">
        <v>1213</v>
      </c>
    </row>
    <row r="238" spans="1:6" x14ac:dyDescent="0.25">
      <c r="A238">
        <v>241</v>
      </c>
      <c r="B238">
        <v>19</v>
      </c>
      <c r="C238" t="s">
        <v>1291</v>
      </c>
      <c r="D238" t="s">
        <v>1206</v>
      </c>
      <c r="E238" t="s">
        <v>1215</v>
      </c>
      <c r="F238" t="s">
        <v>1216</v>
      </c>
    </row>
    <row r="239" spans="1:6" x14ac:dyDescent="0.25">
      <c r="A239">
        <v>242</v>
      </c>
      <c r="B239">
        <v>19</v>
      </c>
      <c r="C239" t="s">
        <v>1291</v>
      </c>
      <c r="D239" t="s">
        <v>1220</v>
      </c>
      <c r="E239" t="s">
        <v>1217</v>
      </c>
      <c r="F239" t="s">
        <v>1216</v>
      </c>
    </row>
    <row r="240" spans="1:6" x14ac:dyDescent="0.25">
      <c r="A240">
        <v>243</v>
      </c>
      <c r="B240">
        <v>24</v>
      </c>
      <c r="C240" t="s">
        <v>1291</v>
      </c>
      <c r="D240" t="s">
        <v>1206</v>
      </c>
      <c r="E240" t="s">
        <v>1212</v>
      </c>
      <c r="F240" t="s">
        <v>1216</v>
      </c>
    </row>
    <row r="241" spans="1:6" x14ac:dyDescent="0.25">
      <c r="A241">
        <v>245</v>
      </c>
      <c r="B241">
        <v>22</v>
      </c>
      <c r="C241" t="s">
        <v>1291</v>
      </c>
      <c r="D241" t="s">
        <v>1206</v>
      </c>
      <c r="E241" t="s">
        <v>1210</v>
      </c>
      <c r="F241" t="s">
        <v>1211</v>
      </c>
    </row>
    <row r="242" spans="1:6" x14ac:dyDescent="0.25">
      <c r="A242">
        <v>246</v>
      </c>
      <c r="B242">
        <v>22</v>
      </c>
      <c r="C242" t="s">
        <v>1291</v>
      </c>
      <c r="D242" t="s">
        <v>1206</v>
      </c>
      <c r="E242" t="s">
        <v>1207</v>
      </c>
      <c r="F242" t="s">
        <v>1221</v>
      </c>
    </row>
    <row r="243" spans="1:6" x14ac:dyDescent="0.25">
      <c r="A243">
        <v>247</v>
      </c>
      <c r="B243">
        <v>20</v>
      </c>
      <c r="C243" t="s">
        <v>1291</v>
      </c>
      <c r="D243" t="s">
        <v>1218</v>
      </c>
      <c r="E243" t="s">
        <v>1207</v>
      </c>
      <c r="F243" t="s">
        <v>1213</v>
      </c>
    </row>
    <row r="244" spans="1:6" x14ac:dyDescent="0.25">
      <c r="A244">
        <v>248</v>
      </c>
      <c r="B244">
        <v>23</v>
      </c>
      <c r="C244" t="s">
        <v>1291</v>
      </c>
      <c r="D244" t="s">
        <v>1206</v>
      </c>
      <c r="E244" t="s">
        <v>1215</v>
      </c>
      <c r="F244" t="s">
        <v>1216</v>
      </c>
    </row>
    <row r="245" spans="1:6" x14ac:dyDescent="0.25">
      <c r="A245">
        <v>249</v>
      </c>
      <c r="B245">
        <v>19</v>
      </c>
      <c r="C245" t="s">
        <v>1291</v>
      </c>
      <c r="D245" t="s">
        <v>1206</v>
      </c>
      <c r="E245" t="s">
        <v>1215</v>
      </c>
      <c r="F245" t="s">
        <v>1216</v>
      </c>
    </row>
    <row r="246" spans="1:6" x14ac:dyDescent="0.25">
      <c r="A246">
        <v>250</v>
      </c>
      <c r="B246">
        <v>21</v>
      </c>
      <c r="C246" t="s">
        <v>1291</v>
      </c>
      <c r="D246" t="s">
        <v>1220</v>
      </c>
      <c r="E246" t="s">
        <v>1210</v>
      </c>
      <c r="F246" t="s">
        <v>1216</v>
      </c>
    </row>
    <row r="247" spans="1:6" x14ac:dyDescent="0.25">
      <c r="A247">
        <v>251</v>
      </c>
      <c r="B247">
        <v>21</v>
      </c>
      <c r="C247" t="s">
        <v>1291</v>
      </c>
      <c r="D247" t="s">
        <v>1219</v>
      </c>
      <c r="E247" t="s">
        <v>1217</v>
      </c>
      <c r="F247" t="s">
        <v>1213</v>
      </c>
    </row>
    <row r="248" spans="1:6" x14ac:dyDescent="0.25">
      <c r="A248">
        <v>252</v>
      </c>
      <c r="B248">
        <v>19</v>
      </c>
      <c r="C248" t="s">
        <v>1291</v>
      </c>
      <c r="D248" t="s">
        <v>1219</v>
      </c>
      <c r="E248" t="s">
        <v>1217</v>
      </c>
      <c r="F248" t="s">
        <v>1216</v>
      </c>
    </row>
    <row r="249" spans="1:6" x14ac:dyDescent="0.25">
      <c r="A249">
        <v>253</v>
      </c>
      <c r="B249">
        <v>18</v>
      </c>
      <c r="C249" t="s">
        <v>1291</v>
      </c>
      <c r="D249" t="s">
        <v>1219</v>
      </c>
      <c r="E249" t="s">
        <v>1210</v>
      </c>
      <c r="F249" t="s">
        <v>1216</v>
      </c>
    </row>
    <row r="250" spans="1:6" x14ac:dyDescent="0.25">
      <c r="A250">
        <v>254</v>
      </c>
      <c r="B250">
        <v>20</v>
      </c>
      <c r="C250" t="s">
        <v>1291</v>
      </c>
      <c r="D250" t="s">
        <v>1218</v>
      </c>
      <c r="E250" t="s">
        <v>1210</v>
      </c>
      <c r="F250" t="s">
        <v>1213</v>
      </c>
    </row>
    <row r="251" spans="1:6" x14ac:dyDescent="0.25">
      <c r="A251">
        <v>255</v>
      </c>
      <c r="B251">
        <v>24</v>
      </c>
      <c r="C251" t="s">
        <v>1291</v>
      </c>
      <c r="D251" t="s">
        <v>1206</v>
      </c>
      <c r="E251" t="s">
        <v>1215</v>
      </c>
      <c r="F251" t="s">
        <v>1221</v>
      </c>
    </row>
    <row r="252" spans="1:6" x14ac:dyDescent="0.25">
      <c r="A252">
        <v>256</v>
      </c>
      <c r="B252">
        <v>21</v>
      </c>
      <c r="C252" t="s">
        <v>1291</v>
      </c>
      <c r="D252" t="s">
        <v>1219</v>
      </c>
      <c r="E252" t="s">
        <v>1215</v>
      </c>
      <c r="F252" t="s">
        <v>1216</v>
      </c>
    </row>
    <row r="253" spans="1:6" x14ac:dyDescent="0.25">
      <c r="A253">
        <v>257</v>
      </c>
      <c r="B253">
        <v>21</v>
      </c>
      <c r="C253" t="s">
        <v>1291</v>
      </c>
      <c r="D253" t="s">
        <v>1206</v>
      </c>
      <c r="E253" t="s">
        <v>1207</v>
      </c>
      <c r="F253" t="s">
        <v>1216</v>
      </c>
    </row>
    <row r="254" spans="1:6" x14ac:dyDescent="0.25">
      <c r="A254">
        <v>258</v>
      </c>
      <c r="B254">
        <v>19</v>
      </c>
      <c r="C254" t="s">
        <v>1291</v>
      </c>
      <c r="D254" t="s">
        <v>1218</v>
      </c>
      <c r="E254" t="s">
        <v>1217</v>
      </c>
      <c r="F254" t="s">
        <v>1216</v>
      </c>
    </row>
    <row r="255" spans="1:6" x14ac:dyDescent="0.25">
      <c r="A255">
        <v>259</v>
      </c>
      <c r="B255">
        <v>21</v>
      </c>
      <c r="C255" t="s">
        <v>1291</v>
      </c>
      <c r="D255" t="s">
        <v>1206</v>
      </c>
      <c r="E255" t="s">
        <v>1210</v>
      </c>
      <c r="F255" t="s">
        <v>1213</v>
      </c>
    </row>
    <row r="256" spans="1:6" x14ac:dyDescent="0.25">
      <c r="A256">
        <v>260</v>
      </c>
      <c r="B256">
        <v>19</v>
      </c>
      <c r="C256" t="s">
        <v>1291</v>
      </c>
      <c r="D256" t="s">
        <v>1206</v>
      </c>
      <c r="E256" t="s">
        <v>1217</v>
      </c>
      <c r="F256" t="s">
        <v>1213</v>
      </c>
    </row>
    <row r="257" spans="1:6" x14ac:dyDescent="0.25">
      <c r="A257">
        <v>261</v>
      </c>
      <c r="B257">
        <v>18</v>
      </c>
      <c r="C257" t="s">
        <v>1291</v>
      </c>
      <c r="D257" t="s">
        <v>1220</v>
      </c>
      <c r="E257" t="s">
        <v>1217</v>
      </c>
      <c r="F257" t="s">
        <v>1216</v>
      </c>
    </row>
    <row r="258" spans="1:6" x14ac:dyDescent="0.25">
      <c r="A258">
        <v>262</v>
      </c>
      <c r="B258">
        <v>21</v>
      </c>
      <c r="C258" t="s">
        <v>1291</v>
      </c>
      <c r="D258" t="s">
        <v>1206</v>
      </c>
      <c r="E258" t="s">
        <v>1215</v>
      </c>
      <c r="F258" t="s">
        <v>1216</v>
      </c>
    </row>
    <row r="259" spans="1:6" x14ac:dyDescent="0.25">
      <c r="A259">
        <v>263</v>
      </c>
      <c r="B259">
        <v>22</v>
      </c>
      <c r="C259" t="s">
        <v>1291</v>
      </c>
      <c r="D259" t="s">
        <v>1219</v>
      </c>
      <c r="E259" t="s">
        <v>1207</v>
      </c>
      <c r="F259" t="s">
        <v>1216</v>
      </c>
    </row>
    <row r="260" spans="1:6" x14ac:dyDescent="0.25">
      <c r="A260">
        <v>265</v>
      </c>
      <c r="B260">
        <v>23</v>
      </c>
      <c r="C260" t="s">
        <v>1291</v>
      </c>
      <c r="D260" t="s">
        <v>1219</v>
      </c>
      <c r="E260" t="s">
        <v>1210</v>
      </c>
      <c r="F260" t="s">
        <v>1211</v>
      </c>
    </row>
    <row r="261" spans="1:6" x14ac:dyDescent="0.25">
      <c r="A261">
        <v>220</v>
      </c>
      <c r="B261">
        <v>24</v>
      </c>
      <c r="C261" t="s">
        <v>1291</v>
      </c>
      <c r="D261" t="s">
        <v>1206</v>
      </c>
      <c r="E261" t="s">
        <v>1210</v>
      </c>
      <c r="F261" t="s">
        <v>1216</v>
      </c>
    </row>
    <row r="262" spans="1:6" x14ac:dyDescent="0.25">
      <c r="A262">
        <v>266</v>
      </c>
      <c r="B262">
        <v>24</v>
      </c>
      <c r="C262" t="s">
        <v>1291</v>
      </c>
      <c r="D262" t="s">
        <v>1206</v>
      </c>
      <c r="E262" t="s">
        <v>1215</v>
      </c>
      <c r="F262" t="s">
        <v>1216</v>
      </c>
    </row>
    <row r="263" spans="1:6" x14ac:dyDescent="0.25">
      <c r="A263">
        <v>267</v>
      </c>
      <c r="B263">
        <v>22</v>
      </c>
      <c r="C263" t="s">
        <v>1291</v>
      </c>
      <c r="D263" t="s">
        <v>1206</v>
      </c>
      <c r="E263" t="s">
        <v>1215</v>
      </c>
      <c r="F263" t="s">
        <v>1208</v>
      </c>
    </row>
    <row r="264" spans="1:6" x14ac:dyDescent="0.25">
      <c r="A264">
        <v>268</v>
      </c>
      <c r="B264">
        <v>20</v>
      </c>
      <c r="C264" t="s">
        <v>1291</v>
      </c>
      <c r="D264" t="s">
        <v>1206</v>
      </c>
      <c r="E264" t="s">
        <v>1210</v>
      </c>
      <c r="F264" t="s">
        <v>1211</v>
      </c>
    </row>
    <row r="265" spans="1:6" x14ac:dyDescent="0.25">
      <c r="A265">
        <v>269</v>
      </c>
      <c r="B265">
        <v>21</v>
      </c>
      <c r="C265" t="s">
        <v>1291</v>
      </c>
      <c r="D265" t="s">
        <v>1206</v>
      </c>
      <c r="E265" t="s">
        <v>1210</v>
      </c>
      <c r="F265" t="s">
        <v>1213</v>
      </c>
    </row>
    <row r="266" spans="1:6" x14ac:dyDescent="0.25">
      <c r="A266">
        <v>270</v>
      </c>
      <c r="B266">
        <v>19</v>
      </c>
      <c r="C266" t="s">
        <v>1291</v>
      </c>
      <c r="D266" t="s">
        <v>1219</v>
      </c>
      <c r="E266" t="s">
        <v>1215</v>
      </c>
      <c r="F266" t="s">
        <v>1216</v>
      </c>
    </row>
    <row r="267" spans="1:6" x14ac:dyDescent="0.25">
      <c r="A267">
        <v>271</v>
      </c>
      <c r="B267">
        <v>21</v>
      </c>
      <c r="C267" t="s">
        <v>1291</v>
      </c>
      <c r="D267" t="s">
        <v>1218</v>
      </c>
      <c r="E267" t="s">
        <v>1210</v>
      </c>
      <c r="F267" t="s">
        <v>1208</v>
      </c>
    </row>
    <row r="268" spans="1:6" x14ac:dyDescent="0.25">
      <c r="A268">
        <v>272</v>
      </c>
      <c r="B268">
        <v>25</v>
      </c>
      <c r="C268" t="s">
        <v>1291</v>
      </c>
      <c r="D268" t="s">
        <v>1218</v>
      </c>
      <c r="E268" t="s">
        <v>1210</v>
      </c>
      <c r="F268" t="s">
        <v>1208</v>
      </c>
    </row>
    <row r="269" spans="1:6" x14ac:dyDescent="0.25">
      <c r="A269">
        <v>273</v>
      </c>
      <c r="B269">
        <v>21</v>
      </c>
      <c r="C269" t="s">
        <v>1291</v>
      </c>
      <c r="D269" t="s">
        <v>1206</v>
      </c>
      <c r="E269" t="s">
        <v>1215</v>
      </c>
      <c r="F269" t="s">
        <v>1211</v>
      </c>
    </row>
    <row r="270" spans="1:6" x14ac:dyDescent="0.25">
      <c r="A270">
        <v>274</v>
      </c>
      <c r="B270">
        <v>21</v>
      </c>
      <c r="C270" t="s">
        <v>1291</v>
      </c>
      <c r="D270" t="s">
        <v>1206</v>
      </c>
      <c r="E270" t="s">
        <v>1212</v>
      </c>
      <c r="F270" t="s">
        <v>1208</v>
      </c>
    </row>
    <row r="271" spans="1:6" x14ac:dyDescent="0.25">
      <c r="A271">
        <v>275</v>
      </c>
      <c r="B271">
        <v>21</v>
      </c>
      <c r="C271" t="s">
        <v>1291</v>
      </c>
      <c r="D271" t="s">
        <v>1206</v>
      </c>
      <c r="E271" t="s">
        <v>1215</v>
      </c>
      <c r="F271" t="s">
        <v>1216</v>
      </c>
    </row>
    <row r="272" spans="1:6" x14ac:dyDescent="0.25">
      <c r="A272">
        <v>276</v>
      </c>
      <c r="B272">
        <v>21</v>
      </c>
      <c r="C272" t="s">
        <v>1291</v>
      </c>
      <c r="D272" t="s">
        <v>1206</v>
      </c>
      <c r="E272" t="s">
        <v>1215</v>
      </c>
      <c r="F272" t="s">
        <v>1208</v>
      </c>
    </row>
    <row r="273" spans="1:6" x14ac:dyDescent="0.25">
      <c r="A273">
        <v>277</v>
      </c>
      <c r="B273">
        <v>21</v>
      </c>
      <c r="C273" t="s">
        <v>1291</v>
      </c>
      <c r="D273" t="s">
        <v>1206</v>
      </c>
      <c r="E273" t="s">
        <v>1215</v>
      </c>
      <c r="F273" t="s">
        <v>1213</v>
      </c>
    </row>
    <row r="274" spans="1:6" x14ac:dyDescent="0.25">
      <c r="A274">
        <v>278</v>
      </c>
      <c r="B274">
        <v>25</v>
      </c>
      <c r="C274" t="s">
        <v>1291</v>
      </c>
      <c r="D274" t="s">
        <v>1206</v>
      </c>
      <c r="E274" t="s">
        <v>1215</v>
      </c>
      <c r="F274" t="s">
        <v>1211</v>
      </c>
    </row>
    <row r="275" spans="1:6" x14ac:dyDescent="0.25">
      <c r="A275">
        <v>279</v>
      </c>
      <c r="B275">
        <v>18</v>
      </c>
      <c r="C275" t="s">
        <v>1291</v>
      </c>
      <c r="D275" t="s">
        <v>1206</v>
      </c>
      <c r="E275" t="s">
        <v>1217</v>
      </c>
      <c r="F275" t="s">
        <v>1213</v>
      </c>
    </row>
    <row r="276" spans="1:6" x14ac:dyDescent="0.25">
      <c r="A276">
        <v>280</v>
      </c>
      <c r="B276">
        <v>19</v>
      </c>
      <c r="C276" t="s">
        <v>1291</v>
      </c>
      <c r="D276" t="s">
        <v>1218</v>
      </c>
      <c r="E276" t="s">
        <v>1210</v>
      </c>
      <c r="F276" t="s">
        <v>1216</v>
      </c>
    </row>
    <row r="277" spans="1:6" x14ac:dyDescent="0.25">
      <c r="A277">
        <v>281</v>
      </c>
      <c r="B277">
        <v>19</v>
      </c>
      <c r="C277" t="s">
        <v>1291</v>
      </c>
      <c r="D277" t="s">
        <v>1206</v>
      </c>
      <c r="E277" t="s">
        <v>1210</v>
      </c>
      <c r="F277" t="s">
        <v>1221</v>
      </c>
    </row>
    <row r="278" spans="1:6" x14ac:dyDescent="0.25">
      <c r="A278">
        <v>282</v>
      </c>
      <c r="B278">
        <v>20</v>
      </c>
      <c r="C278" t="s">
        <v>1291</v>
      </c>
      <c r="D278" t="s">
        <v>1206</v>
      </c>
      <c r="E278" t="s">
        <v>1215</v>
      </c>
      <c r="F278" t="s">
        <v>1213</v>
      </c>
    </row>
    <row r="279" spans="1:6" x14ac:dyDescent="0.25">
      <c r="A279">
        <v>283</v>
      </c>
      <c r="B279">
        <v>23</v>
      </c>
      <c r="C279" t="s">
        <v>1291</v>
      </c>
      <c r="D279" t="s">
        <v>1206</v>
      </c>
      <c r="E279" t="s">
        <v>1212</v>
      </c>
      <c r="F279" t="s">
        <v>1213</v>
      </c>
    </row>
    <row r="280" spans="1:6" x14ac:dyDescent="0.25">
      <c r="A280">
        <v>284</v>
      </c>
      <c r="B280">
        <v>18</v>
      </c>
      <c r="C280" t="s">
        <v>1291</v>
      </c>
      <c r="D280" t="s">
        <v>1218</v>
      </c>
      <c r="E280" t="s">
        <v>1207</v>
      </c>
      <c r="F280" t="s">
        <v>1216</v>
      </c>
    </row>
    <row r="281" spans="1:6" x14ac:dyDescent="0.25">
      <c r="A281">
        <v>286</v>
      </c>
      <c r="B281">
        <v>19</v>
      </c>
      <c r="C281" t="s">
        <v>1291</v>
      </c>
      <c r="D281" t="s">
        <v>1206</v>
      </c>
      <c r="E281" t="s">
        <v>1215</v>
      </c>
      <c r="F281" t="s">
        <v>1211</v>
      </c>
    </row>
    <row r="282" spans="1:6" x14ac:dyDescent="0.25">
      <c r="A282">
        <v>287</v>
      </c>
      <c r="B282">
        <v>18</v>
      </c>
      <c r="C282" t="s">
        <v>1291</v>
      </c>
      <c r="D282" t="s">
        <v>1206</v>
      </c>
      <c r="E282" t="s">
        <v>1212</v>
      </c>
      <c r="F282" t="s">
        <v>1211</v>
      </c>
    </row>
    <row r="283" spans="1:6" x14ac:dyDescent="0.25">
      <c r="A283">
        <v>288</v>
      </c>
      <c r="B283">
        <v>21</v>
      </c>
      <c r="C283" t="s">
        <v>1291</v>
      </c>
      <c r="D283" t="s">
        <v>1206</v>
      </c>
      <c r="E283" t="s">
        <v>1210</v>
      </c>
      <c r="F283" t="s">
        <v>1213</v>
      </c>
    </row>
    <row r="284" spans="1:6" x14ac:dyDescent="0.25">
      <c r="A284">
        <v>289</v>
      </c>
      <c r="B284">
        <v>24</v>
      </c>
      <c r="C284" t="s">
        <v>1291</v>
      </c>
      <c r="D284" t="s">
        <v>1218</v>
      </c>
      <c r="E284" t="s">
        <v>1210</v>
      </c>
      <c r="F284" t="s">
        <v>1211</v>
      </c>
    </row>
    <row r="285" spans="1:6" x14ac:dyDescent="0.25">
      <c r="A285">
        <v>290</v>
      </c>
      <c r="B285">
        <v>25</v>
      </c>
      <c r="C285" t="s">
        <v>1291</v>
      </c>
      <c r="D285" t="s">
        <v>1206</v>
      </c>
      <c r="E285" t="s">
        <v>1207</v>
      </c>
      <c r="F285" t="s">
        <v>1216</v>
      </c>
    </row>
    <row r="286" spans="1:6" x14ac:dyDescent="0.25">
      <c r="A286">
        <v>291</v>
      </c>
      <c r="B286">
        <v>19</v>
      </c>
      <c r="C286" t="s">
        <v>1291</v>
      </c>
      <c r="D286" t="s">
        <v>1206</v>
      </c>
      <c r="E286" t="s">
        <v>1212</v>
      </c>
      <c r="F286" t="s">
        <v>1216</v>
      </c>
    </row>
    <row r="287" spans="1:6" x14ac:dyDescent="0.25">
      <c r="A287">
        <v>292</v>
      </c>
      <c r="B287">
        <v>19</v>
      </c>
      <c r="C287" t="s">
        <v>1291</v>
      </c>
      <c r="D287" t="s">
        <v>1206</v>
      </c>
      <c r="E287" t="s">
        <v>1215</v>
      </c>
      <c r="F287" t="s">
        <v>1216</v>
      </c>
    </row>
    <row r="288" spans="1:6" x14ac:dyDescent="0.25">
      <c r="A288">
        <v>293</v>
      </c>
      <c r="B288">
        <v>21</v>
      </c>
      <c r="C288" t="s">
        <v>1291</v>
      </c>
      <c r="D288" t="s">
        <v>1222</v>
      </c>
      <c r="E288" t="s">
        <v>1215</v>
      </c>
      <c r="F288" t="s">
        <v>1213</v>
      </c>
    </row>
    <row r="289" spans="1:6" x14ac:dyDescent="0.25">
      <c r="A289">
        <v>294</v>
      </c>
      <c r="B289">
        <v>22</v>
      </c>
      <c r="C289" t="s">
        <v>1291</v>
      </c>
      <c r="D289" t="s">
        <v>1222</v>
      </c>
      <c r="E289" t="s">
        <v>1215</v>
      </c>
      <c r="F289" t="s">
        <v>1213</v>
      </c>
    </row>
    <row r="290" spans="1:6" x14ac:dyDescent="0.25">
      <c r="A290">
        <v>295</v>
      </c>
      <c r="B290">
        <v>24</v>
      </c>
      <c r="C290" t="s">
        <v>1291</v>
      </c>
      <c r="D290" t="s">
        <v>1206</v>
      </c>
      <c r="E290" t="s">
        <v>1212</v>
      </c>
      <c r="F290" t="s">
        <v>1216</v>
      </c>
    </row>
    <row r="291" spans="1:6" x14ac:dyDescent="0.25">
      <c r="A291">
        <v>296</v>
      </c>
      <c r="B291">
        <v>19</v>
      </c>
      <c r="C291" t="s">
        <v>1291</v>
      </c>
      <c r="D291" t="s">
        <v>1206</v>
      </c>
      <c r="E291" t="s">
        <v>1210</v>
      </c>
      <c r="F291" t="s">
        <v>1213</v>
      </c>
    </row>
    <row r="292" spans="1:6" x14ac:dyDescent="0.25">
      <c r="A292">
        <v>297</v>
      </c>
      <c r="B292">
        <v>24</v>
      </c>
      <c r="C292" t="s">
        <v>1291</v>
      </c>
      <c r="D292" t="s">
        <v>1206</v>
      </c>
      <c r="E292" t="s">
        <v>1212</v>
      </c>
      <c r="F292" t="s">
        <v>1213</v>
      </c>
    </row>
    <row r="293" spans="1:6" x14ac:dyDescent="0.25">
      <c r="A293">
        <v>298</v>
      </c>
      <c r="B293">
        <v>19</v>
      </c>
      <c r="C293" t="s">
        <v>1291</v>
      </c>
      <c r="D293" t="s">
        <v>1206</v>
      </c>
      <c r="E293" t="s">
        <v>1215</v>
      </c>
      <c r="F293" t="s">
        <v>1221</v>
      </c>
    </row>
    <row r="294" spans="1:6" x14ac:dyDescent="0.25">
      <c r="A294">
        <v>299</v>
      </c>
      <c r="B294">
        <v>23</v>
      </c>
      <c r="C294" t="s">
        <v>1291</v>
      </c>
      <c r="D294" t="s">
        <v>1206</v>
      </c>
      <c r="E294" t="s">
        <v>1210</v>
      </c>
      <c r="F294" t="s">
        <v>1213</v>
      </c>
    </row>
    <row r="295" spans="1:6" x14ac:dyDescent="0.25">
      <c r="A295">
        <v>300</v>
      </c>
      <c r="B295">
        <v>20</v>
      </c>
      <c r="C295" t="s">
        <v>1291</v>
      </c>
      <c r="D295" t="s">
        <v>1206</v>
      </c>
      <c r="E295" t="s">
        <v>1215</v>
      </c>
      <c r="F295" t="s">
        <v>1216</v>
      </c>
    </row>
    <row r="296" spans="1:6" x14ac:dyDescent="0.25">
      <c r="A296">
        <v>301</v>
      </c>
      <c r="B296">
        <v>18</v>
      </c>
      <c r="C296" t="s">
        <v>1291</v>
      </c>
      <c r="D296" t="s">
        <v>1219</v>
      </c>
      <c r="E296" t="s">
        <v>1210</v>
      </c>
      <c r="F296" t="s">
        <v>1213</v>
      </c>
    </row>
    <row r="297" spans="1:6" x14ac:dyDescent="0.25">
      <c r="A297">
        <v>302</v>
      </c>
      <c r="B297">
        <v>25</v>
      </c>
      <c r="C297" t="s">
        <v>1291</v>
      </c>
      <c r="D297" t="s">
        <v>1222</v>
      </c>
      <c r="E297" t="s">
        <v>1210</v>
      </c>
      <c r="F297" t="s">
        <v>1216</v>
      </c>
    </row>
    <row r="298" spans="1:6" x14ac:dyDescent="0.25">
      <c r="A298">
        <v>303</v>
      </c>
      <c r="B298">
        <v>18</v>
      </c>
      <c r="C298" t="s">
        <v>1291</v>
      </c>
      <c r="D298" t="s">
        <v>1222</v>
      </c>
      <c r="E298" t="s">
        <v>1210</v>
      </c>
      <c r="F298" t="s">
        <v>1213</v>
      </c>
    </row>
    <row r="299" spans="1:6" ht="16.5" thickBot="1" x14ac:dyDescent="0.3">
      <c r="A299" s="98">
        <v>304</v>
      </c>
      <c r="B299" s="98">
        <v>20</v>
      </c>
      <c r="C299" s="98" t="s">
        <v>1291</v>
      </c>
      <c r="D299" s="98" t="s">
        <v>1220</v>
      </c>
      <c r="E299" s="98" t="s">
        <v>1210</v>
      </c>
      <c r="F299" s="98" t="s">
        <v>1216</v>
      </c>
    </row>
    <row r="300" spans="1:6" ht="16.5" thickTop="1" x14ac:dyDescent="0.25">
      <c r="A300" s="99" t="s">
        <v>197</v>
      </c>
      <c r="B300" s="99">
        <v>18</v>
      </c>
      <c r="C300" s="99" t="s">
        <v>1290</v>
      </c>
      <c r="D300" s="99" t="s">
        <v>1219</v>
      </c>
      <c r="E300" s="99" t="s">
        <v>1215</v>
      </c>
      <c r="F300" s="99" t="s">
        <v>1213</v>
      </c>
    </row>
    <row r="301" spans="1:6" x14ac:dyDescent="0.25">
      <c r="A301" t="s">
        <v>1133</v>
      </c>
      <c r="B301">
        <v>18</v>
      </c>
      <c r="C301" t="s">
        <v>1290</v>
      </c>
      <c r="D301" t="s">
        <v>1206</v>
      </c>
      <c r="E301" t="s">
        <v>1210</v>
      </c>
      <c r="F301" s="99" t="s">
        <v>1213</v>
      </c>
    </row>
    <row r="302" spans="1:6" x14ac:dyDescent="0.25">
      <c r="A302" t="s">
        <v>976</v>
      </c>
      <c r="B302">
        <v>18</v>
      </c>
      <c r="C302" t="s">
        <v>1290</v>
      </c>
      <c r="D302" t="s">
        <v>1206</v>
      </c>
      <c r="E302" t="s">
        <v>1210</v>
      </c>
      <c r="F302" s="99" t="s">
        <v>1213</v>
      </c>
    </row>
    <row r="303" spans="1:6" x14ac:dyDescent="0.25">
      <c r="A303" t="s">
        <v>1134</v>
      </c>
      <c r="B303">
        <v>18</v>
      </c>
      <c r="C303" t="s">
        <v>1290</v>
      </c>
      <c r="D303" t="s">
        <v>1206</v>
      </c>
      <c r="E303" t="s">
        <v>1207</v>
      </c>
      <c r="F303" s="99" t="s">
        <v>1213</v>
      </c>
    </row>
    <row r="304" spans="1:6" x14ac:dyDescent="0.25">
      <c r="A304" t="s">
        <v>663</v>
      </c>
      <c r="B304">
        <v>18</v>
      </c>
      <c r="C304" t="s">
        <v>1290</v>
      </c>
      <c r="D304" t="s">
        <v>1206</v>
      </c>
      <c r="E304" t="s">
        <v>1210</v>
      </c>
      <c r="F304" s="99" t="s">
        <v>1213</v>
      </c>
    </row>
    <row r="305" spans="1:6" x14ac:dyDescent="0.25">
      <c r="A305" t="s">
        <v>432</v>
      </c>
      <c r="B305">
        <v>18</v>
      </c>
      <c r="C305" t="s">
        <v>1290</v>
      </c>
      <c r="D305" t="s">
        <v>1220</v>
      </c>
      <c r="E305" t="s">
        <v>1217</v>
      </c>
      <c r="F305" s="99" t="s">
        <v>1213</v>
      </c>
    </row>
    <row r="306" spans="1:6" x14ac:dyDescent="0.25">
      <c r="A306" t="s">
        <v>591</v>
      </c>
      <c r="B306">
        <v>18</v>
      </c>
      <c r="C306" t="s">
        <v>1290</v>
      </c>
      <c r="D306" t="s">
        <v>1206</v>
      </c>
      <c r="E306" t="s">
        <v>1210</v>
      </c>
      <c r="F306" s="99" t="s">
        <v>1213</v>
      </c>
    </row>
    <row r="307" spans="1:6" x14ac:dyDescent="0.25">
      <c r="A307" t="s">
        <v>793</v>
      </c>
      <c r="B307">
        <v>18</v>
      </c>
      <c r="C307" t="s">
        <v>1290</v>
      </c>
      <c r="D307" t="s">
        <v>1206</v>
      </c>
      <c r="E307" t="s">
        <v>1217</v>
      </c>
      <c r="F307" s="99" t="s">
        <v>1213</v>
      </c>
    </row>
    <row r="308" spans="1:6" x14ac:dyDescent="0.25">
      <c r="A308" t="s">
        <v>357</v>
      </c>
      <c r="B308">
        <v>18</v>
      </c>
      <c r="C308" t="s">
        <v>1290</v>
      </c>
      <c r="D308" t="s">
        <v>1219</v>
      </c>
      <c r="E308" t="s">
        <v>1210</v>
      </c>
      <c r="F308" s="99" t="s">
        <v>1213</v>
      </c>
    </row>
    <row r="309" spans="1:6" x14ac:dyDescent="0.25">
      <c r="A309" t="s">
        <v>336</v>
      </c>
      <c r="B309">
        <v>18</v>
      </c>
      <c r="C309" t="s">
        <v>1290</v>
      </c>
      <c r="D309" t="s">
        <v>1219</v>
      </c>
      <c r="E309" t="s">
        <v>1217</v>
      </c>
      <c r="F309" s="99" t="s">
        <v>1213</v>
      </c>
    </row>
    <row r="310" spans="1:6" x14ac:dyDescent="0.25">
      <c r="A310" t="s">
        <v>383</v>
      </c>
      <c r="B310">
        <v>18</v>
      </c>
      <c r="C310" t="s">
        <v>1290</v>
      </c>
      <c r="D310" t="s">
        <v>1206</v>
      </c>
      <c r="E310" t="s">
        <v>1210</v>
      </c>
      <c r="F310" s="99" t="s">
        <v>1213</v>
      </c>
    </row>
    <row r="311" spans="1:6" x14ac:dyDescent="0.25">
      <c r="A311" t="s">
        <v>696</v>
      </c>
      <c r="B311">
        <v>18</v>
      </c>
      <c r="C311" t="s">
        <v>1290</v>
      </c>
      <c r="D311" t="s">
        <v>1206</v>
      </c>
      <c r="E311" t="s">
        <v>1210</v>
      </c>
      <c r="F311" s="99" t="s">
        <v>1213</v>
      </c>
    </row>
    <row r="312" spans="1:6" x14ac:dyDescent="0.25">
      <c r="A312" t="s">
        <v>965</v>
      </c>
      <c r="B312">
        <v>18</v>
      </c>
      <c r="C312" t="s">
        <v>1290</v>
      </c>
      <c r="D312" t="s">
        <v>1206</v>
      </c>
      <c r="E312" t="s">
        <v>1210</v>
      </c>
      <c r="F312" s="99" t="s">
        <v>1213</v>
      </c>
    </row>
    <row r="313" spans="1:6" x14ac:dyDescent="0.25">
      <c r="A313" t="s">
        <v>876</v>
      </c>
      <c r="B313">
        <v>18</v>
      </c>
      <c r="C313" t="s">
        <v>1290</v>
      </c>
      <c r="D313" t="s">
        <v>1206</v>
      </c>
      <c r="E313" t="s">
        <v>1210</v>
      </c>
      <c r="F313" s="99" t="s">
        <v>1213</v>
      </c>
    </row>
    <row r="314" spans="1:6" x14ac:dyDescent="0.25">
      <c r="A314" t="s">
        <v>483</v>
      </c>
      <c r="B314">
        <v>18</v>
      </c>
      <c r="C314" t="s">
        <v>1290</v>
      </c>
      <c r="D314" t="s">
        <v>1219</v>
      </c>
      <c r="E314" t="s">
        <v>1207</v>
      </c>
      <c r="F314" s="99" t="s">
        <v>1213</v>
      </c>
    </row>
    <row r="315" spans="1:6" x14ac:dyDescent="0.25">
      <c r="A315" t="s">
        <v>1189</v>
      </c>
      <c r="B315">
        <v>18</v>
      </c>
      <c r="C315" t="s">
        <v>1290</v>
      </c>
      <c r="D315" t="s">
        <v>1206</v>
      </c>
      <c r="E315" t="s">
        <v>1207</v>
      </c>
      <c r="F315" s="99" t="s">
        <v>1213</v>
      </c>
    </row>
    <row r="316" spans="1:6" x14ac:dyDescent="0.25">
      <c r="A316" t="s">
        <v>906</v>
      </c>
      <c r="B316">
        <v>18</v>
      </c>
      <c r="C316" t="s">
        <v>1290</v>
      </c>
      <c r="D316" t="s">
        <v>1206</v>
      </c>
      <c r="E316" t="s">
        <v>1217</v>
      </c>
      <c r="F316" s="99" t="s">
        <v>1213</v>
      </c>
    </row>
    <row r="317" spans="1:6" x14ac:dyDescent="0.25">
      <c r="A317" t="s">
        <v>390</v>
      </c>
      <c r="B317">
        <v>18</v>
      </c>
      <c r="C317" t="s">
        <v>1290</v>
      </c>
      <c r="D317" t="s">
        <v>1219</v>
      </c>
      <c r="E317" t="s">
        <v>1217</v>
      </c>
      <c r="F317" s="99" t="s">
        <v>1213</v>
      </c>
    </row>
    <row r="318" spans="1:6" x14ac:dyDescent="0.25">
      <c r="A318" t="s">
        <v>1049</v>
      </c>
      <c r="B318">
        <v>18</v>
      </c>
      <c r="C318" t="s">
        <v>1290</v>
      </c>
      <c r="D318" t="s">
        <v>1206</v>
      </c>
      <c r="E318" t="s">
        <v>1210</v>
      </c>
      <c r="F318" s="99" t="s">
        <v>1213</v>
      </c>
    </row>
    <row r="319" spans="1:6" x14ac:dyDescent="0.25">
      <c r="A319" t="s">
        <v>944</v>
      </c>
      <c r="B319">
        <v>18</v>
      </c>
      <c r="C319" t="s">
        <v>1290</v>
      </c>
      <c r="D319" t="s">
        <v>1206</v>
      </c>
      <c r="E319" t="s">
        <v>1210</v>
      </c>
      <c r="F319" s="99" t="s">
        <v>1213</v>
      </c>
    </row>
    <row r="320" spans="1:6" x14ac:dyDescent="0.25">
      <c r="A320" t="s">
        <v>553</v>
      </c>
      <c r="B320">
        <v>18</v>
      </c>
      <c r="C320" t="s">
        <v>1290</v>
      </c>
      <c r="D320" t="s">
        <v>1206</v>
      </c>
      <c r="E320" t="s">
        <v>1210</v>
      </c>
      <c r="F320" s="99" t="s">
        <v>1213</v>
      </c>
    </row>
    <row r="321" spans="1:6" x14ac:dyDescent="0.25">
      <c r="A321" t="s">
        <v>912</v>
      </c>
      <c r="B321">
        <v>18</v>
      </c>
      <c r="C321" t="s">
        <v>1290</v>
      </c>
      <c r="D321" t="s">
        <v>1206</v>
      </c>
      <c r="E321" t="s">
        <v>1210</v>
      </c>
      <c r="F321" s="99" t="s">
        <v>1213</v>
      </c>
    </row>
    <row r="322" spans="1:6" x14ac:dyDescent="0.25">
      <c r="A322" t="s">
        <v>501</v>
      </c>
      <c r="B322">
        <v>18</v>
      </c>
      <c r="C322" t="s">
        <v>1290</v>
      </c>
      <c r="D322" t="s">
        <v>1206</v>
      </c>
      <c r="E322" t="s">
        <v>1210</v>
      </c>
      <c r="F322" s="99" t="s">
        <v>1213</v>
      </c>
    </row>
    <row r="323" spans="1:6" x14ac:dyDescent="0.25">
      <c r="A323" t="s">
        <v>792</v>
      </c>
      <c r="B323">
        <v>18</v>
      </c>
      <c r="C323" t="s">
        <v>1290</v>
      </c>
      <c r="D323" t="s">
        <v>1219</v>
      </c>
      <c r="E323" t="s">
        <v>1217</v>
      </c>
      <c r="F323" s="99" t="s">
        <v>1213</v>
      </c>
    </row>
    <row r="324" spans="1:6" x14ac:dyDescent="0.25">
      <c r="A324" t="s">
        <v>782</v>
      </c>
      <c r="B324">
        <v>18</v>
      </c>
      <c r="C324" t="s">
        <v>1290</v>
      </c>
      <c r="D324" t="s">
        <v>1206</v>
      </c>
      <c r="E324" t="s">
        <v>1215</v>
      </c>
      <c r="F324" s="99" t="s">
        <v>1213</v>
      </c>
    </row>
    <row r="325" spans="1:6" x14ac:dyDescent="0.25">
      <c r="A325" t="s">
        <v>442</v>
      </c>
      <c r="B325">
        <v>18</v>
      </c>
      <c r="C325" t="s">
        <v>1290</v>
      </c>
      <c r="D325" t="s">
        <v>1206</v>
      </c>
      <c r="E325" t="s">
        <v>1207</v>
      </c>
      <c r="F325" s="99" t="s">
        <v>1213</v>
      </c>
    </row>
    <row r="326" spans="1:6" x14ac:dyDescent="0.25">
      <c r="A326" t="s">
        <v>397</v>
      </c>
      <c r="B326">
        <v>18</v>
      </c>
      <c r="C326" t="s">
        <v>1290</v>
      </c>
      <c r="D326" t="s">
        <v>1219</v>
      </c>
      <c r="E326" t="s">
        <v>1210</v>
      </c>
      <c r="F326" s="99" t="s">
        <v>1213</v>
      </c>
    </row>
    <row r="327" spans="1:6" x14ac:dyDescent="0.25">
      <c r="A327" t="s">
        <v>136</v>
      </c>
      <c r="B327">
        <v>18</v>
      </c>
      <c r="C327" t="s">
        <v>1290</v>
      </c>
      <c r="D327" t="s">
        <v>1220</v>
      </c>
      <c r="E327" t="s">
        <v>1207</v>
      </c>
      <c r="F327" s="99" t="s">
        <v>1213</v>
      </c>
    </row>
    <row r="328" spans="1:6" x14ac:dyDescent="0.25">
      <c r="A328" t="s">
        <v>852</v>
      </c>
      <c r="B328">
        <v>18</v>
      </c>
      <c r="C328" t="s">
        <v>1290</v>
      </c>
      <c r="D328" t="s">
        <v>1206</v>
      </c>
      <c r="E328" t="s">
        <v>1210</v>
      </c>
      <c r="F328" s="99" t="s">
        <v>1213</v>
      </c>
    </row>
    <row r="329" spans="1:6" x14ac:dyDescent="0.25">
      <c r="A329" t="s">
        <v>669</v>
      </c>
      <c r="B329">
        <v>18</v>
      </c>
      <c r="C329" t="s">
        <v>1290</v>
      </c>
      <c r="D329" t="s">
        <v>1206</v>
      </c>
      <c r="E329" t="s">
        <v>1210</v>
      </c>
      <c r="F329" s="99" t="s">
        <v>1213</v>
      </c>
    </row>
    <row r="330" spans="1:6" x14ac:dyDescent="0.25">
      <c r="A330" t="s">
        <v>1153</v>
      </c>
      <c r="B330">
        <v>18</v>
      </c>
      <c r="C330" t="s">
        <v>1290</v>
      </c>
      <c r="D330" t="s">
        <v>1206</v>
      </c>
      <c r="E330" t="s">
        <v>1207</v>
      </c>
      <c r="F330" s="99" t="s">
        <v>1213</v>
      </c>
    </row>
    <row r="331" spans="1:6" x14ac:dyDescent="0.25">
      <c r="A331" t="s">
        <v>1010</v>
      </c>
      <c r="B331">
        <v>18</v>
      </c>
      <c r="C331" t="s">
        <v>1290</v>
      </c>
      <c r="D331" t="s">
        <v>1206</v>
      </c>
      <c r="E331" t="s">
        <v>1210</v>
      </c>
      <c r="F331" s="99" t="s">
        <v>1213</v>
      </c>
    </row>
    <row r="332" spans="1:6" x14ac:dyDescent="0.25">
      <c r="A332" t="s">
        <v>827</v>
      </c>
      <c r="B332">
        <v>18</v>
      </c>
      <c r="C332" t="s">
        <v>1290</v>
      </c>
      <c r="D332" t="s">
        <v>1206</v>
      </c>
      <c r="E332" t="s">
        <v>1215</v>
      </c>
      <c r="F332" s="99" t="s">
        <v>1213</v>
      </c>
    </row>
    <row r="333" spans="1:6" x14ac:dyDescent="0.25">
      <c r="A333" t="s">
        <v>399</v>
      </c>
      <c r="B333">
        <v>18</v>
      </c>
      <c r="C333" t="s">
        <v>1290</v>
      </c>
      <c r="D333" t="s">
        <v>1220</v>
      </c>
      <c r="E333" t="s">
        <v>1210</v>
      </c>
      <c r="F333" s="99" t="s">
        <v>1213</v>
      </c>
    </row>
    <row r="334" spans="1:6" x14ac:dyDescent="0.25">
      <c r="A334" t="s">
        <v>149</v>
      </c>
      <c r="B334">
        <v>18</v>
      </c>
      <c r="C334" t="s">
        <v>1290</v>
      </c>
      <c r="D334" t="s">
        <v>1206</v>
      </c>
      <c r="E334" t="s">
        <v>1210</v>
      </c>
      <c r="F334" s="99" t="s">
        <v>1213</v>
      </c>
    </row>
    <row r="335" spans="1:6" x14ac:dyDescent="0.25">
      <c r="A335" t="s">
        <v>217</v>
      </c>
      <c r="B335">
        <v>18</v>
      </c>
      <c r="C335" t="s">
        <v>1290</v>
      </c>
      <c r="D335" t="s">
        <v>1219</v>
      </c>
      <c r="E335" t="s">
        <v>1210</v>
      </c>
      <c r="F335" s="99" t="s">
        <v>1213</v>
      </c>
    </row>
    <row r="336" spans="1:6" x14ac:dyDescent="0.25">
      <c r="A336" t="s">
        <v>322</v>
      </c>
      <c r="B336">
        <v>18</v>
      </c>
      <c r="C336" t="s">
        <v>1290</v>
      </c>
      <c r="D336" t="s">
        <v>1219</v>
      </c>
      <c r="E336" t="s">
        <v>1210</v>
      </c>
      <c r="F336" s="99" t="s">
        <v>1213</v>
      </c>
    </row>
    <row r="337" spans="1:6" x14ac:dyDescent="0.25">
      <c r="A337" t="s">
        <v>499</v>
      </c>
      <c r="B337">
        <v>18</v>
      </c>
      <c r="C337" t="s">
        <v>1290</v>
      </c>
      <c r="D337" t="s">
        <v>1219</v>
      </c>
      <c r="E337" t="s">
        <v>1217</v>
      </c>
      <c r="F337" s="99" t="s">
        <v>1213</v>
      </c>
    </row>
    <row r="338" spans="1:6" x14ac:dyDescent="0.25">
      <c r="A338" t="s">
        <v>521</v>
      </c>
      <c r="B338">
        <v>18</v>
      </c>
      <c r="C338" t="s">
        <v>1290</v>
      </c>
      <c r="D338" t="s">
        <v>1219</v>
      </c>
      <c r="E338" t="s">
        <v>1207</v>
      </c>
      <c r="F338" s="99" t="s">
        <v>1213</v>
      </c>
    </row>
    <row r="339" spans="1:6" x14ac:dyDescent="0.25">
      <c r="A339" t="s">
        <v>133</v>
      </c>
      <c r="B339">
        <v>18</v>
      </c>
      <c r="C339" t="s">
        <v>1290</v>
      </c>
      <c r="D339" t="s">
        <v>1206</v>
      </c>
      <c r="E339" t="s">
        <v>1210</v>
      </c>
      <c r="F339" s="99" t="s">
        <v>1213</v>
      </c>
    </row>
    <row r="340" spans="1:6" x14ac:dyDescent="0.25">
      <c r="A340" t="s">
        <v>479</v>
      </c>
      <c r="B340">
        <v>18</v>
      </c>
      <c r="C340" t="s">
        <v>1290</v>
      </c>
      <c r="D340" t="s">
        <v>1220</v>
      </c>
      <c r="E340" t="s">
        <v>1207</v>
      </c>
      <c r="F340" s="99" t="s">
        <v>1213</v>
      </c>
    </row>
    <row r="341" spans="1:6" x14ac:dyDescent="0.25">
      <c r="A341" t="s">
        <v>791</v>
      </c>
      <c r="B341">
        <v>18</v>
      </c>
      <c r="C341" t="s">
        <v>1290</v>
      </c>
      <c r="D341" t="s">
        <v>1206</v>
      </c>
      <c r="E341" t="s">
        <v>1217</v>
      </c>
      <c r="F341" s="99" t="s">
        <v>1213</v>
      </c>
    </row>
    <row r="342" spans="1:6" x14ac:dyDescent="0.25">
      <c r="A342" t="s">
        <v>118</v>
      </c>
      <c r="B342">
        <v>18</v>
      </c>
      <c r="C342" t="s">
        <v>1290</v>
      </c>
      <c r="D342" t="s">
        <v>1219</v>
      </c>
      <c r="E342" t="s">
        <v>1210</v>
      </c>
      <c r="F342" s="99" t="s">
        <v>1213</v>
      </c>
    </row>
    <row r="343" spans="1:6" x14ac:dyDescent="0.25">
      <c r="A343" t="s">
        <v>774</v>
      </c>
      <c r="B343">
        <v>18</v>
      </c>
      <c r="C343" t="s">
        <v>1290</v>
      </c>
      <c r="D343" t="s">
        <v>1206</v>
      </c>
      <c r="E343" t="s">
        <v>1207</v>
      </c>
      <c r="F343" s="99" t="s">
        <v>1213</v>
      </c>
    </row>
    <row r="344" spans="1:6" x14ac:dyDescent="0.25">
      <c r="A344" t="s">
        <v>417</v>
      </c>
      <c r="B344">
        <v>18</v>
      </c>
      <c r="C344" t="s">
        <v>1290</v>
      </c>
      <c r="D344" t="s">
        <v>1220</v>
      </c>
      <c r="E344" t="s">
        <v>1210</v>
      </c>
      <c r="F344" s="99" t="s">
        <v>1213</v>
      </c>
    </row>
    <row r="345" spans="1:6" x14ac:dyDescent="0.25">
      <c r="A345" t="s">
        <v>422</v>
      </c>
      <c r="B345">
        <v>18</v>
      </c>
      <c r="C345" t="s">
        <v>1290</v>
      </c>
      <c r="D345" t="s">
        <v>1220</v>
      </c>
      <c r="E345" t="s">
        <v>1207</v>
      </c>
      <c r="F345" s="99" t="s">
        <v>1213</v>
      </c>
    </row>
    <row r="346" spans="1:6" x14ac:dyDescent="0.25">
      <c r="A346" t="s">
        <v>644</v>
      </c>
      <c r="B346">
        <v>18</v>
      </c>
      <c r="C346" t="s">
        <v>1290</v>
      </c>
      <c r="D346" t="s">
        <v>1219</v>
      </c>
      <c r="E346" t="s">
        <v>1217</v>
      </c>
      <c r="F346" s="99" t="s">
        <v>1213</v>
      </c>
    </row>
    <row r="347" spans="1:6" x14ac:dyDescent="0.25">
      <c r="A347" t="s">
        <v>1047</v>
      </c>
      <c r="B347">
        <v>18</v>
      </c>
      <c r="C347" t="s">
        <v>1290</v>
      </c>
      <c r="D347" t="s">
        <v>1206</v>
      </c>
      <c r="E347" t="s">
        <v>1210</v>
      </c>
      <c r="F347" s="99" t="s">
        <v>1213</v>
      </c>
    </row>
    <row r="348" spans="1:6" x14ac:dyDescent="0.25">
      <c r="A348" t="s">
        <v>443</v>
      </c>
      <c r="B348">
        <v>18</v>
      </c>
      <c r="C348" t="s">
        <v>1290</v>
      </c>
      <c r="D348" t="s">
        <v>1206</v>
      </c>
      <c r="E348" t="s">
        <v>1207</v>
      </c>
      <c r="F348" s="99" t="s">
        <v>1213</v>
      </c>
    </row>
    <row r="349" spans="1:6" x14ac:dyDescent="0.25">
      <c r="A349" t="s">
        <v>130</v>
      </c>
      <c r="B349">
        <v>18</v>
      </c>
      <c r="C349" t="s">
        <v>1290</v>
      </c>
      <c r="D349" t="s">
        <v>1206</v>
      </c>
      <c r="E349" t="s">
        <v>1215</v>
      </c>
      <c r="F349" s="99" t="s">
        <v>1213</v>
      </c>
    </row>
    <row r="350" spans="1:6" x14ac:dyDescent="0.25">
      <c r="A350" t="s">
        <v>481</v>
      </c>
      <c r="B350">
        <v>18</v>
      </c>
      <c r="C350" t="s">
        <v>1290</v>
      </c>
      <c r="D350" t="s">
        <v>1219</v>
      </c>
      <c r="E350" t="s">
        <v>1207</v>
      </c>
      <c r="F350" s="99" t="s">
        <v>1213</v>
      </c>
    </row>
    <row r="351" spans="1:6" x14ac:dyDescent="0.25">
      <c r="A351" t="s">
        <v>853</v>
      </c>
      <c r="B351">
        <v>18</v>
      </c>
      <c r="C351" t="s">
        <v>1290</v>
      </c>
      <c r="D351" t="s">
        <v>1206</v>
      </c>
      <c r="E351" t="s">
        <v>1210</v>
      </c>
      <c r="F351" s="99" t="s">
        <v>1213</v>
      </c>
    </row>
    <row r="352" spans="1:6" x14ac:dyDescent="0.25">
      <c r="A352" t="s">
        <v>672</v>
      </c>
      <c r="B352">
        <v>18</v>
      </c>
      <c r="C352" t="s">
        <v>1290</v>
      </c>
      <c r="D352" t="s">
        <v>1206</v>
      </c>
      <c r="E352" t="s">
        <v>1217</v>
      </c>
      <c r="F352" s="99" t="s">
        <v>1213</v>
      </c>
    </row>
    <row r="353" spans="1:6" x14ac:dyDescent="0.25">
      <c r="A353" t="s">
        <v>388</v>
      </c>
      <c r="B353">
        <v>18</v>
      </c>
      <c r="C353" t="s">
        <v>1290</v>
      </c>
      <c r="D353" t="s">
        <v>1219</v>
      </c>
      <c r="E353" t="s">
        <v>1217</v>
      </c>
      <c r="F353" s="99" t="s">
        <v>1213</v>
      </c>
    </row>
    <row r="354" spans="1:6" x14ac:dyDescent="0.25">
      <c r="A354" t="s">
        <v>578</v>
      </c>
      <c r="B354">
        <v>18</v>
      </c>
      <c r="C354" t="s">
        <v>1290</v>
      </c>
      <c r="D354" t="s">
        <v>1220</v>
      </c>
      <c r="E354" t="s">
        <v>1207</v>
      </c>
      <c r="F354" s="99" t="s">
        <v>1213</v>
      </c>
    </row>
    <row r="355" spans="1:6" x14ac:dyDescent="0.25">
      <c r="A355" t="s">
        <v>328</v>
      </c>
      <c r="B355">
        <v>18</v>
      </c>
      <c r="C355" t="s">
        <v>1290</v>
      </c>
      <c r="D355" t="s">
        <v>1206</v>
      </c>
      <c r="E355" t="s">
        <v>1210</v>
      </c>
      <c r="F355" s="99" t="s">
        <v>1213</v>
      </c>
    </row>
    <row r="356" spans="1:6" x14ac:dyDescent="0.25">
      <c r="A356" t="s">
        <v>972</v>
      </c>
      <c r="B356">
        <v>18</v>
      </c>
      <c r="C356" t="s">
        <v>1290</v>
      </c>
      <c r="D356" t="s">
        <v>1206</v>
      </c>
      <c r="E356" t="s">
        <v>1210</v>
      </c>
      <c r="F356" s="99" t="s">
        <v>1213</v>
      </c>
    </row>
    <row r="357" spans="1:6" x14ac:dyDescent="0.25">
      <c r="A357" t="s">
        <v>670</v>
      </c>
      <c r="B357">
        <v>18</v>
      </c>
      <c r="C357" t="s">
        <v>1290</v>
      </c>
      <c r="D357" t="s">
        <v>1206</v>
      </c>
      <c r="E357" t="s">
        <v>1210</v>
      </c>
      <c r="F357" s="99" t="s">
        <v>1213</v>
      </c>
    </row>
    <row r="358" spans="1:6" x14ac:dyDescent="0.25">
      <c r="A358" t="s">
        <v>996</v>
      </c>
      <c r="B358">
        <v>18</v>
      </c>
      <c r="C358" t="s">
        <v>1290</v>
      </c>
      <c r="D358" t="s">
        <v>1206</v>
      </c>
      <c r="E358" t="s">
        <v>1210</v>
      </c>
      <c r="F358" s="99" t="s">
        <v>1213</v>
      </c>
    </row>
    <row r="359" spans="1:6" x14ac:dyDescent="0.25">
      <c r="A359" t="s">
        <v>284</v>
      </c>
      <c r="B359">
        <v>18</v>
      </c>
      <c r="C359" t="s">
        <v>1290</v>
      </c>
      <c r="D359" t="s">
        <v>1219</v>
      </c>
      <c r="E359" t="s">
        <v>1210</v>
      </c>
      <c r="F359" s="99" t="s">
        <v>1213</v>
      </c>
    </row>
    <row r="360" spans="1:6" x14ac:dyDescent="0.25">
      <c r="A360" t="s">
        <v>866</v>
      </c>
      <c r="B360">
        <v>18</v>
      </c>
      <c r="C360" t="s">
        <v>1290</v>
      </c>
      <c r="D360" t="s">
        <v>1206</v>
      </c>
      <c r="E360" t="s">
        <v>1207</v>
      </c>
      <c r="F360" s="99" t="s">
        <v>1213</v>
      </c>
    </row>
    <row r="361" spans="1:6" x14ac:dyDescent="0.25">
      <c r="A361" t="s">
        <v>1146</v>
      </c>
      <c r="B361">
        <v>18</v>
      </c>
      <c r="C361" t="s">
        <v>1290</v>
      </c>
      <c r="D361" t="s">
        <v>1220</v>
      </c>
      <c r="E361" t="s">
        <v>1207</v>
      </c>
      <c r="F361" s="99" t="s">
        <v>1213</v>
      </c>
    </row>
    <row r="362" spans="1:6" x14ac:dyDescent="0.25">
      <c r="A362" t="s">
        <v>1139</v>
      </c>
      <c r="B362">
        <v>18</v>
      </c>
      <c r="C362" t="s">
        <v>1290</v>
      </c>
      <c r="D362" t="s">
        <v>1206</v>
      </c>
      <c r="E362" t="s">
        <v>1207</v>
      </c>
      <c r="F362" s="99" t="s">
        <v>1213</v>
      </c>
    </row>
    <row r="363" spans="1:6" x14ac:dyDescent="0.25">
      <c r="A363" t="s">
        <v>1142</v>
      </c>
      <c r="B363">
        <v>18</v>
      </c>
      <c r="C363" t="s">
        <v>1290</v>
      </c>
      <c r="D363" t="s">
        <v>1206</v>
      </c>
      <c r="E363" t="s">
        <v>1207</v>
      </c>
      <c r="F363" s="99" t="s">
        <v>1213</v>
      </c>
    </row>
    <row r="364" spans="1:6" x14ac:dyDescent="0.25">
      <c r="A364" t="s">
        <v>1178</v>
      </c>
      <c r="B364">
        <v>18</v>
      </c>
      <c r="C364" t="s">
        <v>1290</v>
      </c>
      <c r="D364" t="s">
        <v>1206</v>
      </c>
      <c r="E364" t="s">
        <v>1207</v>
      </c>
      <c r="F364" s="99" t="s">
        <v>1213</v>
      </c>
    </row>
    <row r="365" spans="1:6" x14ac:dyDescent="0.25">
      <c r="A365" t="s">
        <v>984</v>
      </c>
      <c r="B365">
        <v>18</v>
      </c>
      <c r="C365" t="s">
        <v>1290</v>
      </c>
      <c r="D365" t="s">
        <v>1206</v>
      </c>
      <c r="E365" t="s">
        <v>1210</v>
      </c>
      <c r="F365" s="99" t="s">
        <v>1213</v>
      </c>
    </row>
    <row r="366" spans="1:6" x14ac:dyDescent="0.25">
      <c r="A366" t="s">
        <v>798</v>
      </c>
      <c r="B366">
        <v>18</v>
      </c>
      <c r="C366" t="s">
        <v>1290</v>
      </c>
      <c r="D366" t="s">
        <v>1206</v>
      </c>
      <c r="E366" t="s">
        <v>1210</v>
      </c>
      <c r="F366" s="99" t="s">
        <v>1213</v>
      </c>
    </row>
    <row r="367" spans="1:6" x14ac:dyDescent="0.25">
      <c r="A367" t="s">
        <v>777</v>
      </c>
      <c r="B367">
        <v>18</v>
      </c>
      <c r="C367" t="s">
        <v>1290</v>
      </c>
      <c r="D367" t="s">
        <v>1206</v>
      </c>
      <c r="E367" t="s">
        <v>1210</v>
      </c>
      <c r="F367" s="99" t="s">
        <v>1213</v>
      </c>
    </row>
    <row r="368" spans="1:6" x14ac:dyDescent="0.25">
      <c r="A368" t="s">
        <v>810</v>
      </c>
      <c r="B368">
        <v>18</v>
      </c>
      <c r="C368" t="s">
        <v>1290</v>
      </c>
      <c r="D368" t="s">
        <v>1206</v>
      </c>
      <c r="E368" t="s">
        <v>1210</v>
      </c>
      <c r="F368" s="99" t="s">
        <v>1213</v>
      </c>
    </row>
    <row r="369" spans="1:6" x14ac:dyDescent="0.25">
      <c r="A369" t="s">
        <v>1019</v>
      </c>
      <c r="B369">
        <v>18</v>
      </c>
      <c r="C369" t="s">
        <v>1290</v>
      </c>
      <c r="D369" t="s">
        <v>1206</v>
      </c>
      <c r="E369" t="s">
        <v>1217</v>
      </c>
      <c r="F369" s="99" t="s">
        <v>1213</v>
      </c>
    </row>
    <row r="370" spans="1:6" x14ac:dyDescent="0.25">
      <c r="A370" t="s">
        <v>1031</v>
      </c>
      <c r="B370">
        <v>18</v>
      </c>
      <c r="C370" t="s">
        <v>1290</v>
      </c>
      <c r="D370" t="s">
        <v>1206</v>
      </c>
      <c r="E370" t="s">
        <v>1210</v>
      </c>
      <c r="F370" s="99" t="s">
        <v>1213</v>
      </c>
    </row>
    <row r="371" spans="1:6" x14ac:dyDescent="0.25">
      <c r="A371" t="s">
        <v>1012</v>
      </c>
      <c r="B371">
        <v>18</v>
      </c>
      <c r="C371" t="s">
        <v>1290</v>
      </c>
      <c r="D371" t="s">
        <v>1206</v>
      </c>
      <c r="E371" t="s">
        <v>1210</v>
      </c>
      <c r="F371" s="99" t="s">
        <v>1213</v>
      </c>
    </row>
    <row r="372" spans="1:6" x14ac:dyDescent="0.25">
      <c r="A372" t="s">
        <v>916</v>
      </c>
      <c r="B372">
        <v>18</v>
      </c>
      <c r="C372" t="s">
        <v>1290</v>
      </c>
      <c r="D372" t="s">
        <v>1206</v>
      </c>
      <c r="E372" t="s">
        <v>1207</v>
      </c>
      <c r="F372" s="99" t="s">
        <v>1213</v>
      </c>
    </row>
    <row r="373" spans="1:6" x14ac:dyDescent="0.25">
      <c r="A373" t="s">
        <v>534</v>
      </c>
      <c r="B373">
        <v>18</v>
      </c>
      <c r="C373" t="s">
        <v>1290</v>
      </c>
      <c r="D373" t="s">
        <v>1219</v>
      </c>
      <c r="E373" t="s">
        <v>1217</v>
      </c>
      <c r="F373" s="99" t="s">
        <v>1213</v>
      </c>
    </row>
    <row r="374" spans="1:6" x14ac:dyDescent="0.25">
      <c r="A374" t="s">
        <v>548</v>
      </c>
      <c r="B374">
        <v>18</v>
      </c>
      <c r="C374" t="s">
        <v>1290</v>
      </c>
      <c r="D374" t="s">
        <v>1220</v>
      </c>
      <c r="E374" t="s">
        <v>1217</v>
      </c>
      <c r="F374" s="99" t="s">
        <v>1213</v>
      </c>
    </row>
    <row r="375" spans="1:6" x14ac:dyDescent="0.25">
      <c r="A375" t="s">
        <v>834</v>
      </c>
      <c r="B375">
        <v>18</v>
      </c>
      <c r="C375" t="s">
        <v>1290</v>
      </c>
      <c r="D375" t="s">
        <v>1206</v>
      </c>
      <c r="E375" t="s">
        <v>1210</v>
      </c>
      <c r="F375" s="99" t="s">
        <v>1213</v>
      </c>
    </row>
    <row r="376" spans="1:6" x14ac:dyDescent="0.25">
      <c r="A376" t="s">
        <v>1132</v>
      </c>
      <c r="B376">
        <v>18</v>
      </c>
      <c r="C376" t="s">
        <v>1290</v>
      </c>
      <c r="D376" t="s">
        <v>1220</v>
      </c>
      <c r="E376" t="s">
        <v>1207</v>
      </c>
      <c r="F376" s="99" t="s">
        <v>1213</v>
      </c>
    </row>
    <row r="377" spans="1:6" x14ac:dyDescent="0.25">
      <c r="A377" t="s">
        <v>129</v>
      </c>
      <c r="B377">
        <v>18</v>
      </c>
      <c r="C377" t="s">
        <v>1290</v>
      </c>
      <c r="D377" t="s">
        <v>1206</v>
      </c>
      <c r="E377" t="s">
        <v>1215</v>
      </c>
      <c r="F377" s="99" t="s">
        <v>1213</v>
      </c>
    </row>
    <row r="378" spans="1:6" x14ac:dyDescent="0.25">
      <c r="A378" t="s">
        <v>571</v>
      </c>
      <c r="B378">
        <v>18</v>
      </c>
      <c r="C378" t="s">
        <v>1290</v>
      </c>
      <c r="D378" t="s">
        <v>1219</v>
      </c>
      <c r="E378" t="s">
        <v>1217</v>
      </c>
      <c r="F378" s="99" t="s">
        <v>1213</v>
      </c>
    </row>
    <row r="379" spans="1:6" x14ac:dyDescent="0.25">
      <c r="A379" t="s">
        <v>611</v>
      </c>
      <c r="B379">
        <v>18</v>
      </c>
      <c r="C379" t="s">
        <v>1290</v>
      </c>
      <c r="D379" t="s">
        <v>1206</v>
      </c>
      <c r="E379" t="s">
        <v>1210</v>
      </c>
      <c r="F379" s="99" t="s">
        <v>1213</v>
      </c>
    </row>
    <row r="380" spans="1:6" x14ac:dyDescent="0.25">
      <c r="A380" t="s">
        <v>902</v>
      </c>
      <c r="B380">
        <v>18</v>
      </c>
      <c r="C380" t="s">
        <v>1290</v>
      </c>
      <c r="D380" t="s">
        <v>1206</v>
      </c>
      <c r="E380" t="s">
        <v>1210</v>
      </c>
      <c r="F380" s="99" t="s">
        <v>1213</v>
      </c>
    </row>
    <row r="381" spans="1:6" x14ac:dyDescent="0.25">
      <c r="A381" t="s">
        <v>199</v>
      </c>
      <c r="B381">
        <v>18</v>
      </c>
      <c r="C381" t="s">
        <v>1290</v>
      </c>
      <c r="D381" t="s">
        <v>1218</v>
      </c>
      <c r="E381" t="s">
        <v>1215</v>
      </c>
      <c r="F381" s="99" t="s">
        <v>1213</v>
      </c>
    </row>
    <row r="382" spans="1:6" x14ac:dyDescent="0.25">
      <c r="A382" t="s">
        <v>176</v>
      </c>
      <c r="B382">
        <v>18</v>
      </c>
      <c r="C382" t="s">
        <v>1290</v>
      </c>
      <c r="D382" t="s">
        <v>1219</v>
      </c>
      <c r="E382" t="s">
        <v>1215</v>
      </c>
      <c r="F382" s="99" t="s">
        <v>1213</v>
      </c>
    </row>
    <row r="383" spans="1:6" x14ac:dyDescent="0.25">
      <c r="A383" t="s">
        <v>1099</v>
      </c>
      <c r="B383">
        <v>18</v>
      </c>
      <c r="C383" t="s">
        <v>1290</v>
      </c>
      <c r="D383" t="s">
        <v>1206</v>
      </c>
      <c r="E383" t="s">
        <v>1210</v>
      </c>
      <c r="F383" s="99" t="s">
        <v>1213</v>
      </c>
    </row>
    <row r="384" spans="1:6" x14ac:dyDescent="0.25">
      <c r="A384" t="s">
        <v>380</v>
      </c>
      <c r="B384">
        <v>18</v>
      </c>
      <c r="C384" t="s">
        <v>1290</v>
      </c>
      <c r="D384" t="s">
        <v>1206</v>
      </c>
      <c r="E384" t="s">
        <v>1210</v>
      </c>
      <c r="F384" s="99" t="s">
        <v>1213</v>
      </c>
    </row>
    <row r="385" spans="1:6" x14ac:dyDescent="0.25">
      <c r="A385" t="s">
        <v>406</v>
      </c>
      <c r="B385">
        <v>18</v>
      </c>
      <c r="C385" t="s">
        <v>1290</v>
      </c>
      <c r="D385" t="s">
        <v>1219</v>
      </c>
      <c r="E385" t="s">
        <v>1210</v>
      </c>
      <c r="F385" s="99" t="s">
        <v>1213</v>
      </c>
    </row>
    <row r="386" spans="1:6" x14ac:dyDescent="0.25">
      <c r="A386" t="s">
        <v>439</v>
      </c>
      <c r="B386">
        <v>18</v>
      </c>
      <c r="C386" t="s">
        <v>1290</v>
      </c>
      <c r="D386" t="s">
        <v>1206</v>
      </c>
      <c r="E386" t="s">
        <v>1217</v>
      </c>
      <c r="F386" s="99" t="s">
        <v>1213</v>
      </c>
    </row>
    <row r="387" spans="1:6" x14ac:dyDescent="0.25">
      <c r="A387" t="s">
        <v>496</v>
      </c>
      <c r="B387">
        <v>18</v>
      </c>
      <c r="C387" t="s">
        <v>1290</v>
      </c>
      <c r="D387" t="s">
        <v>1206</v>
      </c>
      <c r="E387" t="s">
        <v>1217</v>
      </c>
      <c r="F387" s="99" t="s">
        <v>1213</v>
      </c>
    </row>
    <row r="388" spans="1:6" x14ac:dyDescent="0.25">
      <c r="A388" t="s">
        <v>350</v>
      </c>
      <c r="B388">
        <v>18</v>
      </c>
      <c r="C388" t="s">
        <v>1290</v>
      </c>
      <c r="D388" t="s">
        <v>1220</v>
      </c>
      <c r="E388" t="s">
        <v>1210</v>
      </c>
      <c r="F388" s="99" t="s">
        <v>1213</v>
      </c>
    </row>
    <row r="389" spans="1:6" x14ac:dyDescent="0.25">
      <c r="A389" t="s">
        <v>1018</v>
      </c>
      <c r="B389">
        <v>18</v>
      </c>
      <c r="C389" t="s">
        <v>1290</v>
      </c>
      <c r="D389" t="s">
        <v>1206</v>
      </c>
      <c r="E389" t="s">
        <v>1210</v>
      </c>
      <c r="F389" s="99" t="s">
        <v>1213</v>
      </c>
    </row>
    <row r="390" spans="1:6" x14ac:dyDescent="0.25">
      <c r="A390" t="s">
        <v>901</v>
      </c>
      <c r="B390">
        <v>18</v>
      </c>
      <c r="C390" t="s">
        <v>1290</v>
      </c>
      <c r="D390" t="s">
        <v>1206</v>
      </c>
      <c r="E390" t="s">
        <v>1217</v>
      </c>
      <c r="F390" s="99" t="s">
        <v>1213</v>
      </c>
    </row>
    <row r="391" spans="1:6" x14ac:dyDescent="0.25">
      <c r="A391" t="s">
        <v>707</v>
      </c>
      <c r="B391">
        <v>18</v>
      </c>
      <c r="C391" t="s">
        <v>1290</v>
      </c>
      <c r="D391" t="s">
        <v>1206</v>
      </c>
      <c r="E391" t="s">
        <v>1217</v>
      </c>
      <c r="F391" s="99" t="s">
        <v>1213</v>
      </c>
    </row>
    <row r="392" spans="1:6" x14ac:dyDescent="0.25">
      <c r="A392" t="s">
        <v>551</v>
      </c>
      <c r="B392">
        <v>18</v>
      </c>
      <c r="C392" t="s">
        <v>1290</v>
      </c>
      <c r="D392" t="s">
        <v>1220</v>
      </c>
      <c r="E392" t="s">
        <v>1207</v>
      </c>
      <c r="F392" s="99" t="s">
        <v>1213</v>
      </c>
    </row>
    <row r="393" spans="1:6" x14ac:dyDescent="0.25">
      <c r="A393" t="s">
        <v>825</v>
      </c>
      <c r="B393">
        <v>18</v>
      </c>
      <c r="C393" t="s">
        <v>1290</v>
      </c>
      <c r="D393" t="s">
        <v>1206</v>
      </c>
      <c r="E393" t="s">
        <v>1210</v>
      </c>
      <c r="F393" s="99" t="s">
        <v>1213</v>
      </c>
    </row>
    <row r="394" spans="1:6" x14ac:dyDescent="0.25">
      <c r="A394" t="s">
        <v>565</v>
      </c>
      <c r="B394">
        <v>18</v>
      </c>
      <c r="C394" t="s">
        <v>1290</v>
      </c>
      <c r="D394" t="s">
        <v>1206</v>
      </c>
      <c r="E394" t="s">
        <v>1210</v>
      </c>
      <c r="F394" s="99" t="s">
        <v>1213</v>
      </c>
    </row>
    <row r="395" spans="1:6" x14ac:dyDescent="0.25">
      <c r="A395" t="s">
        <v>1040</v>
      </c>
      <c r="B395">
        <v>18</v>
      </c>
      <c r="C395" t="s">
        <v>1290</v>
      </c>
      <c r="D395" t="s">
        <v>1206</v>
      </c>
      <c r="E395" t="s">
        <v>1210</v>
      </c>
      <c r="F395" s="99" t="s">
        <v>1213</v>
      </c>
    </row>
    <row r="396" spans="1:6" x14ac:dyDescent="0.25">
      <c r="A396" t="s">
        <v>303</v>
      </c>
      <c r="B396">
        <v>19</v>
      </c>
      <c r="C396" t="s">
        <v>1290</v>
      </c>
      <c r="D396" t="s">
        <v>1219</v>
      </c>
      <c r="E396" t="s">
        <v>1210</v>
      </c>
      <c r="F396" s="99" t="s">
        <v>1213</v>
      </c>
    </row>
    <row r="397" spans="1:6" x14ac:dyDescent="0.25">
      <c r="A397" t="s">
        <v>361</v>
      </c>
      <c r="B397">
        <v>19</v>
      </c>
      <c r="C397" t="s">
        <v>1290</v>
      </c>
      <c r="D397" t="s">
        <v>1206</v>
      </c>
      <c r="E397" t="s">
        <v>1210</v>
      </c>
      <c r="F397" s="99" t="s">
        <v>1213</v>
      </c>
    </row>
    <row r="398" spans="1:6" x14ac:dyDescent="0.25">
      <c r="A398" t="s">
        <v>122</v>
      </c>
      <c r="B398">
        <v>19</v>
      </c>
      <c r="C398" t="s">
        <v>1290</v>
      </c>
      <c r="D398" t="s">
        <v>1206</v>
      </c>
      <c r="E398" t="s">
        <v>1215</v>
      </c>
      <c r="F398" s="99" t="s">
        <v>1213</v>
      </c>
    </row>
    <row r="399" spans="1:6" x14ac:dyDescent="0.25">
      <c r="A399" t="s">
        <v>542</v>
      </c>
      <c r="B399">
        <v>19</v>
      </c>
      <c r="C399" t="s">
        <v>1290</v>
      </c>
      <c r="D399" t="s">
        <v>1206</v>
      </c>
      <c r="E399" t="s">
        <v>1217</v>
      </c>
      <c r="F399" s="99" t="s">
        <v>1213</v>
      </c>
    </row>
    <row r="400" spans="1:6" x14ac:dyDescent="0.25">
      <c r="A400" t="s">
        <v>185</v>
      </c>
      <c r="B400">
        <v>19</v>
      </c>
      <c r="C400" t="s">
        <v>1290</v>
      </c>
      <c r="D400" t="s">
        <v>1222</v>
      </c>
      <c r="E400" t="s">
        <v>1217</v>
      </c>
      <c r="F400" s="99" t="s">
        <v>1213</v>
      </c>
    </row>
    <row r="401" spans="1:6" x14ac:dyDescent="0.25">
      <c r="A401" t="s">
        <v>1075</v>
      </c>
      <c r="B401">
        <v>19</v>
      </c>
      <c r="C401" t="s">
        <v>1290</v>
      </c>
      <c r="D401" t="s">
        <v>1206</v>
      </c>
      <c r="E401" t="s">
        <v>1207</v>
      </c>
      <c r="F401" s="99" t="s">
        <v>1213</v>
      </c>
    </row>
    <row r="402" spans="1:6" x14ac:dyDescent="0.25">
      <c r="A402" t="s">
        <v>767</v>
      </c>
      <c r="B402">
        <v>19</v>
      </c>
      <c r="C402" t="s">
        <v>1290</v>
      </c>
      <c r="D402" t="s">
        <v>1219</v>
      </c>
      <c r="E402" t="s">
        <v>1217</v>
      </c>
      <c r="F402" s="99" t="s">
        <v>1213</v>
      </c>
    </row>
    <row r="403" spans="1:6" x14ac:dyDescent="0.25">
      <c r="A403" t="s">
        <v>803</v>
      </c>
      <c r="B403">
        <v>19</v>
      </c>
      <c r="C403" t="s">
        <v>1290</v>
      </c>
      <c r="D403" t="s">
        <v>1206</v>
      </c>
      <c r="E403" t="s">
        <v>1210</v>
      </c>
      <c r="F403" s="99" t="s">
        <v>1213</v>
      </c>
    </row>
    <row r="404" spans="1:6" x14ac:dyDescent="0.25">
      <c r="A404" t="s">
        <v>836</v>
      </c>
      <c r="B404">
        <v>19</v>
      </c>
      <c r="C404" t="s">
        <v>1290</v>
      </c>
      <c r="D404" t="s">
        <v>1206</v>
      </c>
      <c r="E404" t="s">
        <v>1210</v>
      </c>
      <c r="F404" s="99" t="s">
        <v>1213</v>
      </c>
    </row>
    <row r="405" spans="1:6" x14ac:dyDescent="0.25">
      <c r="A405" t="s">
        <v>424</v>
      </c>
      <c r="B405">
        <v>19</v>
      </c>
      <c r="C405" t="s">
        <v>1290</v>
      </c>
      <c r="D405" t="s">
        <v>1219</v>
      </c>
      <c r="E405" t="s">
        <v>1217</v>
      </c>
      <c r="F405" s="99" t="s">
        <v>1213</v>
      </c>
    </row>
    <row r="406" spans="1:6" x14ac:dyDescent="0.25">
      <c r="A406" t="s">
        <v>1105</v>
      </c>
      <c r="B406">
        <v>19</v>
      </c>
      <c r="C406" t="s">
        <v>1290</v>
      </c>
      <c r="D406" t="s">
        <v>1206</v>
      </c>
      <c r="E406" t="s">
        <v>1207</v>
      </c>
      <c r="F406" s="99" t="s">
        <v>1213</v>
      </c>
    </row>
    <row r="407" spans="1:6" x14ac:dyDescent="0.25">
      <c r="A407" t="s">
        <v>948</v>
      </c>
      <c r="B407">
        <v>19</v>
      </c>
      <c r="C407" t="s">
        <v>1290</v>
      </c>
      <c r="D407" t="s">
        <v>1206</v>
      </c>
      <c r="E407" t="s">
        <v>1210</v>
      </c>
      <c r="F407" s="99" t="s">
        <v>1213</v>
      </c>
    </row>
    <row r="408" spans="1:6" x14ac:dyDescent="0.25">
      <c r="A408" t="s">
        <v>444</v>
      </c>
      <c r="B408">
        <v>19</v>
      </c>
      <c r="C408" t="s">
        <v>1290</v>
      </c>
      <c r="D408" t="s">
        <v>1220</v>
      </c>
      <c r="E408" t="s">
        <v>1207</v>
      </c>
      <c r="F408" s="99" t="s">
        <v>1213</v>
      </c>
    </row>
    <row r="409" spans="1:6" x14ac:dyDescent="0.25">
      <c r="A409" t="s">
        <v>941</v>
      </c>
      <c r="B409">
        <v>19</v>
      </c>
      <c r="C409" t="s">
        <v>1290</v>
      </c>
      <c r="D409" t="s">
        <v>1206</v>
      </c>
      <c r="E409" t="s">
        <v>1210</v>
      </c>
      <c r="F409" s="99" t="s">
        <v>1213</v>
      </c>
    </row>
    <row r="410" spans="1:6" x14ac:dyDescent="0.25">
      <c r="A410" t="s">
        <v>552</v>
      </c>
      <c r="B410">
        <v>19</v>
      </c>
      <c r="C410" t="s">
        <v>1290</v>
      </c>
      <c r="D410" t="s">
        <v>1220</v>
      </c>
      <c r="E410" t="s">
        <v>1210</v>
      </c>
      <c r="F410" s="99" t="s">
        <v>1213</v>
      </c>
    </row>
    <row r="411" spans="1:6" x14ac:dyDescent="0.25">
      <c r="A411" t="s">
        <v>936</v>
      </c>
      <c r="B411">
        <v>19</v>
      </c>
      <c r="C411" t="s">
        <v>1290</v>
      </c>
      <c r="D411" t="s">
        <v>1206</v>
      </c>
      <c r="E411" t="s">
        <v>1210</v>
      </c>
      <c r="F411" s="99" t="s">
        <v>1213</v>
      </c>
    </row>
    <row r="412" spans="1:6" x14ac:dyDescent="0.25">
      <c r="A412" t="s">
        <v>639</v>
      </c>
      <c r="B412">
        <v>19</v>
      </c>
      <c r="C412" t="s">
        <v>1290</v>
      </c>
      <c r="D412" t="s">
        <v>1220</v>
      </c>
      <c r="E412" t="s">
        <v>1217</v>
      </c>
      <c r="F412" s="99" t="s">
        <v>1213</v>
      </c>
    </row>
    <row r="413" spans="1:6" x14ac:dyDescent="0.25">
      <c r="A413" t="s">
        <v>454</v>
      </c>
      <c r="B413">
        <v>19</v>
      </c>
      <c r="C413" t="s">
        <v>1290</v>
      </c>
      <c r="D413" t="s">
        <v>1206</v>
      </c>
      <c r="E413" t="s">
        <v>1207</v>
      </c>
      <c r="F413" s="99" t="s">
        <v>1213</v>
      </c>
    </row>
    <row r="414" spans="1:6" x14ac:dyDescent="0.25">
      <c r="A414" t="s">
        <v>576</v>
      </c>
      <c r="B414">
        <v>19</v>
      </c>
      <c r="C414" t="s">
        <v>1290</v>
      </c>
      <c r="D414" t="s">
        <v>1206</v>
      </c>
      <c r="E414" t="s">
        <v>1207</v>
      </c>
      <c r="F414" s="99" t="s">
        <v>1213</v>
      </c>
    </row>
    <row r="415" spans="1:6" x14ac:dyDescent="0.25">
      <c r="A415" t="s">
        <v>655</v>
      </c>
      <c r="B415">
        <v>19</v>
      </c>
      <c r="C415" t="s">
        <v>1290</v>
      </c>
      <c r="D415" t="s">
        <v>1219</v>
      </c>
      <c r="E415" t="s">
        <v>1217</v>
      </c>
      <c r="F415" s="99" t="s">
        <v>1213</v>
      </c>
    </row>
    <row r="416" spans="1:6" x14ac:dyDescent="0.25">
      <c r="A416" t="s">
        <v>947</v>
      </c>
      <c r="B416">
        <v>19</v>
      </c>
      <c r="C416" t="s">
        <v>1290</v>
      </c>
      <c r="D416" t="s">
        <v>1206</v>
      </c>
      <c r="E416" t="s">
        <v>1210</v>
      </c>
      <c r="F416" s="99" t="s">
        <v>1213</v>
      </c>
    </row>
    <row r="417" spans="1:6" x14ac:dyDescent="0.25">
      <c r="A417" t="s">
        <v>1196</v>
      </c>
      <c r="B417">
        <v>19</v>
      </c>
      <c r="C417" t="s">
        <v>1290</v>
      </c>
      <c r="D417" t="s">
        <v>1206</v>
      </c>
      <c r="E417" t="s">
        <v>1207</v>
      </c>
      <c r="F417" s="99" t="s">
        <v>1213</v>
      </c>
    </row>
    <row r="418" spans="1:6" x14ac:dyDescent="0.25">
      <c r="A418" t="s">
        <v>386</v>
      </c>
      <c r="B418">
        <v>19</v>
      </c>
      <c r="C418" t="s">
        <v>1290</v>
      </c>
      <c r="D418" t="s">
        <v>1219</v>
      </c>
      <c r="E418" t="s">
        <v>1207</v>
      </c>
      <c r="F418" s="99" t="s">
        <v>1213</v>
      </c>
    </row>
    <row r="419" spans="1:6" x14ac:dyDescent="0.25">
      <c r="A419" t="s">
        <v>1114</v>
      </c>
      <c r="B419">
        <v>19</v>
      </c>
      <c r="C419" t="s">
        <v>1290</v>
      </c>
      <c r="D419" t="s">
        <v>1206</v>
      </c>
      <c r="E419" t="s">
        <v>1207</v>
      </c>
      <c r="F419" s="99" t="s">
        <v>1213</v>
      </c>
    </row>
    <row r="420" spans="1:6" x14ac:dyDescent="0.25">
      <c r="A420" t="s">
        <v>918</v>
      </c>
      <c r="B420">
        <v>19</v>
      </c>
      <c r="C420" t="s">
        <v>1290</v>
      </c>
      <c r="D420" t="s">
        <v>1206</v>
      </c>
      <c r="E420" t="s">
        <v>1217</v>
      </c>
      <c r="F420" s="99" t="s">
        <v>1213</v>
      </c>
    </row>
    <row r="421" spans="1:6" x14ac:dyDescent="0.25">
      <c r="A421" t="s">
        <v>962</v>
      </c>
      <c r="B421">
        <v>19</v>
      </c>
      <c r="C421" t="s">
        <v>1290</v>
      </c>
      <c r="D421" t="s">
        <v>1206</v>
      </c>
      <c r="E421" t="s">
        <v>1210</v>
      </c>
      <c r="F421" s="99" t="s">
        <v>1213</v>
      </c>
    </row>
    <row r="422" spans="1:6" x14ac:dyDescent="0.25">
      <c r="A422" t="s">
        <v>580</v>
      </c>
      <c r="B422">
        <v>19</v>
      </c>
      <c r="C422" t="s">
        <v>1290</v>
      </c>
      <c r="D422" t="s">
        <v>1206</v>
      </c>
      <c r="E422" t="s">
        <v>1217</v>
      </c>
      <c r="F422" s="99" t="s">
        <v>1213</v>
      </c>
    </row>
    <row r="423" spans="1:6" x14ac:dyDescent="0.25">
      <c r="A423" t="s">
        <v>654</v>
      </c>
      <c r="B423">
        <v>19</v>
      </c>
      <c r="C423" t="s">
        <v>1290</v>
      </c>
      <c r="D423" t="s">
        <v>1220</v>
      </c>
      <c r="E423" t="s">
        <v>1217</v>
      </c>
      <c r="F423" s="99" t="s">
        <v>1213</v>
      </c>
    </row>
    <row r="424" spans="1:6" x14ac:dyDescent="0.25">
      <c r="A424" t="s">
        <v>88</v>
      </c>
      <c r="B424">
        <v>19</v>
      </c>
      <c r="C424" t="s">
        <v>1290</v>
      </c>
      <c r="D424" t="s">
        <v>1206</v>
      </c>
      <c r="E424" t="s">
        <v>1215</v>
      </c>
      <c r="F424" s="99" t="s">
        <v>1213</v>
      </c>
    </row>
    <row r="425" spans="1:6" x14ac:dyDescent="0.25">
      <c r="A425" t="s">
        <v>763</v>
      </c>
      <c r="B425">
        <v>19</v>
      </c>
      <c r="C425" t="s">
        <v>1290</v>
      </c>
      <c r="D425" t="s">
        <v>1219</v>
      </c>
      <c r="E425" t="s">
        <v>1207</v>
      </c>
      <c r="F425" s="99" t="s">
        <v>1213</v>
      </c>
    </row>
    <row r="426" spans="1:6" x14ac:dyDescent="0.25">
      <c r="A426" t="s">
        <v>886</v>
      </c>
      <c r="B426">
        <v>19</v>
      </c>
      <c r="C426" t="s">
        <v>1290</v>
      </c>
      <c r="D426" t="s">
        <v>1206</v>
      </c>
      <c r="E426" t="s">
        <v>1207</v>
      </c>
      <c r="F426" s="99" t="s">
        <v>1213</v>
      </c>
    </row>
    <row r="427" spans="1:6" x14ac:dyDescent="0.25">
      <c r="A427" t="s">
        <v>477</v>
      </c>
      <c r="B427">
        <v>19</v>
      </c>
      <c r="C427" t="s">
        <v>1290</v>
      </c>
      <c r="D427" t="s">
        <v>1220</v>
      </c>
      <c r="E427" t="s">
        <v>1217</v>
      </c>
      <c r="F427" s="99" t="s">
        <v>1213</v>
      </c>
    </row>
    <row r="428" spans="1:6" x14ac:dyDescent="0.25">
      <c r="A428" t="s">
        <v>735</v>
      </c>
      <c r="B428">
        <v>19</v>
      </c>
      <c r="C428" t="s">
        <v>1290</v>
      </c>
      <c r="D428" t="s">
        <v>1219</v>
      </c>
      <c r="E428" t="s">
        <v>1217</v>
      </c>
      <c r="F428" s="99" t="s">
        <v>1213</v>
      </c>
    </row>
    <row r="429" spans="1:6" x14ac:dyDescent="0.25">
      <c r="A429" t="s">
        <v>643</v>
      </c>
      <c r="B429">
        <v>19</v>
      </c>
      <c r="C429" t="s">
        <v>1290</v>
      </c>
      <c r="D429" t="s">
        <v>1206</v>
      </c>
      <c r="E429" t="s">
        <v>1217</v>
      </c>
      <c r="F429" s="99" t="s">
        <v>1213</v>
      </c>
    </row>
    <row r="430" spans="1:6" x14ac:dyDescent="0.25">
      <c r="A430" t="s">
        <v>529</v>
      </c>
      <c r="B430">
        <v>19</v>
      </c>
      <c r="C430" t="s">
        <v>1290</v>
      </c>
      <c r="D430" t="s">
        <v>1206</v>
      </c>
      <c r="E430" t="s">
        <v>1217</v>
      </c>
      <c r="F430" s="99" t="s">
        <v>1213</v>
      </c>
    </row>
    <row r="431" spans="1:6" x14ac:dyDescent="0.25">
      <c r="A431" t="s">
        <v>271</v>
      </c>
      <c r="B431">
        <v>19</v>
      </c>
      <c r="C431" t="s">
        <v>1290</v>
      </c>
      <c r="D431" t="s">
        <v>1220</v>
      </c>
      <c r="E431" t="s">
        <v>1210</v>
      </c>
      <c r="F431" s="99" t="s">
        <v>1213</v>
      </c>
    </row>
    <row r="432" spans="1:6" x14ac:dyDescent="0.25">
      <c r="A432" t="s">
        <v>65</v>
      </c>
      <c r="B432">
        <v>19</v>
      </c>
      <c r="C432" t="s">
        <v>1290</v>
      </c>
      <c r="D432" t="s">
        <v>1219</v>
      </c>
      <c r="E432" t="s">
        <v>1210</v>
      </c>
      <c r="F432" s="99" t="s">
        <v>1213</v>
      </c>
    </row>
    <row r="433" spans="1:6" x14ac:dyDescent="0.25">
      <c r="A433" t="s">
        <v>602</v>
      </c>
      <c r="B433">
        <v>19</v>
      </c>
      <c r="C433" t="s">
        <v>1290</v>
      </c>
      <c r="D433" t="s">
        <v>1219</v>
      </c>
      <c r="E433" t="s">
        <v>1217</v>
      </c>
      <c r="F433" s="99" t="s">
        <v>1213</v>
      </c>
    </row>
    <row r="434" spans="1:6" x14ac:dyDescent="0.25">
      <c r="A434" t="s">
        <v>321</v>
      </c>
      <c r="B434">
        <v>19</v>
      </c>
      <c r="C434" t="s">
        <v>1290</v>
      </c>
      <c r="D434" t="s">
        <v>1218</v>
      </c>
      <c r="E434" t="s">
        <v>1217</v>
      </c>
      <c r="F434" s="99" t="s">
        <v>1213</v>
      </c>
    </row>
    <row r="435" spans="1:6" x14ac:dyDescent="0.25">
      <c r="A435" t="s">
        <v>508</v>
      </c>
      <c r="B435">
        <v>19</v>
      </c>
      <c r="C435" t="s">
        <v>1290</v>
      </c>
      <c r="D435" t="s">
        <v>1220</v>
      </c>
      <c r="E435" t="s">
        <v>1210</v>
      </c>
      <c r="F435" s="99" t="s">
        <v>1213</v>
      </c>
    </row>
    <row r="436" spans="1:6" x14ac:dyDescent="0.25">
      <c r="A436" t="s">
        <v>452</v>
      </c>
      <c r="B436">
        <v>19</v>
      </c>
      <c r="C436" t="s">
        <v>1290</v>
      </c>
      <c r="D436" t="s">
        <v>1206</v>
      </c>
      <c r="E436" t="s">
        <v>1217</v>
      </c>
      <c r="F436" s="99" t="s">
        <v>1213</v>
      </c>
    </row>
    <row r="437" spans="1:6" x14ac:dyDescent="0.25">
      <c r="A437" t="s">
        <v>287</v>
      </c>
      <c r="B437">
        <v>19</v>
      </c>
      <c r="C437" t="s">
        <v>1290</v>
      </c>
      <c r="D437" t="s">
        <v>1220</v>
      </c>
      <c r="E437" t="s">
        <v>1210</v>
      </c>
      <c r="F437" s="99" t="s">
        <v>1213</v>
      </c>
    </row>
    <row r="438" spans="1:6" x14ac:dyDescent="0.25">
      <c r="A438" t="s">
        <v>428</v>
      </c>
      <c r="B438">
        <v>19</v>
      </c>
      <c r="C438" t="s">
        <v>1290</v>
      </c>
      <c r="D438" t="s">
        <v>1220</v>
      </c>
      <c r="E438" t="s">
        <v>1207</v>
      </c>
      <c r="F438" s="99" t="s">
        <v>1213</v>
      </c>
    </row>
    <row r="439" spans="1:6" x14ac:dyDescent="0.25">
      <c r="A439" t="s">
        <v>174</v>
      </c>
      <c r="B439">
        <v>19</v>
      </c>
      <c r="C439" t="s">
        <v>1290</v>
      </c>
      <c r="D439" t="s">
        <v>1222</v>
      </c>
      <c r="E439" t="s">
        <v>1207</v>
      </c>
      <c r="F439" s="99" t="s">
        <v>1213</v>
      </c>
    </row>
    <row r="440" spans="1:6" x14ac:dyDescent="0.25">
      <c r="A440" t="s">
        <v>821</v>
      </c>
      <c r="B440">
        <v>19</v>
      </c>
      <c r="C440" t="s">
        <v>1290</v>
      </c>
      <c r="D440" t="s">
        <v>1206</v>
      </c>
      <c r="E440" t="s">
        <v>1210</v>
      </c>
      <c r="F440" s="99" t="s">
        <v>1213</v>
      </c>
    </row>
    <row r="441" spans="1:6" x14ac:dyDescent="0.25">
      <c r="A441" t="s">
        <v>253</v>
      </c>
      <c r="B441">
        <v>19</v>
      </c>
      <c r="C441" t="s">
        <v>1290</v>
      </c>
      <c r="D441" t="s">
        <v>1219</v>
      </c>
      <c r="E441" t="s">
        <v>1210</v>
      </c>
      <c r="F441" s="99" t="s">
        <v>1213</v>
      </c>
    </row>
    <row r="442" spans="1:6" x14ac:dyDescent="0.25">
      <c r="A442" t="s">
        <v>733</v>
      </c>
      <c r="B442">
        <v>19</v>
      </c>
      <c r="C442" t="s">
        <v>1290</v>
      </c>
      <c r="D442" t="s">
        <v>1206</v>
      </c>
      <c r="E442" t="s">
        <v>1207</v>
      </c>
      <c r="F442" s="99" t="s">
        <v>1213</v>
      </c>
    </row>
    <row r="443" spans="1:6" x14ac:dyDescent="0.25">
      <c r="A443" t="s">
        <v>270</v>
      </c>
      <c r="B443">
        <v>19</v>
      </c>
      <c r="C443" t="s">
        <v>1290</v>
      </c>
      <c r="D443" t="s">
        <v>1220</v>
      </c>
      <c r="E443" t="s">
        <v>1210</v>
      </c>
      <c r="F443" s="99" t="s">
        <v>1213</v>
      </c>
    </row>
    <row r="444" spans="1:6" x14ac:dyDescent="0.25">
      <c r="A444" t="s">
        <v>223</v>
      </c>
      <c r="B444">
        <v>19</v>
      </c>
      <c r="C444" t="s">
        <v>1290</v>
      </c>
      <c r="D444" t="s">
        <v>1219</v>
      </c>
      <c r="E444" t="s">
        <v>1207</v>
      </c>
      <c r="F444" s="99" t="s">
        <v>1213</v>
      </c>
    </row>
    <row r="445" spans="1:6" x14ac:dyDescent="0.25">
      <c r="A445" t="s">
        <v>609</v>
      </c>
      <c r="B445">
        <v>19</v>
      </c>
      <c r="C445" t="s">
        <v>1290</v>
      </c>
      <c r="D445" t="s">
        <v>1206</v>
      </c>
      <c r="E445" t="s">
        <v>1210</v>
      </c>
      <c r="F445" s="99" t="s">
        <v>1213</v>
      </c>
    </row>
    <row r="446" spans="1:6" x14ac:dyDescent="0.25">
      <c r="A446" t="s">
        <v>137</v>
      </c>
      <c r="B446">
        <v>19</v>
      </c>
      <c r="C446" t="s">
        <v>1290</v>
      </c>
      <c r="D446" t="s">
        <v>1206</v>
      </c>
      <c r="E446" t="s">
        <v>1215</v>
      </c>
      <c r="F446" s="99" t="s">
        <v>1213</v>
      </c>
    </row>
    <row r="447" spans="1:6" x14ac:dyDescent="0.25">
      <c r="A447" t="s">
        <v>800</v>
      </c>
      <c r="B447">
        <v>19</v>
      </c>
      <c r="C447" t="s">
        <v>1290</v>
      </c>
      <c r="D447" t="s">
        <v>1220</v>
      </c>
      <c r="E447" t="s">
        <v>1210</v>
      </c>
      <c r="F447" s="99" t="s">
        <v>1213</v>
      </c>
    </row>
    <row r="448" spans="1:6" x14ac:dyDescent="0.25">
      <c r="A448" t="s">
        <v>331</v>
      </c>
      <c r="B448">
        <v>19</v>
      </c>
      <c r="C448" t="s">
        <v>1290</v>
      </c>
      <c r="D448" t="s">
        <v>1219</v>
      </c>
      <c r="E448" t="s">
        <v>1210</v>
      </c>
      <c r="F448" s="99" t="s">
        <v>1213</v>
      </c>
    </row>
    <row r="449" spans="1:6" x14ac:dyDescent="0.25">
      <c r="A449" t="s">
        <v>283</v>
      </c>
      <c r="B449">
        <v>19</v>
      </c>
      <c r="C449" t="s">
        <v>1290</v>
      </c>
      <c r="D449" t="s">
        <v>1220</v>
      </c>
      <c r="E449" t="s">
        <v>1210</v>
      </c>
      <c r="F449" s="99" t="s">
        <v>1213</v>
      </c>
    </row>
    <row r="450" spans="1:6" x14ac:dyDescent="0.25">
      <c r="A450" t="s">
        <v>1001</v>
      </c>
      <c r="B450">
        <v>19</v>
      </c>
      <c r="C450" t="s">
        <v>1290</v>
      </c>
      <c r="D450" t="s">
        <v>1206</v>
      </c>
      <c r="E450" t="s">
        <v>1210</v>
      </c>
      <c r="F450" s="99" t="s">
        <v>1213</v>
      </c>
    </row>
    <row r="451" spans="1:6" x14ac:dyDescent="0.25">
      <c r="A451" t="s">
        <v>689</v>
      </c>
      <c r="B451">
        <v>19</v>
      </c>
      <c r="C451" t="s">
        <v>1290</v>
      </c>
      <c r="D451" t="s">
        <v>1206</v>
      </c>
      <c r="E451" t="s">
        <v>1207</v>
      </c>
      <c r="F451" s="99" t="s">
        <v>1213</v>
      </c>
    </row>
    <row r="452" spans="1:6" x14ac:dyDescent="0.25">
      <c r="A452" t="s">
        <v>998</v>
      </c>
      <c r="B452">
        <v>19</v>
      </c>
      <c r="C452" t="s">
        <v>1290</v>
      </c>
      <c r="D452" t="s">
        <v>1206</v>
      </c>
      <c r="E452" t="s">
        <v>1217</v>
      </c>
      <c r="F452" s="99" t="s">
        <v>1213</v>
      </c>
    </row>
    <row r="453" spans="1:6" x14ac:dyDescent="0.25">
      <c r="A453" t="s">
        <v>1152</v>
      </c>
      <c r="B453">
        <v>19</v>
      </c>
      <c r="C453" t="s">
        <v>1290</v>
      </c>
      <c r="D453" t="s">
        <v>1206</v>
      </c>
      <c r="E453" t="s">
        <v>1210</v>
      </c>
      <c r="F453" s="99" t="s">
        <v>1213</v>
      </c>
    </row>
    <row r="454" spans="1:6" x14ac:dyDescent="0.25">
      <c r="A454" t="s">
        <v>656</v>
      </c>
      <c r="B454">
        <v>19</v>
      </c>
      <c r="C454" t="s">
        <v>1290</v>
      </c>
      <c r="D454" t="s">
        <v>1220</v>
      </c>
      <c r="E454" t="s">
        <v>1217</v>
      </c>
      <c r="F454" s="99" t="s">
        <v>1213</v>
      </c>
    </row>
    <row r="455" spans="1:6" x14ac:dyDescent="0.25">
      <c r="A455" t="s">
        <v>698</v>
      </c>
      <c r="B455">
        <v>19</v>
      </c>
      <c r="C455" t="s">
        <v>1290</v>
      </c>
      <c r="D455" t="s">
        <v>1206</v>
      </c>
      <c r="E455" t="s">
        <v>1217</v>
      </c>
      <c r="F455" s="99" t="s">
        <v>1213</v>
      </c>
    </row>
    <row r="456" spans="1:6" x14ac:dyDescent="0.25">
      <c r="A456" t="s">
        <v>500</v>
      </c>
      <c r="B456">
        <v>19</v>
      </c>
      <c r="C456" t="s">
        <v>1290</v>
      </c>
      <c r="D456" t="s">
        <v>1220</v>
      </c>
      <c r="E456" t="s">
        <v>1210</v>
      </c>
      <c r="F456" s="99" t="s">
        <v>1213</v>
      </c>
    </row>
    <row r="457" spans="1:6" x14ac:dyDescent="0.25">
      <c r="A457" t="s">
        <v>1150</v>
      </c>
      <c r="B457">
        <v>19</v>
      </c>
      <c r="C457" t="s">
        <v>1290</v>
      </c>
      <c r="D457" t="s">
        <v>1206</v>
      </c>
      <c r="E457" t="s">
        <v>1207</v>
      </c>
      <c r="F457" s="99" t="s">
        <v>1213</v>
      </c>
    </row>
    <row r="458" spans="1:6" x14ac:dyDescent="0.25">
      <c r="A458" t="s">
        <v>855</v>
      </c>
      <c r="B458">
        <v>19</v>
      </c>
      <c r="C458" t="s">
        <v>1290</v>
      </c>
      <c r="D458" t="s">
        <v>1206</v>
      </c>
      <c r="E458" t="s">
        <v>1210</v>
      </c>
      <c r="F458" s="99" t="s">
        <v>1213</v>
      </c>
    </row>
    <row r="459" spans="1:6" x14ac:dyDescent="0.25">
      <c r="A459" t="s">
        <v>1144</v>
      </c>
      <c r="B459">
        <v>19</v>
      </c>
      <c r="C459" t="s">
        <v>1290</v>
      </c>
      <c r="D459" t="s">
        <v>1220</v>
      </c>
      <c r="E459" t="s">
        <v>1207</v>
      </c>
      <c r="F459" s="99" t="s">
        <v>1213</v>
      </c>
    </row>
    <row r="460" spans="1:6" x14ac:dyDescent="0.25">
      <c r="A460" t="s">
        <v>418</v>
      </c>
      <c r="B460">
        <v>19</v>
      </c>
      <c r="C460" t="s">
        <v>1290</v>
      </c>
      <c r="D460" t="s">
        <v>1220</v>
      </c>
      <c r="E460" t="s">
        <v>1210</v>
      </c>
      <c r="F460" s="99" t="s">
        <v>1213</v>
      </c>
    </row>
    <row r="461" spans="1:6" x14ac:dyDescent="0.25">
      <c r="A461" t="s">
        <v>1055</v>
      </c>
      <c r="B461">
        <v>19</v>
      </c>
      <c r="C461" t="s">
        <v>1290</v>
      </c>
      <c r="D461" t="s">
        <v>1206</v>
      </c>
      <c r="E461" t="s">
        <v>1207</v>
      </c>
      <c r="F461" s="99" t="s">
        <v>1213</v>
      </c>
    </row>
    <row r="462" spans="1:6" x14ac:dyDescent="0.25">
      <c r="A462" t="s">
        <v>725</v>
      </c>
      <c r="B462">
        <v>19</v>
      </c>
      <c r="C462" t="s">
        <v>1290</v>
      </c>
      <c r="D462" t="s">
        <v>1206</v>
      </c>
      <c r="E462" t="s">
        <v>1207</v>
      </c>
      <c r="F462" s="99" t="s">
        <v>1213</v>
      </c>
    </row>
    <row r="463" spans="1:6" x14ac:dyDescent="0.25">
      <c r="A463" t="s">
        <v>134</v>
      </c>
      <c r="B463">
        <v>19</v>
      </c>
      <c r="C463" t="s">
        <v>1290</v>
      </c>
      <c r="D463" t="s">
        <v>1206</v>
      </c>
      <c r="E463" t="s">
        <v>1217</v>
      </c>
      <c r="F463" s="99" t="s">
        <v>1213</v>
      </c>
    </row>
    <row r="464" spans="1:6" x14ac:dyDescent="0.25">
      <c r="A464" t="s">
        <v>473</v>
      </c>
      <c r="B464">
        <v>19</v>
      </c>
      <c r="C464" t="s">
        <v>1290</v>
      </c>
      <c r="D464" t="s">
        <v>1206</v>
      </c>
      <c r="E464" t="s">
        <v>1217</v>
      </c>
      <c r="F464" s="99" t="s">
        <v>1213</v>
      </c>
    </row>
    <row r="465" spans="1:6" x14ac:dyDescent="0.25">
      <c r="A465" t="s">
        <v>748</v>
      </c>
      <c r="B465">
        <v>19</v>
      </c>
      <c r="C465" t="s">
        <v>1290</v>
      </c>
      <c r="D465" t="s">
        <v>1219</v>
      </c>
      <c r="E465" t="s">
        <v>1207</v>
      </c>
      <c r="F465" s="99" t="s">
        <v>1213</v>
      </c>
    </row>
    <row r="466" spans="1:6" x14ac:dyDescent="0.25">
      <c r="A466" t="s">
        <v>1086</v>
      </c>
      <c r="B466">
        <v>19</v>
      </c>
      <c r="C466" t="s">
        <v>1290</v>
      </c>
      <c r="D466" t="s">
        <v>1206</v>
      </c>
      <c r="E466" t="s">
        <v>1210</v>
      </c>
      <c r="F466" s="99" t="s">
        <v>1213</v>
      </c>
    </row>
    <row r="467" spans="1:6" x14ac:dyDescent="0.25">
      <c r="A467" t="s">
        <v>900</v>
      </c>
      <c r="B467">
        <v>19</v>
      </c>
      <c r="C467" t="s">
        <v>1290</v>
      </c>
      <c r="D467" t="s">
        <v>1206</v>
      </c>
      <c r="E467" t="s">
        <v>1217</v>
      </c>
      <c r="F467" s="99" t="s">
        <v>1213</v>
      </c>
    </row>
    <row r="468" spans="1:6" x14ac:dyDescent="0.25">
      <c r="A468" t="s">
        <v>1145</v>
      </c>
      <c r="B468">
        <v>19</v>
      </c>
      <c r="C468" t="s">
        <v>1290</v>
      </c>
      <c r="D468" t="s">
        <v>1206</v>
      </c>
      <c r="E468" t="s">
        <v>1207</v>
      </c>
      <c r="F468" s="99" t="s">
        <v>1213</v>
      </c>
    </row>
    <row r="469" spans="1:6" x14ac:dyDescent="0.25">
      <c r="A469" t="s">
        <v>341</v>
      </c>
      <c r="B469">
        <v>19</v>
      </c>
      <c r="C469" t="s">
        <v>1290</v>
      </c>
      <c r="D469" t="s">
        <v>1206</v>
      </c>
      <c r="E469" t="s">
        <v>1210</v>
      </c>
      <c r="F469" s="99" t="s">
        <v>1213</v>
      </c>
    </row>
    <row r="470" spans="1:6" x14ac:dyDescent="0.25">
      <c r="A470" t="s">
        <v>651</v>
      </c>
      <c r="B470">
        <v>19</v>
      </c>
      <c r="C470" t="s">
        <v>1290</v>
      </c>
      <c r="D470" t="s">
        <v>1220</v>
      </c>
      <c r="E470" t="s">
        <v>1210</v>
      </c>
      <c r="F470" s="99" t="s">
        <v>1213</v>
      </c>
    </row>
    <row r="471" spans="1:6" x14ac:dyDescent="0.25">
      <c r="A471" t="s">
        <v>333</v>
      </c>
      <c r="B471">
        <v>19</v>
      </c>
      <c r="C471" t="s">
        <v>1290</v>
      </c>
      <c r="D471" t="s">
        <v>1219</v>
      </c>
      <c r="E471" t="s">
        <v>1210</v>
      </c>
      <c r="F471" s="99" t="s">
        <v>1213</v>
      </c>
    </row>
    <row r="472" spans="1:6" x14ac:dyDescent="0.25">
      <c r="A472" t="s">
        <v>935</v>
      </c>
      <c r="B472">
        <v>19</v>
      </c>
      <c r="C472" t="s">
        <v>1290</v>
      </c>
      <c r="D472" t="s">
        <v>1206</v>
      </c>
      <c r="E472" t="s">
        <v>1210</v>
      </c>
      <c r="F472" s="99" t="s">
        <v>1213</v>
      </c>
    </row>
    <row r="473" spans="1:6" x14ac:dyDescent="0.25">
      <c r="A473" t="s">
        <v>430</v>
      </c>
      <c r="B473">
        <v>19</v>
      </c>
      <c r="C473" t="s">
        <v>1290</v>
      </c>
      <c r="D473" t="s">
        <v>1206</v>
      </c>
      <c r="E473" t="s">
        <v>1217</v>
      </c>
      <c r="F473" s="99" t="s">
        <v>1213</v>
      </c>
    </row>
    <row r="474" spans="1:6" x14ac:dyDescent="0.25">
      <c r="A474" t="s">
        <v>979</v>
      </c>
      <c r="B474">
        <v>19</v>
      </c>
      <c r="C474" t="s">
        <v>1290</v>
      </c>
      <c r="D474" t="s">
        <v>1206</v>
      </c>
      <c r="E474" t="s">
        <v>1210</v>
      </c>
      <c r="F474" s="99" t="s">
        <v>1213</v>
      </c>
    </row>
    <row r="475" spans="1:6" x14ac:dyDescent="0.25">
      <c r="A475" t="s">
        <v>1119</v>
      </c>
      <c r="B475">
        <v>19</v>
      </c>
      <c r="C475" t="s">
        <v>1290</v>
      </c>
      <c r="D475" t="s">
        <v>1220</v>
      </c>
      <c r="E475" t="s">
        <v>1207</v>
      </c>
      <c r="F475" s="99" t="s">
        <v>1213</v>
      </c>
    </row>
    <row r="476" spans="1:6" x14ac:dyDescent="0.25">
      <c r="A476" t="s">
        <v>503</v>
      </c>
      <c r="B476">
        <v>19</v>
      </c>
      <c r="C476" t="s">
        <v>1290</v>
      </c>
      <c r="D476" t="s">
        <v>1206</v>
      </c>
      <c r="E476" t="s">
        <v>1217</v>
      </c>
      <c r="F476" s="99" t="s">
        <v>1213</v>
      </c>
    </row>
    <row r="477" spans="1:6" x14ac:dyDescent="0.25">
      <c r="A477" t="s">
        <v>1051</v>
      </c>
      <c r="B477">
        <v>19</v>
      </c>
      <c r="C477" t="s">
        <v>1290</v>
      </c>
      <c r="D477" t="s">
        <v>1206</v>
      </c>
      <c r="E477" t="s">
        <v>1210</v>
      </c>
      <c r="F477" s="99" t="s">
        <v>1213</v>
      </c>
    </row>
    <row r="478" spans="1:6" x14ac:dyDescent="0.25">
      <c r="A478" t="s">
        <v>1127</v>
      </c>
      <c r="B478">
        <v>19</v>
      </c>
      <c r="C478" t="s">
        <v>1290</v>
      </c>
      <c r="D478" t="s">
        <v>1206</v>
      </c>
      <c r="E478" t="s">
        <v>1207</v>
      </c>
      <c r="F478" s="99" t="s">
        <v>1213</v>
      </c>
    </row>
    <row r="479" spans="1:6" x14ac:dyDescent="0.25">
      <c r="A479" t="s">
        <v>431</v>
      </c>
      <c r="B479">
        <v>19</v>
      </c>
      <c r="C479" t="s">
        <v>1290</v>
      </c>
      <c r="D479" t="s">
        <v>1220</v>
      </c>
      <c r="E479" t="s">
        <v>1207</v>
      </c>
      <c r="F479" s="99" t="s">
        <v>1213</v>
      </c>
    </row>
    <row r="480" spans="1:6" x14ac:dyDescent="0.25">
      <c r="A480" t="s">
        <v>1085</v>
      </c>
      <c r="B480">
        <v>19</v>
      </c>
      <c r="C480" t="s">
        <v>1290</v>
      </c>
      <c r="D480" t="s">
        <v>1206</v>
      </c>
      <c r="E480" t="s">
        <v>1210</v>
      </c>
      <c r="F480" s="99" t="s">
        <v>1213</v>
      </c>
    </row>
    <row r="481" spans="1:6" x14ac:dyDescent="0.25">
      <c r="A481" t="s">
        <v>1156</v>
      </c>
      <c r="B481">
        <v>19</v>
      </c>
      <c r="C481" t="s">
        <v>1290</v>
      </c>
      <c r="D481" t="s">
        <v>1206</v>
      </c>
      <c r="E481" t="s">
        <v>1210</v>
      </c>
      <c r="F481" s="99" t="s">
        <v>1213</v>
      </c>
    </row>
    <row r="482" spans="1:6" x14ac:dyDescent="0.25">
      <c r="A482" t="s">
        <v>487</v>
      </c>
      <c r="B482">
        <v>19</v>
      </c>
      <c r="C482" t="s">
        <v>1290</v>
      </c>
      <c r="D482" t="s">
        <v>1219</v>
      </c>
      <c r="E482" t="s">
        <v>1217</v>
      </c>
      <c r="F482" s="99" t="s">
        <v>1213</v>
      </c>
    </row>
    <row r="483" spans="1:6" x14ac:dyDescent="0.25">
      <c r="A483" t="s">
        <v>161</v>
      </c>
      <c r="B483">
        <v>19</v>
      </c>
      <c r="C483" t="s">
        <v>1290</v>
      </c>
      <c r="D483" t="s">
        <v>1218</v>
      </c>
      <c r="E483" t="s">
        <v>1210</v>
      </c>
      <c r="F483" s="99" t="s">
        <v>1213</v>
      </c>
    </row>
    <row r="484" spans="1:6" x14ac:dyDescent="0.25">
      <c r="A484" t="s">
        <v>520</v>
      </c>
      <c r="B484">
        <v>19</v>
      </c>
      <c r="C484" t="s">
        <v>1290</v>
      </c>
      <c r="D484" t="s">
        <v>1219</v>
      </c>
      <c r="E484" t="s">
        <v>1217</v>
      </c>
      <c r="F484" s="99" t="s">
        <v>1213</v>
      </c>
    </row>
    <row r="485" spans="1:6" x14ac:dyDescent="0.25">
      <c r="A485" t="s">
        <v>419</v>
      </c>
      <c r="B485">
        <v>19</v>
      </c>
      <c r="C485" t="s">
        <v>1290</v>
      </c>
      <c r="D485" t="s">
        <v>1220</v>
      </c>
      <c r="E485" t="s">
        <v>1210</v>
      </c>
      <c r="F485" s="99" t="s">
        <v>1213</v>
      </c>
    </row>
    <row r="486" spans="1:6" x14ac:dyDescent="0.25">
      <c r="A486" t="s">
        <v>238</v>
      </c>
      <c r="B486">
        <v>19</v>
      </c>
      <c r="C486" t="s">
        <v>1290</v>
      </c>
      <c r="D486" t="s">
        <v>1220</v>
      </c>
      <c r="E486" t="s">
        <v>1210</v>
      </c>
      <c r="F486" s="99" t="s">
        <v>1213</v>
      </c>
    </row>
    <row r="487" spans="1:6" x14ac:dyDescent="0.25">
      <c r="A487" t="s">
        <v>394</v>
      </c>
      <c r="B487">
        <v>19</v>
      </c>
      <c r="C487" t="s">
        <v>1290</v>
      </c>
      <c r="D487" t="s">
        <v>1206</v>
      </c>
      <c r="E487" t="s">
        <v>1207</v>
      </c>
      <c r="F487" s="99" t="s">
        <v>1213</v>
      </c>
    </row>
    <row r="488" spans="1:6" x14ac:dyDescent="0.25">
      <c r="A488" t="s">
        <v>985</v>
      </c>
      <c r="B488">
        <v>19</v>
      </c>
      <c r="C488" t="s">
        <v>1290</v>
      </c>
      <c r="D488" t="s">
        <v>1206</v>
      </c>
      <c r="E488" t="s">
        <v>1215</v>
      </c>
      <c r="F488" s="99" t="s">
        <v>1213</v>
      </c>
    </row>
    <row r="489" spans="1:6" x14ac:dyDescent="0.25">
      <c r="A489" t="s">
        <v>951</v>
      </c>
      <c r="B489">
        <v>19</v>
      </c>
      <c r="C489" t="s">
        <v>1290</v>
      </c>
      <c r="D489" t="s">
        <v>1206</v>
      </c>
      <c r="E489" t="s">
        <v>1210</v>
      </c>
      <c r="F489" s="99" t="s">
        <v>1213</v>
      </c>
    </row>
    <row r="490" spans="1:6" x14ac:dyDescent="0.25">
      <c r="A490" t="s">
        <v>1026</v>
      </c>
      <c r="B490">
        <v>19</v>
      </c>
      <c r="C490" t="s">
        <v>1290</v>
      </c>
      <c r="D490" t="s">
        <v>1206</v>
      </c>
      <c r="E490" t="s">
        <v>1210</v>
      </c>
      <c r="F490" s="99" t="s">
        <v>1213</v>
      </c>
    </row>
    <row r="491" spans="1:6" x14ac:dyDescent="0.25">
      <c r="A491" t="s">
        <v>113</v>
      </c>
      <c r="B491">
        <v>19</v>
      </c>
      <c r="C491" t="s">
        <v>1290</v>
      </c>
      <c r="D491" t="s">
        <v>1222</v>
      </c>
      <c r="E491" t="s">
        <v>1212</v>
      </c>
      <c r="F491" s="99" t="s">
        <v>1213</v>
      </c>
    </row>
    <row r="492" spans="1:6" x14ac:dyDescent="0.25">
      <c r="A492" t="s">
        <v>1042</v>
      </c>
      <c r="B492">
        <v>19</v>
      </c>
      <c r="C492" t="s">
        <v>1290</v>
      </c>
      <c r="D492" t="s">
        <v>1206</v>
      </c>
      <c r="E492" t="s">
        <v>1210</v>
      </c>
      <c r="F492" s="99" t="s">
        <v>1213</v>
      </c>
    </row>
    <row r="493" spans="1:6" x14ac:dyDescent="0.25">
      <c r="A493" t="s">
        <v>234</v>
      </c>
      <c r="B493">
        <v>19</v>
      </c>
      <c r="C493" t="s">
        <v>1290</v>
      </c>
      <c r="D493" t="s">
        <v>1206</v>
      </c>
      <c r="E493" t="s">
        <v>1210</v>
      </c>
      <c r="F493" s="99" t="s">
        <v>1213</v>
      </c>
    </row>
    <row r="494" spans="1:6" x14ac:dyDescent="0.25">
      <c r="A494" t="s">
        <v>299</v>
      </c>
      <c r="B494">
        <v>19</v>
      </c>
      <c r="C494" t="s">
        <v>1290</v>
      </c>
      <c r="D494" t="s">
        <v>1220</v>
      </c>
      <c r="E494" t="s">
        <v>1207</v>
      </c>
      <c r="F494" s="99" t="s">
        <v>1213</v>
      </c>
    </row>
    <row r="495" spans="1:6" x14ac:dyDescent="0.25">
      <c r="A495" t="s">
        <v>360</v>
      </c>
      <c r="B495">
        <v>19</v>
      </c>
      <c r="C495" t="s">
        <v>1290</v>
      </c>
      <c r="D495" t="s">
        <v>1219</v>
      </c>
      <c r="E495" t="s">
        <v>1210</v>
      </c>
      <c r="F495" s="99" t="s">
        <v>1213</v>
      </c>
    </row>
    <row r="496" spans="1:6" x14ac:dyDescent="0.25">
      <c r="A496" t="s">
        <v>531</v>
      </c>
      <c r="B496">
        <v>19</v>
      </c>
      <c r="C496" t="s">
        <v>1290</v>
      </c>
      <c r="D496" t="s">
        <v>1206</v>
      </c>
      <c r="E496" t="s">
        <v>1217</v>
      </c>
      <c r="F496" s="99" t="s">
        <v>1213</v>
      </c>
    </row>
    <row r="497" spans="1:6" x14ac:dyDescent="0.25">
      <c r="A497" t="s">
        <v>1165</v>
      </c>
      <c r="B497">
        <v>19</v>
      </c>
      <c r="C497" t="s">
        <v>1290</v>
      </c>
      <c r="D497" t="s">
        <v>1206</v>
      </c>
      <c r="E497" t="s">
        <v>1210</v>
      </c>
      <c r="F497" s="99" t="s">
        <v>1213</v>
      </c>
    </row>
    <row r="498" spans="1:6" x14ac:dyDescent="0.25">
      <c r="A498" t="s">
        <v>131</v>
      </c>
      <c r="B498">
        <v>19</v>
      </c>
      <c r="C498" t="s">
        <v>1290</v>
      </c>
      <c r="D498" t="s">
        <v>1206</v>
      </c>
      <c r="E498" t="s">
        <v>1215</v>
      </c>
      <c r="F498" s="99" t="s">
        <v>1213</v>
      </c>
    </row>
    <row r="499" spans="1:6" x14ac:dyDescent="0.25">
      <c r="A499" t="s">
        <v>74</v>
      </c>
      <c r="B499">
        <v>19</v>
      </c>
      <c r="C499" t="s">
        <v>1290</v>
      </c>
      <c r="D499" t="s">
        <v>1206</v>
      </c>
      <c r="E499" t="s">
        <v>1215</v>
      </c>
      <c r="F499" s="99" t="s">
        <v>1213</v>
      </c>
    </row>
    <row r="500" spans="1:6" x14ac:dyDescent="0.25">
      <c r="A500" t="s">
        <v>369</v>
      </c>
      <c r="B500">
        <v>19</v>
      </c>
      <c r="C500" t="s">
        <v>1290</v>
      </c>
      <c r="D500" t="s">
        <v>1218</v>
      </c>
      <c r="E500" t="s">
        <v>1210</v>
      </c>
      <c r="F500" s="99" t="s">
        <v>1213</v>
      </c>
    </row>
    <row r="501" spans="1:6" x14ac:dyDescent="0.25">
      <c r="A501" t="s">
        <v>1000</v>
      </c>
      <c r="B501">
        <v>19</v>
      </c>
      <c r="C501" t="s">
        <v>1290</v>
      </c>
      <c r="D501" t="s">
        <v>1206</v>
      </c>
      <c r="E501" t="s">
        <v>1207</v>
      </c>
      <c r="F501" s="99" t="s">
        <v>1213</v>
      </c>
    </row>
    <row r="502" spans="1:6" x14ac:dyDescent="0.25">
      <c r="A502" t="s">
        <v>837</v>
      </c>
      <c r="B502">
        <v>19</v>
      </c>
      <c r="C502" t="s">
        <v>1290</v>
      </c>
      <c r="D502" t="s">
        <v>1206</v>
      </c>
      <c r="E502" t="s">
        <v>1210</v>
      </c>
      <c r="F502" s="99" t="s">
        <v>1213</v>
      </c>
    </row>
    <row r="503" spans="1:6" x14ac:dyDescent="0.25">
      <c r="A503" t="s">
        <v>1078</v>
      </c>
      <c r="B503">
        <v>20</v>
      </c>
      <c r="C503" t="s">
        <v>1290</v>
      </c>
      <c r="D503" t="s">
        <v>1206</v>
      </c>
      <c r="E503" t="s">
        <v>1210</v>
      </c>
      <c r="F503" s="99" t="s">
        <v>1213</v>
      </c>
    </row>
    <row r="504" spans="1:6" x14ac:dyDescent="0.25">
      <c r="A504" t="s">
        <v>1154</v>
      </c>
      <c r="B504">
        <v>20</v>
      </c>
      <c r="C504" t="s">
        <v>1290</v>
      </c>
      <c r="D504" t="s">
        <v>1206</v>
      </c>
      <c r="E504" t="s">
        <v>1210</v>
      </c>
      <c r="F504" s="99" t="s">
        <v>1213</v>
      </c>
    </row>
    <row r="505" spans="1:6" x14ac:dyDescent="0.25">
      <c r="A505" t="s">
        <v>193</v>
      </c>
      <c r="B505">
        <v>20</v>
      </c>
      <c r="C505" t="s">
        <v>1290</v>
      </c>
      <c r="D505" t="s">
        <v>1219</v>
      </c>
      <c r="E505" t="s">
        <v>1217</v>
      </c>
      <c r="F505" s="99" t="s">
        <v>1213</v>
      </c>
    </row>
    <row r="506" spans="1:6" x14ac:dyDescent="0.25">
      <c r="A506" t="s">
        <v>1062</v>
      </c>
      <c r="B506">
        <v>20</v>
      </c>
      <c r="C506" t="s">
        <v>1290</v>
      </c>
      <c r="D506" t="s">
        <v>1206</v>
      </c>
      <c r="E506" t="s">
        <v>1207</v>
      </c>
      <c r="F506" s="99" t="s">
        <v>1213</v>
      </c>
    </row>
    <row r="507" spans="1:6" x14ac:dyDescent="0.25">
      <c r="A507" t="s">
        <v>908</v>
      </c>
      <c r="B507">
        <v>20</v>
      </c>
      <c r="C507" t="s">
        <v>1290</v>
      </c>
      <c r="D507" t="s">
        <v>1206</v>
      </c>
      <c r="E507" t="s">
        <v>1207</v>
      </c>
      <c r="F507" s="99" t="s">
        <v>1213</v>
      </c>
    </row>
    <row r="508" spans="1:6" x14ac:dyDescent="0.25">
      <c r="A508" t="s">
        <v>745</v>
      </c>
      <c r="B508">
        <v>20</v>
      </c>
      <c r="C508" t="s">
        <v>1290</v>
      </c>
      <c r="D508" t="s">
        <v>1219</v>
      </c>
      <c r="E508" t="s">
        <v>1217</v>
      </c>
      <c r="F508" s="99" t="s">
        <v>1213</v>
      </c>
    </row>
    <row r="509" spans="1:6" x14ac:dyDescent="0.25">
      <c r="A509" t="s">
        <v>920</v>
      </c>
      <c r="B509">
        <v>20</v>
      </c>
      <c r="C509" t="s">
        <v>1290</v>
      </c>
      <c r="D509" t="s">
        <v>1206</v>
      </c>
      <c r="E509" t="s">
        <v>1207</v>
      </c>
      <c r="F509" s="99" t="s">
        <v>1213</v>
      </c>
    </row>
    <row r="510" spans="1:6" x14ac:dyDescent="0.25">
      <c r="A510" t="s">
        <v>93</v>
      </c>
      <c r="B510">
        <v>20</v>
      </c>
      <c r="C510" t="s">
        <v>1290</v>
      </c>
      <c r="D510" t="s">
        <v>1206</v>
      </c>
      <c r="E510" t="s">
        <v>1210</v>
      </c>
      <c r="F510" s="99" t="s">
        <v>1213</v>
      </c>
    </row>
    <row r="511" spans="1:6" x14ac:dyDescent="0.25">
      <c r="A511" t="s">
        <v>263</v>
      </c>
      <c r="B511">
        <v>20</v>
      </c>
      <c r="C511" t="s">
        <v>1290</v>
      </c>
      <c r="D511" t="s">
        <v>1219</v>
      </c>
      <c r="E511" t="s">
        <v>1210</v>
      </c>
      <c r="F511" s="99" t="s">
        <v>1213</v>
      </c>
    </row>
    <row r="512" spans="1:6" x14ac:dyDescent="0.25">
      <c r="A512" t="s">
        <v>893</v>
      </c>
      <c r="B512">
        <v>20</v>
      </c>
      <c r="C512" t="s">
        <v>1290</v>
      </c>
      <c r="D512" t="s">
        <v>1206</v>
      </c>
      <c r="E512" t="s">
        <v>1207</v>
      </c>
      <c r="F512" s="99" t="s">
        <v>1213</v>
      </c>
    </row>
    <row r="513" spans="1:6" x14ac:dyDescent="0.25">
      <c r="A513" t="s">
        <v>986</v>
      </c>
      <c r="B513">
        <v>20</v>
      </c>
      <c r="C513" t="s">
        <v>1290</v>
      </c>
      <c r="D513" t="s">
        <v>1206</v>
      </c>
      <c r="E513" t="s">
        <v>1210</v>
      </c>
      <c r="F513" s="99" t="s">
        <v>1213</v>
      </c>
    </row>
    <row r="514" spans="1:6" x14ac:dyDescent="0.25">
      <c r="A514" t="s">
        <v>873</v>
      </c>
      <c r="B514">
        <v>20</v>
      </c>
      <c r="C514" t="s">
        <v>1290</v>
      </c>
      <c r="D514" t="s">
        <v>1206</v>
      </c>
      <c r="E514" t="s">
        <v>1210</v>
      </c>
      <c r="F514" s="99" t="s">
        <v>1213</v>
      </c>
    </row>
    <row r="515" spans="1:6" x14ac:dyDescent="0.25">
      <c r="A515" t="s">
        <v>106</v>
      </c>
      <c r="B515">
        <v>20</v>
      </c>
      <c r="C515" t="s">
        <v>1290</v>
      </c>
      <c r="D515" t="s">
        <v>1218</v>
      </c>
      <c r="E515" t="s">
        <v>1210</v>
      </c>
      <c r="F515" s="99" t="s">
        <v>1213</v>
      </c>
    </row>
    <row r="516" spans="1:6" x14ac:dyDescent="0.25">
      <c r="A516" t="s">
        <v>826</v>
      </c>
      <c r="B516">
        <v>20</v>
      </c>
      <c r="C516" t="s">
        <v>1290</v>
      </c>
      <c r="D516" t="s">
        <v>1206</v>
      </c>
      <c r="E516" t="s">
        <v>1210</v>
      </c>
      <c r="F516" s="99" t="s">
        <v>1213</v>
      </c>
    </row>
    <row r="517" spans="1:6" x14ac:dyDescent="0.25">
      <c r="A517" t="s">
        <v>560</v>
      </c>
      <c r="B517">
        <v>20</v>
      </c>
      <c r="C517" t="s">
        <v>1290</v>
      </c>
      <c r="D517" t="s">
        <v>1206</v>
      </c>
      <c r="E517" t="s">
        <v>1217</v>
      </c>
      <c r="F517" s="99" t="s">
        <v>1213</v>
      </c>
    </row>
    <row r="518" spans="1:6" x14ac:dyDescent="0.25">
      <c r="A518" t="s">
        <v>265</v>
      </c>
      <c r="B518">
        <v>20</v>
      </c>
      <c r="C518" t="s">
        <v>1290</v>
      </c>
      <c r="D518" t="s">
        <v>1219</v>
      </c>
      <c r="E518" t="s">
        <v>1210</v>
      </c>
      <c r="F518" s="99" t="s">
        <v>1213</v>
      </c>
    </row>
    <row r="519" spans="1:6" x14ac:dyDescent="0.25">
      <c r="A519" t="s">
        <v>1167</v>
      </c>
      <c r="B519">
        <v>20</v>
      </c>
      <c r="C519" t="s">
        <v>1290</v>
      </c>
      <c r="D519" t="s">
        <v>1206</v>
      </c>
      <c r="E519" t="s">
        <v>1210</v>
      </c>
      <c r="F519" s="99" t="s">
        <v>1213</v>
      </c>
    </row>
    <row r="520" spans="1:6" x14ac:dyDescent="0.25">
      <c r="A520" t="s">
        <v>247</v>
      </c>
      <c r="B520">
        <v>20</v>
      </c>
      <c r="C520" t="s">
        <v>1290</v>
      </c>
      <c r="D520" t="s">
        <v>1219</v>
      </c>
      <c r="E520" t="s">
        <v>1210</v>
      </c>
      <c r="F520" s="99" t="s">
        <v>1213</v>
      </c>
    </row>
    <row r="521" spans="1:6" x14ac:dyDescent="0.25">
      <c r="A521" t="s">
        <v>856</v>
      </c>
      <c r="B521">
        <v>20</v>
      </c>
      <c r="C521" t="s">
        <v>1290</v>
      </c>
      <c r="D521" t="s">
        <v>1206</v>
      </c>
      <c r="E521" t="s">
        <v>1207</v>
      </c>
      <c r="F521" s="99" t="s">
        <v>1213</v>
      </c>
    </row>
    <row r="522" spans="1:6" x14ac:dyDescent="0.25">
      <c r="A522" t="s">
        <v>400</v>
      </c>
      <c r="B522">
        <v>20</v>
      </c>
      <c r="C522" t="s">
        <v>1290</v>
      </c>
      <c r="D522" t="s">
        <v>1219</v>
      </c>
      <c r="E522" t="s">
        <v>1207</v>
      </c>
      <c r="F522" s="99" t="s">
        <v>1213</v>
      </c>
    </row>
    <row r="523" spans="1:6" x14ac:dyDescent="0.25">
      <c r="A523" t="s">
        <v>865</v>
      </c>
      <c r="B523">
        <v>20</v>
      </c>
      <c r="C523" t="s">
        <v>1290</v>
      </c>
      <c r="D523" t="s">
        <v>1206</v>
      </c>
      <c r="E523" t="s">
        <v>1210</v>
      </c>
      <c r="F523" s="99" t="s">
        <v>1213</v>
      </c>
    </row>
    <row r="524" spans="1:6" x14ac:dyDescent="0.25">
      <c r="A524" t="s">
        <v>751</v>
      </c>
      <c r="B524">
        <v>20</v>
      </c>
      <c r="C524" t="s">
        <v>1290</v>
      </c>
      <c r="D524" t="s">
        <v>1220</v>
      </c>
      <c r="E524" t="s">
        <v>1217</v>
      </c>
      <c r="F524" s="99" t="s">
        <v>1213</v>
      </c>
    </row>
    <row r="525" spans="1:6" x14ac:dyDescent="0.25">
      <c r="A525" t="s">
        <v>1166</v>
      </c>
      <c r="B525">
        <v>20</v>
      </c>
      <c r="C525" t="s">
        <v>1290</v>
      </c>
      <c r="D525" t="s">
        <v>1206</v>
      </c>
      <c r="E525" t="s">
        <v>1210</v>
      </c>
      <c r="F525" s="99" t="s">
        <v>1213</v>
      </c>
    </row>
    <row r="526" spans="1:6" x14ac:dyDescent="0.25">
      <c r="A526" t="s">
        <v>281</v>
      </c>
      <c r="B526">
        <v>20</v>
      </c>
      <c r="C526" t="s">
        <v>1290</v>
      </c>
      <c r="D526" t="s">
        <v>1220</v>
      </c>
      <c r="E526" t="s">
        <v>1207</v>
      </c>
      <c r="F526" s="99" t="s">
        <v>1213</v>
      </c>
    </row>
    <row r="527" spans="1:6" x14ac:dyDescent="0.25">
      <c r="A527" t="s">
        <v>652</v>
      </c>
      <c r="B527">
        <v>20</v>
      </c>
      <c r="C527" t="s">
        <v>1290</v>
      </c>
      <c r="D527" t="s">
        <v>1220</v>
      </c>
      <c r="E527" t="s">
        <v>1217</v>
      </c>
      <c r="F527" s="99" t="s">
        <v>1213</v>
      </c>
    </row>
    <row r="528" spans="1:6" x14ac:dyDescent="0.25">
      <c r="A528" t="s">
        <v>339</v>
      </c>
      <c r="B528">
        <v>20</v>
      </c>
      <c r="C528" t="s">
        <v>1290</v>
      </c>
      <c r="D528" t="s">
        <v>1219</v>
      </c>
      <c r="E528" t="s">
        <v>1210</v>
      </c>
      <c r="F528" s="99" t="s">
        <v>1213</v>
      </c>
    </row>
    <row r="529" spans="1:6" x14ac:dyDescent="0.25">
      <c r="A529" t="s">
        <v>549</v>
      </c>
      <c r="B529">
        <v>20</v>
      </c>
      <c r="C529" t="s">
        <v>1290</v>
      </c>
      <c r="D529" t="s">
        <v>1206</v>
      </c>
      <c r="E529" t="s">
        <v>1207</v>
      </c>
      <c r="F529" s="99" t="s">
        <v>1213</v>
      </c>
    </row>
    <row r="530" spans="1:6" x14ac:dyDescent="0.25">
      <c r="A530" t="s">
        <v>628</v>
      </c>
      <c r="B530">
        <v>20</v>
      </c>
      <c r="C530" t="s">
        <v>1290</v>
      </c>
      <c r="D530" t="s">
        <v>1220</v>
      </c>
      <c r="E530" t="s">
        <v>1217</v>
      </c>
      <c r="F530" s="99" t="s">
        <v>1213</v>
      </c>
    </row>
    <row r="531" spans="1:6" x14ac:dyDescent="0.25">
      <c r="A531" t="s">
        <v>932</v>
      </c>
      <c r="B531">
        <v>20</v>
      </c>
      <c r="C531" t="s">
        <v>1290</v>
      </c>
      <c r="D531" t="s">
        <v>1206</v>
      </c>
      <c r="E531" t="s">
        <v>1210</v>
      </c>
      <c r="F531" s="99" t="s">
        <v>1213</v>
      </c>
    </row>
    <row r="532" spans="1:6" x14ac:dyDescent="0.25">
      <c r="A532" t="s">
        <v>660</v>
      </c>
      <c r="B532">
        <v>20</v>
      </c>
      <c r="C532" t="s">
        <v>1290</v>
      </c>
      <c r="D532" t="s">
        <v>1206</v>
      </c>
      <c r="E532" t="s">
        <v>1217</v>
      </c>
      <c r="F532" s="99" t="s">
        <v>1213</v>
      </c>
    </row>
    <row r="533" spans="1:6" x14ac:dyDescent="0.25">
      <c r="A533" t="s">
        <v>475</v>
      </c>
      <c r="B533">
        <v>20</v>
      </c>
      <c r="C533" t="s">
        <v>1290</v>
      </c>
      <c r="D533" t="s">
        <v>1219</v>
      </c>
      <c r="E533" t="s">
        <v>1210</v>
      </c>
      <c r="F533" s="99" t="s">
        <v>1213</v>
      </c>
    </row>
    <row r="534" spans="1:6" x14ac:dyDescent="0.25">
      <c r="A534" t="s">
        <v>657</v>
      </c>
      <c r="B534">
        <v>20</v>
      </c>
      <c r="C534" t="s">
        <v>1290</v>
      </c>
      <c r="D534" t="s">
        <v>1220</v>
      </c>
      <c r="E534" t="s">
        <v>1217</v>
      </c>
      <c r="F534" s="99" t="s">
        <v>1213</v>
      </c>
    </row>
    <row r="535" spans="1:6" x14ac:dyDescent="0.25">
      <c r="A535" t="s">
        <v>858</v>
      </c>
      <c r="B535">
        <v>20</v>
      </c>
      <c r="C535" t="s">
        <v>1290</v>
      </c>
      <c r="D535" t="s">
        <v>1206</v>
      </c>
      <c r="E535" t="s">
        <v>1207</v>
      </c>
      <c r="F535" s="99" t="s">
        <v>1213</v>
      </c>
    </row>
    <row r="536" spans="1:6" x14ac:dyDescent="0.25">
      <c r="A536" t="s">
        <v>206</v>
      </c>
      <c r="B536">
        <v>20</v>
      </c>
      <c r="C536" t="s">
        <v>1290</v>
      </c>
      <c r="D536" t="s">
        <v>1220</v>
      </c>
      <c r="E536" t="s">
        <v>1210</v>
      </c>
      <c r="F536" s="99" t="s">
        <v>1213</v>
      </c>
    </row>
    <row r="537" spans="1:6" x14ac:dyDescent="0.25">
      <c r="A537" t="s">
        <v>753</v>
      </c>
      <c r="B537">
        <v>20</v>
      </c>
      <c r="C537" t="s">
        <v>1290</v>
      </c>
      <c r="D537" t="s">
        <v>1206</v>
      </c>
      <c r="E537" t="s">
        <v>1217</v>
      </c>
      <c r="F537" s="99" t="s">
        <v>1213</v>
      </c>
    </row>
    <row r="538" spans="1:6" x14ac:dyDescent="0.25">
      <c r="A538" t="s">
        <v>863</v>
      </c>
      <c r="B538">
        <v>20</v>
      </c>
      <c r="C538" t="s">
        <v>1290</v>
      </c>
      <c r="D538" t="s">
        <v>1206</v>
      </c>
      <c r="E538" t="s">
        <v>1210</v>
      </c>
      <c r="F538" s="99" t="s">
        <v>1213</v>
      </c>
    </row>
    <row r="539" spans="1:6" x14ac:dyDescent="0.25">
      <c r="A539" t="s">
        <v>950</v>
      </c>
      <c r="B539">
        <v>20</v>
      </c>
      <c r="C539" t="s">
        <v>1290</v>
      </c>
      <c r="D539" t="s">
        <v>1206</v>
      </c>
      <c r="E539" t="s">
        <v>1210</v>
      </c>
      <c r="F539" s="99" t="s">
        <v>1213</v>
      </c>
    </row>
    <row r="540" spans="1:6" x14ac:dyDescent="0.25">
      <c r="A540" t="s">
        <v>264</v>
      </c>
      <c r="B540">
        <v>20</v>
      </c>
      <c r="C540" t="s">
        <v>1290</v>
      </c>
      <c r="D540" t="s">
        <v>1218</v>
      </c>
      <c r="E540" t="s">
        <v>1210</v>
      </c>
      <c r="F540" s="99" t="s">
        <v>1213</v>
      </c>
    </row>
    <row r="541" spans="1:6" x14ac:dyDescent="0.25">
      <c r="A541" t="s">
        <v>923</v>
      </c>
      <c r="B541">
        <v>20</v>
      </c>
      <c r="C541" t="s">
        <v>1290</v>
      </c>
      <c r="D541" t="s">
        <v>1206</v>
      </c>
      <c r="E541" t="s">
        <v>1210</v>
      </c>
      <c r="F541" s="99" t="s">
        <v>1213</v>
      </c>
    </row>
    <row r="542" spans="1:6" x14ac:dyDescent="0.25">
      <c r="A542" t="s">
        <v>205</v>
      </c>
      <c r="B542">
        <v>20</v>
      </c>
      <c r="C542" t="s">
        <v>1290</v>
      </c>
      <c r="D542" t="s">
        <v>1218</v>
      </c>
      <c r="E542" t="s">
        <v>1215</v>
      </c>
      <c r="F542" s="99" t="s">
        <v>1213</v>
      </c>
    </row>
    <row r="543" spans="1:6" x14ac:dyDescent="0.25">
      <c r="A543" t="s">
        <v>297</v>
      </c>
      <c r="B543">
        <v>20</v>
      </c>
      <c r="C543" t="s">
        <v>1290</v>
      </c>
      <c r="D543" t="s">
        <v>1219</v>
      </c>
      <c r="E543" t="s">
        <v>1210</v>
      </c>
      <c r="F543" s="99" t="s">
        <v>1213</v>
      </c>
    </row>
    <row r="544" spans="1:6" x14ac:dyDescent="0.25">
      <c r="A544" t="s">
        <v>975</v>
      </c>
      <c r="B544">
        <v>20</v>
      </c>
      <c r="C544" t="s">
        <v>1290</v>
      </c>
      <c r="D544" t="s">
        <v>1206</v>
      </c>
      <c r="E544" t="s">
        <v>1210</v>
      </c>
      <c r="F544" s="99" t="s">
        <v>1213</v>
      </c>
    </row>
    <row r="545" spans="1:6" x14ac:dyDescent="0.25">
      <c r="A545" t="s">
        <v>231</v>
      </c>
      <c r="B545">
        <v>20</v>
      </c>
      <c r="C545" t="s">
        <v>1290</v>
      </c>
      <c r="D545" t="s">
        <v>1219</v>
      </c>
      <c r="E545" t="s">
        <v>1210</v>
      </c>
      <c r="F545" s="99" t="s">
        <v>1213</v>
      </c>
    </row>
    <row r="546" spans="1:6" x14ac:dyDescent="0.25">
      <c r="A546" t="s">
        <v>437</v>
      </c>
      <c r="B546">
        <v>20</v>
      </c>
      <c r="C546" t="s">
        <v>1290</v>
      </c>
      <c r="D546" t="s">
        <v>1206</v>
      </c>
      <c r="E546" t="s">
        <v>1217</v>
      </c>
      <c r="F546" s="99" t="s">
        <v>1213</v>
      </c>
    </row>
    <row r="547" spans="1:6" x14ac:dyDescent="0.25">
      <c r="A547" t="s">
        <v>960</v>
      </c>
      <c r="B547">
        <v>20</v>
      </c>
      <c r="C547" t="s">
        <v>1290</v>
      </c>
      <c r="D547" t="s">
        <v>1206</v>
      </c>
      <c r="E547" t="s">
        <v>1210</v>
      </c>
      <c r="F547" s="99" t="s">
        <v>1213</v>
      </c>
    </row>
    <row r="548" spans="1:6" x14ac:dyDescent="0.25">
      <c r="A548" t="s">
        <v>700</v>
      </c>
      <c r="B548">
        <v>20</v>
      </c>
      <c r="C548" t="s">
        <v>1290</v>
      </c>
      <c r="D548" t="s">
        <v>1219</v>
      </c>
      <c r="E548" t="s">
        <v>1207</v>
      </c>
      <c r="F548" s="99" t="s">
        <v>1213</v>
      </c>
    </row>
    <row r="549" spans="1:6" x14ac:dyDescent="0.25">
      <c r="A549" t="s">
        <v>637</v>
      </c>
      <c r="B549">
        <v>20</v>
      </c>
      <c r="C549" t="s">
        <v>1290</v>
      </c>
      <c r="D549" t="s">
        <v>1220</v>
      </c>
      <c r="E549" t="s">
        <v>1207</v>
      </c>
      <c r="F549" s="99" t="s">
        <v>1213</v>
      </c>
    </row>
    <row r="550" spans="1:6" x14ac:dyDescent="0.25">
      <c r="A550" t="s">
        <v>829</v>
      </c>
      <c r="B550">
        <v>20</v>
      </c>
      <c r="C550" t="s">
        <v>1290</v>
      </c>
      <c r="D550" t="s">
        <v>1206</v>
      </c>
      <c r="E550" t="s">
        <v>1217</v>
      </c>
      <c r="F550" s="99" t="s">
        <v>1213</v>
      </c>
    </row>
    <row r="551" spans="1:6" x14ac:dyDescent="0.25">
      <c r="A551" t="s">
        <v>1074</v>
      </c>
      <c r="B551">
        <v>20</v>
      </c>
      <c r="C551" t="s">
        <v>1290</v>
      </c>
      <c r="D551" t="s">
        <v>1206</v>
      </c>
      <c r="E551" t="s">
        <v>1210</v>
      </c>
      <c r="F551" s="99" t="s">
        <v>1213</v>
      </c>
    </row>
    <row r="552" spans="1:6" x14ac:dyDescent="0.25">
      <c r="A552" t="s">
        <v>519</v>
      </c>
      <c r="B552">
        <v>20</v>
      </c>
      <c r="C552" t="s">
        <v>1290</v>
      </c>
      <c r="D552" t="s">
        <v>1220</v>
      </c>
      <c r="E552" t="s">
        <v>1210</v>
      </c>
      <c r="F552" s="99" t="s">
        <v>1213</v>
      </c>
    </row>
    <row r="553" spans="1:6" x14ac:dyDescent="0.25">
      <c r="A553" t="s">
        <v>1122</v>
      </c>
      <c r="B553">
        <v>20</v>
      </c>
      <c r="C553" t="s">
        <v>1290</v>
      </c>
      <c r="D553" t="s">
        <v>1206</v>
      </c>
      <c r="E553" t="s">
        <v>1207</v>
      </c>
      <c r="F553" s="99" t="s">
        <v>1213</v>
      </c>
    </row>
    <row r="554" spans="1:6" x14ac:dyDescent="0.25">
      <c r="A554" t="s">
        <v>588</v>
      </c>
      <c r="B554">
        <v>20</v>
      </c>
      <c r="C554" t="s">
        <v>1290</v>
      </c>
      <c r="D554" t="s">
        <v>1206</v>
      </c>
      <c r="E554" t="s">
        <v>1210</v>
      </c>
      <c r="F554" s="99" t="s">
        <v>1213</v>
      </c>
    </row>
    <row r="555" spans="1:6" x14ac:dyDescent="0.25">
      <c r="A555" t="s">
        <v>904</v>
      </c>
      <c r="B555">
        <v>20</v>
      </c>
      <c r="C555" t="s">
        <v>1290</v>
      </c>
      <c r="D555" t="s">
        <v>1206</v>
      </c>
      <c r="E555" t="s">
        <v>1217</v>
      </c>
      <c r="F555" s="99" t="s">
        <v>1213</v>
      </c>
    </row>
    <row r="556" spans="1:6" x14ac:dyDescent="0.25">
      <c r="A556" t="s">
        <v>543</v>
      </c>
      <c r="B556">
        <v>20</v>
      </c>
      <c r="C556" t="s">
        <v>1290</v>
      </c>
      <c r="D556" t="s">
        <v>1220</v>
      </c>
      <c r="E556" t="s">
        <v>1217</v>
      </c>
      <c r="F556" s="99" t="s">
        <v>1213</v>
      </c>
    </row>
    <row r="557" spans="1:6" x14ac:dyDescent="0.25">
      <c r="A557" t="s">
        <v>846</v>
      </c>
      <c r="B557">
        <v>20</v>
      </c>
      <c r="C557" t="s">
        <v>1290</v>
      </c>
      <c r="D557" t="s">
        <v>1206</v>
      </c>
      <c r="E557" t="s">
        <v>1210</v>
      </c>
      <c r="F557" s="99" t="s">
        <v>1213</v>
      </c>
    </row>
    <row r="558" spans="1:6" x14ac:dyDescent="0.25">
      <c r="A558" t="s">
        <v>1073</v>
      </c>
      <c r="B558">
        <v>20</v>
      </c>
      <c r="C558" t="s">
        <v>1290</v>
      </c>
      <c r="D558" t="s">
        <v>1206</v>
      </c>
      <c r="E558" t="s">
        <v>1207</v>
      </c>
      <c r="F558" s="99" t="s">
        <v>1213</v>
      </c>
    </row>
    <row r="559" spans="1:6" x14ac:dyDescent="0.25">
      <c r="A559" t="s">
        <v>859</v>
      </c>
      <c r="B559">
        <v>20</v>
      </c>
      <c r="C559" t="s">
        <v>1290</v>
      </c>
      <c r="D559" t="s">
        <v>1206</v>
      </c>
      <c r="E559" t="s">
        <v>1217</v>
      </c>
      <c r="F559" s="99" t="s">
        <v>1213</v>
      </c>
    </row>
    <row r="560" spans="1:6" x14ac:dyDescent="0.25">
      <c r="A560" t="s">
        <v>828</v>
      </c>
      <c r="B560">
        <v>20</v>
      </c>
      <c r="C560" t="s">
        <v>1290</v>
      </c>
      <c r="D560" t="s">
        <v>1206</v>
      </c>
      <c r="E560" t="s">
        <v>1215</v>
      </c>
      <c r="F560" s="99" t="s">
        <v>1213</v>
      </c>
    </row>
    <row r="561" spans="1:6" x14ac:dyDescent="0.25">
      <c r="A561" t="s">
        <v>411</v>
      </c>
      <c r="B561">
        <v>20</v>
      </c>
      <c r="C561" t="s">
        <v>1290</v>
      </c>
      <c r="D561" t="s">
        <v>1219</v>
      </c>
      <c r="E561" t="s">
        <v>1210</v>
      </c>
      <c r="F561" s="99" t="s">
        <v>1213</v>
      </c>
    </row>
    <row r="562" spans="1:6" x14ac:dyDescent="0.25">
      <c r="A562" t="s">
        <v>1004</v>
      </c>
      <c r="B562">
        <v>20</v>
      </c>
      <c r="C562" t="s">
        <v>1290</v>
      </c>
      <c r="D562" t="s">
        <v>1206</v>
      </c>
      <c r="E562" t="s">
        <v>1210</v>
      </c>
      <c r="F562" s="99" t="s">
        <v>1213</v>
      </c>
    </row>
    <row r="563" spans="1:6" x14ac:dyDescent="0.25">
      <c r="A563" t="s">
        <v>157</v>
      </c>
      <c r="B563">
        <v>20</v>
      </c>
      <c r="C563" t="s">
        <v>1290</v>
      </c>
      <c r="D563" t="s">
        <v>1218</v>
      </c>
      <c r="E563" t="s">
        <v>1215</v>
      </c>
      <c r="F563" s="99" t="s">
        <v>1213</v>
      </c>
    </row>
    <row r="564" spans="1:6" x14ac:dyDescent="0.25">
      <c r="A564" t="s">
        <v>617</v>
      </c>
      <c r="B564">
        <v>20</v>
      </c>
      <c r="C564" t="s">
        <v>1290</v>
      </c>
      <c r="D564" t="s">
        <v>1219</v>
      </c>
      <c r="E564" t="s">
        <v>1217</v>
      </c>
      <c r="F564" s="99" t="s">
        <v>1213</v>
      </c>
    </row>
    <row r="565" spans="1:6" x14ac:dyDescent="0.25">
      <c r="A565" t="s">
        <v>1017</v>
      </c>
      <c r="B565">
        <v>20</v>
      </c>
      <c r="C565" t="s">
        <v>1290</v>
      </c>
      <c r="D565" t="s">
        <v>1206</v>
      </c>
      <c r="E565" t="s">
        <v>1210</v>
      </c>
      <c r="F565" s="99" t="s">
        <v>1213</v>
      </c>
    </row>
    <row r="566" spans="1:6" x14ac:dyDescent="0.25">
      <c r="A566" t="s">
        <v>250</v>
      </c>
      <c r="B566">
        <v>20</v>
      </c>
      <c r="C566" t="s">
        <v>1290</v>
      </c>
      <c r="D566" t="s">
        <v>1219</v>
      </c>
      <c r="E566" t="s">
        <v>1210</v>
      </c>
      <c r="F566" s="99" t="s">
        <v>1213</v>
      </c>
    </row>
    <row r="567" spans="1:6" x14ac:dyDescent="0.25">
      <c r="A567" t="s">
        <v>279</v>
      </c>
      <c r="B567">
        <v>20</v>
      </c>
      <c r="C567" t="s">
        <v>1290</v>
      </c>
      <c r="D567" t="s">
        <v>1220</v>
      </c>
      <c r="E567" t="s">
        <v>1217</v>
      </c>
      <c r="F567" s="99" t="s">
        <v>1213</v>
      </c>
    </row>
    <row r="568" spans="1:6" x14ac:dyDescent="0.25">
      <c r="A568" t="s">
        <v>146</v>
      </c>
      <c r="B568">
        <v>20</v>
      </c>
      <c r="C568" t="s">
        <v>1290</v>
      </c>
      <c r="D568" t="s">
        <v>1218</v>
      </c>
      <c r="E568" t="s">
        <v>1210</v>
      </c>
      <c r="F568" s="99" t="s">
        <v>1213</v>
      </c>
    </row>
    <row r="569" spans="1:6" x14ac:dyDescent="0.25">
      <c r="A569" t="s">
        <v>702</v>
      </c>
      <c r="B569">
        <v>20</v>
      </c>
      <c r="C569" t="s">
        <v>1290</v>
      </c>
      <c r="D569" t="s">
        <v>1219</v>
      </c>
      <c r="E569" t="s">
        <v>1207</v>
      </c>
      <c r="F569" s="99" t="s">
        <v>1213</v>
      </c>
    </row>
    <row r="570" spans="1:6" x14ac:dyDescent="0.25">
      <c r="A570" t="s">
        <v>862</v>
      </c>
      <c r="B570">
        <v>20</v>
      </c>
      <c r="C570" t="s">
        <v>1290</v>
      </c>
      <c r="D570" t="s">
        <v>1206</v>
      </c>
      <c r="E570" t="s">
        <v>1210</v>
      </c>
      <c r="F570" s="99" t="s">
        <v>1213</v>
      </c>
    </row>
    <row r="571" spans="1:6" x14ac:dyDescent="0.25">
      <c r="A571" t="s">
        <v>1124</v>
      </c>
      <c r="B571">
        <v>20</v>
      </c>
      <c r="C571" t="s">
        <v>1290</v>
      </c>
      <c r="D571" t="s">
        <v>1206</v>
      </c>
      <c r="E571" t="s">
        <v>1207</v>
      </c>
      <c r="F571" s="99" t="s">
        <v>1213</v>
      </c>
    </row>
    <row r="572" spans="1:6" x14ac:dyDescent="0.25">
      <c r="A572" t="s">
        <v>1158</v>
      </c>
      <c r="B572">
        <v>20</v>
      </c>
      <c r="C572" t="s">
        <v>1290</v>
      </c>
      <c r="D572" t="s">
        <v>1206</v>
      </c>
      <c r="E572" t="s">
        <v>1207</v>
      </c>
      <c r="F572" s="99" t="s">
        <v>1213</v>
      </c>
    </row>
    <row r="573" spans="1:6" x14ac:dyDescent="0.25">
      <c r="A573" t="s">
        <v>101</v>
      </c>
      <c r="B573">
        <v>20</v>
      </c>
      <c r="C573" t="s">
        <v>1290</v>
      </c>
      <c r="D573" t="s">
        <v>1218</v>
      </c>
      <c r="E573" t="s">
        <v>1210</v>
      </c>
      <c r="F573" s="99" t="s">
        <v>1213</v>
      </c>
    </row>
    <row r="574" spans="1:6" x14ac:dyDescent="0.25">
      <c r="A574" t="s">
        <v>1070</v>
      </c>
      <c r="B574">
        <v>20</v>
      </c>
      <c r="C574" t="s">
        <v>1290</v>
      </c>
      <c r="D574" t="s">
        <v>1206</v>
      </c>
      <c r="E574" t="s">
        <v>1210</v>
      </c>
      <c r="F574" s="99" t="s">
        <v>1213</v>
      </c>
    </row>
    <row r="575" spans="1:6" x14ac:dyDescent="0.25">
      <c r="A575" t="s">
        <v>832</v>
      </c>
      <c r="B575">
        <v>20</v>
      </c>
      <c r="C575" t="s">
        <v>1290</v>
      </c>
      <c r="D575" t="s">
        <v>1206</v>
      </c>
      <c r="E575" t="s">
        <v>1210</v>
      </c>
      <c r="F575" s="99" t="s">
        <v>1213</v>
      </c>
    </row>
    <row r="576" spans="1:6" x14ac:dyDescent="0.25">
      <c r="A576" t="s">
        <v>971</v>
      </c>
      <c r="B576">
        <v>20</v>
      </c>
      <c r="C576" t="s">
        <v>1290</v>
      </c>
      <c r="D576" t="s">
        <v>1206</v>
      </c>
      <c r="E576" t="s">
        <v>1210</v>
      </c>
      <c r="F576" s="99" t="s">
        <v>1213</v>
      </c>
    </row>
    <row r="577" spans="1:6" x14ac:dyDescent="0.25">
      <c r="A577" t="s">
        <v>1067</v>
      </c>
      <c r="B577">
        <v>20</v>
      </c>
      <c r="C577" t="s">
        <v>1290</v>
      </c>
      <c r="D577" t="s">
        <v>1206</v>
      </c>
      <c r="E577" t="s">
        <v>1215</v>
      </c>
      <c r="F577" s="99" t="s">
        <v>1213</v>
      </c>
    </row>
    <row r="578" spans="1:6" x14ac:dyDescent="0.25">
      <c r="A578" t="s">
        <v>188</v>
      </c>
      <c r="B578">
        <v>20</v>
      </c>
      <c r="C578" t="s">
        <v>1290</v>
      </c>
      <c r="D578" t="s">
        <v>1222</v>
      </c>
      <c r="E578" t="s">
        <v>1217</v>
      </c>
      <c r="F578" s="99" t="s">
        <v>1213</v>
      </c>
    </row>
    <row r="579" spans="1:6" x14ac:dyDescent="0.25">
      <c r="A579" t="s">
        <v>168</v>
      </c>
      <c r="B579">
        <v>20</v>
      </c>
      <c r="C579" t="s">
        <v>1290</v>
      </c>
      <c r="D579" t="s">
        <v>1206</v>
      </c>
      <c r="E579" t="s">
        <v>1215</v>
      </c>
      <c r="F579" s="99" t="s">
        <v>1213</v>
      </c>
    </row>
    <row r="580" spans="1:6" x14ac:dyDescent="0.25">
      <c r="A580" t="s">
        <v>343</v>
      </c>
      <c r="B580">
        <v>20</v>
      </c>
      <c r="C580" t="s">
        <v>1290</v>
      </c>
      <c r="D580" t="s">
        <v>1220</v>
      </c>
      <c r="E580" t="s">
        <v>1210</v>
      </c>
      <c r="F580" s="99" t="s">
        <v>1213</v>
      </c>
    </row>
    <row r="581" spans="1:6" x14ac:dyDescent="0.25">
      <c r="A581" t="s">
        <v>561</v>
      </c>
      <c r="B581">
        <v>20</v>
      </c>
      <c r="C581" t="s">
        <v>1290</v>
      </c>
      <c r="D581" t="s">
        <v>1220</v>
      </c>
      <c r="E581" t="s">
        <v>1217</v>
      </c>
      <c r="F581" s="99" t="s">
        <v>1213</v>
      </c>
    </row>
    <row r="582" spans="1:6" x14ac:dyDescent="0.25">
      <c r="A582" t="s">
        <v>744</v>
      </c>
      <c r="B582">
        <v>20</v>
      </c>
      <c r="C582" t="s">
        <v>1290</v>
      </c>
      <c r="D582" t="s">
        <v>1206</v>
      </c>
      <c r="E582" t="s">
        <v>1207</v>
      </c>
      <c r="F582" s="99" t="s">
        <v>1213</v>
      </c>
    </row>
    <row r="583" spans="1:6" x14ac:dyDescent="0.25">
      <c r="A583" t="s">
        <v>1176</v>
      </c>
      <c r="B583">
        <v>20</v>
      </c>
      <c r="C583" t="s">
        <v>1290</v>
      </c>
      <c r="D583" t="s">
        <v>1206</v>
      </c>
      <c r="E583" t="s">
        <v>1210</v>
      </c>
      <c r="F583" s="99" t="s">
        <v>1213</v>
      </c>
    </row>
    <row r="584" spans="1:6" x14ac:dyDescent="0.25">
      <c r="A584" t="s">
        <v>892</v>
      </c>
      <c r="B584">
        <v>20</v>
      </c>
      <c r="C584" t="s">
        <v>1290</v>
      </c>
      <c r="D584" t="s">
        <v>1206</v>
      </c>
      <c r="E584" t="s">
        <v>1210</v>
      </c>
      <c r="F584" s="99" t="s">
        <v>1213</v>
      </c>
    </row>
    <row r="585" spans="1:6" x14ac:dyDescent="0.25">
      <c r="A585" t="s">
        <v>664</v>
      </c>
      <c r="B585">
        <v>20</v>
      </c>
      <c r="C585" t="s">
        <v>1290</v>
      </c>
      <c r="D585" t="s">
        <v>1206</v>
      </c>
      <c r="E585" t="s">
        <v>1210</v>
      </c>
      <c r="F585" s="99" t="s">
        <v>1213</v>
      </c>
    </row>
    <row r="586" spans="1:6" x14ac:dyDescent="0.25">
      <c r="A586" t="s">
        <v>686</v>
      </c>
      <c r="B586">
        <v>20</v>
      </c>
      <c r="C586" t="s">
        <v>1290</v>
      </c>
      <c r="D586" t="s">
        <v>1220</v>
      </c>
      <c r="E586" t="s">
        <v>1207</v>
      </c>
      <c r="F586" s="99" t="s">
        <v>1213</v>
      </c>
    </row>
    <row r="587" spans="1:6" x14ac:dyDescent="0.25">
      <c r="A587" t="s">
        <v>169</v>
      </c>
      <c r="B587">
        <v>20</v>
      </c>
      <c r="C587" t="s">
        <v>1290</v>
      </c>
      <c r="D587" t="s">
        <v>1219</v>
      </c>
      <c r="E587" t="s">
        <v>1210</v>
      </c>
      <c r="F587" s="99" t="s">
        <v>1213</v>
      </c>
    </row>
    <row r="588" spans="1:6" x14ac:dyDescent="0.25">
      <c r="A588" t="s">
        <v>298</v>
      </c>
      <c r="B588">
        <v>20</v>
      </c>
      <c r="C588" t="s">
        <v>1290</v>
      </c>
      <c r="D588" t="s">
        <v>1218</v>
      </c>
      <c r="E588" t="s">
        <v>1210</v>
      </c>
      <c r="F588" s="99" t="s">
        <v>1213</v>
      </c>
    </row>
    <row r="589" spans="1:6" x14ac:dyDescent="0.25">
      <c r="A589" t="s">
        <v>248</v>
      </c>
      <c r="B589">
        <v>20</v>
      </c>
      <c r="C589" t="s">
        <v>1290</v>
      </c>
      <c r="D589" t="s">
        <v>1206</v>
      </c>
      <c r="E589" t="s">
        <v>1217</v>
      </c>
      <c r="F589" s="99" t="s">
        <v>1213</v>
      </c>
    </row>
    <row r="590" spans="1:6" x14ac:dyDescent="0.25">
      <c r="A590" t="s">
        <v>334</v>
      </c>
      <c r="B590">
        <v>20</v>
      </c>
      <c r="C590" t="s">
        <v>1290</v>
      </c>
      <c r="D590" t="s">
        <v>1220</v>
      </c>
      <c r="E590" t="s">
        <v>1210</v>
      </c>
      <c r="F590" s="99" t="s">
        <v>1213</v>
      </c>
    </row>
    <row r="591" spans="1:6" x14ac:dyDescent="0.25">
      <c r="A591" t="s">
        <v>219</v>
      </c>
      <c r="B591">
        <v>20</v>
      </c>
      <c r="C591" t="s">
        <v>1290</v>
      </c>
      <c r="D591" t="s">
        <v>1206</v>
      </c>
      <c r="E591" t="s">
        <v>1210</v>
      </c>
      <c r="F591" s="99" t="s">
        <v>1213</v>
      </c>
    </row>
    <row r="592" spans="1:6" x14ac:dyDescent="0.25">
      <c r="A592" t="s">
        <v>635</v>
      </c>
      <c r="B592">
        <v>20</v>
      </c>
      <c r="C592" t="s">
        <v>1290</v>
      </c>
      <c r="D592" t="s">
        <v>1220</v>
      </c>
      <c r="E592" t="s">
        <v>1217</v>
      </c>
      <c r="F592" s="99" t="s">
        <v>1213</v>
      </c>
    </row>
    <row r="593" spans="1:6" x14ac:dyDescent="0.25">
      <c r="A593" t="s">
        <v>294</v>
      </c>
      <c r="B593">
        <v>20</v>
      </c>
      <c r="C593" t="s">
        <v>1290</v>
      </c>
      <c r="D593" t="s">
        <v>1219</v>
      </c>
      <c r="E593" t="s">
        <v>1210</v>
      </c>
      <c r="F593" s="99" t="s">
        <v>1213</v>
      </c>
    </row>
    <row r="594" spans="1:6" x14ac:dyDescent="0.25">
      <c r="A594" t="s">
        <v>438</v>
      </c>
      <c r="B594">
        <v>20</v>
      </c>
      <c r="C594" t="s">
        <v>1290</v>
      </c>
      <c r="D594" t="s">
        <v>1206</v>
      </c>
      <c r="E594" t="s">
        <v>1210</v>
      </c>
      <c r="F594" s="99" t="s">
        <v>1213</v>
      </c>
    </row>
    <row r="595" spans="1:6" x14ac:dyDescent="0.25">
      <c r="A595" t="s">
        <v>152</v>
      </c>
      <c r="B595">
        <v>20</v>
      </c>
      <c r="C595" t="s">
        <v>1290</v>
      </c>
      <c r="D595" t="s">
        <v>1206</v>
      </c>
      <c r="E595" t="s">
        <v>1215</v>
      </c>
      <c r="F595" s="99" t="s">
        <v>1213</v>
      </c>
    </row>
    <row r="596" spans="1:6" x14ac:dyDescent="0.25">
      <c r="A596" t="s">
        <v>210</v>
      </c>
      <c r="B596">
        <v>20</v>
      </c>
      <c r="C596" t="s">
        <v>1290</v>
      </c>
      <c r="D596" t="s">
        <v>1219</v>
      </c>
      <c r="E596" t="s">
        <v>1210</v>
      </c>
      <c r="F596" s="99" t="s">
        <v>1213</v>
      </c>
    </row>
    <row r="597" spans="1:6" x14ac:dyDescent="0.25">
      <c r="A597" t="s">
        <v>277</v>
      </c>
      <c r="B597">
        <v>20</v>
      </c>
      <c r="C597" t="s">
        <v>1290</v>
      </c>
      <c r="D597" t="s">
        <v>1220</v>
      </c>
      <c r="E597" t="s">
        <v>1210</v>
      </c>
      <c r="F597" s="99" t="s">
        <v>1213</v>
      </c>
    </row>
    <row r="598" spans="1:6" x14ac:dyDescent="0.25">
      <c r="A598" t="s">
        <v>717</v>
      </c>
      <c r="B598">
        <v>20</v>
      </c>
      <c r="C598" t="s">
        <v>1290</v>
      </c>
      <c r="D598" t="s">
        <v>1206</v>
      </c>
      <c r="E598" t="s">
        <v>1207</v>
      </c>
      <c r="F598" s="99" t="s">
        <v>1213</v>
      </c>
    </row>
    <row r="599" spans="1:6" x14ac:dyDescent="0.25">
      <c r="A599" t="s">
        <v>955</v>
      </c>
      <c r="B599">
        <v>20</v>
      </c>
      <c r="C599" t="s">
        <v>1290</v>
      </c>
      <c r="D599" t="s">
        <v>1206</v>
      </c>
      <c r="E599" t="s">
        <v>1210</v>
      </c>
      <c r="F599" s="99" t="s">
        <v>1213</v>
      </c>
    </row>
    <row r="600" spans="1:6" x14ac:dyDescent="0.25">
      <c r="A600" t="s">
        <v>120</v>
      </c>
      <c r="B600">
        <v>20</v>
      </c>
      <c r="C600" t="s">
        <v>1290</v>
      </c>
      <c r="D600" t="s">
        <v>1206</v>
      </c>
      <c r="E600" t="s">
        <v>1207</v>
      </c>
      <c r="F600" s="99" t="s">
        <v>1213</v>
      </c>
    </row>
    <row r="601" spans="1:6" x14ac:dyDescent="0.25">
      <c r="A601" t="s">
        <v>667</v>
      </c>
      <c r="B601">
        <v>20</v>
      </c>
      <c r="C601" t="s">
        <v>1290</v>
      </c>
      <c r="D601" t="s">
        <v>1206</v>
      </c>
      <c r="E601" t="s">
        <v>1207</v>
      </c>
      <c r="F601" s="99" t="s">
        <v>1213</v>
      </c>
    </row>
    <row r="602" spans="1:6" x14ac:dyDescent="0.25">
      <c r="A602" t="s">
        <v>734</v>
      </c>
      <c r="B602">
        <v>20</v>
      </c>
      <c r="C602" t="s">
        <v>1290</v>
      </c>
      <c r="D602" t="s">
        <v>1220</v>
      </c>
      <c r="E602" t="s">
        <v>1217</v>
      </c>
      <c r="F602" s="99" t="s">
        <v>1213</v>
      </c>
    </row>
    <row r="603" spans="1:6" x14ac:dyDescent="0.25">
      <c r="A603" t="s">
        <v>990</v>
      </c>
      <c r="B603">
        <v>20</v>
      </c>
      <c r="C603" t="s">
        <v>1290</v>
      </c>
      <c r="D603" t="s">
        <v>1206</v>
      </c>
      <c r="E603" t="s">
        <v>1210</v>
      </c>
      <c r="F603" s="99" t="s">
        <v>1213</v>
      </c>
    </row>
    <row r="604" spans="1:6" x14ac:dyDescent="0.25">
      <c r="A604" t="s">
        <v>156</v>
      </c>
      <c r="B604">
        <v>20</v>
      </c>
      <c r="C604" t="s">
        <v>1290</v>
      </c>
      <c r="D604" t="s">
        <v>1206</v>
      </c>
      <c r="E604" t="s">
        <v>1207</v>
      </c>
      <c r="F604" s="99" t="s">
        <v>1213</v>
      </c>
    </row>
    <row r="605" spans="1:6" x14ac:dyDescent="0.25">
      <c r="A605" t="s">
        <v>291</v>
      </c>
      <c r="B605">
        <v>20</v>
      </c>
      <c r="C605" t="s">
        <v>1290</v>
      </c>
      <c r="D605" t="s">
        <v>1220</v>
      </c>
      <c r="E605" t="s">
        <v>1217</v>
      </c>
      <c r="F605" s="99" t="s">
        <v>1213</v>
      </c>
    </row>
    <row r="606" spans="1:6" x14ac:dyDescent="0.25">
      <c r="A606" t="s">
        <v>870</v>
      </c>
      <c r="B606">
        <v>20</v>
      </c>
      <c r="C606" t="s">
        <v>1290</v>
      </c>
      <c r="D606" t="s">
        <v>1206</v>
      </c>
      <c r="E606" t="s">
        <v>1210</v>
      </c>
      <c r="F606" s="99" t="s">
        <v>1213</v>
      </c>
    </row>
    <row r="607" spans="1:6" x14ac:dyDescent="0.25">
      <c r="A607" t="s">
        <v>232</v>
      </c>
      <c r="B607">
        <v>20</v>
      </c>
      <c r="C607" t="s">
        <v>1290</v>
      </c>
      <c r="D607" t="s">
        <v>1219</v>
      </c>
      <c r="E607" t="s">
        <v>1210</v>
      </c>
      <c r="F607" s="99" t="s">
        <v>1213</v>
      </c>
    </row>
    <row r="608" spans="1:6" x14ac:dyDescent="0.25">
      <c r="A608" t="s">
        <v>257</v>
      </c>
      <c r="B608">
        <v>20</v>
      </c>
      <c r="C608" t="s">
        <v>1290</v>
      </c>
      <c r="D608" t="s">
        <v>1206</v>
      </c>
      <c r="E608" t="s">
        <v>1210</v>
      </c>
      <c r="F608" s="99" t="s">
        <v>1213</v>
      </c>
    </row>
    <row r="609" spans="1:6" x14ac:dyDescent="0.25">
      <c r="A609" t="s">
        <v>675</v>
      </c>
      <c r="B609">
        <v>20</v>
      </c>
      <c r="C609" t="s">
        <v>1290</v>
      </c>
      <c r="D609" t="s">
        <v>1206</v>
      </c>
      <c r="E609" t="s">
        <v>1207</v>
      </c>
      <c r="F609" s="99" t="s">
        <v>1213</v>
      </c>
    </row>
    <row r="610" spans="1:6" x14ac:dyDescent="0.25">
      <c r="A610" t="s">
        <v>934</v>
      </c>
      <c r="B610">
        <v>20</v>
      </c>
      <c r="C610" t="s">
        <v>1290</v>
      </c>
      <c r="D610" t="s">
        <v>1206</v>
      </c>
      <c r="E610" t="s">
        <v>1210</v>
      </c>
      <c r="F610" s="99" t="s">
        <v>1213</v>
      </c>
    </row>
    <row r="611" spans="1:6" x14ac:dyDescent="0.25">
      <c r="A611" t="s">
        <v>545</v>
      </c>
      <c r="B611">
        <v>20</v>
      </c>
      <c r="C611" t="s">
        <v>1290</v>
      </c>
      <c r="D611" t="s">
        <v>1219</v>
      </c>
      <c r="E611" t="s">
        <v>1207</v>
      </c>
      <c r="F611" s="99" t="s">
        <v>1213</v>
      </c>
    </row>
    <row r="612" spans="1:6" x14ac:dyDescent="0.25">
      <c r="A612" t="s">
        <v>402</v>
      </c>
      <c r="B612">
        <v>20</v>
      </c>
      <c r="C612" t="s">
        <v>1290</v>
      </c>
      <c r="D612" t="s">
        <v>1219</v>
      </c>
      <c r="E612" t="s">
        <v>1210</v>
      </c>
      <c r="F612" s="99" t="s">
        <v>1213</v>
      </c>
    </row>
    <row r="613" spans="1:6" x14ac:dyDescent="0.25">
      <c r="A613" t="s">
        <v>533</v>
      </c>
      <c r="B613">
        <v>20</v>
      </c>
      <c r="C613" t="s">
        <v>1290</v>
      </c>
      <c r="D613" t="s">
        <v>1206</v>
      </c>
      <c r="E613" t="s">
        <v>1210</v>
      </c>
      <c r="F613" s="99" t="s">
        <v>1213</v>
      </c>
    </row>
    <row r="614" spans="1:6" x14ac:dyDescent="0.25">
      <c r="A614" t="s">
        <v>258</v>
      </c>
      <c r="B614">
        <v>20</v>
      </c>
      <c r="C614" t="s">
        <v>1290</v>
      </c>
      <c r="D614" t="s">
        <v>1206</v>
      </c>
      <c r="E614" t="s">
        <v>1207</v>
      </c>
      <c r="F614" s="99" t="s">
        <v>1213</v>
      </c>
    </row>
    <row r="615" spans="1:6" x14ac:dyDescent="0.25">
      <c r="A615" t="s">
        <v>309</v>
      </c>
      <c r="B615">
        <v>20</v>
      </c>
      <c r="C615" t="s">
        <v>1290</v>
      </c>
      <c r="D615" t="s">
        <v>1220</v>
      </c>
      <c r="E615" t="s">
        <v>1217</v>
      </c>
      <c r="F615" s="99" t="s">
        <v>1213</v>
      </c>
    </row>
    <row r="616" spans="1:6" x14ac:dyDescent="0.25">
      <c r="A616" t="s">
        <v>606</v>
      </c>
      <c r="B616">
        <v>20</v>
      </c>
      <c r="C616" t="s">
        <v>1290</v>
      </c>
      <c r="D616" t="s">
        <v>1206</v>
      </c>
      <c r="E616" t="s">
        <v>1207</v>
      </c>
      <c r="F616" s="99" t="s">
        <v>1213</v>
      </c>
    </row>
    <row r="617" spans="1:6" x14ac:dyDescent="0.25">
      <c r="A617" t="s">
        <v>967</v>
      </c>
      <c r="B617">
        <v>20</v>
      </c>
      <c r="C617" t="s">
        <v>1290</v>
      </c>
      <c r="D617" t="s">
        <v>1206</v>
      </c>
      <c r="E617" t="s">
        <v>1215</v>
      </c>
      <c r="F617" s="99" t="s">
        <v>1213</v>
      </c>
    </row>
    <row r="618" spans="1:6" x14ac:dyDescent="0.25">
      <c r="A618" t="s">
        <v>371</v>
      </c>
      <c r="B618">
        <v>20</v>
      </c>
      <c r="C618" t="s">
        <v>1290</v>
      </c>
      <c r="D618" t="s">
        <v>1220</v>
      </c>
      <c r="E618" t="s">
        <v>1210</v>
      </c>
      <c r="F618" s="99" t="s">
        <v>1213</v>
      </c>
    </row>
    <row r="619" spans="1:6" x14ac:dyDescent="0.25">
      <c r="A619" t="s">
        <v>851</v>
      </c>
      <c r="B619">
        <v>20</v>
      </c>
      <c r="C619" t="s">
        <v>1290</v>
      </c>
      <c r="D619" t="s">
        <v>1206</v>
      </c>
      <c r="E619" t="s">
        <v>1210</v>
      </c>
      <c r="F619" s="99" t="s">
        <v>1213</v>
      </c>
    </row>
    <row r="620" spans="1:6" x14ac:dyDescent="0.25">
      <c r="A620" t="s">
        <v>391</v>
      </c>
      <c r="B620">
        <v>20</v>
      </c>
      <c r="C620" t="s">
        <v>1290</v>
      </c>
      <c r="D620" t="s">
        <v>1219</v>
      </c>
      <c r="E620" t="s">
        <v>1210</v>
      </c>
      <c r="F620" s="99" t="s">
        <v>1213</v>
      </c>
    </row>
    <row r="621" spans="1:6" x14ac:dyDescent="0.25">
      <c r="A621" t="s">
        <v>201</v>
      </c>
      <c r="B621">
        <v>20</v>
      </c>
      <c r="C621" t="s">
        <v>1290</v>
      </c>
      <c r="D621" t="s">
        <v>1222</v>
      </c>
      <c r="E621" t="s">
        <v>1207</v>
      </c>
      <c r="F621" s="99" t="s">
        <v>1213</v>
      </c>
    </row>
    <row r="622" spans="1:6" x14ac:dyDescent="0.25">
      <c r="A622" t="s">
        <v>555</v>
      </c>
      <c r="B622">
        <v>20</v>
      </c>
      <c r="C622" t="s">
        <v>1290</v>
      </c>
      <c r="D622" t="s">
        <v>1220</v>
      </c>
      <c r="E622" t="s">
        <v>1207</v>
      </c>
      <c r="F622" s="99" t="s">
        <v>1213</v>
      </c>
    </row>
    <row r="623" spans="1:6" x14ac:dyDescent="0.25">
      <c r="A623" t="s">
        <v>770</v>
      </c>
      <c r="B623">
        <v>20</v>
      </c>
      <c r="C623" t="s">
        <v>1290</v>
      </c>
      <c r="D623" t="s">
        <v>1219</v>
      </c>
      <c r="E623" t="s">
        <v>1210</v>
      </c>
      <c r="F623" s="99" t="s">
        <v>1213</v>
      </c>
    </row>
    <row r="624" spans="1:6" x14ac:dyDescent="0.25">
      <c r="A624" t="s">
        <v>1098</v>
      </c>
      <c r="B624">
        <v>20</v>
      </c>
      <c r="C624" t="s">
        <v>1290</v>
      </c>
      <c r="D624" t="s">
        <v>1206</v>
      </c>
      <c r="E624" t="s">
        <v>1210</v>
      </c>
      <c r="F624" s="99" t="s">
        <v>1213</v>
      </c>
    </row>
    <row r="625" spans="1:6" x14ac:dyDescent="0.25">
      <c r="A625" t="s">
        <v>512</v>
      </c>
      <c r="B625">
        <v>20</v>
      </c>
      <c r="C625" t="s">
        <v>1290</v>
      </c>
      <c r="D625" t="s">
        <v>1206</v>
      </c>
      <c r="E625" t="s">
        <v>1217</v>
      </c>
      <c r="F625" s="99" t="s">
        <v>1213</v>
      </c>
    </row>
    <row r="626" spans="1:6" x14ac:dyDescent="0.25">
      <c r="A626" t="s">
        <v>969</v>
      </c>
      <c r="B626">
        <v>20</v>
      </c>
      <c r="C626" t="s">
        <v>1290</v>
      </c>
      <c r="D626" t="s">
        <v>1206</v>
      </c>
      <c r="E626" t="s">
        <v>1210</v>
      </c>
      <c r="F626" s="99" t="s">
        <v>1213</v>
      </c>
    </row>
    <row r="627" spans="1:6" x14ac:dyDescent="0.25">
      <c r="A627" t="s">
        <v>823</v>
      </c>
      <c r="B627">
        <v>20</v>
      </c>
      <c r="C627" t="s">
        <v>1290</v>
      </c>
      <c r="D627" t="s">
        <v>1206</v>
      </c>
      <c r="E627" t="s">
        <v>1210</v>
      </c>
      <c r="F627" s="99" t="s">
        <v>1213</v>
      </c>
    </row>
    <row r="628" spans="1:6" x14ac:dyDescent="0.25">
      <c r="A628" t="s">
        <v>86</v>
      </c>
      <c r="B628">
        <v>20</v>
      </c>
      <c r="C628" t="s">
        <v>1290</v>
      </c>
      <c r="D628" t="s">
        <v>1220</v>
      </c>
      <c r="E628" t="s">
        <v>1210</v>
      </c>
      <c r="F628" s="99" t="s">
        <v>1213</v>
      </c>
    </row>
    <row r="629" spans="1:6" x14ac:dyDescent="0.25">
      <c r="A629" t="s">
        <v>769</v>
      </c>
      <c r="B629">
        <v>20</v>
      </c>
      <c r="C629" t="s">
        <v>1290</v>
      </c>
      <c r="D629" t="s">
        <v>1206</v>
      </c>
      <c r="E629" t="s">
        <v>1210</v>
      </c>
      <c r="F629" s="99" t="s">
        <v>1213</v>
      </c>
    </row>
    <row r="630" spans="1:6" x14ac:dyDescent="0.25">
      <c r="A630" t="s">
        <v>993</v>
      </c>
      <c r="B630">
        <v>20</v>
      </c>
      <c r="C630" t="s">
        <v>1290</v>
      </c>
      <c r="D630" t="s">
        <v>1206</v>
      </c>
      <c r="E630" t="s">
        <v>1210</v>
      </c>
      <c r="F630" s="99" t="s">
        <v>1213</v>
      </c>
    </row>
    <row r="631" spans="1:6" x14ac:dyDescent="0.25">
      <c r="A631" t="s">
        <v>59</v>
      </c>
      <c r="B631">
        <v>20</v>
      </c>
      <c r="C631" t="s">
        <v>1290</v>
      </c>
      <c r="D631" t="s">
        <v>1206</v>
      </c>
      <c r="E631" t="s">
        <v>1215</v>
      </c>
      <c r="F631" s="99" t="s">
        <v>1213</v>
      </c>
    </row>
    <row r="632" spans="1:6" x14ac:dyDescent="0.25">
      <c r="A632" t="s">
        <v>111</v>
      </c>
      <c r="B632">
        <v>20</v>
      </c>
      <c r="C632" t="s">
        <v>1290</v>
      </c>
      <c r="D632" t="s">
        <v>1206</v>
      </c>
      <c r="E632" t="s">
        <v>1210</v>
      </c>
      <c r="F632" s="99" t="s">
        <v>1213</v>
      </c>
    </row>
    <row r="633" spans="1:6" x14ac:dyDescent="0.25">
      <c r="A633" t="s">
        <v>1036</v>
      </c>
      <c r="B633">
        <v>20</v>
      </c>
      <c r="C633" t="s">
        <v>1290</v>
      </c>
      <c r="D633" t="s">
        <v>1206</v>
      </c>
      <c r="E633" t="s">
        <v>1210</v>
      </c>
      <c r="F633" s="99" t="s">
        <v>1213</v>
      </c>
    </row>
    <row r="634" spans="1:6" x14ac:dyDescent="0.25">
      <c r="A634" t="s">
        <v>504</v>
      </c>
      <c r="B634">
        <v>20</v>
      </c>
      <c r="C634" t="s">
        <v>1290</v>
      </c>
      <c r="D634" t="s">
        <v>1206</v>
      </c>
      <c r="E634" t="s">
        <v>1210</v>
      </c>
      <c r="F634" s="99" t="s">
        <v>1213</v>
      </c>
    </row>
    <row r="635" spans="1:6" x14ac:dyDescent="0.25">
      <c r="A635" t="s">
        <v>946</v>
      </c>
      <c r="B635">
        <v>20</v>
      </c>
      <c r="C635" t="s">
        <v>1290</v>
      </c>
      <c r="D635" t="s">
        <v>1206</v>
      </c>
      <c r="E635" t="s">
        <v>1210</v>
      </c>
      <c r="F635" s="99" t="s">
        <v>1213</v>
      </c>
    </row>
    <row r="636" spans="1:6" x14ac:dyDescent="0.25">
      <c r="A636" t="s">
        <v>574</v>
      </c>
      <c r="B636">
        <v>20</v>
      </c>
      <c r="C636" t="s">
        <v>1290</v>
      </c>
      <c r="D636" t="s">
        <v>1206</v>
      </c>
      <c r="E636" t="s">
        <v>1210</v>
      </c>
      <c r="F636" s="99" t="s">
        <v>1213</v>
      </c>
    </row>
    <row r="637" spans="1:6" x14ac:dyDescent="0.25">
      <c r="A637" t="s">
        <v>1020</v>
      </c>
      <c r="B637">
        <v>20</v>
      </c>
      <c r="C637" t="s">
        <v>1290</v>
      </c>
      <c r="D637" t="s">
        <v>1206</v>
      </c>
      <c r="E637" t="s">
        <v>1210</v>
      </c>
      <c r="F637" s="99" t="s">
        <v>1213</v>
      </c>
    </row>
    <row r="638" spans="1:6" x14ac:dyDescent="0.25">
      <c r="A638" t="s">
        <v>535</v>
      </c>
      <c r="B638">
        <v>20</v>
      </c>
      <c r="C638" t="s">
        <v>1290</v>
      </c>
      <c r="D638" t="s">
        <v>1206</v>
      </c>
      <c r="E638" t="s">
        <v>1210</v>
      </c>
      <c r="F638" s="99" t="s">
        <v>1213</v>
      </c>
    </row>
    <row r="639" spans="1:6" x14ac:dyDescent="0.25">
      <c r="A639" t="s">
        <v>1138</v>
      </c>
      <c r="B639">
        <v>20</v>
      </c>
      <c r="C639" t="s">
        <v>1290</v>
      </c>
      <c r="D639" t="s">
        <v>1206</v>
      </c>
      <c r="E639" t="s">
        <v>1207</v>
      </c>
      <c r="F639" s="99" t="s">
        <v>1213</v>
      </c>
    </row>
    <row r="640" spans="1:6" x14ac:dyDescent="0.25">
      <c r="A640" t="s">
        <v>845</v>
      </c>
      <c r="B640">
        <v>20</v>
      </c>
      <c r="C640" t="s">
        <v>1290</v>
      </c>
      <c r="D640" t="s">
        <v>1206</v>
      </c>
      <c r="E640" t="s">
        <v>1210</v>
      </c>
      <c r="F640" s="99" t="s">
        <v>1213</v>
      </c>
    </row>
    <row r="641" spans="1:6" x14ac:dyDescent="0.25">
      <c r="A641" t="s">
        <v>638</v>
      </c>
      <c r="B641">
        <v>20</v>
      </c>
      <c r="C641" t="s">
        <v>1290</v>
      </c>
      <c r="D641" t="s">
        <v>1206</v>
      </c>
      <c r="E641" t="s">
        <v>1217</v>
      </c>
      <c r="F641" s="99" t="s">
        <v>1213</v>
      </c>
    </row>
    <row r="642" spans="1:6" x14ac:dyDescent="0.25">
      <c r="A642" t="s">
        <v>1005</v>
      </c>
      <c r="B642">
        <v>20</v>
      </c>
      <c r="C642" t="s">
        <v>1290</v>
      </c>
      <c r="D642" t="s">
        <v>1206</v>
      </c>
      <c r="E642" t="s">
        <v>1210</v>
      </c>
      <c r="F642" s="99" t="s">
        <v>1213</v>
      </c>
    </row>
    <row r="643" spans="1:6" x14ac:dyDescent="0.25">
      <c r="A643" t="s">
        <v>539</v>
      </c>
      <c r="B643">
        <v>20</v>
      </c>
      <c r="C643" t="s">
        <v>1290</v>
      </c>
      <c r="D643" t="s">
        <v>1206</v>
      </c>
      <c r="E643" t="s">
        <v>1217</v>
      </c>
      <c r="F643" s="99" t="s">
        <v>1213</v>
      </c>
    </row>
    <row r="644" spans="1:6" x14ac:dyDescent="0.25">
      <c r="A644" t="s">
        <v>480</v>
      </c>
      <c r="B644">
        <v>20</v>
      </c>
      <c r="C644" t="s">
        <v>1290</v>
      </c>
      <c r="D644" t="s">
        <v>1206</v>
      </c>
      <c r="E644" t="s">
        <v>1210</v>
      </c>
      <c r="F644" s="99" t="s">
        <v>1213</v>
      </c>
    </row>
    <row r="645" spans="1:6" x14ac:dyDescent="0.25">
      <c r="A645" t="s">
        <v>952</v>
      </c>
      <c r="B645">
        <v>20</v>
      </c>
      <c r="C645" t="s">
        <v>1290</v>
      </c>
      <c r="D645" t="s">
        <v>1206</v>
      </c>
      <c r="E645" t="s">
        <v>1210</v>
      </c>
      <c r="F645" s="99" t="s">
        <v>1213</v>
      </c>
    </row>
    <row r="646" spans="1:6" x14ac:dyDescent="0.25">
      <c r="A646" t="s">
        <v>345</v>
      </c>
      <c r="B646">
        <v>20</v>
      </c>
      <c r="C646" t="s">
        <v>1290</v>
      </c>
      <c r="D646" t="s">
        <v>1206</v>
      </c>
      <c r="E646" t="s">
        <v>1210</v>
      </c>
      <c r="F646" s="99" t="s">
        <v>1213</v>
      </c>
    </row>
    <row r="647" spans="1:6" x14ac:dyDescent="0.25">
      <c r="A647" t="s">
        <v>526</v>
      </c>
      <c r="B647">
        <v>20</v>
      </c>
      <c r="C647" t="s">
        <v>1290</v>
      </c>
      <c r="D647" t="s">
        <v>1206</v>
      </c>
      <c r="E647" t="s">
        <v>1207</v>
      </c>
      <c r="F647" s="99" t="s">
        <v>1213</v>
      </c>
    </row>
    <row r="648" spans="1:6" x14ac:dyDescent="0.25">
      <c r="A648" t="s">
        <v>414</v>
      </c>
      <c r="B648">
        <v>20</v>
      </c>
      <c r="C648" t="s">
        <v>1290</v>
      </c>
      <c r="D648" t="s">
        <v>1220</v>
      </c>
      <c r="E648" t="s">
        <v>1210</v>
      </c>
      <c r="F648" s="99" t="s">
        <v>1213</v>
      </c>
    </row>
    <row r="649" spans="1:6" x14ac:dyDescent="0.25">
      <c r="A649" t="s">
        <v>887</v>
      </c>
      <c r="B649">
        <v>20</v>
      </c>
      <c r="C649" t="s">
        <v>1290</v>
      </c>
      <c r="D649" t="s">
        <v>1206</v>
      </c>
      <c r="E649" t="s">
        <v>1210</v>
      </c>
      <c r="F649" s="99" t="s">
        <v>1213</v>
      </c>
    </row>
    <row r="650" spans="1:6" x14ac:dyDescent="0.25">
      <c r="A650" t="s">
        <v>653</v>
      </c>
      <c r="B650">
        <v>20</v>
      </c>
      <c r="C650" t="s">
        <v>1290</v>
      </c>
      <c r="D650" t="s">
        <v>1220</v>
      </c>
      <c r="E650" t="s">
        <v>1217</v>
      </c>
      <c r="F650" s="99" t="s">
        <v>1213</v>
      </c>
    </row>
    <row r="651" spans="1:6" x14ac:dyDescent="0.25">
      <c r="A651" t="s">
        <v>351</v>
      </c>
      <c r="B651">
        <v>20</v>
      </c>
      <c r="C651" t="s">
        <v>1290</v>
      </c>
      <c r="D651" t="s">
        <v>1206</v>
      </c>
      <c r="E651" t="s">
        <v>1210</v>
      </c>
      <c r="F651" s="99" t="s">
        <v>1213</v>
      </c>
    </row>
    <row r="652" spans="1:6" x14ac:dyDescent="0.25">
      <c r="A652" t="s">
        <v>1147</v>
      </c>
      <c r="B652">
        <v>20</v>
      </c>
      <c r="C652" t="s">
        <v>1290</v>
      </c>
      <c r="D652" t="s">
        <v>1206</v>
      </c>
      <c r="E652" t="s">
        <v>1207</v>
      </c>
      <c r="F652" s="99" t="s">
        <v>1213</v>
      </c>
    </row>
    <row r="653" spans="1:6" x14ac:dyDescent="0.25">
      <c r="A653" t="s">
        <v>213</v>
      </c>
      <c r="B653">
        <v>20</v>
      </c>
      <c r="C653" t="s">
        <v>1290</v>
      </c>
      <c r="D653" t="s">
        <v>1220</v>
      </c>
      <c r="E653" t="s">
        <v>1207</v>
      </c>
      <c r="F653" s="99" t="s">
        <v>1213</v>
      </c>
    </row>
    <row r="654" spans="1:6" x14ac:dyDescent="0.25">
      <c r="A654" t="s">
        <v>1089</v>
      </c>
      <c r="B654">
        <v>20</v>
      </c>
      <c r="C654" t="s">
        <v>1290</v>
      </c>
      <c r="D654" t="s">
        <v>1206</v>
      </c>
      <c r="E654" t="s">
        <v>1210</v>
      </c>
      <c r="F654" s="99" t="s">
        <v>1213</v>
      </c>
    </row>
    <row r="655" spans="1:6" x14ac:dyDescent="0.25">
      <c r="A655" t="s">
        <v>557</v>
      </c>
      <c r="B655">
        <v>20</v>
      </c>
      <c r="C655" t="s">
        <v>1290</v>
      </c>
      <c r="D655" t="s">
        <v>1206</v>
      </c>
      <c r="E655" t="s">
        <v>1217</v>
      </c>
      <c r="F655" s="99" t="s">
        <v>1213</v>
      </c>
    </row>
    <row r="656" spans="1:6" x14ac:dyDescent="0.25">
      <c r="A656" t="s">
        <v>1186</v>
      </c>
      <c r="B656">
        <v>20</v>
      </c>
      <c r="C656" t="s">
        <v>1290</v>
      </c>
      <c r="D656" t="s">
        <v>1206</v>
      </c>
      <c r="E656" t="s">
        <v>1210</v>
      </c>
      <c r="F656" s="99" t="s">
        <v>1213</v>
      </c>
    </row>
    <row r="657" spans="1:6" x14ac:dyDescent="0.25">
      <c r="A657" t="s">
        <v>864</v>
      </c>
      <c r="B657">
        <v>20</v>
      </c>
      <c r="C657" t="s">
        <v>1290</v>
      </c>
      <c r="D657" t="s">
        <v>1206</v>
      </c>
      <c r="E657" t="s">
        <v>1207</v>
      </c>
      <c r="F657" s="99" t="s">
        <v>1213</v>
      </c>
    </row>
    <row r="658" spans="1:6" x14ac:dyDescent="0.25">
      <c r="A658" t="s">
        <v>1097</v>
      </c>
      <c r="B658">
        <v>20</v>
      </c>
      <c r="C658" t="s">
        <v>1290</v>
      </c>
      <c r="D658" t="s">
        <v>1206</v>
      </c>
      <c r="E658" t="s">
        <v>1210</v>
      </c>
      <c r="F658" s="99" t="s">
        <v>1213</v>
      </c>
    </row>
    <row r="659" spans="1:6" x14ac:dyDescent="0.25">
      <c r="A659" t="s">
        <v>690</v>
      </c>
      <c r="B659">
        <v>20</v>
      </c>
      <c r="C659" t="s">
        <v>1290</v>
      </c>
      <c r="D659" t="s">
        <v>1219</v>
      </c>
      <c r="E659" t="s">
        <v>1207</v>
      </c>
      <c r="F659" s="99" t="s">
        <v>1213</v>
      </c>
    </row>
    <row r="660" spans="1:6" x14ac:dyDescent="0.25">
      <c r="A660" t="s">
        <v>286</v>
      </c>
      <c r="B660">
        <v>21</v>
      </c>
      <c r="C660" t="s">
        <v>1290</v>
      </c>
      <c r="D660" t="s">
        <v>1219</v>
      </c>
      <c r="E660" t="s">
        <v>1210</v>
      </c>
      <c r="F660" s="99" t="s">
        <v>1213</v>
      </c>
    </row>
    <row r="661" spans="1:6" x14ac:dyDescent="0.25">
      <c r="A661" t="s">
        <v>425</v>
      </c>
      <c r="B661">
        <v>21</v>
      </c>
      <c r="C661" t="s">
        <v>1290</v>
      </c>
      <c r="D661" t="s">
        <v>1206</v>
      </c>
      <c r="E661" t="s">
        <v>1210</v>
      </c>
      <c r="F661" s="99" t="s">
        <v>1213</v>
      </c>
    </row>
    <row r="662" spans="1:6" x14ac:dyDescent="0.25">
      <c r="A662" t="s">
        <v>64</v>
      </c>
      <c r="B662">
        <v>21</v>
      </c>
      <c r="C662" t="s">
        <v>1290</v>
      </c>
      <c r="D662" t="s">
        <v>1206</v>
      </c>
      <c r="E662" t="s">
        <v>1215</v>
      </c>
      <c r="F662" s="99" t="s">
        <v>1213</v>
      </c>
    </row>
    <row r="663" spans="1:6" x14ac:dyDescent="0.25">
      <c r="A663" t="s">
        <v>100</v>
      </c>
      <c r="B663">
        <v>21</v>
      </c>
      <c r="C663" t="s">
        <v>1290</v>
      </c>
      <c r="D663" t="s">
        <v>1206</v>
      </c>
      <c r="E663" t="s">
        <v>1210</v>
      </c>
      <c r="F663" s="99" t="s">
        <v>1213</v>
      </c>
    </row>
    <row r="664" spans="1:6" x14ac:dyDescent="0.25">
      <c r="A664" t="s">
        <v>933</v>
      </c>
      <c r="B664">
        <v>21</v>
      </c>
      <c r="C664" t="s">
        <v>1290</v>
      </c>
      <c r="D664" t="s">
        <v>1206</v>
      </c>
      <c r="E664" t="s">
        <v>1210</v>
      </c>
      <c r="F664" s="99" t="s">
        <v>1213</v>
      </c>
    </row>
    <row r="665" spans="1:6" x14ac:dyDescent="0.25">
      <c r="A665" t="s">
        <v>1109</v>
      </c>
      <c r="B665">
        <v>21</v>
      </c>
      <c r="C665" t="s">
        <v>1290</v>
      </c>
      <c r="D665" t="s">
        <v>1206</v>
      </c>
      <c r="E665" t="s">
        <v>1207</v>
      </c>
      <c r="F665" s="99" t="s">
        <v>1213</v>
      </c>
    </row>
    <row r="666" spans="1:6" x14ac:dyDescent="0.25">
      <c r="A666" t="s">
        <v>105</v>
      </c>
      <c r="B666">
        <v>21</v>
      </c>
      <c r="C666" t="s">
        <v>1290</v>
      </c>
      <c r="D666" t="s">
        <v>1206</v>
      </c>
      <c r="E666" t="s">
        <v>1215</v>
      </c>
      <c r="F666" s="99" t="s">
        <v>1213</v>
      </c>
    </row>
    <row r="667" spans="1:6" x14ac:dyDescent="0.25">
      <c r="A667" t="s">
        <v>600</v>
      </c>
      <c r="B667">
        <v>21</v>
      </c>
      <c r="C667" t="s">
        <v>1290</v>
      </c>
      <c r="D667" t="s">
        <v>1219</v>
      </c>
      <c r="E667" t="s">
        <v>1217</v>
      </c>
      <c r="F667" s="99" t="s">
        <v>1213</v>
      </c>
    </row>
    <row r="668" spans="1:6" x14ac:dyDescent="0.25">
      <c r="A668" t="s">
        <v>819</v>
      </c>
      <c r="B668">
        <v>21</v>
      </c>
      <c r="C668" t="s">
        <v>1290</v>
      </c>
      <c r="D668" t="s">
        <v>1219</v>
      </c>
      <c r="E668" t="s">
        <v>1217</v>
      </c>
      <c r="F668" s="99" t="s">
        <v>1213</v>
      </c>
    </row>
    <row r="669" spans="1:6" x14ac:dyDescent="0.25">
      <c r="A669" t="s">
        <v>107</v>
      </c>
      <c r="B669">
        <v>21</v>
      </c>
      <c r="C669" t="s">
        <v>1290</v>
      </c>
      <c r="D669" t="s">
        <v>1218</v>
      </c>
      <c r="E669" t="s">
        <v>1207</v>
      </c>
      <c r="F669" s="99" t="s">
        <v>1213</v>
      </c>
    </row>
    <row r="670" spans="1:6" x14ac:dyDescent="0.25">
      <c r="A670" t="s">
        <v>850</v>
      </c>
      <c r="B670">
        <v>21</v>
      </c>
      <c r="C670" t="s">
        <v>1290</v>
      </c>
      <c r="D670" t="s">
        <v>1206</v>
      </c>
      <c r="E670" t="s">
        <v>1207</v>
      </c>
      <c r="F670" s="99" t="s">
        <v>1213</v>
      </c>
    </row>
    <row r="671" spans="1:6" x14ac:dyDescent="0.25">
      <c r="A671" t="s">
        <v>1197</v>
      </c>
      <c r="B671">
        <v>21</v>
      </c>
      <c r="C671" t="s">
        <v>1290</v>
      </c>
      <c r="D671" t="s">
        <v>1206</v>
      </c>
      <c r="E671" t="s">
        <v>1210</v>
      </c>
      <c r="F671" s="99" t="s">
        <v>1213</v>
      </c>
    </row>
    <row r="672" spans="1:6" x14ac:dyDescent="0.25">
      <c r="A672" t="s">
        <v>847</v>
      </c>
      <c r="B672">
        <v>21</v>
      </c>
      <c r="C672" t="s">
        <v>1290</v>
      </c>
      <c r="D672" t="s">
        <v>1206</v>
      </c>
      <c r="E672" t="s">
        <v>1210</v>
      </c>
      <c r="F672" s="99" t="s">
        <v>1213</v>
      </c>
    </row>
    <row r="673" spans="1:6" x14ac:dyDescent="0.25">
      <c r="A673" t="s">
        <v>338</v>
      </c>
      <c r="B673">
        <v>21</v>
      </c>
      <c r="C673" t="s">
        <v>1290</v>
      </c>
      <c r="D673" t="s">
        <v>1219</v>
      </c>
      <c r="E673" t="s">
        <v>1210</v>
      </c>
      <c r="F673" s="99" t="s">
        <v>1213</v>
      </c>
    </row>
    <row r="674" spans="1:6" x14ac:dyDescent="0.25">
      <c r="A674" t="s">
        <v>642</v>
      </c>
      <c r="B674">
        <v>21</v>
      </c>
      <c r="C674" t="s">
        <v>1290</v>
      </c>
      <c r="D674" t="s">
        <v>1220</v>
      </c>
      <c r="E674" t="s">
        <v>1217</v>
      </c>
      <c r="F674" s="99" t="s">
        <v>1213</v>
      </c>
    </row>
    <row r="675" spans="1:6" x14ac:dyDescent="0.25">
      <c r="A675" t="s">
        <v>1187</v>
      </c>
      <c r="B675">
        <v>21</v>
      </c>
      <c r="C675" t="s">
        <v>1290</v>
      </c>
      <c r="D675" t="s">
        <v>1206</v>
      </c>
      <c r="E675" t="s">
        <v>1215</v>
      </c>
      <c r="F675" s="99" t="s">
        <v>1213</v>
      </c>
    </row>
    <row r="676" spans="1:6" x14ac:dyDescent="0.25">
      <c r="A676" t="s">
        <v>192</v>
      </c>
      <c r="B676">
        <v>21</v>
      </c>
      <c r="C676" t="s">
        <v>1290</v>
      </c>
      <c r="D676" t="s">
        <v>1218</v>
      </c>
      <c r="E676" t="s">
        <v>1207</v>
      </c>
      <c r="F676" s="99" t="s">
        <v>1213</v>
      </c>
    </row>
    <row r="677" spans="1:6" x14ac:dyDescent="0.25">
      <c r="A677" t="s">
        <v>143</v>
      </c>
      <c r="B677">
        <v>21</v>
      </c>
      <c r="C677" t="s">
        <v>1290</v>
      </c>
      <c r="D677" t="s">
        <v>1206</v>
      </c>
      <c r="E677" t="s">
        <v>1215</v>
      </c>
      <c r="F677" s="99" t="s">
        <v>1213</v>
      </c>
    </row>
    <row r="678" spans="1:6" x14ac:dyDescent="0.25">
      <c r="A678" t="s">
        <v>374</v>
      </c>
      <c r="B678">
        <v>21</v>
      </c>
      <c r="C678" t="s">
        <v>1290</v>
      </c>
      <c r="D678" t="s">
        <v>1206</v>
      </c>
      <c r="E678" t="s">
        <v>1210</v>
      </c>
      <c r="F678" s="99" t="s">
        <v>1213</v>
      </c>
    </row>
    <row r="679" spans="1:6" x14ac:dyDescent="0.25">
      <c r="A679" t="s">
        <v>820</v>
      </c>
      <c r="B679">
        <v>21</v>
      </c>
      <c r="C679" t="s">
        <v>1290</v>
      </c>
      <c r="D679" t="s">
        <v>1206</v>
      </c>
      <c r="E679" t="s">
        <v>1210</v>
      </c>
      <c r="F679" s="99" t="s">
        <v>1213</v>
      </c>
    </row>
    <row r="680" spans="1:6" x14ac:dyDescent="0.25">
      <c r="A680" t="s">
        <v>594</v>
      </c>
      <c r="B680">
        <v>21</v>
      </c>
      <c r="C680" t="s">
        <v>1290</v>
      </c>
      <c r="D680" t="s">
        <v>1206</v>
      </c>
      <c r="E680" t="s">
        <v>1217</v>
      </c>
      <c r="F680" s="99" t="s">
        <v>1213</v>
      </c>
    </row>
    <row r="681" spans="1:6" x14ac:dyDescent="0.25">
      <c r="A681" t="s">
        <v>532</v>
      </c>
      <c r="B681">
        <v>21</v>
      </c>
      <c r="C681" t="s">
        <v>1290</v>
      </c>
      <c r="D681" t="s">
        <v>1206</v>
      </c>
      <c r="E681" t="s">
        <v>1217</v>
      </c>
      <c r="F681" s="99" t="s">
        <v>1213</v>
      </c>
    </row>
    <row r="682" spans="1:6" x14ac:dyDescent="0.25">
      <c r="A682" t="s">
        <v>221</v>
      </c>
      <c r="B682">
        <v>21</v>
      </c>
      <c r="C682" t="s">
        <v>1290</v>
      </c>
      <c r="D682" t="s">
        <v>1219</v>
      </c>
      <c r="E682" t="s">
        <v>1207</v>
      </c>
      <c r="F682" s="99" t="s">
        <v>1213</v>
      </c>
    </row>
    <row r="683" spans="1:6" x14ac:dyDescent="0.25">
      <c r="A683" t="s">
        <v>327</v>
      </c>
      <c r="B683">
        <v>21</v>
      </c>
      <c r="C683" t="s">
        <v>1290</v>
      </c>
      <c r="D683" t="s">
        <v>1220</v>
      </c>
      <c r="E683" t="s">
        <v>1217</v>
      </c>
      <c r="F683" s="99" t="s">
        <v>1213</v>
      </c>
    </row>
    <row r="684" spans="1:6" x14ac:dyDescent="0.25">
      <c r="A684" t="s">
        <v>921</v>
      </c>
      <c r="B684">
        <v>21</v>
      </c>
      <c r="C684" t="s">
        <v>1290</v>
      </c>
      <c r="D684" t="s">
        <v>1206</v>
      </c>
      <c r="E684" t="s">
        <v>1210</v>
      </c>
      <c r="F684" s="99" t="s">
        <v>1213</v>
      </c>
    </row>
    <row r="685" spans="1:6" x14ac:dyDescent="0.25">
      <c r="A685" t="s">
        <v>530</v>
      </c>
      <c r="B685">
        <v>21</v>
      </c>
      <c r="C685" t="s">
        <v>1290</v>
      </c>
      <c r="D685" t="s">
        <v>1206</v>
      </c>
      <c r="E685" t="s">
        <v>1210</v>
      </c>
      <c r="F685" s="99" t="s">
        <v>1213</v>
      </c>
    </row>
    <row r="686" spans="1:6" x14ac:dyDescent="0.25">
      <c r="A686" t="s">
        <v>1110</v>
      </c>
      <c r="B686">
        <v>21</v>
      </c>
      <c r="C686" t="s">
        <v>1290</v>
      </c>
      <c r="D686" t="s">
        <v>1206</v>
      </c>
      <c r="E686" t="s">
        <v>1207</v>
      </c>
      <c r="F686" s="99" t="s">
        <v>1213</v>
      </c>
    </row>
    <row r="687" spans="1:6" x14ac:dyDescent="0.25">
      <c r="A687" t="s">
        <v>671</v>
      </c>
      <c r="B687">
        <v>21</v>
      </c>
      <c r="C687" t="s">
        <v>1290</v>
      </c>
      <c r="D687" t="s">
        <v>1206</v>
      </c>
      <c r="E687" t="s">
        <v>1217</v>
      </c>
      <c r="F687" s="99" t="s">
        <v>1213</v>
      </c>
    </row>
    <row r="688" spans="1:6" x14ac:dyDescent="0.25">
      <c r="A688" t="s">
        <v>909</v>
      </c>
      <c r="B688">
        <v>21</v>
      </c>
      <c r="C688" t="s">
        <v>1290</v>
      </c>
      <c r="D688" t="s">
        <v>1206</v>
      </c>
      <c r="E688" t="s">
        <v>1217</v>
      </c>
      <c r="F688" s="99" t="s">
        <v>1213</v>
      </c>
    </row>
    <row r="689" spans="1:6" x14ac:dyDescent="0.25">
      <c r="A689" t="s">
        <v>377</v>
      </c>
      <c r="B689">
        <v>21</v>
      </c>
      <c r="C689" t="s">
        <v>1290</v>
      </c>
      <c r="D689" t="s">
        <v>1219</v>
      </c>
      <c r="E689" t="s">
        <v>1210</v>
      </c>
      <c r="F689" s="99" t="s">
        <v>1213</v>
      </c>
    </row>
    <row r="690" spans="1:6" x14ac:dyDescent="0.25">
      <c r="A690" t="s">
        <v>55</v>
      </c>
      <c r="B690">
        <v>21</v>
      </c>
      <c r="C690" t="s">
        <v>1290</v>
      </c>
      <c r="D690" t="s">
        <v>1222</v>
      </c>
      <c r="E690" t="s">
        <v>1212</v>
      </c>
      <c r="F690" s="99" t="s">
        <v>1213</v>
      </c>
    </row>
    <row r="691" spans="1:6" x14ac:dyDescent="0.25">
      <c r="A691" t="s">
        <v>875</v>
      </c>
      <c r="B691">
        <v>21</v>
      </c>
      <c r="C691" t="s">
        <v>1290</v>
      </c>
      <c r="D691" t="s">
        <v>1206</v>
      </c>
      <c r="E691" t="s">
        <v>1210</v>
      </c>
      <c r="F691" s="99" t="s">
        <v>1213</v>
      </c>
    </row>
    <row r="692" spans="1:6" x14ac:dyDescent="0.25">
      <c r="A692" t="s">
        <v>959</v>
      </c>
      <c r="B692">
        <v>21</v>
      </c>
      <c r="C692" t="s">
        <v>1290</v>
      </c>
      <c r="D692" t="s">
        <v>1206</v>
      </c>
      <c r="E692" t="s">
        <v>1210</v>
      </c>
      <c r="F692" s="99" t="s">
        <v>1213</v>
      </c>
    </row>
    <row r="693" spans="1:6" x14ac:dyDescent="0.25">
      <c r="A693" t="s">
        <v>295</v>
      </c>
      <c r="B693">
        <v>21</v>
      </c>
      <c r="C693" t="s">
        <v>1290</v>
      </c>
      <c r="D693" t="s">
        <v>1219</v>
      </c>
      <c r="E693" t="s">
        <v>1210</v>
      </c>
      <c r="F693" s="99" t="s">
        <v>1213</v>
      </c>
    </row>
    <row r="694" spans="1:6" x14ac:dyDescent="0.25">
      <c r="A694" t="s">
        <v>608</v>
      </c>
      <c r="B694">
        <v>21</v>
      </c>
      <c r="C694" t="s">
        <v>1290</v>
      </c>
      <c r="D694" t="s">
        <v>1206</v>
      </c>
      <c r="E694" t="s">
        <v>1207</v>
      </c>
      <c r="F694" s="99" t="s">
        <v>1213</v>
      </c>
    </row>
    <row r="695" spans="1:6" x14ac:dyDescent="0.25">
      <c r="A695" t="s">
        <v>738</v>
      </c>
      <c r="B695">
        <v>21</v>
      </c>
      <c r="C695" t="s">
        <v>1290</v>
      </c>
      <c r="D695" t="s">
        <v>1220</v>
      </c>
      <c r="E695" t="s">
        <v>1217</v>
      </c>
      <c r="F695" s="99" t="s">
        <v>1213</v>
      </c>
    </row>
    <row r="696" spans="1:6" x14ac:dyDescent="0.25">
      <c r="A696" t="s">
        <v>613</v>
      </c>
      <c r="B696">
        <v>21</v>
      </c>
      <c r="C696" t="s">
        <v>1290</v>
      </c>
      <c r="D696" t="s">
        <v>1206</v>
      </c>
      <c r="E696" t="s">
        <v>1217</v>
      </c>
      <c r="F696" s="99" t="s">
        <v>1213</v>
      </c>
    </row>
    <row r="697" spans="1:6" x14ac:dyDescent="0.25">
      <c r="A697" t="s">
        <v>91</v>
      </c>
      <c r="B697">
        <v>21</v>
      </c>
      <c r="C697" t="s">
        <v>1290</v>
      </c>
      <c r="D697" t="s">
        <v>1206</v>
      </c>
      <c r="E697" t="s">
        <v>1215</v>
      </c>
      <c r="F697" s="99" t="s">
        <v>1213</v>
      </c>
    </row>
    <row r="698" spans="1:6" x14ac:dyDescent="0.25">
      <c r="A698" t="s">
        <v>682</v>
      </c>
      <c r="B698">
        <v>21</v>
      </c>
      <c r="C698" t="s">
        <v>1290</v>
      </c>
      <c r="D698" t="s">
        <v>1206</v>
      </c>
      <c r="E698" t="s">
        <v>1207</v>
      </c>
      <c r="F698" s="99" t="s">
        <v>1213</v>
      </c>
    </row>
    <row r="699" spans="1:6" x14ac:dyDescent="0.25">
      <c r="A699" t="s">
        <v>778</v>
      </c>
      <c r="B699">
        <v>21</v>
      </c>
      <c r="C699" t="s">
        <v>1290</v>
      </c>
      <c r="D699" t="s">
        <v>1220</v>
      </c>
      <c r="E699" t="s">
        <v>1217</v>
      </c>
      <c r="F699" s="99" t="s">
        <v>1213</v>
      </c>
    </row>
    <row r="700" spans="1:6" x14ac:dyDescent="0.25">
      <c r="A700" t="s">
        <v>490</v>
      </c>
      <c r="B700">
        <v>21</v>
      </c>
      <c r="C700" t="s">
        <v>1290</v>
      </c>
      <c r="D700" t="s">
        <v>1206</v>
      </c>
      <c r="E700" t="s">
        <v>1210</v>
      </c>
      <c r="F700" s="99" t="s">
        <v>1213</v>
      </c>
    </row>
    <row r="701" spans="1:6" x14ac:dyDescent="0.25">
      <c r="A701" t="s">
        <v>1190</v>
      </c>
      <c r="B701">
        <v>21</v>
      </c>
      <c r="C701" t="s">
        <v>1290</v>
      </c>
      <c r="D701" t="s">
        <v>1206</v>
      </c>
      <c r="E701" t="s">
        <v>1210</v>
      </c>
      <c r="F701" s="99" t="s">
        <v>1213</v>
      </c>
    </row>
    <row r="702" spans="1:6" x14ac:dyDescent="0.25">
      <c r="A702" t="s">
        <v>304</v>
      </c>
      <c r="B702">
        <v>21</v>
      </c>
      <c r="C702" t="s">
        <v>1290</v>
      </c>
      <c r="D702" t="s">
        <v>1206</v>
      </c>
      <c r="E702" t="s">
        <v>1217</v>
      </c>
      <c r="F702" s="99" t="s">
        <v>1213</v>
      </c>
    </row>
    <row r="703" spans="1:6" x14ac:dyDescent="0.25">
      <c r="A703" t="s">
        <v>966</v>
      </c>
      <c r="B703">
        <v>21</v>
      </c>
      <c r="C703" t="s">
        <v>1290</v>
      </c>
      <c r="D703" t="s">
        <v>1206</v>
      </c>
      <c r="E703" t="s">
        <v>1215</v>
      </c>
      <c r="F703" s="99" t="s">
        <v>1213</v>
      </c>
    </row>
    <row r="704" spans="1:6" x14ac:dyDescent="0.25">
      <c r="A704" t="s">
        <v>246</v>
      </c>
      <c r="B704">
        <v>21</v>
      </c>
      <c r="C704" t="s">
        <v>1290</v>
      </c>
      <c r="D704" t="s">
        <v>1218</v>
      </c>
      <c r="E704" t="s">
        <v>1210</v>
      </c>
      <c r="F704" s="99" t="s">
        <v>1213</v>
      </c>
    </row>
    <row r="705" spans="1:6" x14ac:dyDescent="0.25">
      <c r="A705" t="s">
        <v>780</v>
      </c>
      <c r="B705">
        <v>21</v>
      </c>
      <c r="C705" t="s">
        <v>1290</v>
      </c>
      <c r="D705" t="s">
        <v>1219</v>
      </c>
      <c r="E705" t="s">
        <v>1217</v>
      </c>
      <c r="F705" s="99" t="s">
        <v>1213</v>
      </c>
    </row>
    <row r="706" spans="1:6" x14ac:dyDescent="0.25">
      <c r="A706" t="s">
        <v>815</v>
      </c>
      <c r="B706">
        <v>21</v>
      </c>
      <c r="C706" t="s">
        <v>1290</v>
      </c>
      <c r="D706" t="s">
        <v>1220</v>
      </c>
      <c r="E706" t="s">
        <v>1217</v>
      </c>
      <c r="F706" s="99" t="s">
        <v>1213</v>
      </c>
    </row>
    <row r="707" spans="1:6" x14ac:dyDescent="0.25">
      <c r="A707" t="s">
        <v>1194</v>
      </c>
      <c r="B707">
        <v>21</v>
      </c>
      <c r="C707" t="s">
        <v>1290</v>
      </c>
      <c r="D707" t="s">
        <v>1206</v>
      </c>
      <c r="E707" t="s">
        <v>1217</v>
      </c>
      <c r="F707" s="99" t="s">
        <v>1213</v>
      </c>
    </row>
    <row r="708" spans="1:6" x14ac:dyDescent="0.25">
      <c r="A708" t="s">
        <v>421</v>
      </c>
      <c r="B708">
        <v>21</v>
      </c>
      <c r="C708" t="s">
        <v>1290</v>
      </c>
      <c r="D708" t="s">
        <v>1220</v>
      </c>
      <c r="E708" t="s">
        <v>1217</v>
      </c>
      <c r="F708" s="99" t="s">
        <v>1213</v>
      </c>
    </row>
    <row r="709" spans="1:6" x14ac:dyDescent="0.25">
      <c r="A709" t="s">
        <v>144</v>
      </c>
      <c r="B709">
        <v>21</v>
      </c>
      <c r="C709" t="s">
        <v>1290</v>
      </c>
      <c r="D709" t="s">
        <v>1220</v>
      </c>
      <c r="E709" t="s">
        <v>1217</v>
      </c>
      <c r="F709" s="99" t="s">
        <v>1213</v>
      </c>
    </row>
    <row r="710" spans="1:6" x14ac:dyDescent="0.25">
      <c r="A710" t="s">
        <v>385</v>
      </c>
      <c r="B710">
        <v>21</v>
      </c>
      <c r="C710" t="s">
        <v>1290</v>
      </c>
      <c r="D710" t="s">
        <v>1220</v>
      </c>
      <c r="E710" t="s">
        <v>1217</v>
      </c>
      <c r="F710" s="99" t="s">
        <v>1213</v>
      </c>
    </row>
    <row r="711" spans="1:6" x14ac:dyDescent="0.25">
      <c r="A711" t="s">
        <v>77</v>
      </c>
      <c r="B711">
        <v>21</v>
      </c>
      <c r="C711" t="s">
        <v>1290</v>
      </c>
      <c r="D711" t="s">
        <v>1218</v>
      </c>
      <c r="E711" t="s">
        <v>1210</v>
      </c>
      <c r="F711" s="99" t="s">
        <v>1213</v>
      </c>
    </row>
    <row r="712" spans="1:6" x14ac:dyDescent="0.25">
      <c r="A712" t="s">
        <v>314</v>
      </c>
      <c r="B712">
        <v>21</v>
      </c>
      <c r="C712" t="s">
        <v>1290</v>
      </c>
      <c r="D712" t="s">
        <v>1219</v>
      </c>
      <c r="E712" t="s">
        <v>1207</v>
      </c>
      <c r="F712" s="99" t="s">
        <v>1213</v>
      </c>
    </row>
    <row r="713" spans="1:6" x14ac:dyDescent="0.25">
      <c r="A713" t="s">
        <v>724</v>
      </c>
      <c r="B713">
        <v>21</v>
      </c>
      <c r="C713" t="s">
        <v>1290</v>
      </c>
      <c r="D713" t="s">
        <v>1206</v>
      </c>
      <c r="E713" t="s">
        <v>1210</v>
      </c>
      <c r="F713" s="99" t="s">
        <v>1213</v>
      </c>
    </row>
    <row r="714" spans="1:6" x14ac:dyDescent="0.25">
      <c r="A714" t="s">
        <v>73</v>
      </c>
      <c r="B714">
        <v>21</v>
      </c>
      <c r="C714" t="s">
        <v>1290</v>
      </c>
      <c r="D714" t="s">
        <v>1206</v>
      </c>
      <c r="E714" t="s">
        <v>1217</v>
      </c>
      <c r="F714" s="99" t="s">
        <v>1213</v>
      </c>
    </row>
    <row r="715" spans="1:6" x14ac:dyDescent="0.25">
      <c r="A715" t="s">
        <v>1090</v>
      </c>
      <c r="B715">
        <v>21</v>
      </c>
      <c r="C715" t="s">
        <v>1290</v>
      </c>
      <c r="D715" t="s">
        <v>1206</v>
      </c>
      <c r="E715" t="s">
        <v>1210</v>
      </c>
      <c r="F715" s="99" t="s">
        <v>1213</v>
      </c>
    </row>
    <row r="716" spans="1:6" x14ac:dyDescent="0.25">
      <c r="A716" t="s">
        <v>757</v>
      </c>
      <c r="B716">
        <v>21</v>
      </c>
      <c r="C716" t="s">
        <v>1290</v>
      </c>
      <c r="D716" t="s">
        <v>1206</v>
      </c>
      <c r="E716" t="s">
        <v>1210</v>
      </c>
      <c r="F716" s="99" t="s">
        <v>1213</v>
      </c>
    </row>
    <row r="717" spans="1:6" x14ac:dyDescent="0.25">
      <c r="A717" t="s">
        <v>155</v>
      </c>
      <c r="B717">
        <v>21</v>
      </c>
      <c r="C717" t="s">
        <v>1290</v>
      </c>
      <c r="D717" t="s">
        <v>1206</v>
      </c>
      <c r="E717" t="s">
        <v>1207</v>
      </c>
      <c r="F717" s="99" t="s">
        <v>1213</v>
      </c>
    </row>
    <row r="718" spans="1:6" x14ac:dyDescent="0.25">
      <c r="A718" t="s">
        <v>528</v>
      </c>
      <c r="B718">
        <v>21</v>
      </c>
      <c r="C718" t="s">
        <v>1290</v>
      </c>
      <c r="D718" t="s">
        <v>1206</v>
      </c>
      <c r="E718" t="s">
        <v>1207</v>
      </c>
      <c r="F718" s="99" t="s">
        <v>1213</v>
      </c>
    </row>
    <row r="719" spans="1:6" x14ac:dyDescent="0.25">
      <c r="A719" t="s">
        <v>173</v>
      </c>
      <c r="B719">
        <v>21</v>
      </c>
      <c r="C719" t="s">
        <v>1290</v>
      </c>
      <c r="D719" t="s">
        <v>1219</v>
      </c>
      <c r="E719" t="s">
        <v>1217</v>
      </c>
      <c r="F719" s="99" t="s">
        <v>1213</v>
      </c>
    </row>
    <row r="720" spans="1:6" x14ac:dyDescent="0.25">
      <c r="A720" t="s">
        <v>970</v>
      </c>
      <c r="B720">
        <v>21</v>
      </c>
      <c r="C720" t="s">
        <v>1290</v>
      </c>
      <c r="D720" t="s">
        <v>1206</v>
      </c>
      <c r="E720" t="s">
        <v>1210</v>
      </c>
      <c r="F720" s="99" t="s">
        <v>1213</v>
      </c>
    </row>
    <row r="721" spans="1:6" x14ac:dyDescent="0.25">
      <c r="A721" t="s">
        <v>648</v>
      </c>
      <c r="B721">
        <v>21</v>
      </c>
      <c r="C721" t="s">
        <v>1290</v>
      </c>
      <c r="D721" t="s">
        <v>1220</v>
      </c>
      <c r="E721" t="s">
        <v>1217</v>
      </c>
      <c r="F721" s="99" t="s">
        <v>1213</v>
      </c>
    </row>
    <row r="722" spans="1:6" x14ac:dyDescent="0.25">
      <c r="A722" t="s">
        <v>943</v>
      </c>
      <c r="B722">
        <v>21</v>
      </c>
      <c r="C722" t="s">
        <v>1290</v>
      </c>
      <c r="D722" t="s">
        <v>1206</v>
      </c>
      <c r="E722" t="s">
        <v>1215</v>
      </c>
      <c r="F722" s="99" t="s">
        <v>1213</v>
      </c>
    </row>
    <row r="723" spans="1:6" x14ac:dyDescent="0.25">
      <c r="A723" t="s">
        <v>510</v>
      </c>
      <c r="B723">
        <v>21</v>
      </c>
      <c r="C723" t="s">
        <v>1290</v>
      </c>
      <c r="D723" t="s">
        <v>1220</v>
      </c>
      <c r="E723" t="s">
        <v>1217</v>
      </c>
      <c r="F723" s="99" t="s">
        <v>1213</v>
      </c>
    </row>
    <row r="724" spans="1:6" x14ac:dyDescent="0.25">
      <c r="A724" t="s">
        <v>1081</v>
      </c>
      <c r="B724">
        <v>21</v>
      </c>
      <c r="C724" t="s">
        <v>1290</v>
      </c>
      <c r="D724" t="s">
        <v>1206</v>
      </c>
      <c r="E724" t="s">
        <v>1207</v>
      </c>
      <c r="F724" s="99" t="s">
        <v>1213</v>
      </c>
    </row>
    <row r="725" spans="1:6" x14ac:dyDescent="0.25">
      <c r="A725" t="s">
        <v>1079</v>
      </c>
      <c r="B725">
        <v>21</v>
      </c>
      <c r="C725" t="s">
        <v>1290</v>
      </c>
      <c r="D725" t="s">
        <v>1206</v>
      </c>
      <c r="E725" t="s">
        <v>1210</v>
      </c>
      <c r="F725" s="99" t="s">
        <v>1213</v>
      </c>
    </row>
    <row r="726" spans="1:6" x14ac:dyDescent="0.25">
      <c r="A726" t="s">
        <v>860</v>
      </c>
      <c r="B726">
        <v>21</v>
      </c>
      <c r="C726" t="s">
        <v>1290</v>
      </c>
      <c r="D726" t="s">
        <v>1206</v>
      </c>
      <c r="E726" t="s">
        <v>1210</v>
      </c>
      <c r="F726" s="99" t="s">
        <v>1213</v>
      </c>
    </row>
    <row r="727" spans="1:6" x14ac:dyDescent="0.25">
      <c r="A727" t="s">
        <v>124</v>
      </c>
      <c r="B727">
        <v>21</v>
      </c>
      <c r="C727" t="s">
        <v>1290</v>
      </c>
      <c r="D727" t="s">
        <v>1206</v>
      </c>
      <c r="E727" t="s">
        <v>1210</v>
      </c>
      <c r="F727" s="99" t="s">
        <v>1213</v>
      </c>
    </row>
    <row r="728" spans="1:6" x14ac:dyDescent="0.25">
      <c r="A728" t="s">
        <v>910</v>
      </c>
      <c r="B728">
        <v>21</v>
      </c>
      <c r="C728" t="s">
        <v>1290</v>
      </c>
      <c r="D728" t="s">
        <v>1206</v>
      </c>
      <c r="E728" t="s">
        <v>1210</v>
      </c>
      <c r="F728" s="99" t="s">
        <v>1213</v>
      </c>
    </row>
    <row r="729" spans="1:6" x14ac:dyDescent="0.25">
      <c r="A729" t="s">
        <v>301</v>
      </c>
      <c r="B729">
        <v>21</v>
      </c>
      <c r="C729" t="s">
        <v>1290</v>
      </c>
      <c r="D729" t="s">
        <v>1219</v>
      </c>
      <c r="E729" t="s">
        <v>1210</v>
      </c>
      <c r="F729" s="99" t="s">
        <v>1213</v>
      </c>
    </row>
    <row r="730" spans="1:6" x14ac:dyDescent="0.25">
      <c r="A730" t="s">
        <v>997</v>
      </c>
      <c r="B730">
        <v>21</v>
      </c>
      <c r="C730" t="s">
        <v>1290</v>
      </c>
      <c r="D730" t="s">
        <v>1206</v>
      </c>
      <c r="E730" t="s">
        <v>1217</v>
      </c>
      <c r="F730" s="99" t="s">
        <v>1213</v>
      </c>
    </row>
    <row r="731" spans="1:6" x14ac:dyDescent="0.25">
      <c r="A731" t="s">
        <v>927</v>
      </c>
      <c r="B731">
        <v>21</v>
      </c>
      <c r="C731" t="s">
        <v>1290</v>
      </c>
      <c r="D731" t="s">
        <v>1206</v>
      </c>
      <c r="E731" t="s">
        <v>1217</v>
      </c>
      <c r="F731" s="99" t="s">
        <v>1213</v>
      </c>
    </row>
    <row r="732" spans="1:6" x14ac:dyDescent="0.25">
      <c r="A732" t="s">
        <v>468</v>
      </c>
      <c r="B732">
        <v>21</v>
      </c>
      <c r="C732" t="s">
        <v>1290</v>
      </c>
      <c r="D732" t="s">
        <v>1219</v>
      </c>
      <c r="E732" t="s">
        <v>1207</v>
      </c>
      <c r="F732" s="99" t="s">
        <v>1213</v>
      </c>
    </row>
    <row r="733" spans="1:6" x14ac:dyDescent="0.25">
      <c r="A733" t="s">
        <v>556</v>
      </c>
      <c r="B733">
        <v>21</v>
      </c>
      <c r="C733" t="s">
        <v>1290</v>
      </c>
      <c r="D733" t="s">
        <v>1206</v>
      </c>
      <c r="E733" t="s">
        <v>1217</v>
      </c>
      <c r="F733" s="99" t="s">
        <v>1213</v>
      </c>
    </row>
    <row r="734" spans="1:6" x14ac:dyDescent="0.25">
      <c r="A734" t="s">
        <v>624</v>
      </c>
      <c r="B734">
        <v>21</v>
      </c>
      <c r="C734" t="s">
        <v>1290</v>
      </c>
      <c r="D734" t="s">
        <v>1206</v>
      </c>
      <c r="E734" t="s">
        <v>1217</v>
      </c>
      <c r="F734" s="99" t="s">
        <v>1213</v>
      </c>
    </row>
    <row r="735" spans="1:6" x14ac:dyDescent="0.25">
      <c r="A735" t="s">
        <v>310</v>
      </c>
      <c r="B735">
        <v>21</v>
      </c>
      <c r="C735" t="s">
        <v>1290</v>
      </c>
      <c r="D735" t="s">
        <v>1220</v>
      </c>
      <c r="E735" t="s">
        <v>1210</v>
      </c>
      <c r="F735" s="99" t="s">
        <v>1213</v>
      </c>
    </row>
    <row r="736" spans="1:6" x14ac:dyDescent="0.25">
      <c r="A736" t="s">
        <v>926</v>
      </c>
      <c r="B736">
        <v>21</v>
      </c>
      <c r="C736" t="s">
        <v>1290</v>
      </c>
      <c r="D736" t="s">
        <v>1206</v>
      </c>
      <c r="E736" t="s">
        <v>1210</v>
      </c>
      <c r="F736" s="99" t="s">
        <v>1213</v>
      </c>
    </row>
    <row r="737" spans="1:6" x14ac:dyDescent="0.25">
      <c r="A737" t="s">
        <v>254</v>
      </c>
      <c r="B737">
        <v>21</v>
      </c>
      <c r="C737" t="s">
        <v>1290</v>
      </c>
      <c r="D737" t="s">
        <v>1219</v>
      </c>
      <c r="E737" t="s">
        <v>1210</v>
      </c>
      <c r="F737" s="99" t="s">
        <v>1213</v>
      </c>
    </row>
    <row r="738" spans="1:6" x14ac:dyDescent="0.25">
      <c r="A738" t="s">
        <v>981</v>
      </c>
      <c r="B738">
        <v>21</v>
      </c>
      <c r="C738" t="s">
        <v>1290</v>
      </c>
      <c r="D738" t="s">
        <v>1206</v>
      </c>
      <c r="E738" t="s">
        <v>1210</v>
      </c>
      <c r="F738" s="99" t="s">
        <v>1213</v>
      </c>
    </row>
    <row r="739" spans="1:6" x14ac:dyDescent="0.25">
      <c r="A739" t="s">
        <v>737</v>
      </c>
      <c r="B739">
        <v>21</v>
      </c>
      <c r="C739" t="s">
        <v>1290</v>
      </c>
      <c r="D739" t="s">
        <v>1206</v>
      </c>
      <c r="E739" t="s">
        <v>1210</v>
      </c>
      <c r="F739" s="99" t="s">
        <v>1213</v>
      </c>
    </row>
    <row r="740" spans="1:6" x14ac:dyDescent="0.25">
      <c r="A740" t="s">
        <v>930</v>
      </c>
      <c r="B740">
        <v>21</v>
      </c>
      <c r="C740" t="s">
        <v>1290</v>
      </c>
      <c r="D740" t="s">
        <v>1206</v>
      </c>
      <c r="E740" t="s">
        <v>1217</v>
      </c>
      <c r="F740" s="99" t="s">
        <v>1213</v>
      </c>
    </row>
    <row r="741" spans="1:6" x14ac:dyDescent="0.25">
      <c r="A741" t="s">
        <v>1033</v>
      </c>
      <c r="B741">
        <v>21</v>
      </c>
      <c r="C741" t="s">
        <v>1290</v>
      </c>
      <c r="D741" t="s">
        <v>1206</v>
      </c>
      <c r="E741" t="s">
        <v>1210</v>
      </c>
      <c r="F741" s="99" t="s">
        <v>1213</v>
      </c>
    </row>
    <row r="742" spans="1:6" x14ac:dyDescent="0.25">
      <c r="A742" t="s">
        <v>392</v>
      </c>
      <c r="B742">
        <v>21</v>
      </c>
      <c r="C742" t="s">
        <v>1290</v>
      </c>
      <c r="D742" t="s">
        <v>1220</v>
      </c>
      <c r="E742" t="s">
        <v>1210</v>
      </c>
      <c r="F742" s="99" t="s">
        <v>1213</v>
      </c>
    </row>
    <row r="743" spans="1:6" x14ac:dyDescent="0.25">
      <c r="A743" t="s">
        <v>363</v>
      </c>
      <c r="B743">
        <v>21</v>
      </c>
      <c r="C743" t="s">
        <v>1290</v>
      </c>
      <c r="D743" t="s">
        <v>1206</v>
      </c>
      <c r="E743" t="s">
        <v>1210</v>
      </c>
      <c r="F743" s="99" t="s">
        <v>1213</v>
      </c>
    </row>
    <row r="744" spans="1:6" x14ac:dyDescent="0.25">
      <c r="A744" t="s">
        <v>917</v>
      </c>
      <c r="B744">
        <v>21</v>
      </c>
      <c r="C744" t="s">
        <v>1290</v>
      </c>
      <c r="D744" t="s">
        <v>1206</v>
      </c>
      <c r="E744" t="s">
        <v>1207</v>
      </c>
      <c r="F744" s="99" t="s">
        <v>1213</v>
      </c>
    </row>
    <row r="745" spans="1:6" x14ac:dyDescent="0.25">
      <c r="A745" t="s">
        <v>559</v>
      </c>
      <c r="B745">
        <v>21</v>
      </c>
      <c r="C745" t="s">
        <v>1290</v>
      </c>
      <c r="D745" t="s">
        <v>1206</v>
      </c>
      <c r="E745" t="s">
        <v>1207</v>
      </c>
      <c r="F745" s="99" t="s">
        <v>1213</v>
      </c>
    </row>
    <row r="746" spans="1:6" x14ac:dyDescent="0.25">
      <c r="A746" t="s">
        <v>83</v>
      </c>
      <c r="B746">
        <v>21</v>
      </c>
      <c r="C746" t="s">
        <v>1290</v>
      </c>
      <c r="D746" t="s">
        <v>1220</v>
      </c>
      <c r="E746" t="s">
        <v>1217</v>
      </c>
      <c r="F746" s="99" t="s">
        <v>1213</v>
      </c>
    </row>
    <row r="747" spans="1:6" x14ac:dyDescent="0.25">
      <c r="A747" t="s">
        <v>382</v>
      </c>
      <c r="B747">
        <v>21</v>
      </c>
      <c r="C747" t="s">
        <v>1290</v>
      </c>
      <c r="D747" t="s">
        <v>1220</v>
      </c>
      <c r="E747" t="s">
        <v>1210</v>
      </c>
      <c r="F747" s="99" t="s">
        <v>1213</v>
      </c>
    </row>
    <row r="748" spans="1:6" x14ac:dyDescent="0.25">
      <c r="A748" t="s">
        <v>581</v>
      </c>
      <c r="B748">
        <v>21</v>
      </c>
      <c r="C748" t="s">
        <v>1290</v>
      </c>
      <c r="D748" t="s">
        <v>1220</v>
      </c>
      <c r="E748" t="s">
        <v>1210</v>
      </c>
      <c r="F748" s="99" t="s">
        <v>1213</v>
      </c>
    </row>
    <row r="749" spans="1:6" x14ac:dyDescent="0.25">
      <c r="A749" t="s">
        <v>1011</v>
      </c>
      <c r="B749">
        <v>21</v>
      </c>
      <c r="C749" t="s">
        <v>1290</v>
      </c>
      <c r="D749" t="s">
        <v>1206</v>
      </c>
      <c r="E749" t="s">
        <v>1210</v>
      </c>
      <c r="F749" s="99" t="s">
        <v>1213</v>
      </c>
    </row>
    <row r="750" spans="1:6" x14ac:dyDescent="0.25">
      <c r="A750" t="s">
        <v>1076</v>
      </c>
      <c r="B750">
        <v>21</v>
      </c>
      <c r="C750" t="s">
        <v>1290</v>
      </c>
      <c r="D750" t="s">
        <v>1206</v>
      </c>
      <c r="E750" t="s">
        <v>1217</v>
      </c>
      <c r="F750" s="99" t="s">
        <v>1213</v>
      </c>
    </row>
    <row r="751" spans="1:6" x14ac:dyDescent="0.25">
      <c r="A751" t="s">
        <v>523</v>
      </c>
      <c r="B751">
        <v>21</v>
      </c>
      <c r="C751" t="s">
        <v>1290</v>
      </c>
      <c r="D751" t="s">
        <v>1206</v>
      </c>
      <c r="E751" t="s">
        <v>1217</v>
      </c>
      <c r="F751" s="99" t="s">
        <v>1213</v>
      </c>
    </row>
    <row r="752" spans="1:6" x14ac:dyDescent="0.25">
      <c r="A752" t="s">
        <v>1072</v>
      </c>
      <c r="B752">
        <v>21</v>
      </c>
      <c r="C752" t="s">
        <v>1290</v>
      </c>
      <c r="D752" t="s">
        <v>1206</v>
      </c>
      <c r="E752" t="s">
        <v>1210</v>
      </c>
      <c r="F752" s="99" t="s">
        <v>1213</v>
      </c>
    </row>
    <row r="753" spans="1:6" x14ac:dyDescent="0.25">
      <c r="A753" t="s">
        <v>857</v>
      </c>
      <c r="B753">
        <v>21</v>
      </c>
      <c r="C753" t="s">
        <v>1290</v>
      </c>
      <c r="D753" t="s">
        <v>1206</v>
      </c>
      <c r="E753" t="s">
        <v>1210</v>
      </c>
      <c r="F753" s="99" t="s">
        <v>1213</v>
      </c>
    </row>
    <row r="754" spans="1:6" x14ac:dyDescent="0.25">
      <c r="A754" t="s">
        <v>332</v>
      </c>
      <c r="B754">
        <v>21</v>
      </c>
      <c r="C754" t="s">
        <v>1290</v>
      </c>
      <c r="D754" t="s">
        <v>1206</v>
      </c>
      <c r="E754" t="s">
        <v>1210</v>
      </c>
      <c r="F754" s="99" t="s">
        <v>1213</v>
      </c>
    </row>
    <row r="755" spans="1:6" x14ac:dyDescent="0.25">
      <c r="A755" t="s">
        <v>714</v>
      </c>
      <c r="B755">
        <v>21</v>
      </c>
      <c r="C755" t="s">
        <v>1290</v>
      </c>
      <c r="D755" t="s">
        <v>1206</v>
      </c>
      <c r="E755" t="s">
        <v>1210</v>
      </c>
      <c r="F755" s="99" t="s">
        <v>1213</v>
      </c>
    </row>
    <row r="756" spans="1:6" x14ac:dyDescent="0.25">
      <c r="A756" t="s">
        <v>945</v>
      </c>
      <c r="B756">
        <v>21</v>
      </c>
      <c r="C756" t="s">
        <v>1290</v>
      </c>
      <c r="D756" t="s">
        <v>1206</v>
      </c>
      <c r="E756" t="s">
        <v>1210</v>
      </c>
      <c r="F756" s="99" t="s">
        <v>1213</v>
      </c>
    </row>
    <row r="757" spans="1:6" x14ac:dyDescent="0.25">
      <c r="A757" t="s">
        <v>109</v>
      </c>
      <c r="B757">
        <v>21</v>
      </c>
      <c r="C757" t="s">
        <v>1290</v>
      </c>
      <c r="D757" t="s">
        <v>1206</v>
      </c>
      <c r="E757" t="s">
        <v>1215</v>
      </c>
      <c r="F757" s="99" t="s">
        <v>1213</v>
      </c>
    </row>
    <row r="758" spans="1:6" x14ac:dyDescent="0.25">
      <c r="A758" t="s">
        <v>630</v>
      </c>
      <c r="B758">
        <v>21</v>
      </c>
      <c r="C758" t="s">
        <v>1290</v>
      </c>
      <c r="D758" t="s">
        <v>1206</v>
      </c>
      <c r="E758" t="s">
        <v>1207</v>
      </c>
      <c r="F758" s="99" t="s">
        <v>1213</v>
      </c>
    </row>
    <row r="759" spans="1:6" x14ac:dyDescent="0.25">
      <c r="A759" t="s">
        <v>252</v>
      </c>
      <c r="B759">
        <v>21</v>
      </c>
      <c r="C759" t="s">
        <v>1290</v>
      </c>
      <c r="D759" t="s">
        <v>1219</v>
      </c>
      <c r="E759" t="s">
        <v>1210</v>
      </c>
      <c r="F759" s="99" t="s">
        <v>1213</v>
      </c>
    </row>
    <row r="760" spans="1:6" x14ac:dyDescent="0.25">
      <c r="A760" t="s">
        <v>1170</v>
      </c>
      <c r="B760">
        <v>21</v>
      </c>
      <c r="C760" t="s">
        <v>1290</v>
      </c>
      <c r="D760" t="s">
        <v>1206</v>
      </c>
      <c r="E760" t="s">
        <v>1207</v>
      </c>
      <c r="F760" s="99" t="s">
        <v>1213</v>
      </c>
    </row>
    <row r="761" spans="1:6" x14ac:dyDescent="0.25">
      <c r="A761" t="s">
        <v>710</v>
      </c>
      <c r="B761">
        <v>21</v>
      </c>
      <c r="C761" t="s">
        <v>1290</v>
      </c>
      <c r="D761" t="s">
        <v>1206</v>
      </c>
      <c r="E761" t="s">
        <v>1210</v>
      </c>
      <c r="F761" s="99" t="s">
        <v>1213</v>
      </c>
    </row>
    <row r="762" spans="1:6" x14ac:dyDescent="0.25">
      <c r="A762" t="s">
        <v>1181</v>
      </c>
      <c r="B762">
        <v>21</v>
      </c>
      <c r="C762" t="s">
        <v>1290</v>
      </c>
      <c r="D762" t="s">
        <v>1206</v>
      </c>
      <c r="E762" t="s">
        <v>1207</v>
      </c>
      <c r="F762" s="99" t="s">
        <v>1213</v>
      </c>
    </row>
    <row r="763" spans="1:6" x14ac:dyDescent="0.25">
      <c r="A763" t="s">
        <v>1069</v>
      </c>
      <c r="B763">
        <v>21</v>
      </c>
      <c r="C763" t="s">
        <v>1290</v>
      </c>
      <c r="D763" t="s">
        <v>1206</v>
      </c>
      <c r="E763" t="s">
        <v>1210</v>
      </c>
      <c r="F763" s="99" t="s">
        <v>1213</v>
      </c>
    </row>
    <row r="764" spans="1:6" x14ac:dyDescent="0.25">
      <c r="A764" t="s">
        <v>799</v>
      </c>
      <c r="B764">
        <v>21</v>
      </c>
      <c r="C764" t="s">
        <v>1290</v>
      </c>
      <c r="D764" t="s">
        <v>1219</v>
      </c>
      <c r="E764" t="s">
        <v>1210</v>
      </c>
      <c r="F764" s="99" t="s">
        <v>1213</v>
      </c>
    </row>
    <row r="765" spans="1:6" x14ac:dyDescent="0.25">
      <c r="A765" t="s">
        <v>67</v>
      </c>
      <c r="B765">
        <v>21</v>
      </c>
      <c r="C765" t="s">
        <v>1290</v>
      </c>
      <c r="D765" t="s">
        <v>1206</v>
      </c>
      <c r="E765" t="s">
        <v>1215</v>
      </c>
      <c r="F765" s="99" t="s">
        <v>1213</v>
      </c>
    </row>
    <row r="766" spans="1:6" x14ac:dyDescent="0.25">
      <c r="A766" t="s">
        <v>712</v>
      </c>
      <c r="B766">
        <v>21</v>
      </c>
      <c r="C766" t="s">
        <v>1290</v>
      </c>
      <c r="D766" t="s">
        <v>1206</v>
      </c>
      <c r="E766" t="s">
        <v>1215</v>
      </c>
      <c r="F766" s="99" t="s">
        <v>1213</v>
      </c>
    </row>
    <row r="767" spans="1:6" x14ac:dyDescent="0.25">
      <c r="A767" t="s">
        <v>796</v>
      </c>
      <c r="B767">
        <v>21</v>
      </c>
      <c r="C767" t="s">
        <v>1290</v>
      </c>
      <c r="D767" t="s">
        <v>1206</v>
      </c>
      <c r="E767" t="s">
        <v>1217</v>
      </c>
      <c r="F767" s="99" t="s">
        <v>1213</v>
      </c>
    </row>
    <row r="768" spans="1:6" x14ac:dyDescent="0.25">
      <c r="A768" t="s">
        <v>818</v>
      </c>
      <c r="B768">
        <v>21</v>
      </c>
      <c r="C768" t="s">
        <v>1290</v>
      </c>
      <c r="D768" t="s">
        <v>1206</v>
      </c>
      <c r="E768" t="s">
        <v>1207</v>
      </c>
      <c r="F768" s="99" t="s">
        <v>1213</v>
      </c>
    </row>
    <row r="769" spans="1:6" x14ac:dyDescent="0.25">
      <c r="A769" t="s">
        <v>358</v>
      </c>
      <c r="B769">
        <v>21</v>
      </c>
      <c r="C769" t="s">
        <v>1290</v>
      </c>
      <c r="D769" t="s">
        <v>1220</v>
      </c>
      <c r="E769" t="s">
        <v>1210</v>
      </c>
      <c r="F769" s="99" t="s">
        <v>1213</v>
      </c>
    </row>
    <row r="770" spans="1:6" x14ac:dyDescent="0.25">
      <c r="A770" t="s">
        <v>982</v>
      </c>
      <c r="B770">
        <v>21</v>
      </c>
      <c r="C770" t="s">
        <v>1290</v>
      </c>
      <c r="D770" t="s">
        <v>1206</v>
      </c>
      <c r="E770" t="s">
        <v>1210</v>
      </c>
      <c r="F770" s="99" t="s">
        <v>1213</v>
      </c>
    </row>
    <row r="771" spans="1:6" x14ac:dyDescent="0.25">
      <c r="A771" t="s">
        <v>72</v>
      </c>
      <c r="B771">
        <v>21</v>
      </c>
      <c r="C771" t="s">
        <v>1290</v>
      </c>
      <c r="D771" t="s">
        <v>1206</v>
      </c>
      <c r="E771" t="s">
        <v>1215</v>
      </c>
      <c r="F771" s="99" t="s">
        <v>1213</v>
      </c>
    </row>
    <row r="772" spans="1:6" x14ac:dyDescent="0.25">
      <c r="A772" t="s">
        <v>839</v>
      </c>
      <c r="B772">
        <v>21</v>
      </c>
      <c r="C772" t="s">
        <v>1290</v>
      </c>
      <c r="D772" t="s">
        <v>1206</v>
      </c>
      <c r="E772" t="s">
        <v>1210</v>
      </c>
      <c r="F772" s="99" t="s">
        <v>1213</v>
      </c>
    </row>
    <row r="773" spans="1:6" x14ac:dyDescent="0.25">
      <c r="A773" t="s">
        <v>973</v>
      </c>
      <c r="B773">
        <v>21</v>
      </c>
      <c r="C773" t="s">
        <v>1290</v>
      </c>
      <c r="D773" t="s">
        <v>1206</v>
      </c>
      <c r="E773" t="s">
        <v>1210</v>
      </c>
      <c r="F773" s="99" t="s">
        <v>1213</v>
      </c>
    </row>
    <row r="774" spans="1:6" x14ac:dyDescent="0.25">
      <c r="A774" t="s">
        <v>987</v>
      </c>
      <c r="B774">
        <v>21</v>
      </c>
      <c r="C774" t="s">
        <v>1290</v>
      </c>
      <c r="D774" t="s">
        <v>1206</v>
      </c>
      <c r="E774" t="s">
        <v>1210</v>
      </c>
      <c r="F774" s="99" t="s">
        <v>1213</v>
      </c>
    </row>
    <row r="775" spans="1:6" x14ac:dyDescent="0.25">
      <c r="A775" t="s">
        <v>1177</v>
      </c>
      <c r="B775">
        <v>21</v>
      </c>
      <c r="C775" t="s">
        <v>1290</v>
      </c>
      <c r="D775" t="s">
        <v>1206</v>
      </c>
      <c r="E775" t="s">
        <v>1207</v>
      </c>
      <c r="F775" s="99" t="s">
        <v>1213</v>
      </c>
    </row>
    <row r="776" spans="1:6" x14ac:dyDescent="0.25">
      <c r="A776" t="s">
        <v>368</v>
      </c>
      <c r="B776">
        <v>21</v>
      </c>
      <c r="C776" t="s">
        <v>1290</v>
      </c>
      <c r="D776" t="s">
        <v>1220</v>
      </c>
      <c r="E776" t="s">
        <v>1210</v>
      </c>
      <c r="F776" s="99" t="s">
        <v>1213</v>
      </c>
    </row>
    <row r="777" spans="1:6" x14ac:dyDescent="0.25">
      <c r="A777" t="s">
        <v>1116</v>
      </c>
      <c r="B777">
        <v>21</v>
      </c>
      <c r="C777" t="s">
        <v>1290</v>
      </c>
      <c r="D777" t="s">
        <v>1206</v>
      </c>
      <c r="E777" t="s">
        <v>1207</v>
      </c>
      <c r="F777" s="99" t="s">
        <v>1213</v>
      </c>
    </row>
    <row r="778" spans="1:6" x14ac:dyDescent="0.25">
      <c r="A778" t="s">
        <v>804</v>
      </c>
      <c r="B778">
        <v>21</v>
      </c>
      <c r="C778" t="s">
        <v>1290</v>
      </c>
      <c r="D778" t="s">
        <v>1220</v>
      </c>
      <c r="E778" t="s">
        <v>1217</v>
      </c>
      <c r="F778" s="99" t="s">
        <v>1213</v>
      </c>
    </row>
    <row r="779" spans="1:6" x14ac:dyDescent="0.25">
      <c r="A779" t="s">
        <v>1064</v>
      </c>
      <c r="B779">
        <v>21</v>
      </c>
      <c r="C779" t="s">
        <v>1290</v>
      </c>
      <c r="D779" t="s">
        <v>1206</v>
      </c>
      <c r="E779" t="s">
        <v>1210</v>
      </c>
      <c r="F779" s="99" t="s">
        <v>1213</v>
      </c>
    </row>
    <row r="780" spans="1:6" x14ac:dyDescent="0.25">
      <c r="A780" t="s">
        <v>924</v>
      </c>
      <c r="B780">
        <v>21</v>
      </c>
      <c r="C780" t="s">
        <v>1290</v>
      </c>
      <c r="D780" t="s">
        <v>1206</v>
      </c>
      <c r="E780" t="s">
        <v>1207</v>
      </c>
      <c r="F780" s="99" t="s">
        <v>1213</v>
      </c>
    </row>
    <row r="781" spans="1:6" x14ac:dyDescent="0.25">
      <c r="A781" t="s">
        <v>81</v>
      </c>
      <c r="B781">
        <v>21</v>
      </c>
      <c r="C781" t="s">
        <v>1290</v>
      </c>
      <c r="D781" t="s">
        <v>1220</v>
      </c>
      <c r="E781" t="s">
        <v>1217</v>
      </c>
      <c r="F781" s="99" t="s">
        <v>1213</v>
      </c>
    </row>
    <row r="782" spans="1:6" x14ac:dyDescent="0.25">
      <c r="A782" t="s">
        <v>212</v>
      </c>
      <c r="B782">
        <v>21</v>
      </c>
      <c r="C782" t="s">
        <v>1290</v>
      </c>
      <c r="D782" t="s">
        <v>1219</v>
      </c>
      <c r="E782" t="s">
        <v>1217</v>
      </c>
      <c r="F782" s="99" t="s">
        <v>1213</v>
      </c>
    </row>
    <row r="783" spans="1:6" x14ac:dyDescent="0.25">
      <c r="A783" t="s">
        <v>354</v>
      </c>
      <c r="B783">
        <v>21</v>
      </c>
      <c r="C783" t="s">
        <v>1290</v>
      </c>
      <c r="D783" t="s">
        <v>1219</v>
      </c>
      <c r="E783" t="s">
        <v>1210</v>
      </c>
      <c r="F783" s="99" t="s">
        <v>1213</v>
      </c>
    </row>
    <row r="784" spans="1:6" x14ac:dyDescent="0.25">
      <c r="A784" t="s">
        <v>597</v>
      </c>
      <c r="B784">
        <v>21</v>
      </c>
      <c r="C784" t="s">
        <v>1290</v>
      </c>
      <c r="D784" t="s">
        <v>1206</v>
      </c>
      <c r="E784" t="s">
        <v>1217</v>
      </c>
      <c r="F784" s="99" t="s">
        <v>1213</v>
      </c>
    </row>
    <row r="785" spans="1:6" x14ac:dyDescent="0.25">
      <c r="A785" t="s">
        <v>462</v>
      </c>
      <c r="B785">
        <v>21</v>
      </c>
      <c r="C785" t="s">
        <v>1290</v>
      </c>
      <c r="D785" t="s">
        <v>1206</v>
      </c>
      <c r="E785" t="s">
        <v>1217</v>
      </c>
      <c r="F785" s="99" t="s">
        <v>1213</v>
      </c>
    </row>
    <row r="786" spans="1:6" x14ac:dyDescent="0.25">
      <c r="A786" t="s">
        <v>373</v>
      </c>
      <c r="B786">
        <v>21</v>
      </c>
      <c r="C786" t="s">
        <v>1290</v>
      </c>
      <c r="D786" t="s">
        <v>1220</v>
      </c>
      <c r="E786" t="s">
        <v>1210</v>
      </c>
      <c r="F786" s="99" t="s">
        <v>1213</v>
      </c>
    </row>
    <row r="787" spans="1:6" x14ac:dyDescent="0.25">
      <c r="A787" t="s">
        <v>788</v>
      </c>
      <c r="B787">
        <v>21</v>
      </c>
      <c r="C787" t="s">
        <v>1290</v>
      </c>
      <c r="D787" t="s">
        <v>1220</v>
      </c>
      <c r="E787" t="s">
        <v>1217</v>
      </c>
      <c r="F787" s="99" t="s">
        <v>1213</v>
      </c>
    </row>
    <row r="788" spans="1:6" x14ac:dyDescent="0.25">
      <c r="A788" t="s">
        <v>410</v>
      </c>
      <c r="B788">
        <v>21</v>
      </c>
      <c r="C788" t="s">
        <v>1290</v>
      </c>
      <c r="D788" t="s">
        <v>1220</v>
      </c>
      <c r="E788" t="s">
        <v>1210</v>
      </c>
      <c r="F788" s="99" t="s">
        <v>1213</v>
      </c>
    </row>
    <row r="789" spans="1:6" x14ac:dyDescent="0.25">
      <c r="A789" t="s">
        <v>636</v>
      </c>
      <c r="B789">
        <v>21</v>
      </c>
      <c r="C789" t="s">
        <v>1290</v>
      </c>
      <c r="D789" t="s">
        <v>1220</v>
      </c>
      <c r="E789" t="s">
        <v>1217</v>
      </c>
      <c r="F789" s="99" t="s">
        <v>1213</v>
      </c>
    </row>
    <row r="790" spans="1:6" x14ac:dyDescent="0.25">
      <c r="A790" t="s">
        <v>994</v>
      </c>
      <c r="B790">
        <v>21</v>
      </c>
      <c r="C790" t="s">
        <v>1290</v>
      </c>
      <c r="D790" t="s">
        <v>1206</v>
      </c>
      <c r="E790" t="s">
        <v>1210</v>
      </c>
      <c r="F790" s="99" t="s">
        <v>1213</v>
      </c>
    </row>
    <row r="791" spans="1:6" x14ac:dyDescent="0.25">
      <c r="A791" t="s">
        <v>731</v>
      </c>
      <c r="B791">
        <v>21</v>
      </c>
      <c r="C791" t="s">
        <v>1290</v>
      </c>
      <c r="D791" t="s">
        <v>1206</v>
      </c>
      <c r="E791" t="s">
        <v>1210</v>
      </c>
      <c r="F791" s="99" t="s">
        <v>1213</v>
      </c>
    </row>
    <row r="792" spans="1:6" x14ac:dyDescent="0.25">
      <c r="A792" t="s">
        <v>615</v>
      </c>
      <c r="B792">
        <v>21</v>
      </c>
      <c r="C792" t="s">
        <v>1290</v>
      </c>
      <c r="D792" t="s">
        <v>1206</v>
      </c>
      <c r="E792" t="s">
        <v>1207</v>
      </c>
      <c r="F792" s="99" t="s">
        <v>1213</v>
      </c>
    </row>
    <row r="793" spans="1:6" x14ac:dyDescent="0.25">
      <c r="A793" t="s">
        <v>728</v>
      </c>
      <c r="B793">
        <v>21</v>
      </c>
      <c r="C793" t="s">
        <v>1290</v>
      </c>
      <c r="D793" t="s">
        <v>1206</v>
      </c>
      <c r="E793" t="s">
        <v>1210</v>
      </c>
      <c r="F793" s="99" t="s">
        <v>1213</v>
      </c>
    </row>
    <row r="794" spans="1:6" x14ac:dyDescent="0.25">
      <c r="A794" t="s">
        <v>222</v>
      </c>
      <c r="B794">
        <v>21</v>
      </c>
      <c r="C794" t="s">
        <v>1290</v>
      </c>
      <c r="D794" t="s">
        <v>1206</v>
      </c>
      <c r="E794" t="s">
        <v>1210</v>
      </c>
      <c r="F794" s="99" t="s">
        <v>1213</v>
      </c>
    </row>
    <row r="795" spans="1:6" x14ac:dyDescent="0.25">
      <c r="A795" t="s">
        <v>337</v>
      </c>
      <c r="B795">
        <v>21</v>
      </c>
      <c r="C795" t="s">
        <v>1290</v>
      </c>
      <c r="D795" t="s">
        <v>1218</v>
      </c>
      <c r="E795" t="s">
        <v>1210</v>
      </c>
      <c r="F795" s="99" t="s">
        <v>1213</v>
      </c>
    </row>
    <row r="796" spans="1:6" x14ac:dyDescent="0.25">
      <c r="A796" t="s">
        <v>812</v>
      </c>
      <c r="B796">
        <v>21</v>
      </c>
      <c r="C796" t="s">
        <v>1290</v>
      </c>
      <c r="D796" t="s">
        <v>1206</v>
      </c>
      <c r="E796" t="s">
        <v>1207</v>
      </c>
      <c r="F796" s="99" t="s">
        <v>1213</v>
      </c>
    </row>
    <row r="797" spans="1:6" x14ac:dyDescent="0.25">
      <c r="A797" t="s">
        <v>1022</v>
      </c>
      <c r="B797">
        <v>21</v>
      </c>
      <c r="C797" t="s">
        <v>1290</v>
      </c>
      <c r="D797" t="s">
        <v>1206</v>
      </c>
      <c r="E797" t="s">
        <v>1217</v>
      </c>
      <c r="F797" s="99" t="s">
        <v>1213</v>
      </c>
    </row>
    <row r="798" spans="1:6" x14ac:dyDescent="0.25">
      <c r="A798" t="s">
        <v>237</v>
      </c>
      <c r="B798">
        <v>21</v>
      </c>
      <c r="C798" t="s">
        <v>1290</v>
      </c>
      <c r="D798" t="s">
        <v>1206</v>
      </c>
      <c r="E798" t="s">
        <v>1210</v>
      </c>
      <c r="F798" s="99" t="s">
        <v>1213</v>
      </c>
    </row>
    <row r="799" spans="1:6" x14ac:dyDescent="0.25">
      <c r="A799" t="s">
        <v>784</v>
      </c>
      <c r="B799">
        <v>21</v>
      </c>
      <c r="C799" t="s">
        <v>1290</v>
      </c>
      <c r="D799" t="s">
        <v>1219</v>
      </c>
      <c r="E799" t="s">
        <v>1217</v>
      </c>
      <c r="F799" s="99" t="s">
        <v>1213</v>
      </c>
    </row>
    <row r="800" spans="1:6" x14ac:dyDescent="0.25">
      <c r="A800" t="s">
        <v>66</v>
      </c>
      <c r="B800">
        <v>21</v>
      </c>
      <c r="C800" t="s">
        <v>1290</v>
      </c>
      <c r="D800" t="s">
        <v>1206</v>
      </c>
      <c r="E800" t="s">
        <v>1207</v>
      </c>
      <c r="F800" s="99" t="s">
        <v>1213</v>
      </c>
    </row>
    <row r="801" spans="1:6" x14ac:dyDescent="0.25">
      <c r="A801" t="s">
        <v>353</v>
      </c>
      <c r="B801">
        <v>21</v>
      </c>
      <c r="C801" t="s">
        <v>1290</v>
      </c>
      <c r="D801" t="s">
        <v>1218</v>
      </c>
      <c r="E801" t="s">
        <v>1210</v>
      </c>
      <c r="F801" s="99" t="s">
        <v>1213</v>
      </c>
    </row>
    <row r="802" spans="1:6" x14ac:dyDescent="0.25">
      <c r="A802" t="s">
        <v>592</v>
      </c>
      <c r="B802">
        <v>21</v>
      </c>
      <c r="C802" t="s">
        <v>1290</v>
      </c>
      <c r="D802" t="s">
        <v>1220</v>
      </c>
      <c r="E802" t="s">
        <v>1210</v>
      </c>
      <c r="F802" s="99" t="s">
        <v>1213</v>
      </c>
    </row>
    <row r="803" spans="1:6" x14ac:dyDescent="0.25">
      <c r="A803" t="s">
        <v>913</v>
      </c>
      <c r="B803">
        <v>21</v>
      </c>
      <c r="C803" t="s">
        <v>1290</v>
      </c>
      <c r="D803" t="s">
        <v>1206</v>
      </c>
      <c r="E803" t="s">
        <v>1210</v>
      </c>
      <c r="F803" s="99" t="s">
        <v>1213</v>
      </c>
    </row>
    <row r="804" spans="1:6" x14ac:dyDescent="0.25">
      <c r="A804" t="s">
        <v>470</v>
      </c>
      <c r="B804">
        <v>21</v>
      </c>
      <c r="C804" t="s">
        <v>1290</v>
      </c>
      <c r="D804" t="s">
        <v>1219</v>
      </c>
      <c r="E804" t="s">
        <v>1207</v>
      </c>
      <c r="F804" s="99" t="s">
        <v>1213</v>
      </c>
    </row>
    <row r="805" spans="1:6" x14ac:dyDescent="0.25">
      <c r="A805" t="s">
        <v>472</v>
      </c>
      <c r="B805">
        <v>21</v>
      </c>
      <c r="C805" t="s">
        <v>1290</v>
      </c>
      <c r="D805" t="s">
        <v>1220</v>
      </c>
      <c r="E805" t="s">
        <v>1207</v>
      </c>
      <c r="F805" s="99" t="s">
        <v>1213</v>
      </c>
    </row>
    <row r="806" spans="1:6" x14ac:dyDescent="0.25">
      <c r="A806" t="s">
        <v>1063</v>
      </c>
      <c r="B806">
        <v>21</v>
      </c>
      <c r="C806" t="s">
        <v>1290</v>
      </c>
      <c r="D806" t="s">
        <v>1206</v>
      </c>
      <c r="E806" t="s">
        <v>1210</v>
      </c>
      <c r="F806" s="99" t="s">
        <v>1213</v>
      </c>
    </row>
    <row r="807" spans="1:6" x14ac:dyDescent="0.25">
      <c r="A807" t="s">
        <v>963</v>
      </c>
      <c r="B807">
        <v>21</v>
      </c>
      <c r="C807" t="s">
        <v>1290</v>
      </c>
      <c r="D807" t="s">
        <v>1206</v>
      </c>
      <c r="E807" t="s">
        <v>1210</v>
      </c>
      <c r="F807" s="99" t="s">
        <v>1213</v>
      </c>
    </row>
    <row r="808" spans="1:6" x14ac:dyDescent="0.25">
      <c r="A808" t="s">
        <v>476</v>
      </c>
      <c r="B808">
        <v>21</v>
      </c>
      <c r="C808" t="s">
        <v>1290</v>
      </c>
      <c r="D808" t="s">
        <v>1219</v>
      </c>
      <c r="E808" t="s">
        <v>1217</v>
      </c>
      <c r="F808" s="99" t="s">
        <v>1213</v>
      </c>
    </row>
    <row r="809" spans="1:6" x14ac:dyDescent="0.25">
      <c r="A809" t="s">
        <v>722</v>
      </c>
      <c r="B809">
        <v>21</v>
      </c>
      <c r="C809" t="s">
        <v>1290</v>
      </c>
      <c r="D809" t="s">
        <v>1206</v>
      </c>
      <c r="E809" t="s">
        <v>1210</v>
      </c>
      <c r="F809" s="99" t="s">
        <v>1213</v>
      </c>
    </row>
    <row r="810" spans="1:6" x14ac:dyDescent="0.25">
      <c r="A810" t="s">
        <v>783</v>
      </c>
      <c r="B810">
        <v>21</v>
      </c>
      <c r="C810" t="s">
        <v>1290</v>
      </c>
      <c r="D810" t="s">
        <v>1220</v>
      </c>
      <c r="E810" t="s">
        <v>1210</v>
      </c>
      <c r="F810" s="99" t="s">
        <v>1213</v>
      </c>
    </row>
    <row r="811" spans="1:6" x14ac:dyDescent="0.25">
      <c r="A811" t="s">
        <v>939</v>
      </c>
      <c r="B811">
        <v>21</v>
      </c>
      <c r="C811" t="s">
        <v>1290</v>
      </c>
      <c r="D811" t="s">
        <v>1206</v>
      </c>
      <c r="E811" t="s">
        <v>1210</v>
      </c>
      <c r="F811" s="99" t="s">
        <v>1213</v>
      </c>
    </row>
    <row r="812" spans="1:6" x14ac:dyDescent="0.25">
      <c r="A812" t="s">
        <v>620</v>
      </c>
      <c r="B812">
        <v>21</v>
      </c>
      <c r="C812" t="s">
        <v>1290</v>
      </c>
      <c r="D812" t="s">
        <v>1206</v>
      </c>
      <c r="E812" t="s">
        <v>1207</v>
      </c>
      <c r="F812" s="99" t="s">
        <v>1213</v>
      </c>
    </row>
    <row r="813" spans="1:6" x14ac:dyDescent="0.25">
      <c r="A813" t="s">
        <v>601</v>
      </c>
      <c r="B813">
        <v>21</v>
      </c>
      <c r="C813" t="s">
        <v>1290</v>
      </c>
      <c r="D813" t="s">
        <v>1206</v>
      </c>
      <c r="E813" t="s">
        <v>1217</v>
      </c>
      <c r="F813" s="99" t="s">
        <v>1213</v>
      </c>
    </row>
    <row r="814" spans="1:6" x14ac:dyDescent="0.25">
      <c r="A814" t="s">
        <v>211</v>
      </c>
      <c r="B814">
        <v>21</v>
      </c>
      <c r="C814" t="s">
        <v>1290</v>
      </c>
      <c r="D814" t="s">
        <v>1206</v>
      </c>
      <c r="E814" t="s">
        <v>1207</v>
      </c>
      <c r="F814" s="99" t="s">
        <v>1213</v>
      </c>
    </row>
    <row r="815" spans="1:6" x14ac:dyDescent="0.25">
      <c r="A815" t="s">
        <v>889</v>
      </c>
      <c r="B815">
        <v>21</v>
      </c>
      <c r="C815" t="s">
        <v>1290</v>
      </c>
      <c r="D815" t="s">
        <v>1206</v>
      </c>
      <c r="E815" t="s">
        <v>1207</v>
      </c>
      <c r="F815" s="99" t="s">
        <v>1213</v>
      </c>
    </row>
    <row r="816" spans="1:6" x14ac:dyDescent="0.25">
      <c r="A816" t="s">
        <v>427</v>
      </c>
      <c r="B816">
        <v>21</v>
      </c>
      <c r="C816" t="s">
        <v>1290</v>
      </c>
      <c r="D816" t="s">
        <v>1220</v>
      </c>
      <c r="E816" t="s">
        <v>1217</v>
      </c>
      <c r="F816" s="99" t="s">
        <v>1213</v>
      </c>
    </row>
    <row r="817" spans="1:6" x14ac:dyDescent="0.25">
      <c r="A817" t="s">
        <v>1193</v>
      </c>
      <c r="B817">
        <v>21</v>
      </c>
      <c r="C817" t="s">
        <v>1290</v>
      </c>
      <c r="D817" t="s">
        <v>1206</v>
      </c>
      <c r="E817" t="s">
        <v>1207</v>
      </c>
      <c r="F817" s="99" t="s">
        <v>1213</v>
      </c>
    </row>
    <row r="818" spans="1:6" x14ac:dyDescent="0.25">
      <c r="A818" t="s">
        <v>773</v>
      </c>
      <c r="B818">
        <v>21</v>
      </c>
      <c r="C818" t="s">
        <v>1290</v>
      </c>
      <c r="D818" t="s">
        <v>1206</v>
      </c>
      <c r="E818" t="s">
        <v>1215</v>
      </c>
      <c r="F818" s="99" t="s">
        <v>1213</v>
      </c>
    </row>
    <row r="819" spans="1:6" x14ac:dyDescent="0.25">
      <c r="A819" t="s">
        <v>85</v>
      </c>
      <c r="B819">
        <v>21</v>
      </c>
      <c r="C819" t="s">
        <v>1290</v>
      </c>
      <c r="D819" t="s">
        <v>1219</v>
      </c>
      <c r="E819" t="s">
        <v>1210</v>
      </c>
      <c r="F819" s="99" t="s">
        <v>1213</v>
      </c>
    </row>
    <row r="820" spans="1:6" x14ac:dyDescent="0.25">
      <c r="A820" t="s">
        <v>805</v>
      </c>
      <c r="B820">
        <v>21</v>
      </c>
      <c r="C820" t="s">
        <v>1290</v>
      </c>
      <c r="D820" t="s">
        <v>1219</v>
      </c>
      <c r="E820" t="s">
        <v>1210</v>
      </c>
      <c r="F820" s="99" t="s">
        <v>1213</v>
      </c>
    </row>
    <row r="821" spans="1:6" x14ac:dyDescent="0.25">
      <c r="A821" t="s">
        <v>274</v>
      </c>
      <c r="B821">
        <v>22</v>
      </c>
      <c r="C821" t="s">
        <v>1290</v>
      </c>
      <c r="D821" t="s">
        <v>1219</v>
      </c>
      <c r="E821" t="s">
        <v>1207</v>
      </c>
      <c r="F821" s="99" t="s">
        <v>1213</v>
      </c>
    </row>
    <row r="822" spans="1:6" x14ac:dyDescent="0.25">
      <c r="A822" t="s">
        <v>1024</v>
      </c>
      <c r="B822">
        <v>22</v>
      </c>
      <c r="C822" t="s">
        <v>1290</v>
      </c>
      <c r="D822" t="s">
        <v>1206</v>
      </c>
      <c r="E822" t="s">
        <v>1210</v>
      </c>
      <c r="F822" s="99" t="s">
        <v>1213</v>
      </c>
    </row>
    <row r="823" spans="1:6" x14ac:dyDescent="0.25">
      <c r="A823" t="s">
        <v>1102</v>
      </c>
      <c r="B823">
        <v>22</v>
      </c>
      <c r="C823" t="s">
        <v>1290</v>
      </c>
      <c r="D823" t="s">
        <v>1206</v>
      </c>
      <c r="E823" t="s">
        <v>1210</v>
      </c>
      <c r="F823" s="99" t="s">
        <v>1213</v>
      </c>
    </row>
    <row r="824" spans="1:6" x14ac:dyDescent="0.25">
      <c r="A824" t="s">
        <v>1094</v>
      </c>
      <c r="B824">
        <v>22</v>
      </c>
      <c r="C824" t="s">
        <v>1290</v>
      </c>
      <c r="D824" t="s">
        <v>1206</v>
      </c>
      <c r="E824" t="s">
        <v>1210</v>
      </c>
      <c r="F824" s="99" t="s">
        <v>1213</v>
      </c>
    </row>
    <row r="825" spans="1:6" x14ac:dyDescent="0.25">
      <c r="A825" t="s">
        <v>420</v>
      </c>
      <c r="B825">
        <v>22</v>
      </c>
      <c r="C825" t="s">
        <v>1290</v>
      </c>
      <c r="D825" t="s">
        <v>1220</v>
      </c>
      <c r="E825" t="s">
        <v>1207</v>
      </c>
      <c r="F825" s="99" t="s">
        <v>1213</v>
      </c>
    </row>
    <row r="826" spans="1:6" x14ac:dyDescent="0.25">
      <c r="A826" t="s">
        <v>409</v>
      </c>
      <c r="B826">
        <v>22</v>
      </c>
      <c r="C826" t="s">
        <v>1290</v>
      </c>
      <c r="D826" t="s">
        <v>1219</v>
      </c>
      <c r="E826" t="s">
        <v>1217</v>
      </c>
      <c r="F826" s="99" t="s">
        <v>1213</v>
      </c>
    </row>
    <row r="827" spans="1:6" x14ac:dyDescent="0.25">
      <c r="A827" t="s">
        <v>786</v>
      </c>
      <c r="B827">
        <v>22</v>
      </c>
      <c r="C827" t="s">
        <v>1290</v>
      </c>
      <c r="D827" t="s">
        <v>1220</v>
      </c>
      <c r="E827" t="s">
        <v>1210</v>
      </c>
      <c r="F827" s="99" t="s">
        <v>1213</v>
      </c>
    </row>
    <row r="828" spans="1:6" x14ac:dyDescent="0.25">
      <c r="A828" t="s">
        <v>938</v>
      </c>
      <c r="B828">
        <v>22</v>
      </c>
      <c r="C828" t="s">
        <v>1290</v>
      </c>
      <c r="D828" t="s">
        <v>1206</v>
      </c>
      <c r="E828" t="s">
        <v>1210</v>
      </c>
      <c r="F828" s="99" t="s">
        <v>1213</v>
      </c>
    </row>
    <row r="829" spans="1:6" x14ac:dyDescent="0.25">
      <c r="A829" t="s">
        <v>538</v>
      </c>
      <c r="B829">
        <v>22</v>
      </c>
      <c r="C829" t="s">
        <v>1290</v>
      </c>
      <c r="D829" t="s">
        <v>1220</v>
      </c>
      <c r="E829" t="s">
        <v>1217</v>
      </c>
      <c r="F829" s="99" t="s">
        <v>1213</v>
      </c>
    </row>
    <row r="830" spans="1:6" x14ac:dyDescent="0.25">
      <c r="A830" t="s">
        <v>175</v>
      </c>
      <c r="B830">
        <v>22</v>
      </c>
      <c r="C830" t="s">
        <v>1290</v>
      </c>
      <c r="D830" t="s">
        <v>1218</v>
      </c>
      <c r="E830" t="s">
        <v>1217</v>
      </c>
      <c r="F830" s="99" t="s">
        <v>1213</v>
      </c>
    </row>
    <row r="831" spans="1:6" x14ac:dyDescent="0.25">
      <c r="A831" t="s">
        <v>623</v>
      </c>
      <c r="B831">
        <v>22</v>
      </c>
      <c r="C831" t="s">
        <v>1290</v>
      </c>
      <c r="D831" t="s">
        <v>1219</v>
      </c>
      <c r="E831" t="s">
        <v>1217</v>
      </c>
      <c r="F831" s="99" t="s">
        <v>1213</v>
      </c>
    </row>
    <row r="832" spans="1:6" x14ac:dyDescent="0.25">
      <c r="A832" t="s">
        <v>245</v>
      </c>
      <c r="B832">
        <v>22</v>
      </c>
      <c r="C832" t="s">
        <v>1290</v>
      </c>
      <c r="D832" t="s">
        <v>1219</v>
      </c>
      <c r="E832" t="s">
        <v>1210</v>
      </c>
      <c r="F832" s="99" t="s">
        <v>1213</v>
      </c>
    </row>
    <row r="833" spans="1:6" x14ac:dyDescent="0.25">
      <c r="A833" t="s">
        <v>781</v>
      </c>
      <c r="B833">
        <v>22</v>
      </c>
      <c r="C833" t="s">
        <v>1290</v>
      </c>
      <c r="D833" t="s">
        <v>1220</v>
      </c>
      <c r="E833" t="s">
        <v>1210</v>
      </c>
      <c r="F833" s="99" t="s">
        <v>1213</v>
      </c>
    </row>
    <row r="834" spans="1:6" x14ac:dyDescent="0.25">
      <c r="A834" t="s">
        <v>1126</v>
      </c>
      <c r="B834">
        <v>22</v>
      </c>
      <c r="C834" t="s">
        <v>1290</v>
      </c>
      <c r="D834" t="s">
        <v>1206</v>
      </c>
      <c r="E834" t="s">
        <v>1207</v>
      </c>
      <c r="F834" s="99" t="s">
        <v>1213</v>
      </c>
    </row>
    <row r="835" spans="1:6" x14ac:dyDescent="0.25">
      <c r="A835" t="s">
        <v>60</v>
      </c>
      <c r="B835">
        <v>22</v>
      </c>
      <c r="C835" t="s">
        <v>1290</v>
      </c>
      <c r="D835" t="s">
        <v>1219</v>
      </c>
      <c r="E835" t="s">
        <v>1210</v>
      </c>
      <c r="F835" s="99" t="s">
        <v>1213</v>
      </c>
    </row>
    <row r="836" spans="1:6" x14ac:dyDescent="0.25">
      <c r="A836" t="s">
        <v>126</v>
      </c>
      <c r="B836">
        <v>22</v>
      </c>
      <c r="C836" t="s">
        <v>1290</v>
      </c>
      <c r="D836" t="s">
        <v>1206</v>
      </c>
      <c r="E836" t="s">
        <v>1215</v>
      </c>
      <c r="F836" s="99" t="s">
        <v>1213</v>
      </c>
    </row>
    <row r="837" spans="1:6" x14ac:dyDescent="0.25">
      <c r="A837" t="s">
        <v>992</v>
      </c>
      <c r="B837">
        <v>22</v>
      </c>
      <c r="C837" t="s">
        <v>1290</v>
      </c>
      <c r="D837" t="s">
        <v>1206</v>
      </c>
      <c r="E837" t="s">
        <v>1210</v>
      </c>
      <c r="F837" s="99" t="s">
        <v>1213</v>
      </c>
    </row>
    <row r="838" spans="1:6" x14ac:dyDescent="0.25">
      <c r="A838" t="s">
        <v>1083</v>
      </c>
      <c r="B838">
        <v>22</v>
      </c>
      <c r="C838" t="s">
        <v>1290</v>
      </c>
      <c r="D838" t="s">
        <v>1206</v>
      </c>
      <c r="E838" t="s">
        <v>1215</v>
      </c>
      <c r="F838" s="99" t="s">
        <v>1213</v>
      </c>
    </row>
    <row r="839" spans="1:6" x14ac:dyDescent="0.25">
      <c r="A839" t="s">
        <v>980</v>
      </c>
      <c r="B839">
        <v>22</v>
      </c>
      <c r="C839" t="s">
        <v>1290</v>
      </c>
      <c r="D839" t="s">
        <v>1206</v>
      </c>
      <c r="E839" t="s">
        <v>1215</v>
      </c>
      <c r="F839" s="99" t="s">
        <v>1213</v>
      </c>
    </row>
    <row r="840" spans="1:6" x14ac:dyDescent="0.25">
      <c r="A840" t="s">
        <v>861</v>
      </c>
      <c r="B840">
        <v>22</v>
      </c>
      <c r="C840" t="s">
        <v>1290</v>
      </c>
      <c r="D840" t="s">
        <v>1206</v>
      </c>
      <c r="E840" t="s">
        <v>1217</v>
      </c>
      <c r="F840" s="99" t="s">
        <v>1213</v>
      </c>
    </row>
    <row r="841" spans="1:6" x14ac:dyDescent="0.25">
      <c r="A841" t="s">
        <v>929</v>
      </c>
      <c r="B841">
        <v>22</v>
      </c>
      <c r="C841" t="s">
        <v>1290</v>
      </c>
      <c r="D841" t="s">
        <v>1206</v>
      </c>
      <c r="E841" t="s">
        <v>1215</v>
      </c>
      <c r="F841" s="99" t="s">
        <v>1213</v>
      </c>
    </row>
    <row r="842" spans="1:6" x14ac:dyDescent="0.25">
      <c r="A842" t="s">
        <v>607</v>
      </c>
      <c r="B842">
        <v>22</v>
      </c>
      <c r="C842" t="s">
        <v>1290</v>
      </c>
      <c r="D842" t="s">
        <v>1206</v>
      </c>
      <c r="E842" t="s">
        <v>1207</v>
      </c>
      <c r="F842" s="99" t="s">
        <v>1213</v>
      </c>
    </row>
    <row r="843" spans="1:6" x14ac:dyDescent="0.25">
      <c r="A843" t="s">
        <v>370</v>
      </c>
      <c r="B843">
        <v>22</v>
      </c>
      <c r="C843" t="s">
        <v>1290</v>
      </c>
      <c r="D843" t="s">
        <v>1218</v>
      </c>
      <c r="E843" t="s">
        <v>1217</v>
      </c>
      <c r="F843" s="99" t="s">
        <v>1213</v>
      </c>
    </row>
    <row r="844" spans="1:6" x14ac:dyDescent="0.25">
      <c r="A844" t="s">
        <v>627</v>
      </c>
      <c r="B844">
        <v>22</v>
      </c>
      <c r="C844" t="s">
        <v>1290</v>
      </c>
      <c r="D844" t="s">
        <v>1219</v>
      </c>
      <c r="E844" t="s">
        <v>1210</v>
      </c>
      <c r="F844" s="99" t="s">
        <v>1213</v>
      </c>
    </row>
    <row r="845" spans="1:6" x14ac:dyDescent="0.25">
      <c r="A845" t="s">
        <v>807</v>
      </c>
      <c r="B845">
        <v>22</v>
      </c>
      <c r="C845" t="s">
        <v>1290</v>
      </c>
      <c r="D845" t="s">
        <v>1206</v>
      </c>
      <c r="E845" t="s">
        <v>1217</v>
      </c>
      <c r="F845" s="99" t="s">
        <v>1213</v>
      </c>
    </row>
    <row r="846" spans="1:6" x14ac:dyDescent="0.25">
      <c r="A846" t="s">
        <v>841</v>
      </c>
      <c r="B846">
        <v>22</v>
      </c>
      <c r="C846" t="s">
        <v>1290</v>
      </c>
      <c r="D846" t="s">
        <v>1206</v>
      </c>
      <c r="E846" t="s">
        <v>1210</v>
      </c>
      <c r="F846" s="99" t="s">
        <v>1213</v>
      </c>
    </row>
    <row r="847" spans="1:6" x14ac:dyDescent="0.25">
      <c r="A847" t="s">
        <v>467</v>
      </c>
      <c r="B847">
        <v>22</v>
      </c>
      <c r="C847" t="s">
        <v>1290</v>
      </c>
      <c r="D847" t="s">
        <v>1219</v>
      </c>
      <c r="E847" t="s">
        <v>1217</v>
      </c>
      <c r="F847" s="99" t="s">
        <v>1213</v>
      </c>
    </row>
    <row r="848" spans="1:6" x14ac:dyDescent="0.25">
      <c r="A848" t="s">
        <v>1082</v>
      </c>
      <c r="B848">
        <v>22</v>
      </c>
      <c r="C848" t="s">
        <v>1290</v>
      </c>
      <c r="D848" t="s">
        <v>1206</v>
      </c>
      <c r="E848" t="s">
        <v>1210</v>
      </c>
      <c r="F848" s="99" t="s">
        <v>1213</v>
      </c>
    </row>
    <row r="849" spans="1:6" x14ac:dyDescent="0.25">
      <c r="A849" t="s">
        <v>760</v>
      </c>
      <c r="B849">
        <v>22</v>
      </c>
      <c r="C849" t="s">
        <v>1290</v>
      </c>
      <c r="D849" t="s">
        <v>1206</v>
      </c>
      <c r="E849" t="s">
        <v>1215</v>
      </c>
      <c r="F849" s="99" t="s">
        <v>1213</v>
      </c>
    </row>
    <row r="850" spans="1:6" x14ac:dyDescent="0.25">
      <c r="A850" t="s">
        <v>1084</v>
      </c>
      <c r="B850">
        <v>22</v>
      </c>
      <c r="C850" t="s">
        <v>1290</v>
      </c>
      <c r="D850" t="s">
        <v>1206</v>
      </c>
      <c r="E850" t="s">
        <v>1207</v>
      </c>
      <c r="F850" s="99" t="s">
        <v>1213</v>
      </c>
    </row>
    <row r="851" spans="1:6" x14ac:dyDescent="0.25">
      <c r="A851" t="s">
        <v>995</v>
      </c>
      <c r="B851">
        <v>22</v>
      </c>
      <c r="C851" t="s">
        <v>1290</v>
      </c>
      <c r="D851" t="s">
        <v>1206</v>
      </c>
      <c r="E851" t="s">
        <v>1210</v>
      </c>
      <c r="F851" s="99" t="s">
        <v>1213</v>
      </c>
    </row>
    <row r="852" spans="1:6" x14ac:dyDescent="0.25">
      <c r="A852" t="s">
        <v>92</v>
      </c>
      <c r="B852">
        <v>22</v>
      </c>
      <c r="C852" t="s">
        <v>1290</v>
      </c>
      <c r="D852" t="s">
        <v>1206</v>
      </c>
      <c r="E852" t="s">
        <v>1215</v>
      </c>
      <c r="F852" s="99" t="s">
        <v>1213</v>
      </c>
    </row>
    <row r="853" spans="1:6" x14ac:dyDescent="0.25">
      <c r="A853" t="s">
        <v>1191</v>
      </c>
      <c r="B853">
        <v>22</v>
      </c>
      <c r="C853" t="s">
        <v>1290</v>
      </c>
      <c r="D853" t="s">
        <v>1206</v>
      </c>
      <c r="E853" t="s">
        <v>1207</v>
      </c>
      <c r="F853" s="99" t="s">
        <v>1213</v>
      </c>
    </row>
    <row r="854" spans="1:6" x14ac:dyDescent="0.25">
      <c r="A854" t="s">
        <v>721</v>
      </c>
      <c r="B854">
        <v>22</v>
      </c>
      <c r="C854" t="s">
        <v>1290</v>
      </c>
      <c r="D854" t="s">
        <v>1206</v>
      </c>
      <c r="E854" t="s">
        <v>1210</v>
      </c>
      <c r="F854" s="99" t="s">
        <v>1213</v>
      </c>
    </row>
    <row r="855" spans="1:6" x14ac:dyDescent="0.25">
      <c r="A855" t="s">
        <v>317</v>
      </c>
      <c r="B855">
        <v>22</v>
      </c>
      <c r="C855" t="s">
        <v>1290</v>
      </c>
      <c r="D855" t="s">
        <v>1219</v>
      </c>
      <c r="E855" t="s">
        <v>1210</v>
      </c>
      <c r="F855" s="99" t="s">
        <v>1213</v>
      </c>
    </row>
    <row r="856" spans="1:6" x14ac:dyDescent="0.25">
      <c r="A856" t="s">
        <v>708</v>
      </c>
      <c r="B856">
        <v>22</v>
      </c>
      <c r="C856" t="s">
        <v>1290</v>
      </c>
      <c r="D856" t="s">
        <v>1206</v>
      </c>
      <c r="E856" t="s">
        <v>1210</v>
      </c>
      <c r="F856" s="99" t="s">
        <v>1213</v>
      </c>
    </row>
    <row r="857" spans="1:6" x14ac:dyDescent="0.25">
      <c r="A857" t="s">
        <v>1106</v>
      </c>
      <c r="B857">
        <v>22</v>
      </c>
      <c r="C857" t="s">
        <v>1290</v>
      </c>
      <c r="D857" t="s">
        <v>1206</v>
      </c>
      <c r="E857" t="s">
        <v>1207</v>
      </c>
      <c r="F857" s="99" t="s">
        <v>1213</v>
      </c>
    </row>
    <row r="858" spans="1:6" x14ac:dyDescent="0.25">
      <c r="A858" t="s">
        <v>463</v>
      </c>
      <c r="B858">
        <v>22</v>
      </c>
      <c r="C858" t="s">
        <v>1290</v>
      </c>
      <c r="D858" t="s">
        <v>1220</v>
      </c>
      <c r="E858" t="s">
        <v>1217</v>
      </c>
      <c r="F858" s="99" t="s">
        <v>1213</v>
      </c>
    </row>
    <row r="859" spans="1:6" x14ac:dyDescent="0.25">
      <c r="A859" t="s">
        <v>914</v>
      </c>
      <c r="B859">
        <v>22</v>
      </c>
      <c r="C859" t="s">
        <v>1290</v>
      </c>
      <c r="D859" t="s">
        <v>1206</v>
      </c>
      <c r="E859" t="s">
        <v>1210</v>
      </c>
      <c r="F859" s="99" t="s">
        <v>1213</v>
      </c>
    </row>
    <row r="860" spans="1:6" x14ac:dyDescent="0.25">
      <c r="A860" t="s">
        <v>619</v>
      </c>
      <c r="B860">
        <v>22</v>
      </c>
      <c r="C860" t="s">
        <v>1290</v>
      </c>
      <c r="D860" t="s">
        <v>1206</v>
      </c>
      <c r="E860" t="s">
        <v>1207</v>
      </c>
      <c r="F860" s="99" t="s">
        <v>1213</v>
      </c>
    </row>
    <row r="861" spans="1:6" x14ac:dyDescent="0.25">
      <c r="A861" t="s">
        <v>316</v>
      </c>
      <c r="B861">
        <v>22</v>
      </c>
      <c r="C861" t="s">
        <v>1290</v>
      </c>
      <c r="D861" t="s">
        <v>1220</v>
      </c>
      <c r="E861" t="s">
        <v>1207</v>
      </c>
      <c r="F861" s="99" t="s">
        <v>1213</v>
      </c>
    </row>
    <row r="862" spans="1:6" x14ac:dyDescent="0.25">
      <c r="A862" t="s">
        <v>1148</v>
      </c>
      <c r="B862">
        <v>22</v>
      </c>
      <c r="C862" t="s">
        <v>1290</v>
      </c>
      <c r="D862" t="s">
        <v>1206</v>
      </c>
      <c r="E862" t="s">
        <v>1207</v>
      </c>
      <c r="F862" s="99" t="s">
        <v>1213</v>
      </c>
    </row>
    <row r="863" spans="1:6" x14ac:dyDescent="0.25">
      <c r="A863" t="s">
        <v>160</v>
      </c>
      <c r="B863">
        <v>22</v>
      </c>
      <c r="C863" t="s">
        <v>1290</v>
      </c>
      <c r="D863" t="s">
        <v>1222</v>
      </c>
      <c r="E863" t="s">
        <v>1210</v>
      </c>
      <c r="F863" s="99" t="s">
        <v>1213</v>
      </c>
    </row>
    <row r="864" spans="1:6" x14ac:dyDescent="0.25">
      <c r="A864" t="s">
        <v>405</v>
      </c>
      <c r="B864">
        <v>22</v>
      </c>
      <c r="C864" t="s">
        <v>1290</v>
      </c>
      <c r="D864" t="s">
        <v>1219</v>
      </c>
      <c r="E864" t="s">
        <v>1217</v>
      </c>
      <c r="F864" s="99" t="s">
        <v>1213</v>
      </c>
    </row>
    <row r="865" spans="1:6" x14ac:dyDescent="0.25">
      <c r="A865" t="s">
        <v>1059</v>
      </c>
      <c r="B865">
        <v>22</v>
      </c>
      <c r="C865" t="s">
        <v>1290</v>
      </c>
      <c r="D865" t="s">
        <v>1206</v>
      </c>
      <c r="E865" t="s">
        <v>1210</v>
      </c>
      <c r="F865" s="99" t="s">
        <v>1213</v>
      </c>
    </row>
    <row r="866" spans="1:6" x14ac:dyDescent="0.25">
      <c r="A866" t="s">
        <v>379</v>
      </c>
      <c r="B866">
        <v>22</v>
      </c>
      <c r="C866" t="s">
        <v>1290</v>
      </c>
      <c r="D866" t="s">
        <v>1220</v>
      </c>
      <c r="E866" t="s">
        <v>1207</v>
      </c>
      <c r="F866" s="99" t="s">
        <v>1213</v>
      </c>
    </row>
    <row r="867" spans="1:6" x14ac:dyDescent="0.25">
      <c r="A867" t="s">
        <v>562</v>
      </c>
      <c r="B867">
        <v>22</v>
      </c>
      <c r="C867" t="s">
        <v>1290</v>
      </c>
      <c r="D867" t="s">
        <v>1206</v>
      </c>
      <c r="E867" t="s">
        <v>1210</v>
      </c>
      <c r="F867" s="99" t="s">
        <v>1213</v>
      </c>
    </row>
    <row r="868" spans="1:6" x14ac:dyDescent="0.25">
      <c r="A868" t="s">
        <v>278</v>
      </c>
      <c r="B868">
        <v>22</v>
      </c>
      <c r="C868" t="s">
        <v>1290</v>
      </c>
      <c r="D868" t="s">
        <v>1219</v>
      </c>
      <c r="E868" t="s">
        <v>1210</v>
      </c>
      <c r="F868" s="99" t="s">
        <v>1213</v>
      </c>
    </row>
    <row r="869" spans="1:6" x14ac:dyDescent="0.25">
      <c r="A869" t="s">
        <v>842</v>
      </c>
      <c r="B869">
        <v>22</v>
      </c>
      <c r="C869" t="s">
        <v>1290</v>
      </c>
      <c r="D869" t="s">
        <v>1206</v>
      </c>
      <c r="E869" t="s">
        <v>1210</v>
      </c>
      <c r="F869" s="99" t="s">
        <v>1213</v>
      </c>
    </row>
    <row r="870" spans="1:6" x14ac:dyDescent="0.25">
      <c r="A870" t="s">
        <v>1172</v>
      </c>
      <c r="B870">
        <v>22</v>
      </c>
      <c r="C870" t="s">
        <v>1290</v>
      </c>
      <c r="D870" t="s">
        <v>1206</v>
      </c>
      <c r="E870" t="s">
        <v>1207</v>
      </c>
      <c r="F870" s="99" t="s">
        <v>1213</v>
      </c>
    </row>
    <row r="871" spans="1:6" x14ac:dyDescent="0.25">
      <c r="A871" t="s">
        <v>308</v>
      </c>
      <c r="B871">
        <v>22</v>
      </c>
      <c r="C871" t="s">
        <v>1290</v>
      </c>
      <c r="D871" t="s">
        <v>1206</v>
      </c>
      <c r="E871" t="s">
        <v>1207</v>
      </c>
      <c r="F871" s="99" t="s">
        <v>1213</v>
      </c>
    </row>
    <row r="872" spans="1:6" x14ac:dyDescent="0.25">
      <c r="A872" t="s">
        <v>376</v>
      </c>
      <c r="B872">
        <v>22</v>
      </c>
      <c r="C872" t="s">
        <v>1290</v>
      </c>
      <c r="D872" t="s">
        <v>1219</v>
      </c>
      <c r="E872" t="s">
        <v>1210</v>
      </c>
      <c r="F872" s="99" t="s">
        <v>1213</v>
      </c>
    </row>
    <row r="873" spans="1:6" x14ac:dyDescent="0.25">
      <c r="A873" t="s">
        <v>614</v>
      </c>
      <c r="B873">
        <v>22</v>
      </c>
      <c r="C873" t="s">
        <v>1290</v>
      </c>
      <c r="D873" t="s">
        <v>1220</v>
      </c>
      <c r="E873" t="s">
        <v>1210</v>
      </c>
      <c r="F873" s="99" t="s">
        <v>1213</v>
      </c>
    </row>
    <row r="874" spans="1:6" x14ac:dyDescent="0.25">
      <c r="A874" t="s">
        <v>1175</v>
      </c>
      <c r="B874">
        <v>22</v>
      </c>
      <c r="C874" t="s">
        <v>1290</v>
      </c>
      <c r="D874" t="s">
        <v>1206</v>
      </c>
      <c r="E874" t="s">
        <v>1207</v>
      </c>
      <c r="F874" s="99" t="s">
        <v>1213</v>
      </c>
    </row>
    <row r="875" spans="1:6" x14ac:dyDescent="0.25">
      <c r="A875" t="s">
        <v>170</v>
      </c>
      <c r="B875">
        <v>22</v>
      </c>
      <c r="C875" t="s">
        <v>1290</v>
      </c>
      <c r="D875" t="s">
        <v>1222</v>
      </c>
      <c r="E875" t="s">
        <v>1215</v>
      </c>
      <c r="F875" s="99" t="s">
        <v>1213</v>
      </c>
    </row>
    <row r="876" spans="1:6" x14ac:dyDescent="0.25">
      <c r="A876" t="s">
        <v>1141</v>
      </c>
      <c r="B876">
        <v>22</v>
      </c>
      <c r="C876" t="s">
        <v>1290</v>
      </c>
      <c r="D876" t="s">
        <v>1206</v>
      </c>
      <c r="E876" t="s">
        <v>1207</v>
      </c>
      <c r="F876" s="99" t="s">
        <v>1213</v>
      </c>
    </row>
    <row r="877" spans="1:6" x14ac:dyDescent="0.25">
      <c r="A877" t="s">
        <v>838</v>
      </c>
      <c r="B877">
        <v>22</v>
      </c>
      <c r="C877" t="s">
        <v>1290</v>
      </c>
      <c r="D877" t="s">
        <v>1206</v>
      </c>
      <c r="E877" t="s">
        <v>1210</v>
      </c>
      <c r="F877" s="99" t="s">
        <v>1213</v>
      </c>
    </row>
    <row r="878" spans="1:6" x14ac:dyDescent="0.25">
      <c r="A878" t="s">
        <v>292</v>
      </c>
      <c r="B878">
        <v>22</v>
      </c>
      <c r="C878" t="s">
        <v>1290</v>
      </c>
      <c r="D878" t="s">
        <v>1206</v>
      </c>
      <c r="E878" t="s">
        <v>1210</v>
      </c>
      <c r="F878" s="99" t="s">
        <v>1213</v>
      </c>
    </row>
    <row r="879" spans="1:6" x14ac:dyDescent="0.25">
      <c r="A879" t="s">
        <v>408</v>
      </c>
      <c r="B879">
        <v>22</v>
      </c>
      <c r="C879" t="s">
        <v>1290</v>
      </c>
      <c r="D879" t="s">
        <v>1219</v>
      </c>
      <c r="E879" t="s">
        <v>1207</v>
      </c>
      <c r="F879" s="99" t="s">
        <v>1213</v>
      </c>
    </row>
    <row r="880" spans="1:6" x14ac:dyDescent="0.25">
      <c r="A880" t="s">
        <v>911</v>
      </c>
      <c r="B880">
        <v>22</v>
      </c>
      <c r="C880" t="s">
        <v>1290</v>
      </c>
      <c r="D880" t="s">
        <v>1206</v>
      </c>
      <c r="E880" t="s">
        <v>1210</v>
      </c>
      <c r="F880" s="99" t="s">
        <v>1213</v>
      </c>
    </row>
    <row r="881" spans="1:6" x14ac:dyDescent="0.25">
      <c r="A881" t="s">
        <v>813</v>
      </c>
      <c r="B881">
        <v>22</v>
      </c>
      <c r="C881" t="s">
        <v>1290</v>
      </c>
      <c r="D881" t="s">
        <v>1219</v>
      </c>
      <c r="E881" t="s">
        <v>1217</v>
      </c>
      <c r="F881" s="99" t="s">
        <v>1213</v>
      </c>
    </row>
    <row r="882" spans="1:6" x14ac:dyDescent="0.25">
      <c r="A882" t="s">
        <v>665</v>
      </c>
      <c r="B882">
        <v>22</v>
      </c>
      <c r="C882" t="s">
        <v>1290</v>
      </c>
      <c r="D882" t="s">
        <v>1206</v>
      </c>
      <c r="E882" t="s">
        <v>1210</v>
      </c>
      <c r="F882" s="99" t="s">
        <v>1213</v>
      </c>
    </row>
    <row r="883" spans="1:6" x14ac:dyDescent="0.25">
      <c r="A883" t="s">
        <v>1023</v>
      </c>
      <c r="B883">
        <v>22</v>
      </c>
      <c r="C883" t="s">
        <v>1290</v>
      </c>
      <c r="D883" t="s">
        <v>1206</v>
      </c>
      <c r="E883" t="s">
        <v>1210</v>
      </c>
      <c r="F883" s="99" t="s">
        <v>1213</v>
      </c>
    </row>
    <row r="884" spans="1:6" x14ac:dyDescent="0.25">
      <c r="A884" t="s">
        <v>1103</v>
      </c>
      <c r="B884">
        <v>22</v>
      </c>
      <c r="C884" t="s">
        <v>1290</v>
      </c>
      <c r="D884" t="s">
        <v>1206</v>
      </c>
      <c r="E884" t="s">
        <v>1217</v>
      </c>
      <c r="F884" s="99" t="s">
        <v>1213</v>
      </c>
    </row>
    <row r="885" spans="1:6" x14ac:dyDescent="0.25">
      <c r="A885" t="s">
        <v>396</v>
      </c>
      <c r="B885">
        <v>22</v>
      </c>
      <c r="C885" t="s">
        <v>1290</v>
      </c>
      <c r="D885" t="s">
        <v>1220</v>
      </c>
      <c r="E885" t="s">
        <v>1217</v>
      </c>
      <c r="F885" s="99" t="s">
        <v>1213</v>
      </c>
    </row>
    <row r="886" spans="1:6" x14ac:dyDescent="0.25">
      <c r="A886" t="s">
        <v>765</v>
      </c>
      <c r="B886">
        <v>22</v>
      </c>
      <c r="C886" t="s">
        <v>1290</v>
      </c>
      <c r="D886" t="s">
        <v>1206</v>
      </c>
      <c r="E886" t="s">
        <v>1210</v>
      </c>
      <c r="F886" s="99" t="s">
        <v>1213</v>
      </c>
    </row>
    <row r="887" spans="1:6" x14ac:dyDescent="0.25">
      <c r="A887" t="s">
        <v>1044</v>
      </c>
      <c r="B887">
        <v>22</v>
      </c>
      <c r="C887" t="s">
        <v>1290</v>
      </c>
      <c r="D887" t="s">
        <v>1206</v>
      </c>
      <c r="E887" t="s">
        <v>1210</v>
      </c>
      <c r="F887" s="99" t="s">
        <v>1213</v>
      </c>
    </row>
    <row r="888" spans="1:6" x14ac:dyDescent="0.25">
      <c r="A888" t="s">
        <v>435</v>
      </c>
      <c r="B888">
        <v>22</v>
      </c>
      <c r="C888" t="s">
        <v>1290</v>
      </c>
      <c r="D888" t="s">
        <v>1220</v>
      </c>
      <c r="E888" t="s">
        <v>1210</v>
      </c>
      <c r="F888" s="99" t="s">
        <v>1213</v>
      </c>
    </row>
    <row r="889" spans="1:6" x14ac:dyDescent="0.25">
      <c r="A889" t="s">
        <v>513</v>
      </c>
      <c r="B889">
        <v>22</v>
      </c>
      <c r="C889" t="s">
        <v>1290</v>
      </c>
      <c r="D889" t="s">
        <v>1206</v>
      </c>
      <c r="E889" t="s">
        <v>1217</v>
      </c>
      <c r="F889" s="99" t="s">
        <v>1213</v>
      </c>
    </row>
    <row r="890" spans="1:6" x14ac:dyDescent="0.25">
      <c r="A890" t="s">
        <v>566</v>
      </c>
      <c r="B890">
        <v>22</v>
      </c>
      <c r="C890" t="s">
        <v>1290</v>
      </c>
      <c r="D890" t="s">
        <v>1219</v>
      </c>
      <c r="E890" t="s">
        <v>1217</v>
      </c>
      <c r="F890" s="99" t="s">
        <v>1213</v>
      </c>
    </row>
    <row r="891" spans="1:6" x14ac:dyDescent="0.25">
      <c r="A891" t="s">
        <v>1188</v>
      </c>
      <c r="B891">
        <v>22</v>
      </c>
      <c r="C891" t="s">
        <v>1290</v>
      </c>
      <c r="D891" t="s">
        <v>1206</v>
      </c>
      <c r="E891" t="s">
        <v>1207</v>
      </c>
      <c r="F891" s="99" t="s">
        <v>1213</v>
      </c>
    </row>
    <row r="892" spans="1:6" x14ac:dyDescent="0.25">
      <c r="A892" t="s">
        <v>178</v>
      </c>
      <c r="B892">
        <v>22</v>
      </c>
      <c r="C892" t="s">
        <v>1290</v>
      </c>
      <c r="D892" t="s">
        <v>1218</v>
      </c>
      <c r="E892" t="s">
        <v>1215</v>
      </c>
      <c r="F892" s="99" t="s">
        <v>1213</v>
      </c>
    </row>
    <row r="893" spans="1:6" x14ac:dyDescent="0.25">
      <c r="A893" t="s">
        <v>132</v>
      </c>
      <c r="B893">
        <v>22</v>
      </c>
      <c r="C893" t="s">
        <v>1290</v>
      </c>
      <c r="D893" t="s">
        <v>1206</v>
      </c>
      <c r="E893" t="s">
        <v>1215</v>
      </c>
      <c r="F893" s="99" t="s">
        <v>1213</v>
      </c>
    </row>
    <row r="894" spans="1:6" x14ac:dyDescent="0.25">
      <c r="A894" t="s">
        <v>412</v>
      </c>
      <c r="B894">
        <v>22</v>
      </c>
      <c r="C894" t="s">
        <v>1290</v>
      </c>
      <c r="D894" t="s">
        <v>1218</v>
      </c>
      <c r="E894" t="s">
        <v>1210</v>
      </c>
      <c r="F894" s="99" t="s">
        <v>1213</v>
      </c>
    </row>
    <row r="895" spans="1:6" x14ac:dyDescent="0.25">
      <c r="A895" t="s">
        <v>1185</v>
      </c>
      <c r="B895">
        <v>22</v>
      </c>
      <c r="C895" t="s">
        <v>1290</v>
      </c>
      <c r="D895" t="s">
        <v>1206</v>
      </c>
      <c r="E895" t="s">
        <v>1207</v>
      </c>
      <c r="F895" s="99" t="s">
        <v>1213</v>
      </c>
    </row>
    <row r="896" spans="1:6" x14ac:dyDescent="0.25">
      <c r="A896" t="s">
        <v>505</v>
      </c>
      <c r="B896">
        <v>22</v>
      </c>
      <c r="C896" t="s">
        <v>1290</v>
      </c>
      <c r="D896" t="s">
        <v>1219</v>
      </c>
      <c r="E896" t="s">
        <v>1217</v>
      </c>
      <c r="F896" s="99" t="s">
        <v>1213</v>
      </c>
    </row>
    <row r="897" spans="1:6" x14ac:dyDescent="0.25">
      <c r="A897" t="s">
        <v>587</v>
      </c>
      <c r="B897">
        <v>22</v>
      </c>
      <c r="C897" t="s">
        <v>1290</v>
      </c>
      <c r="D897" t="s">
        <v>1206</v>
      </c>
      <c r="E897" t="s">
        <v>1217</v>
      </c>
      <c r="F897" s="99" t="s">
        <v>1213</v>
      </c>
    </row>
    <row r="898" spans="1:6" x14ac:dyDescent="0.25">
      <c r="A898" t="s">
        <v>203</v>
      </c>
      <c r="B898">
        <v>22</v>
      </c>
      <c r="C898" t="s">
        <v>1290</v>
      </c>
      <c r="D898" t="s">
        <v>1218</v>
      </c>
      <c r="E898" t="s">
        <v>1215</v>
      </c>
      <c r="F898" s="99" t="s">
        <v>1213</v>
      </c>
    </row>
    <row r="899" spans="1:6" x14ac:dyDescent="0.25">
      <c r="A899" t="s">
        <v>268</v>
      </c>
      <c r="B899">
        <v>22</v>
      </c>
      <c r="C899" t="s">
        <v>1290</v>
      </c>
      <c r="D899" t="s">
        <v>1206</v>
      </c>
      <c r="E899" t="s">
        <v>1207</v>
      </c>
      <c r="F899" s="99" t="s">
        <v>1213</v>
      </c>
    </row>
    <row r="900" spans="1:6" x14ac:dyDescent="0.25">
      <c r="A900" t="s">
        <v>622</v>
      </c>
      <c r="B900">
        <v>22</v>
      </c>
      <c r="C900" t="s">
        <v>1290</v>
      </c>
      <c r="D900" t="s">
        <v>1220</v>
      </c>
      <c r="E900" t="s">
        <v>1217</v>
      </c>
      <c r="F900" s="99" t="s">
        <v>1213</v>
      </c>
    </row>
    <row r="901" spans="1:6" x14ac:dyDescent="0.25">
      <c r="A901" t="s">
        <v>239</v>
      </c>
      <c r="B901">
        <v>22</v>
      </c>
      <c r="C901" t="s">
        <v>1290</v>
      </c>
      <c r="D901" t="s">
        <v>1220</v>
      </c>
      <c r="E901" t="s">
        <v>1207</v>
      </c>
      <c r="F901" s="99" t="s">
        <v>1213</v>
      </c>
    </row>
    <row r="902" spans="1:6" x14ac:dyDescent="0.25">
      <c r="A902" t="s">
        <v>1108</v>
      </c>
      <c r="B902">
        <v>22</v>
      </c>
      <c r="C902" t="s">
        <v>1290</v>
      </c>
      <c r="D902" t="s">
        <v>1206</v>
      </c>
      <c r="E902" t="s">
        <v>1207</v>
      </c>
      <c r="F902" s="99" t="s">
        <v>1213</v>
      </c>
    </row>
    <row r="903" spans="1:6" x14ac:dyDescent="0.25">
      <c r="A903" t="s">
        <v>1007</v>
      </c>
      <c r="B903">
        <v>22</v>
      </c>
      <c r="C903" t="s">
        <v>1290</v>
      </c>
      <c r="D903" t="s">
        <v>1206</v>
      </c>
      <c r="E903" t="s">
        <v>1210</v>
      </c>
      <c r="F903" s="99" t="s">
        <v>1213</v>
      </c>
    </row>
    <row r="904" spans="1:6" x14ac:dyDescent="0.25">
      <c r="A904" t="s">
        <v>458</v>
      </c>
      <c r="B904">
        <v>22</v>
      </c>
      <c r="C904" t="s">
        <v>1290</v>
      </c>
      <c r="D904" t="s">
        <v>1220</v>
      </c>
      <c r="E904" t="s">
        <v>1210</v>
      </c>
      <c r="F904" s="99" t="s">
        <v>1213</v>
      </c>
    </row>
    <row r="905" spans="1:6" x14ac:dyDescent="0.25">
      <c r="A905" t="s">
        <v>1160</v>
      </c>
      <c r="B905">
        <v>22</v>
      </c>
      <c r="C905" t="s">
        <v>1290</v>
      </c>
      <c r="D905" t="s">
        <v>1206</v>
      </c>
      <c r="E905" t="s">
        <v>1207</v>
      </c>
      <c r="F905" s="99" t="s">
        <v>1213</v>
      </c>
    </row>
    <row r="906" spans="1:6" x14ac:dyDescent="0.25">
      <c r="A906" t="s">
        <v>117</v>
      </c>
      <c r="B906">
        <v>22</v>
      </c>
      <c r="C906" t="s">
        <v>1290</v>
      </c>
      <c r="D906" t="s">
        <v>1218</v>
      </c>
      <c r="E906" t="s">
        <v>1207</v>
      </c>
      <c r="F906" s="99" t="s">
        <v>1213</v>
      </c>
    </row>
    <row r="907" spans="1:6" x14ac:dyDescent="0.25">
      <c r="A907" t="s">
        <v>789</v>
      </c>
      <c r="B907">
        <v>22</v>
      </c>
      <c r="C907" t="s">
        <v>1290</v>
      </c>
      <c r="D907" t="s">
        <v>1206</v>
      </c>
      <c r="E907" t="s">
        <v>1215</v>
      </c>
      <c r="F907" s="99" t="s">
        <v>1213</v>
      </c>
    </row>
    <row r="908" spans="1:6" x14ac:dyDescent="0.25">
      <c r="A908" t="s">
        <v>404</v>
      </c>
      <c r="B908">
        <v>22</v>
      </c>
      <c r="C908" t="s">
        <v>1290</v>
      </c>
      <c r="D908" t="s">
        <v>1218</v>
      </c>
      <c r="E908" t="s">
        <v>1207</v>
      </c>
      <c r="F908" s="99" t="s">
        <v>1213</v>
      </c>
    </row>
    <row r="909" spans="1:6" x14ac:dyDescent="0.25">
      <c r="A909" t="s">
        <v>522</v>
      </c>
      <c r="B909">
        <v>22</v>
      </c>
      <c r="C909" t="s">
        <v>1290</v>
      </c>
      <c r="D909" t="s">
        <v>1206</v>
      </c>
      <c r="E909" t="s">
        <v>1210</v>
      </c>
      <c r="F909" s="99" t="s">
        <v>1213</v>
      </c>
    </row>
    <row r="910" spans="1:6" x14ac:dyDescent="0.25">
      <c r="A910" t="s">
        <v>688</v>
      </c>
      <c r="B910">
        <v>22</v>
      </c>
      <c r="C910" t="s">
        <v>1290</v>
      </c>
      <c r="D910" t="s">
        <v>1206</v>
      </c>
      <c r="E910" t="s">
        <v>1210</v>
      </c>
      <c r="F910" s="99" t="s">
        <v>1213</v>
      </c>
    </row>
    <row r="911" spans="1:6" x14ac:dyDescent="0.25">
      <c r="A911" t="s">
        <v>236</v>
      </c>
      <c r="B911">
        <v>22</v>
      </c>
      <c r="C911" t="s">
        <v>1290</v>
      </c>
      <c r="D911" t="s">
        <v>1220</v>
      </c>
      <c r="E911" t="s">
        <v>1217</v>
      </c>
      <c r="F911" s="99" t="s">
        <v>1213</v>
      </c>
    </row>
    <row r="912" spans="1:6" x14ac:dyDescent="0.25">
      <c r="A912" t="s">
        <v>349</v>
      </c>
      <c r="B912">
        <v>22</v>
      </c>
      <c r="C912" t="s">
        <v>1290</v>
      </c>
      <c r="D912" t="s">
        <v>1219</v>
      </c>
      <c r="E912" t="s">
        <v>1217</v>
      </c>
      <c r="F912" s="99" t="s">
        <v>1213</v>
      </c>
    </row>
    <row r="913" spans="1:6" x14ac:dyDescent="0.25">
      <c r="A913" t="s">
        <v>771</v>
      </c>
      <c r="B913">
        <v>22</v>
      </c>
      <c r="C913" t="s">
        <v>1290</v>
      </c>
      <c r="D913" t="s">
        <v>1206</v>
      </c>
      <c r="E913" t="s">
        <v>1210</v>
      </c>
      <c r="F913" s="99" t="s">
        <v>1213</v>
      </c>
    </row>
    <row r="914" spans="1:6" x14ac:dyDescent="0.25">
      <c r="A914" t="s">
        <v>999</v>
      </c>
      <c r="B914">
        <v>22</v>
      </c>
      <c r="C914" t="s">
        <v>1290</v>
      </c>
      <c r="D914" t="s">
        <v>1206</v>
      </c>
      <c r="E914" t="s">
        <v>1210</v>
      </c>
      <c r="F914" s="99" t="s">
        <v>1213</v>
      </c>
    </row>
    <row r="915" spans="1:6" x14ac:dyDescent="0.25">
      <c r="A915" t="s">
        <v>755</v>
      </c>
      <c r="B915">
        <v>22</v>
      </c>
      <c r="C915" t="s">
        <v>1290</v>
      </c>
      <c r="D915" t="s">
        <v>1206</v>
      </c>
      <c r="E915" t="s">
        <v>1210</v>
      </c>
      <c r="F915" s="99" t="s">
        <v>1213</v>
      </c>
    </row>
    <row r="916" spans="1:6" x14ac:dyDescent="0.25">
      <c r="A916" t="s">
        <v>273</v>
      </c>
      <c r="B916">
        <v>22</v>
      </c>
      <c r="C916" t="s">
        <v>1290</v>
      </c>
      <c r="D916" t="s">
        <v>1206</v>
      </c>
      <c r="E916" t="s">
        <v>1210</v>
      </c>
      <c r="F916" s="99" t="s">
        <v>1213</v>
      </c>
    </row>
    <row r="917" spans="1:6" x14ac:dyDescent="0.25">
      <c r="A917" t="s">
        <v>953</v>
      </c>
      <c r="B917">
        <v>22</v>
      </c>
      <c r="C917" t="s">
        <v>1290</v>
      </c>
      <c r="D917" t="s">
        <v>1206</v>
      </c>
      <c r="E917" t="s">
        <v>1210</v>
      </c>
      <c r="F917" s="99" t="s">
        <v>1213</v>
      </c>
    </row>
    <row r="918" spans="1:6" x14ac:dyDescent="0.25">
      <c r="A918" t="s">
        <v>1155</v>
      </c>
      <c r="B918">
        <v>22</v>
      </c>
      <c r="C918" t="s">
        <v>1290</v>
      </c>
      <c r="D918" t="s">
        <v>1206</v>
      </c>
      <c r="E918" t="s">
        <v>1207</v>
      </c>
      <c r="F918" s="99" t="s">
        <v>1213</v>
      </c>
    </row>
    <row r="919" spans="1:6" x14ac:dyDescent="0.25">
      <c r="A919" t="s">
        <v>568</v>
      </c>
      <c r="B919">
        <v>22</v>
      </c>
      <c r="C919" t="s">
        <v>1290</v>
      </c>
      <c r="D919" t="s">
        <v>1220</v>
      </c>
      <c r="E919" t="s">
        <v>1210</v>
      </c>
      <c r="F919" s="99" t="s">
        <v>1213</v>
      </c>
    </row>
    <row r="920" spans="1:6" x14ac:dyDescent="0.25">
      <c r="A920" t="s">
        <v>269</v>
      </c>
      <c r="B920">
        <v>22</v>
      </c>
      <c r="C920" t="s">
        <v>1290</v>
      </c>
      <c r="D920" t="s">
        <v>1206</v>
      </c>
      <c r="E920" t="s">
        <v>1210</v>
      </c>
      <c r="F920" s="99" t="s">
        <v>1213</v>
      </c>
    </row>
    <row r="921" spans="1:6" x14ac:dyDescent="0.25">
      <c r="A921" t="s">
        <v>1111</v>
      </c>
      <c r="B921">
        <v>22</v>
      </c>
      <c r="C921" t="s">
        <v>1290</v>
      </c>
      <c r="D921" t="s">
        <v>1206</v>
      </c>
      <c r="E921" t="s">
        <v>1207</v>
      </c>
      <c r="F921" s="99" t="s">
        <v>1213</v>
      </c>
    </row>
    <row r="922" spans="1:6" x14ac:dyDescent="0.25">
      <c r="A922" t="s">
        <v>103</v>
      </c>
      <c r="B922">
        <v>22</v>
      </c>
      <c r="C922" t="s">
        <v>1290</v>
      </c>
      <c r="D922" t="s">
        <v>1218</v>
      </c>
      <c r="E922" t="s">
        <v>1217</v>
      </c>
      <c r="F922" s="99" t="s">
        <v>1213</v>
      </c>
    </row>
    <row r="923" spans="1:6" x14ac:dyDescent="0.25">
      <c r="A923" t="s">
        <v>1182</v>
      </c>
      <c r="B923">
        <v>22</v>
      </c>
      <c r="C923" t="s">
        <v>1290</v>
      </c>
      <c r="D923" t="s">
        <v>1206</v>
      </c>
      <c r="E923" t="s">
        <v>1207</v>
      </c>
      <c r="F923" s="99" t="s">
        <v>1213</v>
      </c>
    </row>
    <row r="924" spans="1:6" x14ac:dyDescent="0.25">
      <c r="A924" t="s">
        <v>147</v>
      </c>
      <c r="B924">
        <v>22</v>
      </c>
      <c r="C924" t="s">
        <v>1290</v>
      </c>
      <c r="D924" t="s">
        <v>1206</v>
      </c>
      <c r="E924" t="s">
        <v>1210</v>
      </c>
      <c r="F924" s="99" t="s">
        <v>1213</v>
      </c>
    </row>
    <row r="925" spans="1:6" x14ac:dyDescent="0.25">
      <c r="A925" t="s">
        <v>743</v>
      </c>
      <c r="B925">
        <v>22</v>
      </c>
      <c r="C925" t="s">
        <v>1290</v>
      </c>
      <c r="D925" t="s">
        <v>1206</v>
      </c>
      <c r="E925" t="s">
        <v>1215</v>
      </c>
      <c r="F925" s="99" t="s">
        <v>1213</v>
      </c>
    </row>
    <row r="926" spans="1:6" x14ac:dyDescent="0.25">
      <c r="A926" t="s">
        <v>589</v>
      </c>
      <c r="B926">
        <v>22</v>
      </c>
      <c r="C926" t="s">
        <v>1290</v>
      </c>
      <c r="D926" t="s">
        <v>1220</v>
      </c>
      <c r="E926" t="s">
        <v>1217</v>
      </c>
      <c r="F926" s="99" t="s">
        <v>1213</v>
      </c>
    </row>
    <row r="927" spans="1:6" x14ac:dyDescent="0.25">
      <c r="A927" t="s">
        <v>785</v>
      </c>
      <c r="B927">
        <v>22</v>
      </c>
      <c r="C927" t="s">
        <v>1290</v>
      </c>
      <c r="D927" t="s">
        <v>1206</v>
      </c>
      <c r="E927" t="s">
        <v>1210</v>
      </c>
      <c r="F927" s="99" t="s">
        <v>1213</v>
      </c>
    </row>
    <row r="928" spans="1:6" x14ac:dyDescent="0.25">
      <c r="A928" t="s">
        <v>1037</v>
      </c>
      <c r="B928">
        <v>22</v>
      </c>
      <c r="C928" t="s">
        <v>1290</v>
      </c>
      <c r="D928" t="s">
        <v>1206</v>
      </c>
      <c r="E928" t="s">
        <v>1210</v>
      </c>
      <c r="F928" s="99" t="s">
        <v>1213</v>
      </c>
    </row>
    <row r="929" spans="1:6" x14ac:dyDescent="0.25">
      <c r="A929" t="s">
        <v>949</v>
      </c>
      <c r="B929">
        <v>22</v>
      </c>
      <c r="C929" t="s">
        <v>1290</v>
      </c>
      <c r="D929" t="s">
        <v>1206</v>
      </c>
      <c r="E929" t="s">
        <v>1210</v>
      </c>
      <c r="F929" s="99" t="s">
        <v>1213</v>
      </c>
    </row>
    <row r="930" spans="1:6" x14ac:dyDescent="0.25">
      <c r="A930" t="s">
        <v>776</v>
      </c>
      <c r="B930">
        <v>22</v>
      </c>
      <c r="C930" t="s">
        <v>1290</v>
      </c>
      <c r="D930" t="s">
        <v>1206</v>
      </c>
      <c r="E930" t="s">
        <v>1210</v>
      </c>
      <c r="F930" s="99" t="s">
        <v>1213</v>
      </c>
    </row>
    <row r="931" spans="1:6" x14ac:dyDescent="0.25">
      <c r="A931" t="s">
        <v>99</v>
      </c>
      <c r="B931">
        <v>22</v>
      </c>
      <c r="C931" t="s">
        <v>1290</v>
      </c>
      <c r="D931" t="s">
        <v>1206</v>
      </c>
      <c r="E931" t="s">
        <v>1215</v>
      </c>
      <c r="F931" s="99" t="s">
        <v>1213</v>
      </c>
    </row>
    <row r="932" spans="1:6" x14ac:dyDescent="0.25">
      <c r="A932" t="s">
        <v>171</v>
      </c>
      <c r="B932">
        <v>22</v>
      </c>
      <c r="C932" t="s">
        <v>1290</v>
      </c>
      <c r="D932" t="s">
        <v>1218</v>
      </c>
      <c r="E932" t="s">
        <v>1210</v>
      </c>
      <c r="F932" s="99" t="s">
        <v>1213</v>
      </c>
    </row>
    <row r="933" spans="1:6" x14ac:dyDescent="0.25">
      <c r="A933" t="s">
        <v>968</v>
      </c>
      <c r="B933">
        <v>22</v>
      </c>
      <c r="C933" t="s">
        <v>1290</v>
      </c>
      <c r="D933" t="s">
        <v>1206</v>
      </c>
      <c r="E933" t="s">
        <v>1210</v>
      </c>
      <c r="F933" s="99" t="s">
        <v>1213</v>
      </c>
    </row>
    <row r="934" spans="1:6" x14ac:dyDescent="0.25">
      <c r="A934" t="s">
        <v>603</v>
      </c>
      <c r="B934">
        <v>22</v>
      </c>
      <c r="C934" t="s">
        <v>1290</v>
      </c>
      <c r="D934" t="s">
        <v>1220</v>
      </c>
      <c r="E934" t="s">
        <v>1217</v>
      </c>
      <c r="F934" s="99" t="s">
        <v>1213</v>
      </c>
    </row>
    <row r="935" spans="1:6" x14ac:dyDescent="0.25">
      <c r="A935" t="s">
        <v>703</v>
      </c>
      <c r="B935">
        <v>22</v>
      </c>
      <c r="C935" t="s">
        <v>1290</v>
      </c>
      <c r="D935" t="s">
        <v>1206</v>
      </c>
      <c r="E935" t="s">
        <v>1210</v>
      </c>
      <c r="F935" s="99" t="s">
        <v>1213</v>
      </c>
    </row>
    <row r="936" spans="1:6" x14ac:dyDescent="0.25">
      <c r="A936" t="s">
        <v>764</v>
      </c>
      <c r="B936">
        <v>22</v>
      </c>
      <c r="C936" t="s">
        <v>1290</v>
      </c>
      <c r="D936" t="s">
        <v>1206</v>
      </c>
      <c r="E936" t="s">
        <v>1210</v>
      </c>
      <c r="F936" s="99" t="s">
        <v>1213</v>
      </c>
    </row>
    <row r="937" spans="1:6" x14ac:dyDescent="0.25">
      <c r="A937" t="s">
        <v>78</v>
      </c>
      <c r="B937">
        <v>22</v>
      </c>
      <c r="C937" t="s">
        <v>1290</v>
      </c>
      <c r="D937" t="s">
        <v>1218</v>
      </c>
      <c r="E937" t="s">
        <v>1215</v>
      </c>
      <c r="F937" s="99" t="s">
        <v>1213</v>
      </c>
    </row>
    <row r="938" spans="1:6" x14ac:dyDescent="0.25">
      <c r="A938" t="s">
        <v>563</v>
      </c>
      <c r="B938">
        <v>22</v>
      </c>
      <c r="C938" t="s">
        <v>1290</v>
      </c>
      <c r="D938" t="s">
        <v>1219</v>
      </c>
      <c r="E938" t="s">
        <v>1207</v>
      </c>
      <c r="F938" s="99" t="s">
        <v>1213</v>
      </c>
    </row>
    <row r="939" spans="1:6" x14ac:dyDescent="0.25">
      <c r="A939" t="s">
        <v>1053</v>
      </c>
      <c r="B939">
        <v>22</v>
      </c>
      <c r="C939" t="s">
        <v>1290</v>
      </c>
      <c r="D939" t="s">
        <v>1206</v>
      </c>
      <c r="E939" t="s">
        <v>1207</v>
      </c>
      <c r="F939" s="99" t="s">
        <v>1213</v>
      </c>
    </row>
    <row r="940" spans="1:6" x14ac:dyDescent="0.25">
      <c r="A940" t="s">
        <v>486</v>
      </c>
      <c r="B940">
        <v>22</v>
      </c>
      <c r="C940" t="s">
        <v>1290</v>
      </c>
      <c r="D940" t="s">
        <v>1220</v>
      </c>
      <c r="E940" t="s">
        <v>1217</v>
      </c>
      <c r="F940" s="99" t="s">
        <v>1213</v>
      </c>
    </row>
    <row r="941" spans="1:6" x14ac:dyDescent="0.25">
      <c r="A941" t="s">
        <v>746</v>
      </c>
      <c r="B941">
        <v>22</v>
      </c>
      <c r="C941" t="s">
        <v>1290</v>
      </c>
      <c r="D941" t="s">
        <v>1206</v>
      </c>
      <c r="E941" t="s">
        <v>1210</v>
      </c>
      <c r="F941" s="99" t="s">
        <v>1213</v>
      </c>
    </row>
    <row r="942" spans="1:6" x14ac:dyDescent="0.25">
      <c r="A942" t="s">
        <v>610</v>
      </c>
      <c r="B942">
        <v>22</v>
      </c>
      <c r="C942" t="s">
        <v>1290</v>
      </c>
      <c r="D942" t="s">
        <v>1206</v>
      </c>
      <c r="E942" t="s">
        <v>1217</v>
      </c>
      <c r="F942" s="99" t="s">
        <v>1213</v>
      </c>
    </row>
    <row r="943" spans="1:6" x14ac:dyDescent="0.25">
      <c r="A943" t="s">
        <v>164</v>
      </c>
      <c r="B943">
        <v>22</v>
      </c>
      <c r="C943" t="s">
        <v>1290</v>
      </c>
      <c r="D943" t="s">
        <v>1218</v>
      </c>
      <c r="E943" t="s">
        <v>1215</v>
      </c>
      <c r="F943" s="99" t="s">
        <v>1213</v>
      </c>
    </row>
    <row r="944" spans="1:6" x14ac:dyDescent="0.25">
      <c r="A944" t="s">
        <v>649</v>
      </c>
      <c r="B944">
        <v>22</v>
      </c>
      <c r="C944" t="s">
        <v>1290</v>
      </c>
      <c r="D944" t="s">
        <v>1206</v>
      </c>
      <c r="E944" t="s">
        <v>1217</v>
      </c>
      <c r="F944" s="99" t="s">
        <v>1213</v>
      </c>
    </row>
    <row r="945" spans="1:6" x14ac:dyDescent="0.25">
      <c r="A945" t="s">
        <v>1162</v>
      </c>
      <c r="B945">
        <v>22</v>
      </c>
      <c r="C945" t="s">
        <v>1290</v>
      </c>
      <c r="D945" t="s">
        <v>1206</v>
      </c>
      <c r="E945" t="s">
        <v>1207</v>
      </c>
      <c r="F945" s="99" t="s">
        <v>1213</v>
      </c>
    </row>
    <row r="946" spans="1:6" x14ac:dyDescent="0.25">
      <c r="A946" t="s">
        <v>445</v>
      </c>
      <c r="B946">
        <v>22</v>
      </c>
      <c r="C946" t="s">
        <v>1290</v>
      </c>
      <c r="D946" t="s">
        <v>1206</v>
      </c>
      <c r="E946" t="s">
        <v>1217</v>
      </c>
      <c r="F946" s="99" t="s">
        <v>1213</v>
      </c>
    </row>
    <row r="947" spans="1:6" x14ac:dyDescent="0.25">
      <c r="A947" t="s">
        <v>907</v>
      </c>
      <c r="B947">
        <v>22</v>
      </c>
      <c r="C947" t="s">
        <v>1290</v>
      </c>
      <c r="D947" t="s">
        <v>1206</v>
      </c>
      <c r="E947" t="s">
        <v>1207</v>
      </c>
      <c r="F947" s="99" t="s">
        <v>1213</v>
      </c>
    </row>
    <row r="948" spans="1:6" x14ac:dyDescent="0.25">
      <c r="A948" t="s">
        <v>1195</v>
      </c>
      <c r="B948">
        <v>22</v>
      </c>
      <c r="C948" t="s">
        <v>1290</v>
      </c>
      <c r="D948" t="s">
        <v>1206</v>
      </c>
      <c r="E948" t="s">
        <v>1207</v>
      </c>
      <c r="F948" s="99" t="s">
        <v>1213</v>
      </c>
    </row>
    <row r="949" spans="1:6" x14ac:dyDescent="0.25">
      <c r="A949" t="s">
        <v>659</v>
      </c>
      <c r="B949">
        <v>22</v>
      </c>
      <c r="C949" t="s">
        <v>1290</v>
      </c>
      <c r="D949" t="s">
        <v>1206</v>
      </c>
      <c r="E949" t="s">
        <v>1207</v>
      </c>
      <c r="F949" s="99" t="s">
        <v>1213</v>
      </c>
    </row>
    <row r="950" spans="1:6" x14ac:dyDescent="0.25">
      <c r="A950" t="s">
        <v>140</v>
      </c>
      <c r="B950">
        <v>22</v>
      </c>
      <c r="C950" t="s">
        <v>1290</v>
      </c>
      <c r="D950" t="s">
        <v>1206</v>
      </c>
      <c r="E950" t="s">
        <v>1207</v>
      </c>
      <c r="F950" s="99" t="s">
        <v>1213</v>
      </c>
    </row>
    <row r="951" spans="1:6" x14ac:dyDescent="0.25">
      <c r="A951" t="s">
        <v>108</v>
      </c>
      <c r="B951">
        <v>22</v>
      </c>
      <c r="C951" t="s">
        <v>1290</v>
      </c>
      <c r="D951" t="s">
        <v>1206</v>
      </c>
      <c r="E951" t="s">
        <v>1215</v>
      </c>
      <c r="F951" s="99" t="s">
        <v>1213</v>
      </c>
    </row>
    <row r="952" spans="1:6" x14ac:dyDescent="0.25">
      <c r="A952" t="s">
        <v>240</v>
      </c>
      <c r="B952">
        <v>22</v>
      </c>
      <c r="C952" t="s">
        <v>1290</v>
      </c>
      <c r="D952" t="s">
        <v>1219</v>
      </c>
      <c r="E952" t="s">
        <v>1217</v>
      </c>
      <c r="F952" s="99" t="s">
        <v>1213</v>
      </c>
    </row>
    <row r="953" spans="1:6" x14ac:dyDescent="0.25">
      <c r="A953" t="s">
        <v>706</v>
      </c>
      <c r="B953">
        <v>22</v>
      </c>
      <c r="C953" t="s">
        <v>1290</v>
      </c>
      <c r="D953" t="s">
        <v>1206</v>
      </c>
      <c r="E953" t="s">
        <v>1210</v>
      </c>
      <c r="F953" s="99" t="s">
        <v>1213</v>
      </c>
    </row>
    <row r="954" spans="1:6" x14ac:dyDescent="0.25">
      <c r="A954" t="s">
        <v>1015</v>
      </c>
      <c r="B954">
        <v>22</v>
      </c>
      <c r="C954" t="s">
        <v>1290</v>
      </c>
      <c r="D954" t="s">
        <v>1206</v>
      </c>
      <c r="E954" t="s">
        <v>1210</v>
      </c>
      <c r="F954" s="99" t="s">
        <v>1213</v>
      </c>
    </row>
    <row r="955" spans="1:6" x14ac:dyDescent="0.25">
      <c r="A955" t="s">
        <v>844</v>
      </c>
      <c r="B955">
        <v>22</v>
      </c>
      <c r="C955" t="s">
        <v>1290</v>
      </c>
      <c r="D955" t="s">
        <v>1206</v>
      </c>
      <c r="E955" t="s">
        <v>1210</v>
      </c>
      <c r="F955" s="99" t="s">
        <v>1213</v>
      </c>
    </row>
    <row r="956" spans="1:6" x14ac:dyDescent="0.25">
      <c r="A956" t="s">
        <v>869</v>
      </c>
      <c r="B956">
        <v>22</v>
      </c>
      <c r="C956" t="s">
        <v>1290</v>
      </c>
      <c r="D956" t="s">
        <v>1206</v>
      </c>
      <c r="E956" t="s">
        <v>1210</v>
      </c>
      <c r="F956" s="99" t="s">
        <v>1213</v>
      </c>
    </row>
    <row r="957" spans="1:6" x14ac:dyDescent="0.25">
      <c r="A957" t="s">
        <v>683</v>
      </c>
      <c r="B957">
        <v>22</v>
      </c>
      <c r="C957" t="s">
        <v>1290</v>
      </c>
      <c r="D957" t="s">
        <v>1206</v>
      </c>
      <c r="E957" t="s">
        <v>1210</v>
      </c>
      <c r="F957" s="99" t="s">
        <v>1213</v>
      </c>
    </row>
    <row r="958" spans="1:6" x14ac:dyDescent="0.25">
      <c r="A958" t="s">
        <v>335</v>
      </c>
      <c r="B958">
        <v>22</v>
      </c>
      <c r="C958" t="s">
        <v>1290</v>
      </c>
      <c r="D958" t="s">
        <v>1206</v>
      </c>
      <c r="E958" t="s">
        <v>1210</v>
      </c>
      <c r="F958" s="99" t="s">
        <v>1213</v>
      </c>
    </row>
    <row r="959" spans="1:6" x14ac:dyDescent="0.25">
      <c r="A959" t="s">
        <v>572</v>
      </c>
      <c r="B959">
        <v>22</v>
      </c>
      <c r="C959" t="s">
        <v>1290</v>
      </c>
      <c r="D959" t="s">
        <v>1206</v>
      </c>
      <c r="E959" t="s">
        <v>1207</v>
      </c>
      <c r="F959" s="99" t="s">
        <v>1213</v>
      </c>
    </row>
    <row r="960" spans="1:6" x14ac:dyDescent="0.25">
      <c r="A960" t="s">
        <v>243</v>
      </c>
      <c r="B960">
        <v>22</v>
      </c>
      <c r="C960" t="s">
        <v>1290</v>
      </c>
      <c r="D960" t="s">
        <v>1219</v>
      </c>
      <c r="E960" t="s">
        <v>1217</v>
      </c>
      <c r="F960" s="99" t="s">
        <v>1213</v>
      </c>
    </row>
    <row r="961" spans="1:6" x14ac:dyDescent="0.25">
      <c r="A961" t="s">
        <v>729</v>
      </c>
      <c r="B961">
        <v>22</v>
      </c>
      <c r="C961" t="s">
        <v>1290</v>
      </c>
      <c r="D961" t="s">
        <v>1206</v>
      </c>
      <c r="E961" t="s">
        <v>1210</v>
      </c>
      <c r="F961" s="99" t="s">
        <v>1213</v>
      </c>
    </row>
    <row r="962" spans="1:6" x14ac:dyDescent="0.25">
      <c r="A962" t="s">
        <v>956</v>
      </c>
      <c r="B962">
        <v>23</v>
      </c>
      <c r="C962" t="s">
        <v>1290</v>
      </c>
      <c r="D962" t="s">
        <v>1206</v>
      </c>
      <c r="E962" t="s">
        <v>1210</v>
      </c>
      <c r="F962" s="99" t="s">
        <v>1213</v>
      </c>
    </row>
    <row r="963" spans="1:6" x14ac:dyDescent="0.25">
      <c r="A963" t="s">
        <v>187</v>
      </c>
      <c r="B963">
        <v>23</v>
      </c>
      <c r="C963" t="s">
        <v>1290</v>
      </c>
      <c r="D963" t="s">
        <v>1206</v>
      </c>
      <c r="E963" t="s">
        <v>1215</v>
      </c>
      <c r="F963" s="99" t="s">
        <v>1213</v>
      </c>
    </row>
    <row r="964" spans="1:6" x14ac:dyDescent="0.25">
      <c r="A964" t="s">
        <v>1157</v>
      </c>
      <c r="B964">
        <v>23</v>
      </c>
      <c r="C964" t="s">
        <v>1290</v>
      </c>
      <c r="D964" t="s">
        <v>1220</v>
      </c>
      <c r="E964" t="s">
        <v>1207</v>
      </c>
      <c r="F964" s="99" t="s">
        <v>1213</v>
      </c>
    </row>
    <row r="965" spans="1:6" x14ac:dyDescent="0.25">
      <c r="A965" t="s">
        <v>692</v>
      </c>
      <c r="B965">
        <v>23</v>
      </c>
      <c r="C965" t="s">
        <v>1290</v>
      </c>
      <c r="D965" t="s">
        <v>1206</v>
      </c>
      <c r="E965" t="s">
        <v>1210</v>
      </c>
      <c r="F965" s="99" t="s">
        <v>1213</v>
      </c>
    </row>
    <row r="966" spans="1:6" x14ac:dyDescent="0.25">
      <c r="A966" t="s">
        <v>880</v>
      </c>
      <c r="B966">
        <v>23</v>
      </c>
      <c r="C966" t="s">
        <v>1290</v>
      </c>
      <c r="D966" t="s">
        <v>1206</v>
      </c>
      <c r="E966" t="s">
        <v>1217</v>
      </c>
      <c r="F966" s="99" t="s">
        <v>1213</v>
      </c>
    </row>
    <row r="967" spans="1:6" x14ac:dyDescent="0.25">
      <c r="A967" t="s">
        <v>451</v>
      </c>
      <c r="B967">
        <v>23</v>
      </c>
      <c r="C967" t="s">
        <v>1290</v>
      </c>
      <c r="D967" t="s">
        <v>1220</v>
      </c>
      <c r="E967" t="s">
        <v>1217</v>
      </c>
      <c r="F967" s="99" t="s">
        <v>1213</v>
      </c>
    </row>
    <row r="968" spans="1:6" x14ac:dyDescent="0.25">
      <c r="A968" t="s">
        <v>166</v>
      </c>
      <c r="B968">
        <v>23</v>
      </c>
      <c r="C968" t="s">
        <v>1290</v>
      </c>
      <c r="D968" t="s">
        <v>1218</v>
      </c>
      <c r="E968" t="s">
        <v>1217</v>
      </c>
      <c r="F968" s="99" t="s">
        <v>1213</v>
      </c>
    </row>
    <row r="969" spans="1:6" x14ac:dyDescent="0.25">
      <c r="A969" t="s">
        <v>790</v>
      </c>
      <c r="B969">
        <v>23</v>
      </c>
      <c r="C969" t="s">
        <v>1290</v>
      </c>
      <c r="D969" t="s">
        <v>1220</v>
      </c>
      <c r="E969" t="s">
        <v>1207</v>
      </c>
      <c r="F969" s="99" t="s">
        <v>1213</v>
      </c>
    </row>
    <row r="970" spans="1:6" x14ac:dyDescent="0.25">
      <c r="A970" t="s">
        <v>196</v>
      </c>
      <c r="B970">
        <v>23</v>
      </c>
      <c r="C970" t="s">
        <v>1290</v>
      </c>
      <c r="D970" t="s">
        <v>1218</v>
      </c>
      <c r="E970" t="s">
        <v>1215</v>
      </c>
      <c r="F970" s="99" t="s">
        <v>1213</v>
      </c>
    </row>
    <row r="971" spans="1:6" x14ac:dyDescent="0.25">
      <c r="A971" t="s">
        <v>415</v>
      </c>
      <c r="B971">
        <v>23</v>
      </c>
      <c r="C971" t="s">
        <v>1290</v>
      </c>
      <c r="D971" t="s">
        <v>1219</v>
      </c>
      <c r="E971" t="s">
        <v>1207</v>
      </c>
      <c r="F971" s="99" t="s">
        <v>1213</v>
      </c>
    </row>
    <row r="972" spans="1:6" x14ac:dyDescent="0.25">
      <c r="A972" t="s">
        <v>1068</v>
      </c>
      <c r="B972">
        <v>23</v>
      </c>
      <c r="C972" t="s">
        <v>1290</v>
      </c>
      <c r="D972" t="s">
        <v>1206</v>
      </c>
      <c r="E972" t="s">
        <v>1210</v>
      </c>
      <c r="F972" s="99" t="s">
        <v>1213</v>
      </c>
    </row>
    <row r="973" spans="1:6" x14ac:dyDescent="0.25">
      <c r="A973" t="s">
        <v>514</v>
      </c>
      <c r="B973">
        <v>23</v>
      </c>
      <c r="C973" t="s">
        <v>1290</v>
      </c>
      <c r="D973" t="s">
        <v>1206</v>
      </c>
      <c r="E973" t="s">
        <v>1207</v>
      </c>
      <c r="F973" s="99" t="s">
        <v>1213</v>
      </c>
    </row>
    <row r="974" spans="1:6" x14ac:dyDescent="0.25">
      <c r="A974" t="s">
        <v>342</v>
      </c>
      <c r="B974">
        <v>23</v>
      </c>
      <c r="C974" t="s">
        <v>1290</v>
      </c>
      <c r="D974" t="s">
        <v>1206</v>
      </c>
      <c r="E974" t="s">
        <v>1207</v>
      </c>
      <c r="F974" s="99" t="s">
        <v>1213</v>
      </c>
    </row>
    <row r="975" spans="1:6" x14ac:dyDescent="0.25">
      <c r="A975" t="s">
        <v>159</v>
      </c>
      <c r="B975">
        <v>23</v>
      </c>
      <c r="C975" t="s">
        <v>1290</v>
      </c>
      <c r="D975" t="s">
        <v>1218</v>
      </c>
      <c r="E975" t="s">
        <v>1207</v>
      </c>
      <c r="F975" s="99" t="s">
        <v>1213</v>
      </c>
    </row>
    <row r="976" spans="1:6" x14ac:dyDescent="0.25">
      <c r="A976" t="s">
        <v>182</v>
      </c>
      <c r="B976">
        <v>23</v>
      </c>
      <c r="C976" t="s">
        <v>1290</v>
      </c>
      <c r="D976" t="s">
        <v>1218</v>
      </c>
      <c r="E976" t="s">
        <v>1207</v>
      </c>
      <c r="F976" s="99" t="s">
        <v>1213</v>
      </c>
    </row>
    <row r="977" spans="1:6" x14ac:dyDescent="0.25">
      <c r="A977" t="s">
        <v>469</v>
      </c>
      <c r="B977">
        <v>23</v>
      </c>
      <c r="C977" t="s">
        <v>1290</v>
      </c>
      <c r="D977" t="s">
        <v>1220</v>
      </c>
      <c r="E977" t="s">
        <v>1217</v>
      </c>
      <c r="F977" s="99" t="s">
        <v>1213</v>
      </c>
    </row>
    <row r="978" spans="1:6" x14ac:dyDescent="0.25">
      <c r="A978" t="s">
        <v>954</v>
      </c>
      <c r="B978">
        <v>23</v>
      </c>
      <c r="C978" t="s">
        <v>1290</v>
      </c>
      <c r="D978" t="s">
        <v>1206</v>
      </c>
      <c r="E978" t="s">
        <v>1210</v>
      </c>
      <c r="F978" s="99" t="s">
        <v>1213</v>
      </c>
    </row>
    <row r="979" spans="1:6" x14ac:dyDescent="0.25">
      <c r="A979" t="s">
        <v>762</v>
      </c>
      <c r="B979">
        <v>23</v>
      </c>
      <c r="C979" t="s">
        <v>1290</v>
      </c>
      <c r="D979" t="s">
        <v>1206</v>
      </c>
      <c r="E979" t="s">
        <v>1210</v>
      </c>
      <c r="F979" s="99" t="s">
        <v>1213</v>
      </c>
    </row>
    <row r="980" spans="1:6" x14ac:dyDescent="0.25">
      <c r="A980" t="s">
        <v>822</v>
      </c>
      <c r="B980">
        <v>23</v>
      </c>
      <c r="C980" t="s">
        <v>1290</v>
      </c>
      <c r="D980" t="s">
        <v>1206</v>
      </c>
      <c r="E980" t="s">
        <v>1215</v>
      </c>
      <c r="F980" s="99" t="s">
        <v>1213</v>
      </c>
    </row>
    <row r="981" spans="1:6" x14ac:dyDescent="0.25">
      <c r="A981" t="s">
        <v>546</v>
      </c>
      <c r="B981">
        <v>23</v>
      </c>
      <c r="C981" t="s">
        <v>1290</v>
      </c>
      <c r="D981" t="s">
        <v>1206</v>
      </c>
      <c r="E981" t="s">
        <v>1207</v>
      </c>
      <c r="F981" s="99" t="s">
        <v>1213</v>
      </c>
    </row>
    <row r="982" spans="1:6" x14ac:dyDescent="0.25">
      <c r="A982" t="s">
        <v>881</v>
      </c>
      <c r="B982">
        <v>23</v>
      </c>
      <c r="C982" t="s">
        <v>1290</v>
      </c>
      <c r="D982" t="s">
        <v>1206</v>
      </c>
      <c r="E982" t="s">
        <v>1210</v>
      </c>
      <c r="F982" s="99" t="s">
        <v>1213</v>
      </c>
    </row>
    <row r="983" spans="1:6" x14ac:dyDescent="0.25">
      <c r="A983" t="s">
        <v>1179</v>
      </c>
      <c r="B983">
        <v>23</v>
      </c>
      <c r="C983" t="s">
        <v>1290</v>
      </c>
      <c r="D983" t="s">
        <v>1206</v>
      </c>
      <c r="E983" t="s">
        <v>1207</v>
      </c>
      <c r="F983" s="99" t="s">
        <v>1213</v>
      </c>
    </row>
    <row r="984" spans="1:6" x14ac:dyDescent="0.25">
      <c r="A984" t="s">
        <v>678</v>
      </c>
      <c r="B984">
        <v>23</v>
      </c>
      <c r="C984" t="s">
        <v>1290</v>
      </c>
      <c r="D984" t="s">
        <v>1206</v>
      </c>
      <c r="E984" t="s">
        <v>1210</v>
      </c>
      <c r="F984" s="99" t="s">
        <v>1213</v>
      </c>
    </row>
    <row r="985" spans="1:6" x14ac:dyDescent="0.25">
      <c r="A985" t="s">
        <v>229</v>
      </c>
      <c r="B985">
        <v>23</v>
      </c>
      <c r="C985" t="s">
        <v>1290</v>
      </c>
      <c r="D985" t="s">
        <v>1219</v>
      </c>
      <c r="E985" t="s">
        <v>1210</v>
      </c>
      <c r="F985" s="99" t="s">
        <v>1213</v>
      </c>
    </row>
    <row r="986" spans="1:6" x14ac:dyDescent="0.25">
      <c r="A986" t="s">
        <v>736</v>
      </c>
      <c r="B986">
        <v>23</v>
      </c>
      <c r="C986" t="s">
        <v>1290</v>
      </c>
      <c r="D986" t="s">
        <v>1206</v>
      </c>
      <c r="E986" t="s">
        <v>1210</v>
      </c>
      <c r="F986" s="99" t="s">
        <v>1213</v>
      </c>
    </row>
    <row r="987" spans="1:6" x14ac:dyDescent="0.25">
      <c r="A987" t="s">
        <v>364</v>
      </c>
      <c r="B987">
        <v>23</v>
      </c>
      <c r="C987" t="s">
        <v>1290</v>
      </c>
      <c r="D987" t="s">
        <v>1218</v>
      </c>
      <c r="E987" t="s">
        <v>1210</v>
      </c>
      <c r="F987" s="99" t="s">
        <v>1213</v>
      </c>
    </row>
    <row r="988" spans="1:6" x14ac:dyDescent="0.25">
      <c r="A988" t="s">
        <v>598</v>
      </c>
      <c r="B988">
        <v>23</v>
      </c>
      <c r="C988" t="s">
        <v>1290</v>
      </c>
      <c r="D988" t="s">
        <v>1206</v>
      </c>
      <c r="E988" t="s">
        <v>1210</v>
      </c>
      <c r="F988" s="99" t="s">
        <v>1213</v>
      </c>
    </row>
    <row r="989" spans="1:6" x14ac:dyDescent="0.25">
      <c r="A989" t="s">
        <v>695</v>
      </c>
      <c r="B989">
        <v>23</v>
      </c>
      <c r="C989" t="s">
        <v>1290</v>
      </c>
      <c r="D989" t="s">
        <v>1206</v>
      </c>
      <c r="E989" t="s">
        <v>1210</v>
      </c>
      <c r="F989" s="99" t="s">
        <v>1213</v>
      </c>
    </row>
    <row r="990" spans="1:6" x14ac:dyDescent="0.25">
      <c r="A990" t="s">
        <v>577</v>
      </c>
      <c r="B990">
        <v>23</v>
      </c>
      <c r="C990" t="s">
        <v>1290</v>
      </c>
      <c r="D990" t="s">
        <v>1206</v>
      </c>
      <c r="E990" t="s">
        <v>1217</v>
      </c>
      <c r="F990" s="99" t="s">
        <v>1213</v>
      </c>
    </row>
    <row r="991" spans="1:6" x14ac:dyDescent="0.25">
      <c r="A991" t="s">
        <v>681</v>
      </c>
      <c r="B991">
        <v>23</v>
      </c>
      <c r="C991" t="s">
        <v>1290</v>
      </c>
      <c r="D991" t="s">
        <v>1206</v>
      </c>
      <c r="E991" t="s">
        <v>1210</v>
      </c>
      <c r="F991" s="99" t="s">
        <v>1213</v>
      </c>
    </row>
    <row r="992" spans="1:6" x14ac:dyDescent="0.25">
      <c r="A992" t="s">
        <v>704</v>
      </c>
      <c r="B992">
        <v>23</v>
      </c>
      <c r="C992" t="s">
        <v>1290</v>
      </c>
      <c r="D992" t="s">
        <v>1206</v>
      </c>
      <c r="E992" t="s">
        <v>1210</v>
      </c>
      <c r="F992" s="99" t="s">
        <v>1213</v>
      </c>
    </row>
    <row r="993" spans="1:6" x14ac:dyDescent="0.25">
      <c r="A993" t="s">
        <v>151</v>
      </c>
      <c r="B993">
        <v>23</v>
      </c>
      <c r="C993" t="s">
        <v>1290</v>
      </c>
      <c r="D993" t="s">
        <v>1206</v>
      </c>
      <c r="E993" t="s">
        <v>1207</v>
      </c>
      <c r="F993" s="99" t="s">
        <v>1213</v>
      </c>
    </row>
    <row r="994" spans="1:6" x14ac:dyDescent="0.25">
      <c r="A994" t="s">
        <v>641</v>
      </c>
      <c r="B994">
        <v>23</v>
      </c>
      <c r="C994" t="s">
        <v>1290</v>
      </c>
      <c r="D994" t="s">
        <v>1206</v>
      </c>
      <c r="E994" t="s">
        <v>1210</v>
      </c>
      <c r="F994" s="99" t="s">
        <v>1213</v>
      </c>
    </row>
    <row r="995" spans="1:6" x14ac:dyDescent="0.25">
      <c r="A995" t="s">
        <v>797</v>
      </c>
      <c r="B995">
        <v>23</v>
      </c>
      <c r="C995" t="s">
        <v>1290</v>
      </c>
      <c r="D995" t="s">
        <v>1220</v>
      </c>
      <c r="E995" t="s">
        <v>1207</v>
      </c>
      <c r="F995" s="99" t="s">
        <v>1213</v>
      </c>
    </row>
    <row r="996" spans="1:6" x14ac:dyDescent="0.25">
      <c r="A996" t="s">
        <v>1163</v>
      </c>
      <c r="B996">
        <v>23</v>
      </c>
      <c r="C996" t="s">
        <v>1290</v>
      </c>
      <c r="D996" t="s">
        <v>1206</v>
      </c>
      <c r="E996" t="s">
        <v>1207</v>
      </c>
      <c r="F996" s="99" t="s">
        <v>1213</v>
      </c>
    </row>
    <row r="997" spans="1:6" x14ac:dyDescent="0.25">
      <c r="A997" t="s">
        <v>218</v>
      </c>
      <c r="B997">
        <v>23</v>
      </c>
      <c r="C997" t="s">
        <v>1290</v>
      </c>
      <c r="D997" t="s">
        <v>1219</v>
      </c>
      <c r="E997" t="s">
        <v>1217</v>
      </c>
      <c r="F997" s="99" t="s">
        <v>1213</v>
      </c>
    </row>
    <row r="998" spans="1:6" x14ac:dyDescent="0.25">
      <c r="A998" t="s">
        <v>293</v>
      </c>
      <c r="B998">
        <v>23</v>
      </c>
      <c r="C998" t="s">
        <v>1290</v>
      </c>
      <c r="D998" t="s">
        <v>1206</v>
      </c>
      <c r="E998" t="s">
        <v>1207</v>
      </c>
      <c r="F998" s="99" t="s">
        <v>1213</v>
      </c>
    </row>
    <row r="999" spans="1:6" x14ac:dyDescent="0.25">
      <c r="A999" t="s">
        <v>961</v>
      </c>
      <c r="B999">
        <v>23</v>
      </c>
      <c r="C999" t="s">
        <v>1290</v>
      </c>
      <c r="D999" t="s">
        <v>1206</v>
      </c>
      <c r="E999" t="s">
        <v>1210</v>
      </c>
      <c r="F999" s="99" t="s">
        <v>1213</v>
      </c>
    </row>
    <row r="1000" spans="1:6" x14ac:dyDescent="0.25">
      <c r="A1000" t="s">
        <v>441</v>
      </c>
      <c r="B1000">
        <v>23</v>
      </c>
      <c r="C1000" t="s">
        <v>1290</v>
      </c>
      <c r="D1000" t="s">
        <v>1220</v>
      </c>
      <c r="E1000" t="s">
        <v>1217</v>
      </c>
      <c r="F1000" s="99" t="s">
        <v>1213</v>
      </c>
    </row>
    <row r="1001" spans="1:6" x14ac:dyDescent="0.25">
      <c r="A1001" t="s">
        <v>843</v>
      </c>
      <c r="B1001">
        <v>23</v>
      </c>
      <c r="C1001" t="s">
        <v>1290</v>
      </c>
      <c r="D1001" t="s">
        <v>1206</v>
      </c>
      <c r="E1001" t="s">
        <v>1217</v>
      </c>
      <c r="F1001" s="99" t="s">
        <v>1213</v>
      </c>
    </row>
    <row r="1002" spans="1:6" x14ac:dyDescent="0.25">
      <c r="A1002" t="s">
        <v>1135</v>
      </c>
      <c r="B1002">
        <v>23</v>
      </c>
      <c r="C1002" t="s">
        <v>1290</v>
      </c>
      <c r="D1002" t="s">
        <v>1206</v>
      </c>
      <c r="E1002" t="s">
        <v>1207</v>
      </c>
      <c r="F1002" s="99" t="s">
        <v>1213</v>
      </c>
    </row>
    <row r="1003" spans="1:6" x14ac:dyDescent="0.25">
      <c r="A1003" t="s">
        <v>547</v>
      </c>
      <c r="B1003">
        <v>23</v>
      </c>
      <c r="C1003" t="s">
        <v>1290</v>
      </c>
      <c r="D1003" t="s">
        <v>1220</v>
      </c>
      <c r="E1003" t="s">
        <v>1217</v>
      </c>
      <c r="F1003" s="99" t="s">
        <v>1213</v>
      </c>
    </row>
    <row r="1004" spans="1:6" x14ac:dyDescent="0.25">
      <c r="A1004" t="s">
        <v>661</v>
      </c>
      <c r="B1004">
        <v>23</v>
      </c>
      <c r="C1004" t="s">
        <v>1290</v>
      </c>
      <c r="D1004" t="s">
        <v>1220</v>
      </c>
      <c r="E1004" t="s">
        <v>1217</v>
      </c>
      <c r="F1004" s="99" t="s">
        <v>1213</v>
      </c>
    </row>
    <row r="1005" spans="1:6" x14ac:dyDescent="0.25">
      <c r="A1005" t="s">
        <v>98</v>
      </c>
      <c r="B1005">
        <v>23</v>
      </c>
      <c r="C1005" t="s">
        <v>1290</v>
      </c>
      <c r="D1005" t="s">
        <v>1219</v>
      </c>
      <c r="E1005" t="s">
        <v>1210</v>
      </c>
      <c r="F1005" s="99" t="s">
        <v>1213</v>
      </c>
    </row>
    <row r="1006" spans="1:6" x14ac:dyDescent="0.25">
      <c r="A1006" t="s">
        <v>474</v>
      </c>
      <c r="B1006">
        <v>23</v>
      </c>
      <c r="C1006" t="s">
        <v>1290</v>
      </c>
      <c r="D1006" t="s">
        <v>1206</v>
      </c>
      <c r="E1006" t="s">
        <v>1217</v>
      </c>
      <c r="F1006" s="99" t="s">
        <v>1213</v>
      </c>
    </row>
    <row r="1007" spans="1:6" x14ac:dyDescent="0.25">
      <c r="A1007" t="s">
        <v>1101</v>
      </c>
      <c r="B1007">
        <v>23</v>
      </c>
      <c r="C1007" t="s">
        <v>1290</v>
      </c>
      <c r="D1007" t="s">
        <v>1206</v>
      </c>
      <c r="E1007" t="s">
        <v>1210</v>
      </c>
      <c r="F1007" s="99" t="s">
        <v>1213</v>
      </c>
    </row>
    <row r="1008" spans="1:6" x14ac:dyDescent="0.25">
      <c r="A1008" t="s">
        <v>991</v>
      </c>
      <c r="B1008">
        <v>23</v>
      </c>
      <c r="C1008" t="s">
        <v>1290</v>
      </c>
      <c r="D1008" t="s">
        <v>1206</v>
      </c>
      <c r="E1008" t="s">
        <v>1210</v>
      </c>
      <c r="F1008" s="99" t="s">
        <v>1213</v>
      </c>
    </row>
    <row r="1009" spans="1:6" x14ac:dyDescent="0.25">
      <c r="A1009" t="s">
        <v>90</v>
      </c>
      <c r="B1009">
        <v>23</v>
      </c>
      <c r="C1009" t="s">
        <v>1290</v>
      </c>
      <c r="D1009" t="s">
        <v>1206</v>
      </c>
      <c r="E1009" t="s">
        <v>1215</v>
      </c>
      <c r="F1009" s="99" t="s">
        <v>1213</v>
      </c>
    </row>
    <row r="1010" spans="1:6" x14ac:dyDescent="0.25">
      <c r="A1010" t="s">
        <v>848</v>
      </c>
      <c r="B1010">
        <v>23</v>
      </c>
      <c r="C1010" t="s">
        <v>1290</v>
      </c>
      <c r="D1010" t="s">
        <v>1206</v>
      </c>
      <c r="E1010" t="s">
        <v>1210</v>
      </c>
      <c r="F1010" s="99" t="s">
        <v>1213</v>
      </c>
    </row>
    <row r="1011" spans="1:6" x14ac:dyDescent="0.25">
      <c r="A1011" t="s">
        <v>494</v>
      </c>
      <c r="B1011">
        <v>23</v>
      </c>
      <c r="C1011" t="s">
        <v>1290</v>
      </c>
      <c r="D1011" t="s">
        <v>1220</v>
      </c>
      <c r="E1011" t="s">
        <v>1210</v>
      </c>
      <c r="F1011" s="99" t="s">
        <v>1213</v>
      </c>
    </row>
    <row r="1012" spans="1:6" x14ac:dyDescent="0.25">
      <c r="A1012" t="s">
        <v>181</v>
      </c>
      <c r="B1012">
        <v>23</v>
      </c>
      <c r="C1012" t="s">
        <v>1290</v>
      </c>
      <c r="D1012" t="s">
        <v>1222</v>
      </c>
      <c r="E1012" t="s">
        <v>1215</v>
      </c>
      <c r="F1012" s="99" t="s">
        <v>1213</v>
      </c>
    </row>
    <row r="1013" spans="1:6" x14ac:dyDescent="0.25">
      <c r="A1013" t="s">
        <v>71</v>
      </c>
      <c r="B1013">
        <v>23</v>
      </c>
      <c r="C1013" t="s">
        <v>1290</v>
      </c>
      <c r="D1013" t="s">
        <v>1206</v>
      </c>
      <c r="E1013" t="s">
        <v>1215</v>
      </c>
      <c r="F1013" s="99" t="s">
        <v>1213</v>
      </c>
    </row>
    <row r="1014" spans="1:6" x14ac:dyDescent="0.25">
      <c r="A1014" t="s">
        <v>809</v>
      </c>
      <c r="B1014">
        <v>23</v>
      </c>
      <c r="C1014" t="s">
        <v>1290</v>
      </c>
      <c r="D1014" t="s">
        <v>1220</v>
      </c>
      <c r="E1014" t="s">
        <v>1217</v>
      </c>
      <c r="F1014" s="99" t="s">
        <v>1213</v>
      </c>
    </row>
    <row r="1015" spans="1:6" x14ac:dyDescent="0.25">
      <c r="A1015" t="s">
        <v>1169</v>
      </c>
      <c r="B1015">
        <v>23</v>
      </c>
      <c r="C1015" t="s">
        <v>1290</v>
      </c>
      <c r="D1015" t="s">
        <v>1206</v>
      </c>
      <c r="E1015" t="s">
        <v>1207</v>
      </c>
      <c r="F1015" s="99" t="s">
        <v>1213</v>
      </c>
    </row>
    <row r="1016" spans="1:6" x14ac:dyDescent="0.25">
      <c r="A1016" t="s">
        <v>76</v>
      </c>
      <c r="B1016">
        <v>23</v>
      </c>
      <c r="C1016" t="s">
        <v>1290</v>
      </c>
      <c r="D1016" t="s">
        <v>1206</v>
      </c>
      <c r="E1016" t="s">
        <v>1210</v>
      </c>
      <c r="F1016" s="99" t="s">
        <v>1213</v>
      </c>
    </row>
    <row r="1017" spans="1:6" x14ac:dyDescent="0.25">
      <c r="A1017" t="s">
        <v>434</v>
      </c>
      <c r="B1017">
        <v>23</v>
      </c>
      <c r="C1017" t="s">
        <v>1290</v>
      </c>
      <c r="D1017" t="s">
        <v>1220</v>
      </c>
      <c r="E1017" t="s">
        <v>1217</v>
      </c>
      <c r="F1017" s="99" t="s">
        <v>1213</v>
      </c>
    </row>
    <row r="1018" spans="1:6" x14ac:dyDescent="0.25">
      <c r="A1018" t="s">
        <v>662</v>
      </c>
      <c r="B1018">
        <v>23</v>
      </c>
      <c r="C1018" t="s">
        <v>1290</v>
      </c>
      <c r="D1018" t="s">
        <v>1219</v>
      </c>
      <c r="E1018" t="s">
        <v>1217</v>
      </c>
      <c r="F1018" s="99" t="s">
        <v>1213</v>
      </c>
    </row>
    <row r="1019" spans="1:6" x14ac:dyDescent="0.25">
      <c r="A1019" t="s">
        <v>957</v>
      </c>
      <c r="B1019">
        <v>23</v>
      </c>
      <c r="C1019" t="s">
        <v>1290</v>
      </c>
      <c r="D1019" t="s">
        <v>1206</v>
      </c>
      <c r="E1019" t="s">
        <v>1210</v>
      </c>
      <c r="F1019" s="99" t="s">
        <v>1213</v>
      </c>
    </row>
    <row r="1020" spans="1:6" x14ac:dyDescent="0.25">
      <c r="A1020" t="s">
        <v>255</v>
      </c>
      <c r="B1020">
        <v>23</v>
      </c>
      <c r="C1020" t="s">
        <v>1290</v>
      </c>
      <c r="D1020" t="s">
        <v>1219</v>
      </c>
      <c r="E1020" t="s">
        <v>1217</v>
      </c>
      <c r="F1020" s="99" t="s">
        <v>1213</v>
      </c>
    </row>
    <row r="1021" spans="1:6" x14ac:dyDescent="0.25">
      <c r="A1021" t="s">
        <v>256</v>
      </c>
      <c r="B1021">
        <v>23</v>
      </c>
      <c r="C1021" t="s">
        <v>1290</v>
      </c>
      <c r="D1021" t="s">
        <v>1206</v>
      </c>
      <c r="E1021" t="s">
        <v>1210</v>
      </c>
      <c r="F1021" s="99" t="s">
        <v>1213</v>
      </c>
    </row>
    <row r="1022" spans="1:6" x14ac:dyDescent="0.25">
      <c r="A1022" t="s">
        <v>280</v>
      </c>
      <c r="B1022">
        <v>23</v>
      </c>
      <c r="C1022" t="s">
        <v>1290</v>
      </c>
      <c r="D1022" t="s">
        <v>1219</v>
      </c>
      <c r="E1022" t="s">
        <v>1210</v>
      </c>
      <c r="F1022" s="99" t="s">
        <v>1213</v>
      </c>
    </row>
    <row r="1023" spans="1:6" x14ac:dyDescent="0.25">
      <c r="A1023" t="s">
        <v>366</v>
      </c>
      <c r="B1023">
        <v>23</v>
      </c>
      <c r="C1023" t="s">
        <v>1290</v>
      </c>
      <c r="D1023" t="s">
        <v>1219</v>
      </c>
      <c r="E1023" t="s">
        <v>1210</v>
      </c>
      <c r="F1023" s="99" t="s">
        <v>1213</v>
      </c>
    </row>
    <row r="1024" spans="1:6" x14ac:dyDescent="0.25">
      <c r="A1024" t="s">
        <v>693</v>
      </c>
      <c r="B1024">
        <v>23</v>
      </c>
      <c r="C1024" t="s">
        <v>1290</v>
      </c>
      <c r="D1024" t="s">
        <v>1219</v>
      </c>
      <c r="E1024" t="s">
        <v>1217</v>
      </c>
      <c r="F1024" s="99" t="s">
        <v>1213</v>
      </c>
    </row>
    <row r="1025" spans="1:6" x14ac:dyDescent="0.25">
      <c r="A1025" t="s">
        <v>244</v>
      </c>
      <c r="B1025">
        <v>23</v>
      </c>
      <c r="C1025" t="s">
        <v>1290</v>
      </c>
      <c r="D1025" t="s">
        <v>1206</v>
      </c>
      <c r="E1025" t="s">
        <v>1210</v>
      </c>
      <c r="F1025" s="99" t="s">
        <v>1213</v>
      </c>
    </row>
    <row r="1026" spans="1:6" x14ac:dyDescent="0.25">
      <c r="A1026" t="s">
        <v>116</v>
      </c>
      <c r="B1026">
        <v>23</v>
      </c>
      <c r="C1026" t="s">
        <v>1290</v>
      </c>
      <c r="D1026" t="s">
        <v>1218</v>
      </c>
      <c r="E1026" t="s">
        <v>1210</v>
      </c>
      <c r="F1026" s="99" t="s">
        <v>1213</v>
      </c>
    </row>
    <row r="1027" spans="1:6" x14ac:dyDescent="0.25">
      <c r="A1027" t="s">
        <v>165</v>
      </c>
      <c r="B1027">
        <v>23</v>
      </c>
      <c r="C1027" t="s">
        <v>1290</v>
      </c>
      <c r="D1027" t="s">
        <v>1219</v>
      </c>
      <c r="E1027" t="s">
        <v>1210</v>
      </c>
      <c r="F1027" s="99" t="s">
        <v>1213</v>
      </c>
    </row>
    <row r="1028" spans="1:6" x14ac:dyDescent="0.25">
      <c r="A1028" t="s">
        <v>153</v>
      </c>
      <c r="B1028">
        <v>23</v>
      </c>
      <c r="C1028" t="s">
        <v>1290</v>
      </c>
      <c r="D1028" t="s">
        <v>1219</v>
      </c>
      <c r="E1028" t="s">
        <v>1207</v>
      </c>
      <c r="F1028" s="99" t="s">
        <v>1213</v>
      </c>
    </row>
    <row r="1029" spans="1:6" x14ac:dyDescent="0.25">
      <c r="A1029" t="s">
        <v>228</v>
      </c>
      <c r="B1029">
        <v>23</v>
      </c>
      <c r="C1029" t="s">
        <v>1290</v>
      </c>
      <c r="D1029" t="s">
        <v>1206</v>
      </c>
      <c r="E1029" t="s">
        <v>1210</v>
      </c>
      <c r="F1029" s="99" t="s">
        <v>1213</v>
      </c>
    </row>
    <row r="1030" spans="1:6" x14ac:dyDescent="0.25">
      <c r="A1030" t="s">
        <v>685</v>
      </c>
      <c r="B1030">
        <v>23</v>
      </c>
      <c r="C1030" t="s">
        <v>1290</v>
      </c>
      <c r="D1030" t="s">
        <v>1220</v>
      </c>
      <c r="E1030" t="s">
        <v>1217</v>
      </c>
      <c r="F1030" s="99" t="s">
        <v>1213</v>
      </c>
    </row>
    <row r="1031" spans="1:6" x14ac:dyDescent="0.25">
      <c r="A1031" t="s">
        <v>200</v>
      </c>
      <c r="B1031">
        <v>23</v>
      </c>
      <c r="C1031" t="s">
        <v>1290</v>
      </c>
      <c r="D1031" t="s">
        <v>1218</v>
      </c>
      <c r="E1031" t="s">
        <v>1217</v>
      </c>
      <c r="F1031" s="99" t="s">
        <v>1213</v>
      </c>
    </row>
    <row r="1032" spans="1:6" x14ac:dyDescent="0.25">
      <c r="A1032" t="s">
        <v>752</v>
      </c>
      <c r="B1032">
        <v>23</v>
      </c>
      <c r="C1032" t="s">
        <v>1290</v>
      </c>
      <c r="D1032" t="s">
        <v>1219</v>
      </c>
      <c r="E1032" t="s">
        <v>1207</v>
      </c>
      <c r="F1032" s="99" t="s">
        <v>1213</v>
      </c>
    </row>
    <row r="1033" spans="1:6" x14ac:dyDescent="0.25">
      <c r="A1033" t="s">
        <v>723</v>
      </c>
      <c r="B1033">
        <v>23</v>
      </c>
      <c r="C1033" t="s">
        <v>1290</v>
      </c>
      <c r="D1033" t="s">
        <v>1220</v>
      </c>
      <c r="E1033" t="s">
        <v>1217</v>
      </c>
      <c r="F1033" s="99" t="s">
        <v>1213</v>
      </c>
    </row>
    <row r="1034" spans="1:6" x14ac:dyDescent="0.25">
      <c r="A1034" t="s">
        <v>135</v>
      </c>
      <c r="B1034">
        <v>23</v>
      </c>
      <c r="C1034" t="s">
        <v>1290</v>
      </c>
      <c r="D1034" t="s">
        <v>1206</v>
      </c>
      <c r="E1034" t="s">
        <v>1207</v>
      </c>
      <c r="F1034" s="99" t="s">
        <v>1213</v>
      </c>
    </row>
    <row r="1035" spans="1:6" x14ac:dyDescent="0.25">
      <c r="A1035" t="s">
        <v>1183</v>
      </c>
      <c r="B1035">
        <v>23</v>
      </c>
      <c r="C1035" t="s">
        <v>1290</v>
      </c>
      <c r="D1035" t="s">
        <v>1206</v>
      </c>
      <c r="E1035" t="s">
        <v>1207</v>
      </c>
      <c r="F1035" s="99" t="s">
        <v>1213</v>
      </c>
    </row>
    <row r="1036" spans="1:6" x14ac:dyDescent="0.25">
      <c r="A1036" t="s">
        <v>95</v>
      </c>
      <c r="B1036">
        <v>23</v>
      </c>
      <c r="C1036" t="s">
        <v>1290</v>
      </c>
      <c r="D1036" t="s">
        <v>1220</v>
      </c>
      <c r="E1036" t="s">
        <v>1207</v>
      </c>
      <c r="F1036" s="99" t="s">
        <v>1213</v>
      </c>
    </row>
    <row r="1037" spans="1:6" x14ac:dyDescent="0.25">
      <c r="A1037" t="s">
        <v>830</v>
      </c>
      <c r="B1037">
        <v>23</v>
      </c>
      <c r="C1037" t="s">
        <v>1290</v>
      </c>
      <c r="D1037" t="s">
        <v>1206</v>
      </c>
      <c r="E1037" t="s">
        <v>1210</v>
      </c>
      <c r="F1037" s="99" t="s">
        <v>1213</v>
      </c>
    </row>
    <row r="1038" spans="1:6" x14ac:dyDescent="0.25">
      <c r="A1038" t="s">
        <v>94</v>
      </c>
      <c r="B1038">
        <v>23</v>
      </c>
      <c r="C1038" t="s">
        <v>1290</v>
      </c>
      <c r="D1038" t="s">
        <v>1206</v>
      </c>
      <c r="E1038" t="s">
        <v>1207</v>
      </c>
      <c r="F1038" s="99" t="s">
        <v>1213</v>
      </c>
    </row>
    <row r="1039" spans="1:6" x14ac:dyDescent="0.25">
      <c r="A1039" t="s">
        <v>125</v>
      </c>
      <c r="B1039">
        <v>23</v>
      </c>
      <c r="C1039" t="s">
        <v>1290</v>
      </c>
      <c r="D1039" t="s">
        <v>1206</v>
      </c>
      <c r="E1039" t="s">
        <v>1215</v>
      </c>
      <c r="F1039" s="99" t="s">
        <v>1213</v>
      </c>
    </row>
    <row r="1040" spans="1:6" x14ac:dyDescent="0.25">
      <c r="A1040" t="s">
        <v>121</v>
      </c>
      <c r="B1040">
        <v>23</v>
      </c>
      <c r="C1040" t="s">
        <v>1290</v>
      </c>
      <c r="D1040" t="s">
        <v>1206</v>
      </c>
      <c r="E1040" t="s">
        <v>1210</v>
      </c>
      <c r="F1040" s="99" t="s">
        <v>1213</v>
      </c>
    </row>
    <row r="1041" spans="1:6" x14ac:dyDescent="0.25">
      <c r="A1041" t="s">
        <v>227</v>
      </c>
      <c r="B1041">
        <v>23</v>
      </c>
      <c r="C1041" t="s">
        <v>1290</v>
      </c>
      <c r="D1041" t="s">
        <v>1220</v>
      </c>
      <c r="E1041" t="s">
        <v>1217</v>
      </c>
      <c r="F1041" s="99" t="s">
        <v>1213</v>
      </c>
    </row>
    <row r="1042" spans="1:6" x14ac:dyDescent="0.25">
      <c r="A1042" t="s">
        <v>775</v>
      </c>
      <c r="B1042">
        <v>23</v>
      </c>
      <c r="C1042" t="s">
        <v>1290</v>
      </c>
      <c r="D1042" t="s">
        <v>1206</v>
      </c>
      <c r="E1042" t="s">
        <v>1210</v>
      </c>
      <c r="F1042" s="99" t="s">
        <v>1213</v>
      </c>
    </row>
    <row r="1043" spans="1:6" x14ac:dyDescent="0.25">
      <c r="A1043" t="s">
        <v>306</v>
      </c>
      <c r="B1043">
        <v>23</v>
      </c>
      <c r="C1043" t="s">
        <v>1290</v>
      </c>
      <c r="D1043" t="s">
        <v>1218</v>
      </c>
      <c r="E1043" t="s">
        <v>1210</v>
      </c>
      <c r="F1043" s="99" t="s">
        <v>1213</v>
      </c>
    </row>
    <row r="1044" spans="1:6" x14ac:dyDescent="0.25">
      <c r="A1044" t="s">
        <v>488</v>
      </c>
      <c r="B1044">
        <v>23</v>
      </c>
      <c r="C1044" t="s">
        <v>1290</v>
      </c>
      <c r="D1044" t="s">
        <v>1220</v>
      </c>
      <c r="E1044" t="s">
        <v>1207</v>
      </c>
      <c r="F1044" s="99" t="s">
        <v>1213</v>
      </c>
    </row>
    <row r="1045" spans="1:6" x14ac:dyDescent="0.25">
      <c r="A1045" t="s">
        <v>772</v>
      </c>
      <c r="B1045">
        <v>23</v>
      </c>
      <c r="C1045" t="s">
        <v>1290</v>
      </c>
      <c r="D1045" t="s">
        <v>1206</v>
      </c>
      <c r="E1045" t="s">
        <v>1210</v>
      </c>
      <c r="F1045" s="99" t="s">
        <v>1213</v>
      </c>
    </row>
    <row r="1046" spans="1:6" x14ac:dyDescent="0.25">
      <c r="A1046" t="s">
        <v>457</v>
      </c>
      <c r="B1046">
        <v>23</v>
      </c>
      <c r="C1046" t="s">
        <v>1290</v>
      </c>
      <c r="D1046" t="s">
        <v>1219</v>
      </c>
      <c r="E1046" t="s">
        <v>1217</v>
      </c>
      <c r="F1046" s="99" t="s">
        <v>1213</v>
      </c>
    </row>
    <row r="1047" spans="1:6" x14ac:dyDescent="0.25">
      <c r="A1047" t="s">
        <v>626</v>
      </c>
      <c r="B1047">
        <v>23</v>
      </c>
      <c r="C1047" t="s">
        <v>1290</v>
      </c>
      <c r="D1047" t="s">
        <v>1206</v>
      </c>
      <c r="E1047" t="s">
        <v>1207</v>
      </c>
      <c r="F1047" s="99" t="s">
        <v>1213</v>
      </c>
    </row>
    <row r="1048" spans="1:6" x14ac:dyDescent="0.25">
      <c r="A1048" t="s">
        <v>730</v>
      </c>
      <c r="B1048">
        <v>23</v>
      </c>
      <c r="C1048" t="s">
        <v>1290</v>
      </c>
      <c r="D1048" t="s">
        <v>1220</v>
      </c>
      <c r="E1048" t="s">
        <v>1210</v>
      </c>
      <c r="F1048" s="99" t="s">
        <v>1213</v>
      </c>
    </row>
    <row r="1049" spans="1:6" x14ac:dyDescent="0.25">
      <c r="A1049" t="s">
        <v>544</v>
      </c>
      <c r="B1049">
        <v>23</v>
      </c>
      <c r="C1049" t="s">
        <v>1290</v>
      </c>
      <c r="D1049" t="s">
        <v>1219</v>
      </c>
      <c r="E1049" t="s">
        <v>1207</v>
      </c>
      <c r="F1049" s="99" t="s">
        <v>1213</v>
      </c>
    </row>
    <row r="1050" spans="1:6" x14ac:dyDescent="0.25">
      <c r="A1050" t="s">
        <v>676</v>
      </c>
      <c r="B1050">
        <v>23</v>
      </c>
      <c r="C1050" t="s">
        <v>1290</v>
      </c>
      <c r="D1050" t="s">
        <v>1220</v>
      </c>
      <c r="E1050" t="s">
        <v>1207</v>
      </c>
      <c r="F1050" s="99" t="s">
        <v>1213</v>
      </c>
    </row>
    <row r="1051" spans="1:6" x14ac:dyDescent="0.25">
      <c r="A1051" t="s">
        <v>460</v>
      </c>
      <c r="B1051">
        <v>23</v>
      </c>
      <c r="C1051" t="s">
        <v>1290</v>
      </c>
      <c r="D1051" t="s">
        <v>1206</v>
      </c>
      <c r="E1051" t="s">
        <v>1217</v>
      </c>
      <c r="F1051" s="99" t="s">
        <v>1213</v>
      </c>
    </row>
    <row r="1052" spans="1:6" x14ac:dyDescent="0.25">
      <c r="A1052" t="s">
        <v>461</v>
      </c>
      <c r="B1052">
        <v>23</v>
      </c>
      <c r="C1052" t="s">
        <v>1290</v>
      </c>
      <c r="D1052" t="s">
        <v>1220</v>
      </c>
      <c r="E1052" t="s">
        <v>1207</v>
      </c>
      <c r="F1052" s="99" t="s">
        <v>1213</v>
      </c>
    </row>
    <row r="1053" spans="1:6" x14ac:dyDescent="0.25">
      <c r="A1053" t="s">
        <v>459</v>
      </c>
      <c r="B1053">
        <v>23</v>
      </c>
      <c r="C1053" t="s">
        <v>1290</v>
      </c>
      <c r="D1053" t="s">
        <v>1206</v>
      </c>
      <c r="E1053" t="s">
        <v>1207</v>
      </c>
      <c r="F1053" s="99" t="s">
        <v>1213</v>
      </c>
    </row>
    <row r="1054" spans="1:6" x14ac:dyDescent="0.25">
      <c r="A1054" t="s">
        <v>854</v>
      </c>
      <c r="B1054">
        <v>23</v>
      </c>
      <c r="C1054" t="s">
        <v>1290</v>
      </c>
      <c r="D1054" t="s">
        <v>1206</v>
      </c>
      <c r="E1054" t="s">
        <v>1210</v>
      </c>
      <c r="F1054" s="99" t="s">
        <v>1213</v>
      </c>
    </row>
    <row r="1055" spans="1:6" x14ac:dyDescent="0.25">
      <c r="A1055" t="s">
        <v>275</v>
      </c>
      <c r="B1055">
        <v>23</v>
      </c>
      <c r="C1055" t="s">
        <v>1290</v>
      </c>
      <c r="D1055" t="s">
        <v>1219</v>
      </c>
      <c r="E1055" t="s">
        <v>1207</v>
      </c>
      <c r="F1055" s="99" t="s">
        <v>1213</v>
      </c>
    </row>
    <row r="1056" spans="1:6" x14ac:dyDescent="0.25">
      <c r="A1056" t="s">
        <v>186</v>
      </c>
      <c r="B1056">
        <v>23</v>
      </c>
      <c r="C1056" t="s">
        <v>1290</v>
      </c>
      <c r="D1056" t="s">
        <v>1219</v>
      </c>
      <c r="E1056" t="s">
        <v>1215</v>
      </c>
      <c r="F1056" s="99" t="s">
        <v>1213</v>
      </c>
    </row>
    <row r="1057" spans="1:6" x14ac:dyDescent="0.25">
      <c r="A1057" t="s">
        <v>115</v>
      </c>
      <c r="B1057">
        <v>23</v>
      </c>
      <c r="C1057" t="s">
        <v>1290</v>
      </c>
      <c r="D1057" t="s">
        <v>1219</v>
      </c>
      <c r="E1057" t="s">
        <v>1210</v>
      </c>
      <c r="F1057" s="99" t="s">
        <v>1213</v>
      </c>
    </row>
    <row r="1058" spans="1:6" x14ac:dyDescent="0.25">
      <c r="A1058" t="s">
        <v>525</v>
      </c>
      <c r="B1058">
        <v>23</v>
      </c>
      <c r="C1058" t="s">
        <v>1290</v>
      </c>
      <c r="D1058" t="s">
        <v>1220</v>
      </c>
      <c r="E1058" t="s">
        <v>1217</v>
      </c>
      <c r="F1058" s="99" t="s">
        <v>1213</v>
      </c>
    </row>
    <row r="1059" spans="1:6" x14ac:dyDescent="0.25">
      <c r="A1059" t="s">
        <v>1052</v>
      </c>
      <c r="B1059">
        <v>23</v>
      </c>
      <c r="C1059" t="s">
        <v>1290</v>
      </c>
      <c r="D1059" t="s">
        <v>1206</v>
      </c>
      <c r="E1059" t="s">
        <v>1210</v>
      </c>
      <c r="F1059" s="99" t="s">
        <v>1213</v>
      </c>
    </row>
    <row r="1060" spans="1:6" x14ac:dyDescent="0.25">
      <c r="A1060" t="s">
        <v>756</v>
      </c>
      <c r="B1060">
        <v>23</v>
      </c>
      <c r="C1060" t="s">
        <v>1290</v>
      </c>
      <c r="D1060" t="s">
        <v>1206</v>
      </c>
      <c r="E1060" t="s">
        <v>1217</v>
      </c>
      <c r="F1060" s="99" t="s">
        <v>1213</v>
      </c>
    </row>
    <row r="1061" spans="1:6" x14ac:dyDescent="0.25">
      <c r="A1061" t="s">
        <v>326</v>
      </c>
      <c r="B1061">
        <v>23</v>
      </c>
      <c r="C1061" t="s">
        <v>1290</v>
      </c>
      <c r="D1061" t="s">
        <v>1206</v>
      </c>
      <c r="E1061" t="s">
        <v>1210</v>
      </c>
      <c r="F1061" s="99" t="s">
        <v>1213</v>
      </c>
    </row>
    <row r="1062" spans="1:6" x14ac:dyDescent="0.25">
      <c r="A1062" t="s">
        <v>814</v>
      </c>
      <c r="B1062">
        <v>23</v>
      </c>
      <c r="C1062" t="s">
        <v>1290</v>
      </c>
      <c r="D1062" t="s">
        <v>1206</v>
      </c>
      <c r="E1062" t="s">
        <v>1210</v>
      </c>
      <c r="F1062" s="99" t="s">
        <v>1213</v>
      </c>
    </row>
    <row r="1063" spans="1:6" x14ac:dyDescent="0.25">
      <c r="A1063" t="s">
        <v>1130</v>
      </c>
      <c r="B1063">
        <v>23</v>
      </c>
      <c r="C1063" t="s">
        <v>1290</v>
      </c>
      <c r="D1063" t="s">
        <v>1206</v>
      </c>
      <c r="E1063" t="s">
        <v>1207</v>
      </c>
      <c r="F1063" s="99" t="s">
        <v>1213</v>
      </c>
    </row>
    <row r="1064" spans="1:6" x14ac:dyDescent="0.25">
      <c r="A1064" t="s">
        <v>207</v>
      </c>
      <c r="B1064">
        <v>23</v>
      </c>
      <c r="C1064" t="s">
        <v>1290</v>
      </c>
      <c r="D1064" t="s">
        <v>1218</v>
      </c>
      <c r="E1064" t="s">
        <v>1215</v>
      </c>
      <c r="F1064" s="99" t="s">
        <v>1213</v>
      </c>
    </row>
    <row r="1065" spans="1:6" x14ac:dyDescent="0.25">
      <c r="A1065" t="s">
        <v>1077</v>
      </c>
      <c r="B1065">
        <v>23</v>
      </c>
      <c r="C1065" t="s">
        <v>1290</v>
      </c>
      <c r="D1065" t="s">
        <v>1206</v>
      </c>
      <c r="E1065" t="s">
        <v>1210</v>
      </c>
      <c r="F1065" s="99" t="s">
        <v>1213</v>
      </c>
    </row>
    <row r="1066" spans="1:6" x14ac:dyDescent="0.25">
      <c r="A1066" t="s">
        <v>816</v>
      </c>
      <c r="B1066">
        <v>23</v>
      </c>
      <c r="C1066" t="s">
        <v>1290</v>
      </c>
      <c r="D1066" t="s">
        <v>1220</v>
      </c>
      <c r="E1066" t="s">
        <v>1210</v>
      </c>
      <c r="F1066" s="99" t="s">
        <v>1213</v>
      </c>
    </row>
    <row r="1067" spans="1:6" x14ac:dyDescent="0.25">
      <c r="A1067" t="s">
        <v>272</v>
      </c>
      <c r="B1067">
        <v>23</v>
      </c>
      <c r="C1067" t="s">
        <v>1290</v>
      </c>
      <c r="D1067" t="s">
        <v>1219</v>
      </c>
      <c r="E1067" t="s">
        <v>1207</v>
      </c>
      <c r="F1067" s="99" t="s">
        <v>1213</v>
      </c>
    </row>
    <row r="1068" spans="1:6" x14ac:dyDescent="0.25">
      <c r="A1068" t="s">
        <v>1025</v>
      </c>
      <c r="B1068">
        <v>23</v>
      </c>
      <c r="C1068" t="s">
        <v>1290</v>
      </c>
      <c r="D1068" t="s">
        <v>1206</v>
      </c>
      <c r="E1068" t="s">
        <v>1210</v>
      </c>
      <c r="F1068" s="99" t="s">
        <v>1213</v>
      </c>
    </row>
    <row r="1069" spans="1:6" x14ac:dyDescent="0.25">
      <c r="A1069" t="s">
        <v>1161</v>
      </c>
      <c r="B1069">
        <v>23</v>
      </c>
      <c r="C1069" t="s">
        <v>1290</v>
      </c>
      <c r="D1069" t="s">
        <v>1206</v>
      </c>
      <c r="E1069" t="s">
        <v>1207</v>
      </c>
      <c r="F1069" s="99" t="s">
        <v>1213</v>
      </c>
    </row>
    <row r="1070" spans="1:6" x14ac:dyDescent="0.25">
      <c r="A1070" t="s">
        <v>449</v>
      </c>
      <c r="B1070">
        <v>23</v>
      </c>
      <c r="C1070" t="s">
        <v>1290</v>
      </c>
      <c r="D1070" t="s">
        <v>1220</v>
      </c>
      <c r="E1070" t="s">
        <v>1210</v>
      </c>
      <c r="F1070" s="99" t="s">
        <v>1213</v>
      </c>
    </row>
    <row r="1071" spans="1:6" x14ac:dyDescent="0.25">
      <c r="A1071" t="s">
        <v>302</v>
      </c>
      <c r="B1071">
        <v>23</v>
      </c>
      <c r="C1071" t="s">
        <v>1290</v>
      </c>
      <c r="D1071" t="s">
        <v>1219</v>
      </c>
      <c r="E1071" t="s">
        <v>1207</v>
      </c>
      <c r="F1071" s="99" t="s">
        <v>1213</v>
      </c>
    </row>
    <row r="1072" spans="1:6" x14ac:dyDescent="0.25">
      <c r="A1072" t="s">
        <v>1028</v>
      </c>
      <c r="B1072">
        <v>23</v>
      </c>
      <c r="C1072" t="s">
        <v>1290</v>
      </c>
      <c r="D1072" t="s">
        <v>1206</v>
      </c>
      <c r="E1072" t="s">
        <v>1210</v>
      </c>
      <c r="F1072" s="99" t="s">
        <v>1213</v>
      </c>
    </row>
    <row r="1073" spans="1:6" x14ac:dyDescent="0.25">
      <c r="A1073" t="s">
        <v>150</v>
      </c>
      <c r="B1073">
        <v>23</v>
      </c>
      <c r="C1073" t="s">
        <v>1290</v>
      </c>
      <c r="D1073" t="s">
        <v>1206</v>
      </c>
      <c r="E1073" t="s">
        <v>1210</v>
      </c>
      <c r="F1073" s="99" t="s">
        <v>1213</v>
      </c>
    </row>
    <row r="1074" spans="1:6" x14ac:dyDescent="0.25">
      <c r="A1074" t="s">
        <v>179</v>
      </c>
      <c r="B1074">
        <v>23</v>
      </c>
      <c r="C1074" t="s">
        <v>1290</v>
      </c>
      <c r="D1074" t="s">
        <v>1222</v>
      </c>
      <c r="E1074" t="s">
        <v>1215</v>
      </c>
      <c r="F1074" s="99" t="s">
        <v>1213</v>
      </c>
    </row>
    <row r="1075" spans="1:6" x14ac:dyDescent="0.25">
      <c r="A1075" t="s">
        <v>325</v>
      </c>
      <c r="B1075">
        <v>23</v>
      </c>
      <c r="C1075" t="s">
        <v>1290</v>
      </c>
      <c r="D1075" t="s">
        <v>1206</v>
      </c>
      <c r="E1075" t="s">
        <v>1210</v>
      </c>
      <c r="F1075" s="99" t="s">
        <v>1213</v>
      </c>
    </row>
    <row r="1076" spans="1:6" x14ac:dyDescent="0.25">
      <c r="A1076" t="s">
        <v>817</v>
      </c>
      <c r="B1076">
        <v>23</v>
      </c>
      <c r="C1076" t="s">
        <v>1290</v>
      </c>
      <c r="D1076" t="s">
        <v>1206</v>
      </c>
      <c r="E1076" t="s">
        <v>1207</v>
      </c>
      <c r="F1076" s="99" t="s">
        <v>1213</v>
      </c>
    </row>
    <row r="1077" spans="1:6" x14ac:dyDescent="0.25">
      <c r="A1077" t="s">
        <v>983</v>
      </c>
      <c r="B1077">
        <v>23</v>
      </c>
      <c r="C1077" t="s">
        <v>1290</v>
      </c>
      <c r="D1077" t="s">
        <v>1206</v>
      </c>
      <c r="E1077" t="s">
        <v>1215</v>
      </c>
      <c r="F1077" s="99" t="s">
        <v>1213</v>
      </c>
    </row>
    <row r="1078" spans="1:6" x14ac:dyDescent="0.25">
      <c r="A1078" t="s">
        <v>313</v>
      </c>
      <c r="B1078">
        <v>23</v>
      </c>
      <c r="C1078" t="s">
        <v>1290</v>
      </c>
      <c r="D1078" t="s">
        <v>1219</v>
      </c>
      <c r="E1078" t="s">
        <v>1210</v>
      </c>
      <c r="F1078" s="99" t="s">
        <v>1213</v>
      </c>
    </row>
    <row r="1079" spans="1:6" x14ac:dyDescent="0.25">
      <c r="A1079" t="s">
        <v>1038</v>
      </c>
      <c r="B1079">
        <v>23</v>
      </c>
      <c r="C1079" t="s">
        <v>1290</v>
      </c>
      <c r="D1079" t="s">
        <v>1206</v>
      </c>
      <c r="E1079" t="s">
        <v>1210</v>
      </c>
      <c r="F1079" s="99" t="s">
        <v>1213</v>
      </c>
    </row>
    <row r="1080" spans="1:6" x14ac:dyDescent="0.25">
      <c r="A1080" t="s">
        <v>189</v>
      </c>
      <c r="B1080">
        <v>23</v>
      </c>
      <c r="C1080" t="s">
        <v>1290</v>
      </c>
      <c r="D1080" t="s">
        <v>1218</v>
      </c>
      <c r="E1080" t="s">
        <v>1215</v>
      </c>
      <c r="F1080" s="99" t="s">
        <v>1213</v>
      </c>
    </row>
    <row r="1081" spans="1:6" x14ac:dyDescent="0.25">
      <c r="A1081" t="s">
        <v>1009</v>
      </c>
      <c r="B1081">
        <v>23</v>
      </c>
      <c r="C1081" t="s">
        <v>1290</v>
      </c>
      <c r="D1081" t="s">
        <v>1206</v>
      </c>
      <c r="E1081" t="s">
        <v>1210</v>
      </c>
      <c r="F1081" s="99" t="s">
        <v>1213</v>
      </c>
    </row>
    <row r="1082" spans="1:6" x14ac:dyDescent="0.25">
      <c r="A1082" t="s">
        <v>123</v>
      </c>
      <c r="B1082">
        <v>23</v>
      </c>
      <c r="C1082" t="s">
        <v>1290</v>
      </c>
      <c r="D1082" t="s">
        <v>1206</v>
      </c>
      <c r="E1082" t="s">
        <v>1207</v>
      </c>
      <c r="F1082" s="99" t="s">
        <v>1213</v>
      </c>
    </row>
    <row r="1083" spans="1:6" x14ac:dyDescent="0.25">
      <c r="A1083" t="s">
        <v>393</v>
      </c>
      <c r="B1083">
        <v>23</v>
      </c>
      <c r="C1083" t="s">
        <v>1290</v>
      </c>
      <c r="D1083" t="s">
        <v>1206</v>
      </c>
      <c r="E1083" t="s">
        <v>1210</v>
      </c>
      <c r="F1083" s="99" t="s">
        <v>1213</v>
      </c>
    </row>
    <row r="1084" spans="1:6" x14ac:dyDescent="0.25">
      <c r="A1084" t="s">
        <v>436</v>
      </c>
      <c r="B1084">
        <v>23</v>
      </c>
      <c r="C1084" t="s">
        <v>1290</v>
      </c>
      <c r="D1084" t="s">
        <v>1206</v>
      </c>
      <c r="E1084" t="s">
        <v>1217</v>
      </c>
      <c r="F1084" s="99" t="s">
        <v>1213</v>
      </c>
    </row>
    <row r="1085" spans="1:6" x14ac:dyDescent="0.25">
      <c r="A1085" t="s">
        <v>183</v>
      </c>
      <c r="B1085">
        <v>23</v>
      </c>
      <c r="C1085" t="s">
        <v>1290</v>
      </c>
      <c r="D1085" t="s">
        <v>1218</v>
      </c>
      <c r="E1085" t="s">
        <v>1215</v>
      </c>
      <c r="F1085" s="99" t="s">
        <v>1213</v>
      </c>
    </row>
    <row r="1086" spans="1:6" x14ac:dyDescent="0.25">
      <c r="A1086" t="s">
        <v>541</v>
      </c>
      <c r="B1086">
        <v>23</v>
      </c>
      <c r="C1086" t="s">
        <v>1290</v>
      </c>
      <c r="D1086" t="s">
        <v>1219</v>
      </c>
      <c r="E1086" t="s">
        <v>1217</v>
      </c>
      <c r="F1086" s="99" t="s">
        <v>1213</v>
      </c>
    </row>
    <row r="1087" spans="1:6" x14ac:dyDescent="0.25">
      <c r="A1087" t="s">
        <v>296</v>
      </c>
      <c r="B1087">
        <v>23</v>
      </c>
      <c r="C1087" t="s">
        <v>1290</v>
      </c>
      <c r="D1087" t="s">
        <v>1220</v>
      </c>
      <c r="E1087" t="s">
        <v>1210</v>
      </c>
      <c r="F1087" s="99" t="s">
        <v>1213</v>
      </c>
    </row>
    <row r="1088" spans="1:6" x14ac:dyDescent="0.25">
      <c r="A1088" t="s">
        <v>1061</v>
      </c>
      <c r="B1088">
        <v>23</v>
      </c>
      <c r="C1088" t="s">
        <v>1290</v>
      </c>
      <c r="D1088" t="s">
        <v>1206</v>
      </c>
      <c r="E1088" t="s">
        <v>1217</v>
      </c>
      <c r="F1088" s="99" t="s">
        <v>1213</v>
      </c>
    </row>
    <row r="1089" spans="1:6" x14ac:dyDescent="0.25">
      <c r="A1089" t="s">
        <v>1096</v>
      </c>
      <c r="B1089">
        <v>23</v>
      </c>
      <c r="C1089" t="s">
        <v>1290</v>
      </c>
      <c r="D1089" t="s">
        <v>1206</v>
      </c>
      <c r="E1089" t="s">
        <v>1210</v>
      </c>
      <c r="F1089" s="99" t="s">
        <v>1213</v>
      </c>
    </row>
    <row r="1090" spans="1:6" x14ac:dyDescent="0.25">
      <c r="A1090" t="s">
        <v>1118</v>
      </c>
      <c r="B1090">
        <v>23</v>
      </c>
      <c r="C1090" t="s">
        <v>1290</v>
      </c>
      <c r="D1090" t="s">
        <v>1206</v>
      </c>
      <c r="E1090" t="s">
        <v>1207</v>
      </c>
      <c r="F1090" s="99" t="s">
        <v>1213</v>
      </c>
    </row>
    <row r="1091" spans="1:6" x14ac:dyDescent="0.25">
      <c r="A1091" t="s">
        <v>119</v>
      </c>
      <c r="B1091">
        <v>23</v>
      </c>
      <c r="C1091" t="s">
        <v>1290</v>
      </c>
      <c r="D1091" t="s">
        <v>1218</v>
      </c>
      <c r="E1091" t="s">
        <v>1210</v>
      </c>
      <c r="F1091" s="99" t="s">
        <v>1213</v>
      </c>
    </row>
    <row r="1092" spans="1:6" x14ac:dyDescent="0.25">
      <c r="A1092" t="s">
        <v>802</v>
      </c>
      <c r="B1092">
        <v>23</v>
      </c>
      <c r="C1092" t="s">
        <v>1290</v>
      </c>
      <c r="D1092" t="s">
        <v>1206</v>
      </c>
      <c r="E1092" t="s">
        <v>1210</v>
      </c>
      <c r="F1092" s="99" t="s">
        <v>1213</v>
      </c>
    </row>
    <row r="1093" spans="1:6" x14ac:dyDescent="0.25">
      <c r="A1093" t="s">
        <v>1093</v>
      </c>
      <c r="B1093">
        <v>23</v>
      </c>
      <c r="C1093" t="s">
        <v>1290</v>
      </c>
      <c r="D1093" t="s">
        <v>1206</v>
      </c>
      <c r="E1093" t="s">
        <v>1207</v>
      </c>
      <c r="F1093" s="99" t="s">
        <v>1213</v>
      </c>
    </row>
    <row r="1094" spans="1:6" x14ac:dyDescent="0.25">
      <c r="A1094" t="s">
        <v>249</v>
      </c>
      <c r="B1094">
        <v>23</v>
      </c>
      <c r="C1094" t="s">
        <v>1290</v>
      </c>
      <c r="D1094" t="s">
        <v>1219</v>
      </c>
      <c r="E1094" t="s">
        <v>1217</v>
      </c>
      <c r="F1094" s="99" t="s">
        <v>1213</v>
      </c>
    </row>
    <row r="1095" spans="1:6" x14ac:dyDescent="0.25">
      <c r="A1095" t="s">
        <v>307</v>
      </c>
      <c r="B1095">
        <v>23</v>
      </c>
      <c r="C1095" t="s">
        <v>1290</v>
      </c>
      <c r="D1095" t="s">
        <v>1220</v>
      </c>
      <c r="E1095" t="s">
        <v>1217</v>
      </c>
      <c r="F1095" s="99" t="s">
        <v>1213</v>
      </c>
    </row>
    <row r="1096" spans="1:6" x14ac:dyDescent="0.25">
      <c r="A1096" t="s">
        <v>582</v>
      </c>
      <c r="B1096">
        <v>23</v>
      </c>
      <c r="C1096" t="s">
        <v>1290</v>
      </c>
      <c r="D1096" t="s">
        <v>1219</v>
      </c>
      <c r="E1096" t="s">
        <v>1217</v>
      </c>
      <c r="F1096" s="99" t="s">
        <v>1213</v>
      </c>
    </row>
    <row r="1097" spans="1:6" x14ac:dyDescent="0.25">
      <c r="A1097" t="s">
        <v>691</v>
      </c>
      <c r="B1097">
        <v>23</v>
      </c>
      <c r="C1097" t="s">
        <v>1290</v>
      </c>
      <c r="D1097" t="s">
        <v>1219</v>
      </c>
      <c r="E1097" t="s">
        <v>1207</v>
      </c>
      <c r="F1097" s="99" t="s">
        <v>1213</v>
      </c>
    </row>
    <row r="1098" spans="1:6" x14ac:dyDescent="0.25">
      <c r="A1098" t="s">
        <v>989</v>
      </c>
      <c r="B1098">
        <v>23</v>
      </c>
      <c r="C1098" t="s">
        <v>1290</v>
      </c>
      <c r="D1098" t="s">
        <v>1206</v>
      </c>
      <c r="E1098" t="s">
        <v>1210</v>
      </c>
      <c r="F1098" s="99" t="s">
        <v>1213</v>
      </c>
    </row>
    <row r="1099" spans="1:6" x14ac:dyDescent="0.25">
      <c r="A1099" t="s">
        <v>754</v>
      </c>
      <c r="B1099">
        <v>23</v>
      </c>
      <c r="C1099" t="s">
        <v>1290</v>
      </c>
      <c r="D1099" t="s">
        <v>1219</v>
      </c>
      <c r="E1099" t="s">
        <v>1210</v>
      </c>
      <c r="F1099" s="99" t="s">
        <v>1213</v>
      </c>
    </row>
    <row r="1100" spans="1:6" x14ac:dyDescent="0.25">
      <c r="A1100" t="s">
        <v>1192</v>
      </c>
      <c r="B1100">
        <v>23</v>
      </c>
      <c r="C1100" t="s">
        <v>1290</v>
      </c>
      <c r="D1100" t="s">
        <v>1206</v>
      </c>
      <c r="E1100" t="s">
        <v>1207</v>
      </c>
      <c r="F1100" s="99" t="s">
        <v>1213</v>
      </c>
    </row>
    <row r="1101" spans="1:6" x14ac:dyDescent="0.25">
      <c r="A1101" t="s">
        <v>758</v>
      </c>
      <c r="B1101">
        <v>23</v>
      </c>
      <c r="C1101" t="s">
        <v>1290</v>
      </c>
      <c r="D1101" t="s">
        <v>1220</v>
      </c>
      <c r="E1101" t="s">
        <v>1217</v>
      </c>
      <c r="F1101" s="99" t="s">
        <v>1213</v>
      </c>
    </row>
    <row r="1102" spans="1:6" x14ac:dyDescent="0.25">
      <c r="A1102" t="s">
        <v>1136</v>
      </c>
      <c r="B1102">
        <v>23</v>
      </c>
      <c r="C1102" t="s">
        <v>1290</v>
      </c>
      <c r="D1102" t="s">
        <v>1206</v>
      </c>
      <c r="E1102" t="s">
        <v>1207</v>
      </c>
      <c r="F1102" s="99" t="s">
        <v>1213</v>
      </c>
    </row>
    <row r="1103" spans="1:6" x14ac:dyDescent="0.25">
      <c r="A1103" t="s">
        <v>1056</v>
      </c>
      <c r="B1103">
        <v>23</v>
      </c>
      <c r="C1103" t="s">
        <v>1290</v>
      </c>
      <c r="D1103" t="s">
        <v>1206</v>
      </c>
      <c r="E1103" t="s">
        <v>1207</v>
      </c>
      <c r="F1103" s="99" t="s">
        <v>1213</v>
      </c>
    </row>
    <row r="1104" spans="1:6" x14ac:dyDescent="0.25">
      <c r="A1104" t="s">
        <v>1035</v>
      </c>
      <c r="B1104">
        <v>23</v>
      </c>
      <c r="C1104" t="s">
        <v>1290</v>
      </c>
      <c r="D1104" t="s">
        <v>1206</v>
      </c>
      <c r="E1104" t="s">
        <v>1210</v>
      </c>
      <c r="F1104" s="99" t="s">
        <v>1213</v>
      </c>
    </row>
    <row r="1105" spans="1:6" x14ac:dyDescent="0.25">
      <c r="A1105" t="s">
        <v>506</v>
      </c>
      <c r="B1105">
        <v>23</v>
      </c>
      <c r="C1105" t="s">
        <v>1290</v>
      </c>
      <c r="D1105" t="s">
        <v>1206</v>
      </c>
      <c r="E1105" t="s">
        <v>1217</v>
      </c>
      <c r="F1105" s="99" t="s">
        <v>1213</v>
      </c>
    </row>
    <row r="1106" spans="1:6" x14ac:dyDescent="0.25">
      <c r="A1106" t="s">
        <v>877</v>
      </c>
      <c r="B1106">
        <v>23</v>
      </c>
      <c r="C1106" t="s">
        <v>1290</v>
      </c>
      <c r="D1106" t="s">
        <v>1206</v>
      </c>
      <c r="E1106" t="s">
        <v>1210</v>
      </c>
      <c r="F1106" s="99" t="s">
        <v>1213</v>
      </c>
    </row>
    <row r="1107" spans="1:6" x14ac:dyDescent="0.25">
      <c r="A1107" t="s">
        <v>940</v>
      </c>
      <c r="B1107">
        <v>23</v>
      </c>
      <c r="C1107" t="s">
        <v>1290</v>
      </c>
      <c r="D1107" t="s">
        <v>1206</v>
      </c>
      <c r="E1107" t="s">
        <v>1210</v>
      </c>
      <c r="F1107" s="99" t="s">
        <v>1213</v>
      </c>
    </row>
    <row r="1108" spans="1:6" x14ac:dyDescent="0.25">
      <c r="A1108" t="s">
        <v>323</v>
      </c>
      <c r="B1108">
        <v>23</v>
      </c>
      <c r="C1108" t="s">
        <v>1290</v>
      </c>
      <c r="D1108" t="s">
        <v>1219</v>
      </c>
      <c r="E1108" t="s">
        <v>1210</v>
      </c>
      <c r="F1108" s="99" t="s">
        <v>1213</v>
      </c>
    </row>
    <row r="1109" spans="1:6" x14ac:dyDescent="0.25">
      <c r="A1109" t="s">
        <v>495</v>
      </c>
      <c r="B1109">
        <v>23</v>
      </c>
      <c r="C1109" t="s">
        <v>1290</v>
      </c>
      <c r="D1109" t="s">
        <v>1206</v>
      </c>
      <c r="E1109" t="s">
        <v>1217</v>
      </c>
      <c r="F1109" s="99" t="s">
        <v>1213</v>
      </c>
    </row>
    <row r="1110" spans="1:6" x14ac:dyDescent="0.25">
      <c r="A1110" t="s">
        <v>1054</v>
      </c>
      <c r="B1110">
        <v>23</v>
      </c>
      <c r="C1110" t="s">
        <v>1290</v>
      </c>
      <c r="D1110" t="s">
        <v>1206</v>
      </c>
      <c r="E1110" t="s">
        <v>1217</v>
      </c>
      <c r="F1110" s="99" t="s">
        <v>1213</v>
      </c>
    </row>
    <row r="1111" spans="1:6" x14ac:dyDescent="0.25">
      <c r="A1111" t="s">
        <v>509</v>
      </c>
      <c r="B1111">
        <v>23</v>
      </c>
      <c r="C1111" t="s">
        <v>1290</v>
      </c>
      <c r="D1111" t="s">
        <v>1220</v>
      </c>
      <c r="E1111" t="s">
        <v>1217</v>
      </c>
      <c r="F1111" s="99" t="s">
        <v>1213</v>
      </c>
    </row>
    <row r="1112" spans="1:6" x14ac:dyDescent="0.25">
      <c r="A1112" t="s">
        <v>142</v>
      </c>
      <c r="B1112">
        <v>23</v>
      </c>
      <c r="C1112" t="s">
        <v>1290</v>
      </c>
      <c r="D1112" t="s">
        <v>1219</v>
      </c>
      <c r="E1112" t="s">
        <v>1210</v>
      </c>
      <c r="F1112" s="99" t="s">
        <v>1213</v>
      </c>
    </row>
    <row r="1113" spans="1:6" x14ac:dyDescent="0.25">
      <c r="A1113" t="s">
        <v>1107</v>
      </c>
      <c r="B1113">
        <v>23</v>
      </c>
      <c r="C1113" t="s">
        <v>1290</v>
      </c>
      <c r="D1113" t="s">
        <v>1206</v>
      </c>
      <c r="E1113" t="s">
        <v>1207</v>
      </c>
      <c r="F1113" s="99" t="s">
        <v>1213</v>
      </c>
    </row>
    <row r="1114" spans="1:6" x14ac:dyDescent="0.25">
      <c r="A1114" t="s">
        <v>868</v>
      </c>
      <c r="B1114">
        <v>23</v>
      </c>
      <c r="C1114" t="s">
        <v>1290</v>
      </c>
      <c r="D1114" t="s">
        <v>1206</v>
      </c>
      <c r="E1114" t="s">
        <v>1217</v>
      </c>
      <c r="F1114" s="99" t="s">
        <v>1213</v>
      </c>
    </row>
    <row r="1115" spans="1:6" x14ac:dyDescent="0.25">
      <c r="A1115" t="s">
        <v>478</v>
      </c>
      <c r="B1115">
        <v>23</v>
      </c>
      <c r="C1115" t="s">
        <v>1290</v>
      </c>
      <c r="D1115" t="s">
        <v>1220</v>
      </c>
      <c r="E1115" t="s">
        <v>1217</v>
      </c>
      <c r="F1115" s="99" t="s">
        <v>1213</v>
      </c>
    </row>
    <row r="1116" spans="1:6" x14ac:dyDescent="0.25">
      <c r="A1116" t="s">
        <v>448</v>
      </c>
      <c r="B1116">
        <v>23</v>
      </c>
      <c r="C1116" t="s">
        <v>1290</v>
      </c>
      <c r="D1116" t="s">
        <v>1220</v>
      </c>
      <c r="E1116" t="s">
        <v>1217</v>
      </c>
      <c r="F1116" s="99" t="s">
        <v>1213</v>
      </c>
    </row>
    <row r="1117" spans="1:6" x14ac:dyDescent="0.25">
      <c r="A1117" t="s">
        <v>110</v>
      </c>
      <c r="B1117">
        <v>23</v>
      </c>
      <c r="C1117" t="s">
        <v>1290</v>
      </c>
      <c r="D1117" t="s">
        <v>1206</v>
      </c>
      <c r="E1117" t="s">
        <v>1215</v>
      </c>
      <c r="F1117" s="99" t="s">
        <v>1213</v>
      </c>
    </row>
    <row r="1118" spans="1:6" x14ac:dyDescent="0.25">
      <c r="A1118" t="s">
        <v>225</v>
      </c>
      <c r="B1118">
        <v>23</v>
      </c>
      <c r="C1118" t="s">
        <v>1290</v>
      </c>
      <c r="D1118" t="s">
        <v>1220</v>
      </c>
      <c r="E1118" t="s">
        <v>1210</v>
      </c>
      <c r="F1118" s="99" t="s">
        <v>1213</v>
      </c>
    </row>
    <row r="1119" spans="1:6" x14ac:dyDescent="0.25">
      <c r="A1119" t="s">
        <v>922</v>
      </c>
      <c r="B1119">
        <v>23</v>
      </c>
      <c r="C1119" t="s">
        <v>1290</v>
      </c>
      <c r="D1119" t="s">
        <v>1206</v>
      </c>
      <c r="E1119" t="s">
        <v>1210</v>
      </c>
      <c r="F1119" s="99" t="s">
        <v>1213</v>
      </c>
    </row>
    <row r="1120" spans="1:6" x14ac:dyDescent="0.25">
      <c r="A1120" t="s">
        <v>172</v>
      </c>
      <c r="B1120">
        <v>23</v>
      </c>
      <c r="C1120" t="s">
        <v>1290</v>
      </c>
      <c r="D1120" t="s">
        <v>1219</v>
      </c>
      <c r="E1120" t="s">
        <v>1215</v>
      </c>
      <c r="F1120" s="99" t="s">
        <v>1213</v>
      </c>
    </row>
    <row r="1121" spans="1:6" x14ac:dyDescent="0.25">
      <c r="A1121" t="s">
        <v>259</v>
      </c>
      <c r="B1121">
        <v>24</v>
      </c>
      <c r="C1121" t="s">
        <v>1290</v>
      </c>
      <c r="D1121" t="s">
        <v>1220</v>
      </c>
      <c r="E1121" t="s">
        <v>1207</v>
      </c>
      <c r="F1121" s="99" t="s">
        <v>1213</v>
      </c>
    </row>
    <row r="1122" spans="1:6" x14ac:dyDescent="0.25">
      <c r="A1122" t="s">
        <v>715</v>
      </c>
      <c r="B1122">
        <v>24</v>
      </c>
      <c r="C1122" t="s">
        <v>1290</v>
      </c>
      <c r="D1122" t="s">
        <v>1206</v>
      </c>
      <c r="E1122" t="s">
        <v>1210</v>
      </c>
      <c r="F1122" s="99" t="s">
        <v>1213</v>
      </c>
    </row>
    <row r="1123" spans="1:6" x14ac:dyDescent="0.25">
      <c r="A1123" t="s">
        <v>632</v>
      </c>
      <c r="B1123">
        <v>24</v>
      </c>
      <c r="C1123" t="s">
        <v>1290</v>
      </c>
      <c r="D1123" t="s">
        <v>1219</v>
      </c>
      <c r="E1123" t="s">
        <v>1207</v>
      </c>
      <c r="F1123" s="99" t="s">
        <v>1213</v>
      </c>
    </row>
    <row r="1124" spans="1:6" x14ac:dyDescent="0.25">
      <c r="A1124" t="s">
        <v>787</v>
      </c>
      <c r="B1124">
        <v>24</v>
      </c>
      <c r="C1124" t="s">
        <v>1290</v>
      </c>
      <c r="D1124" t="s">
        <v>1206</v>
      </c>
      <c r="E1124" t="s">
        <v>1210</v>
      </c>
      <c r="F1124" s="99" t="s">
        <v>1213</v>
      </c>
    </row>
    <row r="1125" spans="1:6" x14ac:dyDescent="0.25">
      <c r="A1125" t="s">
        <v>518</v>
      </c>
      <c r="B1125">
        <v>24</v>
      </c>
      <c r="C1125" t="s">
        <v>1290</v>
      </c>
      <c r="D1125" t="s">
        <v>1206</v>
      </c>
      <c r="E1125" t="s">
        <v>1210</v>
      </c>
      <c r="F1125" s="99" t="s">
        <v>1213</v>
      </c>
    </row>
    <row r="1126" spans="1:6" x14ac:dyDescent="0.25">
      <c r="A1126" t="s">
        <v>184</v>
      </c>
      <c r="B1126">
        <v>24</v>
      </c>
      <c r="C1126" t="s">
        <v>1290</v>
      </c>
      <c r="D1126" t="s">
        <v>1218</v>
      </c>
      <c r="E1126" t="s">
        <v>1215</v>
      </c>
      <c r="F1126" s="99" t="s">
        <v>1213</v>
      </c>
    </row>
    <row r="1127" spans="1:6" x14ac:dyDescent="0.25">
      <c r="A1127" t="s">
        <v>1008</v>
      </c>
      <c r="B1127">
        <v>24</v>
      </c>
      <c r="C1127" t="s">
        <v>1290</v>
      </c>
      <c r="D1127" t="s">
        <v>1206</v>
      </c>
      <c r="E1127" t="s">
        <v>1207</v>
      </c>
      <c r="F1127" s="99" t="s">
        <v>1213</v>
      </c>
    </row>
    <row r="1128" spans="1:6" x14ac:dyDescent="0.25">
      <c r="A1128" t="s">
        <v>446</v>
      </c>
      <c r="B1128">
        <v>24</v>
      </c>
      <c r="C1128" t="s">
        <v>1290</v>
      </c>
      <c r="D1128" t="s">
        <v>1220</v>
      </c>
      <c r="E1128" t="s">
        <v>1217</v>
      </c>
      <c r="F1128" s="99" t="s">
        <v>1213</v>
      </c>
    </row>
    <row r="1129" spans="1:6" x14ac:dyDescent="0.25">
      <c r="A1129" t="s">
        <v>974</v>
      </c>
      <c r="B1129">
        <v>24</v>
      </c>
      <c r="C1129" t="s">
        <v>1290</v>
      </c>
      <c r="D1129" t="s">
        <v>1206</v>
      </c>
      <c r="E1129" t="s">
        <v>1210</v>
      </c>
      <c r="F1129" s="99" t="s">
        <v>1213</v>
      </c>
    </row>
    <row r="1130" spans="1:6" x14ac:dyDescent="0.25">
      <c r="A1130" t="s">
        <v>493</v>
      </c>
      <c r="B1130">
        <v>24</v>
      </c>
      <c r="C1130" t="s">
        <v>1290</v>
      </c>
      <c r="D1130" t="s">
        <v>1220</v>
      </c>
      <c r="E1130" t="s">
        <v>1210</v>
      </c>
      <c r="F1130" s="99" t="s">
        <v>1213</v>
      </c>
    </row>
    <row r="1131" spans="1:6" x14ac:dyDescent="0.25">
      <c r="A1131" t="s">
        <v>705</v>
      </c>
      <c r="B1131">
        <v>24</v>
      </c>
      <c r="C1131" t="s">
        <v>1290</v>
      </c>
      <c r="D1131" t="s">
        <v>1219</v>
      </c>
      <c r="E1131" t="s">
        <v>1210</v>
      </c>
      <c r="F1131" s="99" t="s">
        <v>1213</v>
      </c>
    </row>
    <row r="1132" spans="1:6" x14ac:dyDescent="0.25">
      <c r="A1132" t="s">
        <v>849</v>
      </c>
      <c r="B1132">
        <v>24</v>
      </c>
      <c r="C1132" t="s">
        <v>1290</v>
      </c>
      <c r="D1132" t="s">
        <v>1206</v>
      </c>
      <c r="E1132" t="s">
        <v>1217</v>
      </c>
      <c r="F1132" s="99" t="s">
        <v>1213</v>
      </c>
    </row>
    <row r="1133" spans="1:6" x14ac:dyDescent="0.25">
      <c r="A1133" t="s">
        <v>988</v>
      </c>
      <c r="B1133">
        <v>24</v>
      </c>
      <c r="C1133" t="s">
        <v>1290</v>
      </c>
      <c r="D1133" t="s">
        <v>1206</v>
      </c>
      <c r="E1133" t="s">
        <v>1215</v>
      </c>
      <c r="F1133" s="99" t="s">
        <v>1213</v>
      </c>
    </row>
    <row r="1134" spans="1:6" x14ac:dyDescent="0.25">
      <c r="A1134" t="s">
        <v>230</v>
      </c>
      <c r="B1134">
        <v>24</v>
      </c>
      <c r="C1134" t="s">
        <v>1290</v>
      </c>
      <c r="D1134" t="s">
        <v>1206</v>
      </c>
      <c r="E1134" t="s">
        <v>1207</v>
      </c>
      <c r="F1134" s="99" t="s">
        <v>1213</v>
      </c>
    </row>
    <row r="1135" spans="1:6" x14ac:dyDescent="0.25">
      <c r="A1135" t="s">
        <v>794</v>
      </c>
      <c r="B1135">
        <v>24</v>
      </c>
      <c r="C1135" t="s">
        <v>1290</v>
      </c>
      <c r="D1135" t="s">
        <v>1206</v>
      </c>
      <c r="E1135" t="s">
        <v>1210</v>
      </c>
      <c r="F1135" s="99" t="s">
        <v>1213</v>
      </c>
    </row>
    <row r="1136" spans="1:6" x14ac:dyDescent="0.25">
      <c r="A1136" t="s">
        <v>616</v>
      </c>
      <c r="B1136">
        <v>24</v>
      </c>
      <c r="C1136" t="s">
        <v>1290</v>
      </c>
      <c r="D1136" t="s">
        <v>1206</v>
      </c>
      <c r="E1136" t="s">
        <v>1210</v>
      </c>
      <c r="F1136" s="99" t="s">
        <v>1213</v>
      </c>
    </row>
    <row r="1137" spans="1:6" x14ac:dyDescent="0.25">
      <c r="A1137" t="s">
        <v>718</v>
      </c>
      <c r="B1137">
        <v>24</v>
      </c>
      <c r="C1137" t="s">
        <v>1290</v>
      </c>
      <c r="D1137" t="s">
        <v>1220</v>
      </c>
      <c r="E1137" t="s">
        <v>1217</v>
      </c>
      <c r="F1137" s="99" t="s">
        <v>1213</v>
      </c>
    </row>
    <row r="1138" spans="1:6" x14ac:dyDescent="0.25">
      <c r="A1138" t="s">
        <v>573</v>
      </c>
      <c r="B1138">
        <v>24</v>
      </c>
      <c r="C1138" t="s">
        <v>1290</v>
      </c>
      <c r="D1138" t="s">
        <v>1220</v>
      </c>
      <c r="E1138" t="s">
        <v>1217</v>
      </c>
      <c r="F1138" s="99" t="s">
        <v>1213</v>
      </c>
    </row>
    <row r="1139" spans="1:6" x14ac:dyDescent="0.25">
      <c r="A1139" t="s">
        <v>1071</v>
      </c>
      <c r="B1139">
        <v>24</v>
      </c>
      <c r="C1139" t="s">
        <v>1290</v>
      </c>
      <c r="D1139" t="s">
        <v>1219</v>
      </c>
      <c r="E1139" t="s">
        <v>1217</v>
      </c>
      <c r="F1139" s="99" t="s">
        <v>1213</v>
      </c>
    </row>
    <row r="1140" spans="1:6" x14ac:dyDescent="0.25">
      <c r="A1140" t="s">
        <v>629</v>
      </c>
      <c r="B1140">
        <v>24</v>
      </c>
      <c r="C1140" t="s">
        <v>1290</v>
      </c>
      <c r="D1140" t="s">
        <v>1206</v>
      </c>
      <c r="E1140" t="s">
        <v>1217</v>
      </c>
      <c r="F1140" s="99" t="s">
        <v>1213</v>
      </c>
    </row>
    <row r="1141" spans="1:6" x14ac:dyDescent="0.25">
      <c r="A1141" t="s">
        <v>347</v>
      </c>
      <c r="B1141">
        <v>24</v>
      </c>
      <c r="C1141" t="s">
        <v>1290</v>
      </c>
      <c r="D1141" t="s">
        <v>1206</v>
      </c>
      <c r="E1141" t="s">
        <v>1210</v>
      </c>
      <c r="F1141" s="99" t="s">
        <v>1213</v>
      </c>
    </row>
    <row r="1142" spans="1:6" x14ac:dyDescent="0.25">
      <c r="A1142" t="s">
        <v>1171</v>
      </c>
      <c r="B1142">
        <v>24</v>
      </c>
      <c r="C1142" t="s">
        <v>1290</v>
      </c>
      <c r="D1142" t="s">
        <v>1220</v>
      </c>
      <c r="E1142" t="s">
        <v>1207</v>
      </c>
      <c r="F1142" s="99" t="s">
        <v>1213</v>
      </c>
    </row>
    <row r="1143" spans="1:6" x14ac:dyDescent="0.25">
      <c r="A1143" t="s">
        <v>330</v>
      </c>
      <c r="B1143">
        <v>24</v>
      </c>
      <c r="C1143" t="s">
        <v>1290</v>
      </c>
      <c r="D1143" t="s">
        <v>1219</v>
      </c>
      <c r="E1143" t="s">
        <v>1217</v>
      </c>
      <c r="F1143" s="99" t="s">
        <v>1213</v>
      </c>
    </row>
    <row r="1144" spans="1:6" x14ac:dyDescent="0.25">
      <c r="A1144" t="s">
        <v>1006</v>
      </c>
      <c r="B1144">
        <v>24</v>
      </c>
      <c r="C1144" t="s">
        <v>1290</v>
      </c>
      <c r="D1144" t="s">
        <v>1206</v>
      </c>
      <c r="E1144" t="s">
        <v>1210</v>
      </c>
      <c r="F1144" s="99" t="s">
        <v>1213</v>
      </c>
    </row>
    <row r="1145" spans="1:6" x14ac:dyDescent="0.25">
      <c r="A1145" t="s">
        <v>1088</v>
      </c>
      <c r="B1145">
        <v>24</v>
      </c>
      <c r="C1145" t="s">
        <v>1290</v>
      </c>
      <c r="D1145" t="s">
        <v>1206</v>
      </c>
      <c r="E1145" t="s">
        <v>1207</v>
      </c>
      <c r="F1145" s="99" t="s">
        <v>1213</v>
      </c>
    </row>
    <row r="1146" spans="1:6" x14ac:dyDescent="0.25">
      <c r="A1146" t="s">
        <v>482</v>
      </c>
      <c r="B1146">
        <v>24</v>
      </c>
      <c r="C1146" t="s">
        <v>1290</v>
      </c>
      <c r="D1146" t="s">
        <v>1220</v>
      </c>
      <c r="E1146" t="s">
        <v>1217</v>
      </c>
      <c r="F1146" s="99" t="s">
        <v>1213</v>
      </c>
    </row>
    <row r="1147" spans="1:6" x14ac:dyDescent="0.25">
      <c r="A1147" t="s">
        <v>625</v>
      </c>
      <c r="B1147">
        <v>24</v>
      </c>
      <c r="C1147" t="s">
        <v>1290</v>
      </c>
      <c r="D1147" t="s">
        <v>1206</v>
      </c>
      <c r="E1147" t="s">
        <v>1217</v>
      </c>
      <c r="F1147" s="99" t="s">
        <v>1213</v>
      </c>
    </row>
    <row r="1148" spans="1:6" x14ac:dyDescent="0.25">
      <c r="A1148" t="s">
        <v>318</v>
      </c>
      <c r="B1148">
        <v>24</v>
      </c>
      <c r="C1148" t="s">
        <v>1290</v>
      </c>
      <c r="D1148" t="s">
        <v>1220</v>
      </c>
      <c r="E1148" t="s">
        <v>1210</v>
      </c>
      <c r="F1148" s="99" t="s">
        <v>1213</v>
      </c>
    </row>
    <row r="1149" spans="1:6" x14ac:dyDescent="0.25">
      <c r="A1149" t="s">
        <v>1046</v>
      </c>
      <c r="B1149">
        <v>24</v>
      </c>
      <c r="C1149" t="s">
        <v>1290</v>
      </c>
      <c r="D1149" t="s">
        <v>1206</v>
      </c>
      <c r="E1149" t="s">
        <v>1210</v>
      </c>
      <c r="F1149" s="99" t="s">
        <v>1213</v>
      </c>
    </row>
    <row r="1150" spans="1:6" x14ac:dyDescent="0.25">
      <c r="A1150" t="s">
        <v>154</v>
      </c>
      <c r="B1150">
        <v>24</v>
      </c>
      <c r="C1150" t="s">
        <v>1290</v>
      </c>
      <c r="D1150" t="s">
        <v>1206</v>
      </c>
      <c r="E1150" t="s">
        <v>1207</v>
      </c>
      <c r="F1150" s="99" t="s">
        <v>1213</v>
      </c>
    </row>
    <row r="1151" spans="1:6" x14ac:dyDescent="0.25">
      <c r="A1151" t="s">
        <v>739</v>
      </c>
      <c r="B1151">
        <v>24</v>
      </c>
      <c r="C1151" t="s">
        <v>1290</v>
      </c>
      <c r="D1151" t="s">
        <v>1220</v>
      </c>
      <c r="E1151" t="s">
        <v>1210</v>
      </c>
      <c r="F1151" s="99" t="s">
        <v>1213</v>
      </c>
    </row>
    <row r="1152" spans="1:6" x14ac:dyDescent="0.25">
      <c r="A1152" t="s">
        <v>872</v>
      </c>
      <c r="B1152">
        <v>24</v>
      </c>
      <c r="C1152" t="s">
        <v>1290</v>
      </c>
      <c r="D1152" t="s">
        <v>1206</v>
      </c>
      <c r="E1152" t="s">
        <v>1217</v>
      </c>
      <c r="F1152" s="99" t="s">
        <v>1213</v>
      </c>
    </row>
    <row r="1153" spans="1:6" x14ac:dyDescent="0.25">
      <c r="A1153" t="s">
        <v>1043</v>
      </c>
      <c r="B1153">
        <v>24</v>
      </c>
      <c r="C1153" t="s">
        <v>1290</v>
      </c>
      <c r="D1153" t="s">
        <v>1206</v>
      </c>
      <c r="E1153" t="s">
        <v>1217</v>
      </c>
      <c r="F1153" s="99" t="s">
        <v>1213</v>
      </c>
    </row>
    <row r="1154" spans="1:6" x14ac:dyDescent="0.25">
      <c r="A1154" t="s">
        <v>320</v>
      </c>
      <c r="B1154">
        <v>24</v>
      </c>
      <c r="C1154" t="s">
        <v>1290</v>
      </c>
      <c r="D1154" t="s">
        <v>1219</v>
      </c>
      <c r="E1154" t="s">
        <v>1210</v>
      </c>
      <c r="F1154" s="99" t="s">
        <v>1213</v>
      </c>
    </row>
    <row r="1155" spans="1:6" x14ac:dyDescent="0.25">
      <c r="A1155" t="s">
        <v>267</v>
      </c>
      <c r="B1155">
        <v>24</v>
      </c>
      <c r="C1155" t="s">
        <v>1290</v>
      </c>
      <c r="D1155" t="s">
        <v>1220</v>
      </c>
      <c r="E1155" t="s">
        <v>1207</v>
      </c>
      <c r="F1155" s="99" t="s">
        <v>1213</v>
      </c>
    </row>
    <row r="1156" spans="1:6" x14ac:dyDescent="0.25">
      <c r="A1156" t="s">
        <v>874</v>
      </c>
      <c r="B1156">
        <v>24</v>
      </c>
      <c r="C1156" t="s">
        <v>1290</v>
      </c>
      <c r="D1156" t="s">
        <v>1206</v>
      </c>
      <c r="E1156" t="s">
        <v>1210</v>
      </c>
      <c r="F1156" s="99" t="s">
        <v>1213</v>
      </c>
    </row>
    <row r="1157" spans="1:6" x14ac:dyDescent="0.25">
      <c r="A1157" t="s">
        <v>931</v>
      </c>
      <c r="B1157">
        <v>24</v>
      </c>
      <c r="C1157" t="s">
        <v>1290</v>
      </c>
      <c r="D1157" t="s">
        <v>1206</v>
      </c>
      <c r="E1157" t="s">
        <v>1215</v>
      </c>
      <c r="F1157" s="99" t="s">
        <v>1213</v>
      </c>
    </row>
    <row r="1158" spans="1:6" x14ac:dyDescent="0.25">
      <c r="A1158" t="s">
        <v>1112</v>
      </c>
      <c r="B1158">
        <v>24</v>
      </c>
      <c r="C1158" t="s">
        <v>1290</v>
      </c>
      <c r="D1158" t="s">
        <v>1206</v>
      </c>
      <c r="E1158" t="s">
        <v>1207</v>
      </c>
      <c r="F1158" s="99" t="s">
        <v>1213</v>
      </c>
    </row>
    <row r="1159" spans="1:6" x14ac:dyDescent="0.25">
      <c r="A1159" t="s">
        <v>831</v>
      </c>
      <c r="B1159">
        <v>24</v>
      </c>
      <c r="C1159" t="s">
        <v>1290</v>
      </c>
      <c r="D1159" t="s">
        <v>1206</v>
      </c>
      <c r="E1159" t="s">
        <v>1217</v>
      </c>
      <c r="F1159" s="99" t="s">
        <v>1213</v>
      </c>
    </row>
    <row r="1160" spans="1:6" x14ac:dyDescent="0.25">
      <c r="A1160" t="s">
        <v>502</v>
      </c>
      <c r="B1160">
        <v>24</v>
      </c>
      <c r="C1160" t="s">
        <v>1290</v>
      </c>
      <c r="D1160" t="s">
        <v>1219</v>
      </c>
      <c r="E1160" t="s">
        <v>1207</v>
      </c>
      <c r="F1160" s="99" t="s">
        <v>1213</v>
      </c>
    </row>
    <row r="1161" spans="1:6" x14ac:dyDescent="0.25">
      <c r="A1161" t="s">
        <v>550</v>
      </c>
      <c r="B1161">
        <v>24</v>
      </c>
      <c r="C1161" t="s">
        <v>1290</v>
      </c>
      <c r="D1161" t="s">
        <v>1219</v>
      </c>
      <c r="E1161" t="s">
        <v>1207</v>
      </c>
      <c r="F1161" s="99" t="s">
        <v>1213</v>
      </c>
    </row>
    <row r="1162" spans="1:6" x14ac:dyDescent="0.25">
      <c r="A1162" t="s">
        <v>888</v>
      </c>
      <c r="B1162">
        <v>24</v>
      </c>
      <c r="C1162" t="s">
        <v>1290</v>
      </c>
      <c r="D1162" t="s">
        <v>1206</v>
      </c>
      <c r="E1162" t="s">
        <v>1210</v>
      </c>
      <c r="F1162" s="99" t="s">
        <v>1213</v>
      </c>
    </row>
    <row r="1163" spans="1:6" x14ac:dyDescent="0.25">
      <c r="A1163" t="s">
        <v>605</v>
      </c>
      <c r="B1163">
        <v>24</v>
      </c>
      <c r="C1163" t="s">
        <v>1290</v>
      </c>
      <c r="D1163" t="s">
        <v>1206</v>
      </c>
      <c r="E1163" t="s">
        <v>1217</v>
      </c>
      <c r="F1163" s="99" t="s">
        <v>1213</v>
      </c>
    </row>
    <row r="1164" spans="1:6" x14ac:dyDescent="0.25">
      <c r="A1164" t="s">
        <v>1180</v>
      </c>
      <c r="B1164">
        <v>24</v>
      </c>
      <c r="C1164" t="s">
        <v>1290</v>
      </c>
      <c r="D1164" t="s">
        <v>1206</v>
      </c>
      <c r="E1164" t="s">
        <v>1207</v>
      </c>
      <c r="F1164" s="99" t="s">
        <v>1213</v>
      </c>
    </row>
    <row r="1165" spans="1:6" x14ac:dyDescent="0.25">
      <c r="A1165" t="s">
        <v>300</v>
      </c>
      <c r="B1165">
        <v>24</v>
      </c>
      <c r="C1165" t="s">
        <v>1290</v>
      </c>
      <c r="D1165" t="s">
        <v>1219</v>
      </c>
      <c r="E1165" t="s">
        <v>1210</v>
      </c>
      <c r="F1165" s="99" t="s">
        <v>1213</v>
      </c>
    </row>
    <row r="1166" spans="1:6" x14ac:dyDescent="0.25">
      <c r="A1166" t="s">
        <v>1029</v>
      </c>
      <c r="B1166">
        <v>24</v>
      </c>
      <c r="C1166" t="s">
        <v>1290</v>
      </c>
      <c r="D1166" t="s">
        <v>1206</v>
      </c>
      <c r="E1166" t="s">
        <v>1210</v>
      </c>
      <c r="F1166" s="99" t="s">
        <v>1213</v>
      </c>
    </row>
    <row r="1167" spans="1:6" x14ac:dyDescent="0.25">
      <c r="A1167" t="s">
        <v>413</v>
      </c>
      <c r="B1167">
        <v>24</v>
      </c>
      <c r="C1167" t="s">
        <v>1290</v>
      </c>
      <c r="D1167" t="s">
        <v>1206</v>
      </c>
      <c r="E1167" t="s">
        <v>1210</v>
      </c>
      <c r="F1167" s="99" t="s">
        <v>1213</v>
      </c>
    </row>
    <row r="1168" spans="1:6" x14ac:dyDescent="0.25">
      <c r="A1168" t="s">
        <v>180</v>
      </c>
      <c r="B1168">
        <v>24</v>
      </c>
      <c r="C1168" t="s">
        <v>1290</v>
      </c>
      <c r="D1168" t="s">
        <v>1218</v>
      </c>
      <c r="E1168" t="s">
        <v>1215</v>
      </c>
      <c r="F1168" s="99" t="s">
        <v>1213</v>
      </c>
    </row>
    <row r="1169" spans="1:6" x14ac:dyDescent="0.25">
      <c r="A1169" t="s">
        <v>235</v>
      </c>
      <c r="B1169">
        <v>24</v>
      </c>
      <c r="C1169" t="s">
        <v>1290</v>
      </c>
      <c r="D1169" t="s">
        <v>1219</v>
      </c>
      <c r="E1169" t="s">
        <v>1207</v>
      </c>
      <c r="F1169" s="99" t="s">
        <v>1213</v>
      </c>
    </row>
    <row r="1170" spans="1:6" x14ac:dyDescent="0.25">
      <c r="A1170" t="s">
        <v>1115</v>
      </c>
      <c r="B1170">
        <v>24</v>
      </c>
      <c r="C1170" t="s">
        <v>1290</v>
      </c>
      <c r="D1170" t="s">
        <v>1206</v>
      </c>
      <c r="E1170" t="s">
        <v>1207</v>
      </c>
      <c r="F1170" s="99" t="s">
        <v>1213</v>
      </c>
    </row>
    <row r="1171" spans="1:6" x14ac:dyDescent="0.25">
      <c r="A1171" t="s">
        <v>102</v>
      </c>
      <c r="B1171">
        <v>24</v>
      </c>
      <c r="C1171" t="s">
        <v>1290</v>
      </c>
      <c r="D1171" t="s">
        <v>1218</v>
      </c>
      <c r="E1171" t="s">
        <v>1210</v>
      </c>
      <c r="F1171" s="99" t="s">
        <v>1213</v>
      </c>
    </row>
    <row r="1172" spans="1:6" x14ac:dyDescent="0.25">
      <c r="A1172" t="s">
        <v>761</v>
      </c>
      <c r="B1172">
        <v>24</v>
      </c>
      <c r="C1172" t="s">
        <v>1290</v>
      </c>
      <c r="D1172" t="s">
        <v>1219</v>
      </c>
      <c r="E1172" t="s">
        <v>1217</v>
      </c>
      <c r="F1172" s="99" t="s">
        <v>1213</v>
      </c>
    </row>
    <row r="1173" spans="1:6" x14ac:dyDescent="0.25">
      <c r="A1173" t="s">
        <v>426</v>
      </c>
      <c r="B1173">
        <v>24</v>
      </c>
      <c r="C1173" t="s">
        <v>1290</v>
      </c>
      <c r="D1173" t="s">
        <v>1206</v>
      </c>
      <c r="E1173" t="s">
        <v>1217</v>
      </c>
      <c r="F1173" s="99" t="s">
        <v>1213</v>
      </c>
    </row>
    <row r="1174" spans="1:6" x14ac:dyDescent="0.25">
      <c r="A1174" t="s">
        <v>925</v>
      </c>
      <c r="B1174">
        <v>24</v>
      </c>
      <c r="C1174" t="s">
        <v>1290</v>
      </c>
      <c r="D1174" t="s">
        <v>1206</v>
      </c>
      <c r="E1174" t="s">
        <v>1207</v>
      </c>
      <c r="F1174" s="99" t="s">
        <v>1213</v>
      </c>
    </row>
    <row r="1175" spans="1:6" x14ac:dyDescent="0.25">
      <c r="A1175" t="s">
        <v>87</v>
      </c>
      <c r="B1175">
        <v>24</v>
      </c>
      <c r="C1175" t="s">
        <v>1290</v>
      </c>
      <c r="D1175" t="s">
        <v>1220</v>
      </c>
      <c r="E1175" t="s">
        <v>1210</v>
      </c>
      <c r="F1175" s="99" t="s">
        <v>1213</v>
      </c>
    </row>
    <row r="1176" spans="1:6" x14ac:dyDescent="0.25">
      <c r="A1176" t="s">
        <v>416</v>
      </c>
      <c r="B1176">
        <v>24</v>
      </c>
      <c r="C1176" t="s">
        <v>1290</v>
      </c>
      <c r="D1176" t="s">
        <v>1219</v>
      </c>
      <c r="E1176" t="s">
        <v>1210</v>
      </c>
      <c r="F1176" s="99" t="s">
        <v>1213</v>
      </c>
    </row>
    <row r="1177" spans="1:6" x14ac:dyDescent="0.25">
      <c r="A1177" t="s">
        <v>527</v>
      </c>
      <c r="B1177">
        <v>24</v>
      </c>
      <c r="C1177" t="s">
        <v>1290</v>
      </c>
      <c r="D1177" t="s">
        <v>1220</v>
      </c>
      <c r="E1177" t="s">
        <v>1207</v>
      </c>
      <c r="F1177" s="99" t="s">
        <v>1213</v>
      </c>
    </row>
    <row r="1178" spans="1:6" x14ac:dyDescent="0.25">
      <c r="A1178" t="s">
        <v>883</v>
      </c>
      <c r="B1178">
        <v>24</v>
      </c>
      <c r="C1178" t="s">
        <v>1290</v>
      </c>
      <c r="D1178" t="s">
        <v>1206</v>
      </c>
      <c r="E1178" t="s">
        <v>1215</v>
      </c>
      <c r="F1178" s="99" t="s">
        <v>1213</v>
      </c>
    </row>
    <row r="1179" spans="1:6" x14ac:dyDescent="0.25">
      <c r="A1179" t="s">
        <v>68</v>
      </c>
      <c r="B1179">
        <v>24</v>
      </c>
      <c r="C1179" t="s">
        <v>1290</v>
      </c>
      <c r="D1179" t="s">
        <v>1219</v>
      </c>
      <c r="E1179" t="s">
        <v>1210</v>
      </c>
      <c r="F1179" s="99" t="s">
        <v>1213</v>
      </c>
    </row>
    <row r="1180" spans="1:6" x14ac:dyDescent="0.25">
      <c r="A1180" t="s">
        <v>1032</v>
      </c>
      <c r="B1180">
        <v>24</v>
      </c>
      <c r="C1180" t="s">
        <v>1290</v>
      </c>
      <c r="D1180" t="s">
        <v>1206</v>
      </c>
      <c r="E1180" t="s">
        <v>1210</v>
      </c>
      <c r="F1180" s="99" t="s">
        <v>1213</v>
      </c>
    </row>
    <row r="1181" spans="1:6" x14ac:dyDescent="0.25">
      <c r="A1181" t="s">
        <v>365</v>
      </c>
      <c r="B1181">
        <v>24</v>
      </c>
      <c r="C1181" t="s">
        <v>1290</v>
      </c>
      <c r="D1181" t="s">
        <v>1220</v>
      </c>
      <c r="E1181" t="s">
        <v>1210</v>
      </c>
      <c r="F1181" s="99" t="s">
        <v>1213</v>
      </c>
    </row>
    <row r="1182" spans="1:6" x14ac:dyDescent="0.25">
      <c r="A1182" t="s">
        <v>680</v>
      </c>
      <c r="B1182">
        <v>24</v>
      </c>
      <c r="C1182" t="s">
        <v>1290</v>
      </c>
      <c r="D1182" t="s">
        <v>1206</v>
      </c>
      <c r="E1182" t="s">
        <v>1207</v>
      </c>
      <c r="F1182" s="99" t="s">
        <v>1213</v>
      </c>
    </row>
    <row r="1183" spans="1:6" x14ac:dyDescent="0.25">
      <c r="A1183" t="s">
        <v>897</v>
      </c>
      <c r="B1183">
        <v>24</v>
      </c>
      <c r="C1183" t="s">
        <v>1290</v>
      </c>
      <c r="D1183" t="s">
        <v>1206</v>
      </c>
      <c r="E1183" t="s">
        <v>1210</v>
      </c>
      <c r="F1183" s="99" t="s">
        <v>1213</v>
      </c>
    </row>
    <row r="1184" spans="1:6" x14ac:dyDescent="0.25">
      <c r="A1184" t="s">
        <v>894</v>
      </c>
      <c r="B1184">
        <v>24</v>
      </c>
      <c r="C1184" t="s">
        <v>1290</v>
      </c>
      <c r="D1184" t="s">
        <v>1206</v>
      </c>
      <c r="E1184" t="s">
        <v>1210</v>
      </c>
      <c r="F1184" s="99" t="s">
        <v>1213</v>
      </c>
    </row>
    <row r="1185" spans="1:6" x14ac:dyDescent="0.25">
      <c r="A1185" t="s">
        <v>835</v>
      </c>
      <c r="B1185">
        <v>24</v>
      </c>
      <c r="C1185" t="s">
        <v>1290</v>
      </c>
      <c r="D1185" t="s">
        <v>1206</v>
      </c>
      <c r="E1185" t="s">
        <v>1210</v>
      </c>
      <c r="F1185" s="99" t="s">
        <v>1213</v>
      </c>
    </row>
    <row r="1186" spans="1:6" x14ac:dyDescent="0.25">
      <c r="A1186" t="s">
        <v>824</v>
      </c>
      <c r="B1186">
        <v>24</v>
      </c>
      <c r="C1186" t="s">
        <v>1290</v>
      </c>
      <c r="D1186" t="s">
        <v>1206</v>
      </c>
      <c r="E1186" t="s">
        <v>1210</v>
      </c>
      <c r="F1186" s="99" t="s">
        <v>1213</v>
      </c>
    </row>
    <row r="1187" spans="1:6" x14ac:dyDescent="0.25">
      <c r="A1187" t="s">
        <v>465</v>
      </c>
      <c r="B1187">
        <v>24</v>
      </c>
      <c r="C1187" t="s">
        <v>1290</v>
      </c>
      <c r="D1187" t="s">
        <v>1206</v>
      </c>
      <c r="E1187" t="s">
        <v>1210</v>
      </c>
      <c r="F1187" s="99" t="s">
        <v>1213</v>
      </c>
    </row>
    <row r="1188" spans="1:6" x14ac:dyDescent="0.25">
      <c r="A1188" t="s">
        <v>1027</v>
      </c>
      <c r="B1188">
        <v>24</v>
      </c>
      <c r="C1188" t="s">
        <v>1290</v>
      </c>
      <c r="D1188" t="s">
        <v>1206</v>
      </c>
      <c r="E1188" t="s">
        <v>1210</v>
      </c>
      <c r="F1188" s="99" t="s">
        <v>1213</v>
      </c>
    </row>
    <row r="1189" spans="1:6" x14ac:dyDescent="0.25">
      <c r="A1189" t="s">
        <v>455</v>
      </c>
      <c r="B1189">
        <v>24</v>
      </c>
      <c r="C1189" t="s">
        <v>1290</v>
      </c>
      <c r="D1189" t="s">
        <v>1206</v>
      </c>
      <c r="E1189" t="s">
        <v>1217</v>
      </c>
      <c r="F1189" s="99" t="s">
        <v>1213</v>
      </c>
    </row>
    <row r="1190" spans="1:6" x14ac:dyDescent="0.25">
      <c r="A1190" t="s">
        <v>305</v>
      </c>
      <c r="B1190">
        <v>24</v>
      </c>
      <c r="C1190" t="s">
        <v>1290</v>
      </c>
      <c r="D1190" t="s">
        <v>1206</v>
      </c>
      <c r="E1190" t="s">
        <v>1217</v>
      </c>
      <c r="F1190" s="99" t="s">
        <v>1213</v>
      </c>
    </row>
    <row r="1191" spans="1:6" x14ac:dyDescent="0.25">
      <c r="A1191" t="s">
        <v>740</v>
      </c>
      <c r="B1191">
        <v>24</v>
      </c>
      <c r="C1191" t="s">
        <v>1290</v>
      </c>
      <c r="D1191" t="s">
        <v>1220</v>
      </c>
      <c r="E1191" t="s">
        <v>1207</v>
      </c>
      <c r="F1191" s="99" t="s">
        <v>1213</v>
      </c>
    </row>
    <row r="1192" spans="1:6" x14ac:dyDescent="0.25">
      <c r="A1192" t="s">
        <v>423</v>
      </c>
      <c r="B1192">
        <v>24</v>
      </c>
      <c r="C1192" t="s">
        <v>1290</v>
      </c>
      <c r="D1192" t="s">
        <v>1219</v>
      </c>
      <c r="E1192" t="s">
        <v>1210</v>
      </c>
      <c r="F1192" s="99" t="s">
        <v>1213</v>
      </c>
    </row>
    <row r="1193" spans="1:6" x14ac:dyDescent="0.25">
      <c r="A1193" t="s">
        <v>713</v>
      </c>
      <c r="B1193">
        <v>24</v>
      </c>
      <c r="C1193" t="s">
        <v>1290</v>
      </c>
      <c r="D1193" t="s">
        <v>1220</v>
      </c>
      <c r="E1193" t="s">
        <v>1210</v>
      </c>
      <c r="F1193" s="99" t="s">
        <v>1213</v>
      </c>
    </row>
    <row r="1194" spans="1:6" x14ac:dyDescent="0.25">
      <c r="A1194" t="s">
        <v>719</v>
      </c>
      <c r="B1194">
        <v>24</v>
      </c>
      <c r="C1194" t="s">
        <v>1290</v>
      </c>
      <c r="D1194" t="s">
        <v>1220</v>
      </c>
      <c r="E1194" t="s">
        <v>1217</v>
      </c>
      <c r="F1194" s="99" t="s">
        <v>1213</v>
      </c>
    </row>
    <row r="1195" spans="1:6" x14ac:dyDescent="0.25">
      <c r="A1195" t="s">
        <v>640</v>
      </c>
      <c r="B1195">
        <v>24</v>
      </c>
      <c r="C1195" t="s">
        <v>1290</v>
      </c>
      <c r="D1195" t="s">
        <v>1220</v>
      </c>
      <c r="E1195" t="s">
        <v>1217</v>
      </c>
      <c r="F1195" s="99" t="s">
        <v>1213</v>
      </c>
    </row>
    <row r="1196" spans="1:6" x14ac:dyDescent="0.25">
      <c r="A1196" t="s">
        <v>595</v>
      </c>
      <c r="B1196">
        <v>24</v>
      </c>
      <c r="C1196" t="s">
        <v>1290</v>
      </c>
      <c r="D1196" t="s">
        <v>1219</v>
      </c>
      <c r="E1196" t="s">
        <v>1217</v>
      </c>
      <c r="F1196" s="99" t="s">
        <v>1213</v>
      </c>
    </row>
    <row r="1197" spans="1:6" x14ac:dyDescent="0.25">
      <c r="A1197" t="s">
        <v>668</v>
      </c>
      <c r="B1197">
        <v>24</v>
      </c>
      <c r="C1197" t="s">
        <v>1290</v>
      </c>
      <c r="D1197" t="s">
        <v>1206</v>
      </c>
      <c r="E1197" t="s">
        <v>1207</v>
      </c>
      <c r="F1197" s="99" t="s">
        <v>1213</v>
      </c>
    </row>
    <row r="1198" spans="1:6" x14ac:dyDescent="0.25">
      <c r="A1198" t="s">
        <v>631</v>
      </c>
      <c r="B1198">
        <v>24</v>
      </c>
      <c r="C1198" t="s">
        <v>1290</v>
      </c>
      <c r="D1198" t="s">
        <v>1206</v>
      </c>
      <c r="E1198" t="s">
        <v>1217</v>
      </c>
      <c r="F1198" s="99" t="s">
        <v>1213</v>
      </c>
    </row>
    <row r="1199" spans="1:6" x14ac:dyDescent="0.25">
      <c r="A1199" t="s">
        <v>202</v>
      </c>
      <c r="B1199">
        <v>24</v>
      </c>
      <c r="C1199" t="s">
        <v>1290</v>
      </c>
      <c r="D1199" t="s">
        <v>1220</v>
      </c>
      <c r="E1199" t="s">
        <v>1207</v>
      </c>
      <c r="F1199" s="99" t="s">
        <v>1213</v>
      </c>
    </row>
    <row r="1200" spans="1:6" x14ac:dyDescent="0.25">
      <c r="A1200" t="s">
        <v>701</v>
      </c>
      <c r="B1200">
        <v>24</v>
      </c>
      <c r="C1200" t="s">
        <v>1290</v>
      </c>
      <c r="D1200" t="s">
        <v>1220</v>
      </c>
      <c r="E1200" t="s">
        <v>1207</v>
      </c>
      <c r="F1200" s="99" t="s">
        <v>1213</v>
      </c>
    </row>
    <row r="1201" spans="1:6" x14ac:dyDescent="0.25">
      <c r="A1201" t="s">
        <v>727</v>
      </c>
      <c r="B1201">
        <v>24</v>
      </c>
      <c r="C1201" t="s">
        <v>1290</v>
      </c>
      <c r="D1201" t="s">
        <v>1220</v>
      </c>
      <c r="E1201" t="s">
        <v>1217</v>
      </c>
      <c r="F1201" s="99" t="s">
        <v>1213</v>
      </c>
    </row>
    <row r="1202" spans="1:6" x14ac:dyDescent="0.25">
      <c r="A1202" t="s">
        <v>898</v>
      </c>
      <c r="B1202">
        <v>24</v>
      </c>
      <c r="C1202" t="s">
        <v>1290</v>
      </c>
      <c r="D1202" t="s">
        <v>1206</v>
      </c>
      <c r="E1202" t="s">
        <v>1210</v>
      </c>
      <c r="F1202" s="99" t="s">
        <v>1213</v>
      </c>
    </row>
    <row r="1203" spans="1:6" x14ac:dyDescent="0.25">
      <c r="A1203" t="s">
        <v>344</v>
      </c>
      <c r="B1203">
        <v>24</v>
      </c>
      <c r="C1203" t="s">
        <v>1290</v>
      </c>
      <c r="D1203" t="s">
        <v>1219</v>
      </c>
      <c r="E1203" t="s">
        <v>1217</v>
      </c>
      <c r="F1203" s="99" t="s">
        <v>1213</v>
      </c>
    </row>
    <row r="1204" spans="1:6" x14ac:dyDescent="0.25">
      <c r="A1204" t="s">
        <v>540</v>
      </c>
      <c r="B1204">
        <v>24</v>
      </c>
      <c r="C1204" t="s">
        <v>1290</v>
      </c>
      <c r="D1204" t="s">
        <v>1206</v>
      </c>
      <c r="E1204" t="s">
        <v>1207</v>
      </c>
      <c r="F1204" s="99" t="s">
        <v>1213</v>
      </c>
    </row>
    <row r="1205" spans="1:6" x14ac:dyDescent="0.25">
      <c r="A1205" t="s">
        <v>89</v>
      </c>
      <c r="B1205">
        <v>24</v>
      </c>
      <c r="C1205" t="s">
        <v>1290</v>
      </c>
      <c r="D1205" t="s">
        <v>1206</v>
      </c>
      <c r="E1205" t="s">
        <v>1210</v>
      </c>
      <c r="F1205" s="99" t="s">
        <v>1213</v>
      </c>
    </row>
    <row r="1206" spans="1:6" x14ac:dyDescent="0.25">
      <c r="A1206" t="s">
        <v>750</v>
      </c>
      <c r="B1206">
        <v>24</v>
      </c>
      <c r="C1206" t="s">
        <v>1290</v>
      </c>
      <c r="D1206" t="s">
        <v>1206</v>
      </c>
      <c r="E1206" t="s">
        <v>1217</v>
      </c>
      <c r="F1206" s="99" t="s">
        <v>1213</v>
      </c>
    </row>
    <row r="1207" spans="1:6" x14ac:dyDescent="0.25">
      <c r="A1207" t="s">
        <v>276</v>
      </c>
      <c r="B1207">
        <v>24</v>
      </c>
      <c r="C1207" t="s">
        <v>1290</v>
      </c>
      <c r="D1207" t="s">
        <v>1219</v>
      </c>
      <c r="E1207" t="s">
        <v>1210</v>
      </c>
      <c r="F1207" s="99" t="s">
        <v>1213</v>
      </c>
    </row>
    <row r="1208" spans="1:6" x14ac:dyDescent="0.25">
      <c r="A1208" t="s">
        <v>289</v>
      </c>
      <c r="B1208">
        <v>24</v>
      </c>
      <c r="C1208" t="s">
        <v>1290</v>
      </c>
      <c r="D1208" t="s">
        <v>1219</v>
      </c>
      <c r="E1208" t="s">
        <v>1217</v>
      </c>
      <c r="F1208" s="99" t="s">
        <v>1213</v>
      </c>
    </row>
    <row r="1209" spans="1:6" x14ac:dyDescent="0.25">
      <c r="A1209" t="s">
        <v>645</v>
      </c>
      <c r="B1209">
        <v>24</v>
      </c>
      <c r="C1209" t="s">
        <v>1290</v>
      </c>
      <c r="D1209" t="s">
        <v>1206</v>
      </c>
      <c r="E1209" t="s">
        <v>1207</v>
      </c>
      <c r="F1209" s="99" t="s">
        <v>1213</v>
      </c>
    </row>
    <row r="1210" spans="1:6" x14ac:dyDescent="0.25">
      <c r="A1210" t="s">
        <v>1021</v>
      </c>
      <c r="B1210">
        <v>24</v>
      </c>
      <c r="C1210" t="s">
        <v>1290</v>
      </c>
      <c r="D1210" t="s">
        <v>1206</v>
      </c>
      <c r="E1210" t="s">
        <v>1215</v>
      </c>
      <c r="F1210" s="99" t="s">
        <v>1213</v>
      </c>
    </row>
    <row r="1211" spans="1:6" x14ac:dyDescent="0.25">
      <c r="A1211" t="s">
        <v>214</v>
      </c>
      <c r="B1211">
        <v>24</v>
      </c>
      <c r="C1211" t="s">
        <v>1290</v>
      </c>
      <c r="D1211" t="s">
        <v>1219</v>
      </c>
      <c r="E1211" t="s">
        <v>1217</v>
      </c>
      <c r="F1211" s="99" t="s">
        <v>1213</v>
      </c>
    </row>
    <row r="1212" spans="1:6" x14ac:dyDescent="0.25">
      <c r="A1212" t="s">
        <v>891</v>
      </c>
      <c r="B1212">
        <v>24</v>
      </c>
      <c r="C1212" t="s">
        <v>1290</v>
      </c>
      <c r="D1212" t="s">
        <v>1206</v>
      </c>
      <c r="E1212" t="s">
        <v>1217</v>
      </c>
      <c r="F1212" s="99" t="s">
        <v>1213</v>
      </c>
    </row>
    <row r="1213" spans="1:6" x14ac:dyDescent="0.25">
      <c r="A1213" t="s">
        <v>484</v>
      </c>
      <c r="B1213">
        <v>24</v>
      </c>
      <c r="C1213" t="s">
        <v>1290</v>
      </c>
      <c r="D1213" t="s">
        <v>1206</v>
      </c>
      <c r="E1213" t="s">
        <v>1207</v>
      </c>
      <c r="F1213" s="99" t="s">
        <v>1213</v>
      </c>
    </row>
    <row r="1214" spans="1:6" x14ac:dyDescent="0.25">
      <c r="A1214" t="s">
        <v>498</v>
      </c>
      <c r="B1214">
        <v>24</v>
      </c>
      <c r="C1214" t="s">
        <v>1290</v>
      </c>
      <c r="D1214" t="s">
        <v>1219</v>
      </c>
      <c r="E1214" t="s">
        <v>1207</v>
      </c>
      <c r="F1214" s="99" t="s">
        <v>1213</v>
      </c>
    </row>
    <row r="1215" spans="1:6" x14ac:dyDescent="0.25">
      <c r="A1215" t="s">
        <v>903</v>
      </c>
      <c r="B1215">
        <v>24</v>
      </c>
      <c r="C1215" t="s">
        <v>1290</v>
      </c>
      <c r="D1215" t="s">
        <v>1206</v>
      </c>
      <c r="E1215" t="s">
        <v>1210</v>
      </c>
      <c r="F1215" s="99" t="s">
        <v>1213</v>
      </c>
    </row>
    <row r="1216" spans="1:6" x14ac:dyDescent="0.25">
      <c r="A1216" t="s">
        <v>524</v>
      </c>
      <c r="B1216">
        <v>24</v>
      </c>
      <c r="C1216" t="s">
        <v>1290</v>
      </c>
      <c r="D1216" t="s">
        <v>1206</v>
      </c>
      <c r="E1216" t="s">
        <v>1210</v>
      </c>
      <c r="F1216" s="99" t="s">
        <v>1213</v>
      </c>
    </row>
    <row r="1217" spans="1:6" x14ac:dyDescent="0.25">
      <c r="A1217" t="s">
        <v>666</v>
      </c>
      <c r="B1217">
        <v>24</v>
      </c>
      <c r="C1217" t="s">
        <v>1290</v>
      </c>
      <c r="D1217" t="s">
        <v>1206</v>
      </c>
      <c r="E1217" t="s">
        <v>1217</v>
      </c>
      <c r="F1217" s="99" t="s">
        <v>1213</v>
      </c>
    </row>
    <row r="1218" spans="1:6" x14ac:dyDescent="0.25">
      <c r="A1218" t="s">
        <v>387</v>
      </c>
      <c r="B1218">
        <v>24</v>
      </c>
      <c r="C1218" t="s">
        <v>1290</v>
      </c>
      <c r="D1218" t="s">
        <v>1219</v>
      </c>
      <c r="E1218" t="s">
        <v>1210</v>
      </c>
      <c r="F1218" s="99" t="s">
        <v>1213</v>
      </c>
    </row>
    <row r="1219" spans="1:6" x14ac:dyDescent="0.25">
      <c r="A1219" t="s">
        <v>75</v>
      </c>
      <c r="B1219">
        <v>24</v>
      </c>
      <c r="C1219" t="s">
        <v>1290</v>
      </c>
      <c r="D1219" t="s">
        <v>1206</v>
      </c>
      <c r="E1219" t="s">
        <v>1207</v>
      </c>
      <c r="F1219" s="99" t="s">
        <v>1213</v>
      </c>
    </row>
    <row r="1220" spans="1:6" x14ac:dyDescent="0.25">
      <c r="A1220" t="s">
        <v>1050</v>
      </c>
      <c r="B1220">
        <v>24</v>
      </c>
      <c r="C1220" t="s">
        <v>1290</v>
      </c>
      <c r="D1220" t="s">
        <v>1206</v>
      </c>
      <c r="E1220" t="s">
        <v>1207</v>
      </c>
      <c r="F1220" s="99" t="s">
        <v>1213</v>
      </c>
    </row>
    <row r="1221" spans="1:6" x14ac:dyDescent="0.25">
      <c r="A1221" t="s">
        <v>585</v>
      </c>
      <c r="B1221">
        <v>24</v>
      </c>
      <c r="C1221" t="s">
        <v>1290</v>
      </c>
      <c r="D1221" t="s">
        <v>1220</v>
      </c>
      <c r="E1221" t="s">
        <v>1217</v>
      </c>
      <c r="F1221" s="99" t="s">
        <v>1213</v>
      </c>
    </row>
    <row r="1222" spans="1:6" x14ac:dyDescent="0.25">
      <c r="A1222" t="s">
        <v>450</v>
      </c>
      <c r="B1222">
        <v>24</v>
      </c>
      <c r="C1222" t="s">
        <v>1290</v>
      </c>
      <c r="D1222" t="s">
        <v>1206</v>
      </c>
      <c r="E1222" t="s">
        <v>1217</v>
      </c>
      <c r="F1222" s="99" t="s">
        <v>1213</v>
      </c>
    </row>
    <row r="1223" spans="1:6" x14ac:dyDescent="0.25">
      <c r="A1223" t="s">
        <v>899</v>
      </c>
      <c r="B1223">
        <v>24</v>
      </c>
      <c r="C1223" t="s">
        <v>1290</v>
      </c>
      <c r="D1223" t="s">
        <v>1206</v>
      </c>
      <c r="E1223" t="s">
        <v>1207</v>
      </c>
      <c r="F1223" s="99" t="s">
        <v>1213</v>
      </c>
    </row>
    <row r="1224" spans="1:6" x14ac:dyDescent="0.25">
      <c r="A1224" t="s">
        <v>618</v>
      </c>
      <c r="B1224">
        <v>24</v>
      </c>
      <c r="C1224" t="s">
        <v>1290</v>
      </c>
      <c r="D1224" t="s">
        <v>1206</v>
      </c>
      <c r="E1224" t="s">
        <v>1207</v>
      </c>
      <c r="F1224" s="99" t="s">
        <v>1213</v>
      </c>
    </row>
    <row r="1225" spans="1:6" x14ac:dyDescent="0.25">
      <c r="A1225" t="s">
        <v>1159</v>
      </c>
      <c r="B1225">
        <v>24</v>
      </c>
      <c r="C1225" t="s">
        <v>1290</v>
      </c>
      <c r="D1225" t="s">
        <v>1206</v>
      </c>
      <c r="E1225" t="s">
        <v>1207</v>
      </c>
      <c r="F1225" s="99" t="s">
        <v>1213</v>
      </c>
    </row>
    <row r="1226" spans="1:6" x14ac:dyDescent="0.25">
      <c r="A1226" t="s">
        <v>1016</v>
      </c>
      <c r="B1226">
        <v>24</v>
      </c>
      <c r="C1226" t="s">
        <v>1290</v>
      </c>
      <c r="D1226" t="s">
        <v>1206</v>
      </c>
      <c r="E1226" t="s">
        <v>1210</v>
      </c>
      <c r="F1226" s="99" t="s">
        <v>1213</v>
      </c>
    </row>
    <row r="1227" spans="1:6" x14ac:dyDescent="0.25">
      <c r="A1227" t="s">
        <v>163</v>
      </c>
      <c r="B1227">
        <v>24</v>
      </c>
      <c r="C1227" t="s">
        <v>1290</v>
      </c>
      <c r="D1227" t="s">
        <v>1219</v>
      </c>
      <c r="E1227" t="s">
        <v>1215</v>
      </c>
      <c r="F1227" s="99" t="s">
        <v>1213</v>
      </c>
    </row>
    <row r="1228" spans="1:6" x14ac:dyDescent="0.25">
      <c r="A1228" t="s">
        <v>1092</v>
      </c>
      <c r="B1228">
        <v>24</v>
      </c>
      <c r="C1228" t="s">
        <v>1290</v>
      </c>
      <c r="D1228" t="s">
        <v>1206</v>
      </c>
      <c r="E1228" t="s">
        <v>1210</v>
      </c>
      <c r="F1228" s="99" t="s">
        <v>1213</v>
      </c>
    </row>
    <row r="1229" spans="1:6" x14ac:dyDescent="0.25">
      <c r="A1229" t="s">
        <v>177</v>
      </c>
      <c r="B1229">
        <v>24</v>
      </c>
      <c r="C1229" t="s">
        <v>1290</v>
      </c>
      <c r="D1229" t="s">
        <v>1218</v>
      </c>
      <c r="E1229" t="s">
        <v>1215</v>
      </c>
      <c r="F1229" s="99" t="s">
        <v>1213</v>
      </c>
    </row>
    <row r="1230" spans="1:6" x14ac:dyDescent="0.25">
      <c r="A1230" t="s">
        <v>1174</v>
      </c>
      <c r="B1230">
        <v>24</v>
      </c>
      <c r="C1230" t="s">
        <v>1290</v>
      </c>
      <c r="D1230" t="s">
        <v>1206</v>
      </c>
      <c r="E1230" t="s">
        <v>1207</v>
      </c>
      <c r="F1230" s="99" t="s">
        <v>1213</v>
      </c>
    </row>
    <row r="1231" spans="1:6" x14ac:dyDescent="0.25">
      <c r="A1231" t="s">
        <v>759</v>
      </c>
      <c r="B1231">
        <v>24</v>
      </c>
      <c r="C1231" t="s">
        <v>1290</v>
      </c>
      <c r="D1231" t="s">
        <v>1220</v>
      </c>
      <c r="E1231" t="s">
        <v>1207</v>
      </c>
      <c r="F1231" s="99" t="s">
        <v>1213</v>
      </c>
    </row>
    <row r="1232" spans="1:6" x14ac:dyDescent="0.25">
      <c r="A1232" t="s">
        <v>433</v>
      </c>
      <c r="B1232">
        <v>24</v>
      </c>
      <c r="C1232" t="s">
        <v>1290</v>
      </c>
      <c r="D1232" t="s">
        <v>1206</v>
      </c>
      <c r="E1232" t="s">
        <v>1210</v>
      </c>
      <c r="F1232" s="99" t="s">
        <v>1213</v>
      </c>
    </row>
    <row r="1233" spans="1:6" x14ac:dyDescent="0.25">
      <c r="A1233" t="s">
        <v>1140</v>
      </c>
      <c r="B1233">
        <v>24</v>
      </c>
      <c r="C1233" t="s">
        <v>1290</v>
      </c>
      <c r="D1233" t="s">
        <v>1206</v>
      </c>
      <c r="E1233" t="s">
        <v>1207</v>
      </c>
      <c r="F1233" s="99" t="s">
        <v>1213</v>
      </c>
    </row>
    <row r="1234" spans="1:6" x14ac:dyDescent="0.25">
      <c r="A1234" t="s">
        <v>148</v>
      </c>
      <c r="B1234">
        <v>24</v>
      </c>
      <c r="C1234" t="s">
        <v>1290</v>
      </c>
      <c r="D1234" t="s">
        <v>1206</v>
      </c>
      <c r="E1234" t="s">
        <v>1217</v>
      </c>
      <c r="F1234" s="99" t="s">
        <v>1213</v>
      </c>
    </row>
    <row r="1235" spans="1:6" x14ac:dyDescent="0.25">
      <c r="A1235" t="s">
        <v>1065</v>
      </c>
      <c r="B1235">
        <v>24</v>
      </c>
      <c r="C1235" t="s">
        <v>1290</v>
      </c>
      <c r="D1235" t="s">
        <v>1206</v>
      </c>
      <c r="E1235" t="s">
        <v>1210</v>
      </c>
      <c r="F1235" s="99" t="s">
        <v>1213</v>
      </c>
    </row>
    <row r="1236" spans="1:6" x14ac:dyDescent="0.25">
      <c r="A1236" t="s">
        <v>447</v>
      </c>
      <c r="B1236">
        <v>24</v>
      </c>
      <c r="C1236" t="s">
        <v>1290</v>
      </c>
      <c r="D1236" t="s">
        <v>1206</v>
      </c>
      <c r="E1236" t="s">
        <v>1217</v>
      </c>
      <c r="F1236" s="99" t="s">
        <v>1213</v>
      </c>
    </row>
    <row r="1237" spans="1:6" x14ac:dyDescent="0.25">
      <c r="A1237" t="s">
        <v>1058</v>
      </c>
      <c r="B1237">
        <v>24</v>
      </c>
      <c r="C1237" t="s">
        <v>1290</v>
      </c>
      <c r="D1237" t="s">
        <v>1206</v>
      </c>
      <c r="E1237" t="s">
        <v>1210</v>
      </c>
      <c r="F1237" s="99" t="s">
        <v>1213</v>
      </c>
    </row>
    <row r="1238" spans="1:6" x14ac:dyDescent="0.25">
      <c r="A1238" t="s">
        <v>905</v>
      </c>
      <c r="B1238">
        <v>24</v>
      </c>
      <c r="C1238" t="s">
        <v>1290</v>
      </c>
      <c r="D1238" t="s">
        <v>1206</v>
      </c>
      <c r="E1238" t="s">
        <v>1217</v>
      </c>
      <c r="F1238" s="99" t="s">
        <v>1213</v>
      </c>
    </row>
    <row r="1239" spans="1:6" x14ac:dyDescent="0.25">
      <c r="A1239" t="s">
        <v>575</v>
      </c>
      <c r="B1239">
        <v>24</v>
      </c>
      <c r="C1239" t="s">
        <v>1290</v>
      </c>
      <c r="D1239" t="s">
        <v>1206</v>
      </c>
      <c r="E1239" t="s">
        <v>1217</v>
      </c>
      <c r="F1239" s="99" t="s">
        <v>1213</v>
      </c>
    </row>
    <row r="1240" spans="1:6" x14ac:dyDescent="0.25">
      <c r="A1240" t="s">
        <v>833</v>
      </c>
      <c r="B1240">
        <v>24</v>
      </c>
      <c r="C1240" t="s">
        <v>1290</v>
      </c>
      <c r="D1240" t="s">
        <v>1206</v>
      </c>
      <c r="E1240" t="s">
        <v>1210</v>
      </c>
      <c r="F1240" s="99" t="s">
        <v>1213</v>
      </c>
    </row>
    <row r="1241" spans="1:6" x14ac:dyDescent="0.25">
      <c r="A1241" t="s">
        <v>558</v>
      </c>
      <c r="B1241">
        <v>24</v>
      </c>
      <c r="C1241" t="s">
        <v>1290</v>
      </c>
      <c r="D1241" t="s">
        <v>1206</v>
      </c>
      <c r="E1241" t="s">
        <v>1207</v>
      </c>
      <c r="F1241" s="99" t="s">
        <v>1213</v>
      </c>
    </row>
    <row r="1242" spans="1:6" x14ac:dyDescent="0.25">
      <c r="A1242" t="s">
        <v>536</v>
      </c>
      <c r="B1242">
        <v>24</v>
      </c>
      <c r="C1242" t="s">
        <v>1290</v>
      </c>
      <c r="D1242" t="s">
        <v>1206</v>
      </c>
      <c r="E1242" t="s">
        <v>1217</v>
      </c>
      <c r="F1242" s="99" t="s">
        <v>1213</v>
      </c>
    </row>
    <row r="1243" spans="1:6" x14ac:dyDescent="0.25">
      <c r="A1243" t="s">
        <v>741</v>
      </c>
      <c r="B1243">
        <v>24</v>
      </c>
      <c r="C1243" t="s">
        <v>1290</v>
      </c>
      <c r="D1243" t="s">
        <v>1220</v>
      </c>
      <c r="E1243" t="s">
        <v>1207</v>
      </c>
      <c r="F1243" s="99" t="s">
        <v>1213</v>
      </c>
    </row>
    <row r="1244" spans="1:6" x14ac:dyDescent="0.25">
      <c r="A1244" t="s">
        <v>311</v>
      </c>
      <c r="B1244">
        <v>24</v>
      </c>
      <c r="C1244" t="s">
        <v>1290</v>
      </c>
      <c r="D1244" t="s">
        <v>1219</v>
      </c>
      <c r="E1244" t="s">
        <v>1217</v>
      </c>
      <c r="F1244" s="99" t="s">
        <v>1213</v>
      </c>
    </row>
    <row r="1245" spans="1:6" x14ac:dyDescent="0.25">
      <c r="A1245" t="s">
        <v>779</v>
      </c>
      <c r="B1245">
        <v>24</v>
      </c>
      <c r="C1245" t="s">
        <v>1290</v>
      </c>
      <c r="D1245" t="s">
        <v>1206</v>
      </c>
      <c r="E1245" t="s">
        <v>1217</v>
      </c>
      <c r="F1245" s="99" t="s">
        <v>1213</v>
      </c>
    </row>
    <row r="1246" spans="1:6" x14ac:dyDescent="0.25">
      <c r="A1246" t="s">
        <v>403</v>
      </c>
      <c r="B1246">
        <v>24</v>
      </c>
      <c r="C1246" t="s">
        <v>1290</v>
      </c>
      <c r="D1246" t="s">
        <v>1219</v>
      </c>
      <c r="E1246" t="s">
        <v>1207</v>
      </c>
      <c r="F1246" s="99" t="s">
        <v>1213</v>
      </c>
    </row>
    <row r="1247" spans="1:6" x14ac:dyDescent="0.25">
      <c r="A1247" t="s">
        <v>1045</v>
      </c>
      <c r="B1247">
        <v>24</v>
      </c>
      <c r="C1247" t="s">
        <v>1290</v>
      </c>
      <c r="D1247" t="s">
        <v>1206</v>
      </c>
      <c r="E1247" t="s">
        <v>1210</v>
      </c>
      <c r="F1247" s="99" t="s">
        <v>1213</v>
      </c>
    </row>
    <row r="1248" spans="1:6" x14ac:dyDescent="0.25">
      <c r="A1248" t="s">
        <v>699</v>
      </c>
      <c r="B1248">
        <v>24</v>
      </c>
      <c r="C1248" t="s">
        <v>1290</v>
      </c>
      <c r="D1248" t="s">
        <v>1219</v>
      </c>
      <c r="E1248" t="s">
        <v>1217</v>
      </c>
      <c r="F1248" s="99" t="s">
        <v>1213</v>
      </c>
    </row>
    <row r="1249" spans="1:6" x14ac:dyDescent="0.25">
      <c r="A1249" t="s">
        <v>937</v>
      </c>
      <c r="B1249">
        <v>24</v>
      </c>
      <c r="C1249" t="s">
        <v>1290</v>
      </c>
      <c r="D1249" t="s">
        <v>1206</v>
      </c>
      <c r="E1249" t="s">
        <v>1210</v>
      </c>
      <c r="F1249" s="99" t="s">
        <v>1213</v>
      </c>
    </row>
    <row r="1250" spans="1:6" x14ac:dyDescent="0.25">
      <c r="A1250" t="s">
        <v>315</v>
      </c>
      <c r="B1250">
        <v>24</v>
      </c>
      <c r="C1250" t="s">
        <v>1290</v>
      </c>
      <c r="D1250" t="s">
        <v>1219</v>
      </c>
      <c r="E1250" t="s">
        <v>1210</v>
      </c>
      <c r="F1250" s="99" t="s">
        <v>1213</v>
      </c>
    </row>
    <row r="1251" spans="1:6" x14ac:dyDescent="0.25">
      <c r="A1251" t="s">
        <v>381</v>
      </c>
      <c r="B1251">
        <v>24</v>
      </c>
      <c r="C1251" t="s">
        <v>1290</v>
      </c>
      <c r="D1251" t="s">
        <v>1220</v>
      </c>
      <c r="E1251" t="s">
        <v>1207</v>
      </c>
      <c r="F1251" s="99" t="s">
        <v>1213</v>
      </c>
    </row>
    <row r="1252" spans="1:6" x14ac:dyDescent="0.25">
      <c r="A1252" t="s">
        <v>340</v>
      </c>
      <c r="B1252">
        <v>24</v>
      </c>
      <c r="C1252" t="s">
        <v>1290</v>
      </c>
      <c r="D1252" t="s">
        <v>1219</v>
      </c>
      <c r="E1252" t="s">
        <v>1210</v>
      </c>
      <c r="F1252" s="99" t="s">
        <v>1213</v>
      </c>
    </row>
    <row r="1253" spans="1:6" x14ac:dyDescent="0.25">
      <c r="A1253" t="s">
        <v>942</v>
      </c>
      <c r="B1253">
        <v>24</v>
      </c>
      <c r="C1253" t="s">
        <v>1290</v>
      </c>
      <c r="D1253" t="s">
        <v>1206</v>
      </c>
      <c r="E1253" t="s">
        <v>1210</v>
      </c>
      <c r="F1253" s="99" t="s">
        <v>1213</v>
      </c>
    </row>
    <row r="1254" spans="1:6" x14ac:dyDescent="0.25">
      <c r="A1254" t="s">
        <v>1080</v>
      </c>
      <c r="B1254">
        <v>24</v>
      </c>
      <c r="C1254" t="s">
        <v>1290</v>
      </c>
      <c r="D1254" t="s">
        <v>1206</v>
      </c>
      <c r="E1254" t="s">
        <v>1217</v>
      </c>
      <c r="F1254" s="99" t="s">
        <v>1213</v>
      </c>
    </row>
    <row r="1255" spans="1:6" x14ac:dyDescent="0.25">
      <c r="A1255" t="s">
        <v>356</v>
      </c>
      <c r="B1255">
        <v>24</v>
      </c>
      <c r="C1255" t="s">
        <v>1290</v>
      </c>
      <c r="D1255" t="s">
        <v>1206</v>
      </c>
      <c r="E1255" t="s">
        <v>1210</v>
      </c>
      <c r="F1255" s="99" t="s">
        <v>1213</v>
      </c>
    </row>
    <row r="1256" spans="1:6" x14ac:dyDescent="0.25">
      <c r="A1256" t="s">
        <v>674</v>
      </c>
      <c r="B1256">
        <v>24</v>
      </c>
      <c r="C1256" t="s">
        <v>1290</v>
      </c>
      <c r="D1256" t="s">
        <v>1206</v>
      </c>
      <c r="E1256" t="s">
        <v>1207</v>
      </c>
      <c r="F1256" s="99" t="s">
        <v>1213</v>
      </c>
    </row>
    <row r="1257" spans="1:6" x14ac:dyDescent="0.25">
      <c r="A1257" t="s">
        <v>456</v>
      </c>
      <c r="B1257">
        <v>24</v>
      </c>
      <c r="C1257" t="s">
        <v>1290</v>
      </c>
      <c r="D1257" t="s">
        <v>1206</v>
      </c>
      <c r="E1257" t="s">
        <v>1217</v>
      </c>
      <c r="F1257" s="99" t="s">
        <v>1213</v>
      </c>
    </row>
    <row r="1258" spans="1:6" x14ac:dyDescent="0.25">
      <c r="A1258" t="s">
        <v>977</v>
      </c>
      <c r="B1258">
        <v>24</v>
      </c>
      <c r="C1258" t="s">
        <v>1290</v>
      </c>
      <c r="D1258" t="s">
        <v>1206</v>
      </c>
      <c r="E1258" t="s">
        <v>1210</v>
      </c>
      <c r="F1258" s="99" t="s">
        <v>1213</v>
      </c>
    </row>
    <row r="1259" spans="1:6" x14ac:dyDescent="0.25">
      <c r="A1259" t="s">
        <v>127</v>
      </c>
      <c r="B1259">
        <v>24</v>
      </c>
      <c r="C1259" t="s">
        <v>1290</v>
      </c>
      <c r="D1259" t="s">
        <v>1206</v>
      </c>
      <c r="E1259" t="s">
        <v>1217</v>
      </c>
      <c r="F1259" s="99" t="s">
        <v>1213</v>
      </c>
    </row>
    <row r="1260" spans="1:6" x14ac:dyDescent="0.25">
      <c r="A1260" t="s">
        <v>593</v>
      </c>
      <c r="B1260">
        <v>24</v>
      </c>
      <c r="C1260" t="s">
        <v>1290</v>
      </c>
      <c r="D1260" t="s">
        <v>1206</v>
      </c>
      <c r="E1260" t="s">
        <v>1217</v>
      </c>
      <c r="F1260" s="99" t="s">
        <v>1213</v>
      </c>
    </row>
    <row r="1261" spans="1:6" x14ac:dyDescent="0.25">
      <c r="A1261" t="s">
        <v>216</v>
      </c>
      <c r="B1261">
        <v>24</v>
      </c>
      <c r="C1261" t="s">
        <v>1290</v>
      </c>
      <c r="D1261" t="s">
        <v>1206</v>
      </c>
      <c r="E1261" t="s">
        <v>1210</v>
      </c>
      <c r="F1261" s="99" t="s">
        <v>1213</v>
      </c>
    </row>
    <row r="1262" spans="1:6" x14ac:dyDescent="0.25">
      <c r="A1262" t="s">
        <v>1087</v>
      </c>
      <c r="B1262">
        <v>24</v>
      </c>
      <c r="C1262" t="s">
        <v>1290</v>
      </c>
      <c r="D1262" t="s">
        <v>1206</v>
      </c>
      <c r="E1262" t="s">
        <v>1210</v>
      </c>
      <c r="F1262" s="99" t="s">
        <v>1213</v>
      </c>
    </row>
    <row r="1263" spans="1:6" x14ac:dyDescent="0.25">
      <c r="A1263" t="s">
        <v>79</v>
      </c>
      <c r="B1263">
        <v>24</v>
      </c>
      <c r="C1263" t="s">
        <v>1290</v>
      </c>
      <c r="D1263" t="s">
        <v>1206</v>
      </c>
      <c r="E1263" t="s">
        <v>1217</v>
      </c>
      <c r="F1263" s="99" t="s">
        <v>1213</v>
      </c>
    </row>
    <row r="1264" spans="1:6" x14ac:dyDescent="0.25">
      <c r="A1264" t="s">
        <v>1002</v>
      </c>
      <c r="B1264">
        <v>24</v>
      </c>
      <c r="C1264" t="s">
        <v>1290</v>
      </c>
      <c r="D1264" t="s">
        <v>1206</v>
      </c>
      <c r="E1264" t="s">
        <v>1215</v>
      </c>
      <c r="F1264" s="99" t="s">
        <v>1213</v>
      </c>
    </row>
    <row r="1265" spans="1:6" x14ac:dyDescent="0.25">
      <c r="A1265" t="s">
        <v>742</v>
      </c>
      <c r="B1265">
        <v>24</v>
      </c>
      <c r="C1265" t="s">
        <v>1290</v>
      </c>
      <c r="D1265" t="s">
        <v>1206</v>
      </c>
      <c r="E1265" t="s">
        <v>1210</v>
      </c>
      <c r="F1265" s="99" t="s">
        <v>1213</v>
      </c>
    </row>
    <row r="1266" spans="1:6" x14ac:dyDescent="0.25">
      <c r="A1266" t="s">
        <v>112</v>
      </c>
      <c r="B1266">
        <v>24</v>
      </c>
      <c r="C1266" t="s">
        <v>1290</v>
      </c>
      <c r="D1266" t="s">
        <v>1220</v>
      </c>
      <c r="E1266" t="s">
        <v>1210</v>
      </c>
      <c r="F1266" s="99" t="s">
        <v>1213</v>
      </c>
    </row>
    <row r="1267" spans="1:6" x14ac:dyDescent="0.25">
      <c r="A1267" t="s">
        <v>1066</v>
      </c>
      <c r="B1267">
        <v>24</v>
      </c>
      <c r="C1267" t="s">
        <v>1290</v>
      </c>
      <c r="D1267" t="s">
        <v>1206</v>
      </c>
      <c r="E1267" t="s">
        <v>1210</v>
      </c>
      <c r="F1267" s="99" t="s">
        <v>1213</v>
      </c>
    </row>
    <row r="1268" spans="1:6" x14ac:dyDescent="0.25">
      <c r="A1268" t="s">
        <v>233</v>
      </c>
      <c r="B1268">
        <v>24</v>
      </c>
      <c r="C1268" t="s">
        <v>1290</v>
      </c>
      <c r="D1268" t="s">
        <v>1218</v>
      </c>
      <c r="E1268" t="s">
        <v>1217</v>
      </c>
      <c r="F1268" s="99" t="s">
        <v>1213</v>
      </c>
    </row>
    <row r="1269" spans="1:6" x14ac:dyDescent="0.25">
      <c r="A1269" t="s">
        <v>650</v>
      </c>
      <c r="B1269">
        <v>24</v>
      </c>
      <c r="C1269" t="s">
        <v>1290</v>
      </c>
      <c r="D1269" t="s">
        <v>1220</v>
      </c>
      <c r="E1269" t="s">
        <v>1210</v>
      </c>
      <c r="F1269" s="99" t="s">
        <v>1213</v>
      </c>
    </row>
    <row r="1270" spans="1:6" x14ac:dyDescent="0.25">
      <c r="A1270" t="s">
        <v>867</v>
      </c>
      <c r="B1270">
        <v>24</v>
      </c>
      <c r="C1270" t="s">
        <v>1290</v>
      </c>
      <c r="D1270" t="s">
        <v>1206</v>
      </c>
      <c r="E1270" t="s">
        <v>1210</v>
      </c>
      <c r="F1270" s="99" t="s">
        <v>1213</v>
      </c>
    </row>
    <row r="1271" spans="1:6" x14ac:dyDescent="0.25">
      <c r="A1271" t="s">
        <v>978</v>
      </c>
      <c r="B1271">
        <v>25</v>
      </c>
      <c r="C1271" t="s">
        <v>1290</v>
      </c>
      <c r="D1271" t="s">
        <v>1206</v>
      </c>
      <c r="E1271" t="s">
        <v>1215</v>
      </c>
      <c r="F1271" s="99" t="s">
        <v>1213</v>
      </c>
    </row>
    <row r="1272" spans="1:6" x14ac:dyDescent="0.25">
      <c r="A1272" t="s">
        <v>195</v>
      </c>
      <c r="B1272">
        <v>25</v>
      </c>
      <c r="C1272" t="s">
        <v>1290</v>
      </c>
      <c r="D1272" t="s">
        <v>1222</v>
      </c>
      <c r="E1272" t="s">
        <v>1207</v>
      </c>
      <c r="F1272" s="99" t="s">
        <v>1213</v>
      </c>
    </row>
    <row r="1273" spans="1:6" x14ac:dyDescent="0.25">
      <c r="A1273" t="s">
        <v>882</v>
      </c>
      <c r="B1273">
        <v>25</v>
      </c>
      <c r="C1273" t="s">
        <v>1290</v>
      </c>
      <c r="D1273" t="s">
        <v>1206</v>
      </c>
      <c r="E1273" t="s">
        <v>1215</v>
      </c>
      <c r="F1273" s="99" t="s">
        <v>1213</v>
      </c>
    </row>
    <row r="1274" spans="1:6" x14ac:dyDescent="0.25">
      <c r="A1274" t="s">
        <v>346</v>
      </c>
      <c r="B1274">
        <v>25</v>
      </c>
      <c r="C1274" t="s">
        <v>1290</v>
      </c>
      <c r="D1274" t="s">
        <v>1220</v>
      </c>
      <c r="E1274" t="s">
        <v>1210</v>
      </c>
      <c r="F1274" s="99" t="s">
        <v>1213</v>
      </c>
    </row>
    <row r="1275" spans="1:6" x14ac:dyDescent="0.25">
      <c r="A1275" t="s">
        <v>285</v>
      </c>
      <c r="B1275">
        <v>25</v>
      </c>
      <c r="C1275" t="s">
        <v>1290</v>
      </c>
      <c r="D1275" t="s">
        <v>1206</v>
      </c>
      <c r="E1275" t="s">
        <v>1210</v>
      </c>
      <c r="F1275" s="99" t="s">
        <v>1213</v>
      </c>
    </row>
    <row r="1276" spans="1:6" x14ac:dyDescent="0.25">
      <c r="A1276" t="s">
        <v>879</v>
      </c>
      <c r="B1276">
        <v>25</v>
      </c>
      <c r="C1276" t="s">
        <v>1290</v>
      </c>
      <c r="D1276" t="s">
        <v>1206</v>
      </c>
      <c r="E1276" t="s">
        <v>1215</v>
      </c>
      <c r="F1276" s="99" t="s">
        <v>1213</v>
      </c>
    </row>
    <row r="1277" spans="1:6" x14ac:dyDescent="0.25">
      <c r="A1277" t="s">
        <v>429</v>
      </c>
      <c r="B1277">
        <v>25</v>
      </c>
      <c r="C1277" t="s">
        <v>1290</v>
      </c>
      <c r="D1277" t="s">
        <v>1206</v>
      </c>
      <c r="E1277" t="s">
        <v>1210</v>
      </c>
      <c r="F1277" s="99" t="s">
        <v>1213</v>
      </c>
    </row>
    <row r="1278" spans="1:6" x14ac:dyDescent="0.25">
      <c r="A1278" t="s">
        <v>928</v>
      </c>
      <c r="B1278">
        <v>25</v>
      </c>
      <c r="C1278" t="s">
        <v>1290</v>
      </c>
      <c r="D1278" t="s">
        <v>1206</v>
      </c>
      <c r="E1278" t="s">
        <v>1217</v>
      </c>
      <c r="F1278" s="99" t="s">
        <v>1213</v>
      </c>
    </row>
    <row r="1279" spans="1:6" x14ac:dyDescent="0.25">
      <c r="A1279" t="s">
        <v>1164</v>
      </c>
      <c r="B1279">
        <v>25</v>
      </c>
      <c r="C1279" t="s">
        <v>1290</v>
      </c>
      <c r="D1279" t="s">
        <v>1220</v>
      </c>
      <c r="E1279" t="s">
        <v>1207</v>
      </c>
      <c r="F1279" s="99" t="s">
        <v>1213</v>
      </c>
    </row>
    <row r="1280" spans="1:6" x14ac:dyDescent="0.25">
      <c r="A1280" t="s">
        <v>1003</v>
      </c>
      <c r="B1280">
        <v>25</v>
      </c>
      <c r="C1280" t="s">
        <v>1290</v>
      </c>
      <c r="D1280" t="s">
        <v>1206</v>
      </c>
      <c r="E1280" t="s">
        <v>1217</v>
      </c>
      <c r="F1280" s="99" t="s">
        <v>1213</v>
      </c>
    </row>
    <row r="1281" spans="1:6" x14ac:dyDescent="0.25">
      <c r="A1281" t="s">
        <v>290</v>
      </c>
      <c r="B1281">
        <v>25</v>
      </c>
      <c r="C1281" t="s">
        <v>1290</v>
      </c>
      <c r="D1281" t="s">
        <v>1218</v>
      </c>
      <c r="E1281" t="s">
        <v>1210</v>
      </c>
      <c r="F1281" s="99" t="s">
        <v>1213</v>
      </c>
    </row>
    <row r="1282" spans="1:6" x14ac:dyDescent="0.25">
      <c r="A1282" t="s">
        <v>261</v>
      </c>
      <c r="B1282">
        <v>25</v>
      </c>
      <c r="C1282" t="s">
        <v>1290</v>
      </c>
      <c r="D1282" t="s">
        <v>1219</v>
      </c>
      <c r="E1282" t="s">
        <v>1210</v>
      </c>
      <c r="F1282" s="99" t="s">
        <v>1213</v>
      </c>
    </row>
    <row r="1283" spans="1:6" x14ac:dyDescent="0.25">
      <c r="A1283" t="s">
        <v>768</v>
      </c>
      <c r="B1283">
        <v>25</v>
      </c>
      <c r="C1283" t="s">
        <v>1290</v>
      </c>
      <c r="D1283" t="s">
        <v>1220</v>
      </c>
      <c r="E1283" t="s">
        <v>1210</v>
      </c>
      <c r="F1283" s="99" t="s">
        <v>1213</v>
      </c>
    </row>
    <row r="1284" spans="1:6" x14ac:dyDescent="0.25">
      <c r="A1284" t="s">
        <v>262</v>
      </c>
      <c r="B1284">
        <v>25</v>
      </c>
      <c r="C1284" t="s">
        <v>1290</v>
      </c>
      <c r="D1284" t="s">
        <v>1219</v>
      </c>
      <c r="E1284" t="s">
        <v>1217</v>
      </c>
      <c r="F1284" s="99" t="s">
        <v>1213</v>
      </c>
    </row>
    <row r="1285" spans="1:6" x14ac:dyDescent="0.25">
      <c r="A1285" t="s">
        <v>658</v>
      </c>
      <c r="B1285">
        <v>25</v>
      </c>
      <c r="C1285" t="s">
        <v>1290</v>
      </c>
      <c r="D1285" t="s">
        <v>1206</v>
      </c>
      <c r="E1285" t="s">
        <v>1210</v>
      </c>
      <c r="F1285" s="99" t="s">
        <v>1213</v>
      </c>
    </row>
    <row r="1286" spans="1:6" x14ac:dyDescent="0.25">
      <c r="A1286" t="s">
        <v>554</v>
      </c>
      <c r="B1286">
        <v>25</v>
      </c>
      <c r="C1286" t="s">
        <v>1290</v>
      </c>
      <c r="D1286" t="s">
        <v>1220</v>
      </c>
      <c r="E1286" t="s">
        <v>1210</v>
      </c>
      <c r="F1286" s="99" t="s">
        <v>1213</v>
      </c>
    </row>
    <row r="1287" spans="1:6" x14ac:dyDescent="0.25">
      <c r="A1287" t="s">
        <v>806</v>
      </c>
      <c r="B1287">
        <v>25</v>
      </c>
      <c r="C1287" t="s">
        <v>1290</v>
      </c>
      <c r="D1287" t="s">
        <v>1206</v>
      </c>
      <c r="E1287" t="s">
        <v>1210</v>
      </c>
      <c r="F1287" s="99" t="s">
        <v>1213</v>
      </c>
    </row>
    <row r="1288" spans="1:6" x14ac:dyDescent="0.25">
      <c r="A1288" t="s">
        <v>138</v>
      </c>
      <c r="B1288">
        <v>25</v>
      </c>
      <c r="C1288" t="s">
        <v>1290</v>
      </c>
      <c r="D1288" t="s">
        <v>1222</v>
      </c>
      <c r="E1288" t="s">
        <v>1212</v>
      </c>
      <c r="F1288" s="99" t="s">
        <v>1213</v>
      </c>
    </row>
    <row r="1289" spans="1:6" x14ac:dyDescent="0.25">
      <c r="A1289" t="s">
        <v>167</v>
      </c>
      <c r="B1289">
        <v>25</v>
      </c>
      <c r="C1289" t="s">
        <v>1290</v>
      </c>
      <c r="D1289" t="s">
        <v>1218</v>
      </c>
      <c r="E1289" t="s">
        <v>1212</v>
      </c>
      <c r="F1289" s="99" t="s">
        <v>1213</v>
      </c>
    </row>
    <row r="1290" spans="1:6" x14ac:dyDescent="0.25">
      <c r="A1290" t="s">
        <v>362</v>
      </c>
      <c r="B1290">
        <v>25</v>
      </c>
      <c r="C1290" t="s">
        <v>1290</v>
      </c>
      <c r="D1290" t="s">
        <v>1218</v>
      </c>
      <c r="E1290" t="s">
        <v>1215</v>
      </c>
      <c r="F1290" s="99" t="s">
        <v>1213</v>
      </c>
    </row>
    <row r="1291" spans="1:6" x14ac:dyDescent="0.25">
      <c r="A1291" t="s">
        <v>747</v>
      </c>
      <c r="B1291">
        <v>25</v>
      </c>
      <c r="C1291" t="s">
        <v>1290</v>
      </c>
      <c r="D1291" t="s">
        <v>1220</v>
      </c>
      <c r="E1291" t="s">
        <v>1210</v>
      </c>
      <c r="F1291" s="99" t="s">
        <v>1213</v>
      </c>
    </row>
    <row r="1292" spans="1:6" x14ac:dyDescent="0.25">
      <c r="A1292" t="s">
        <v>128</v>
      </c>
      <c r="B1292">
        <v>25</v>
      </c>
      <c r="C1292" t="s">
        <v>1290</v>
      </c>
      <c r="D1292" t="s">
        <v>1206</v>
      </c>
      <c r="E1292" t="s">
        <v>1212</v>
      </c>
      <c r="F1292" s="99" t="s">
        <v>1213</v>
      </c>
    </row>
    <row r="1293" spans="1:6" x14ac:dyDescent="0.25">
      <c r="A1293" t="s">
        <v>497</v>
      </c>
      <c r="B1293">
        <v>25</v>
      </c>
      <c r="C1293" t="s">
        <v>1290</v>
      </c>
      <c r="D1293" t="s">
        <v>1219</v>
      </c>
      <c r="E1293" t="s">
        <v>1217</v>
      </c>
      <c r="F1293" s="99" t="s">
        <v>1213</v>
      </c>
    </row>
    <row r="1294" spans="1:6" x14ac:dyDescent="0.25">
      <c r="A1294" t="s">
        <v>840</v>
      </c>
      <c r="B1294">
        <v>25</v>
      </c>
      <c r="C1294" t="s">
        <v>1290</v>
      </c>
      <c r="D1294" t="s">
        <v>1206</v>
      </c>
      <c r="E1294" t="s">
        <v>1210</v>
      </c>
      <c r="F1294" s="99" t="s">
        <v>1213</v>
      </c>
    </row>
    <row r="1295" spans="1:6" x14ac:dyDescent="0.25">
      <c r="A1295" t="s">
        <v>726</v>
      </c>
      <c r="B1295">
        <v>25</v>
      </c>
      <c r="C1295" t="s">
        <v>1290</v>
      </c>
      <c r="D1295" t="s">
        <v>1206</v>
      </c>
      <c r="E1295" t="s">
        <v>1210</v>
      </c>
      <c r="F1295" s="99" t="s">
        <v>1213</v>
      </c>
    </row>
    <row r="1296" spans="1:6" x14ac:dyDescent="0.25">
      <c r="A1296" t="s">
        <v>915</v>
      </c>
      <c r="B1296">
        <v>25</v>
      </c>
      <c r="C1296" t="s">
        <v>1290</v>
      </c>
      <c r="D1296" t="s">
        <v>1206</v>
      </c>
      <c r="E1296" t="s">
        <v>1215</v>
      </c>
      <c r="F1296" s="99" t="s">
        <v>1213</v>
      </c>
    </row>
    <row r="1297" spans="1:6" x14ac:dyDescent="0.25">
      <c r="A1297" t="s">
        <v>190</v>
      </c>
      <c r="B1297">
        <v>25</v>
      </c>
      <c r="C1297" t="s">
        <v>1290</v>
      </c>
      <c r="D1297" t="s">
        <v>1222</v>
      </c>
      <c r="E1297" t="s">
        <v>1210</v>
      </c>
      <c r="F1297" s="99" t="s">
        <v>1213</v>
      </c>
    </row>
    <row r="1298" spans="1:6" x14ac:dyDescent="0.25">
      <c r="A1298" t="s">
        <v>634</v>
      </c>
      <c r="B1298">
        <v>25</v>
      </c>
      <c r="C1298" t="s">
        <v>1290</v>
      </c>
      <c r="D1298" t="s">
        <v>1220</v>
      </c>
      <c r="E1298" t="s">
        <v>1207</v>
      </c>
      <c r="F1298" s="99" t="s">
        <v>1213</v>
      </c>
    </row>
    <row r="1299" spans="1:6" x14ac:dyDescent="0.25">
      <c r="A1299" t="s">
        <v>647</v>
      </c>
      <c r="B1299">
        <v>25</v>
      </c>
      <c r="C1299" t="s">
        <v>1290</v>
      </c>
      <c r="D1299" t="s">
        <v>1220</v>
      </c>
      <c r="E1299" t="s">
        <v>1210</v>
      </c>
      <c r="F1299" s="99" t="s">
        <v>1213</v>
      </c>
    </row>
    <row r="1300" spans="1:6" x14ac:dyDescent="0.25">
      <c r="A1300" t="s">
        <v>801</v>
      </c>
      <c r="B1300">
        <v>25</v>
      </c>
      <c r="C1300" t="s">
        <v>1290</v>
      </c>
      <c r="D1300" t="s">
        <v>1206</v>
      </c>
      <c r="E1300" t="s">
        <v>1210</v>
      </c>
      <c r="F1300" s="99" t="s">
        <v>1213</v>
      </c>
    </row>
    <row r="1301" spans="1:6" x14ac:dyDescent="0.25">
      <c r="A1301" t="s">
        <v>1095</v>
      </c>
      <c r="B1301">
        <v>25</v>
      </c>
      <c r="C1301" t="s">
        <v>1290</v>
      </c>
      <c r="D1301" t="s">
        <v>1206</v>
      </c>
      <c r="E1301" t="s">
        <v>1210</v>
      </c>
      <c r="F1301" s="99" t="s">
        <v>1213</v>
      </c>
    </row>
    <row r="1302" spans="1:6" x14ac:dyDescent="0.25">
      <c r="A1302" t="s">
        <v>1129</v>
      </c>
      <c r="B1302">
        <v>25</v>
      </c>
      <c r="C1302" t="s">
        <v>1290</v>
      </c>
      <c r="D1302" t="s">
        <v>1206</v>
      </c>
      <c r="E1302" t="s">
        <v>1207</v>
      </c>
      <c r="F1302" s="99" t="s">
        <v>1213</v>
      </c>
    </row>
    <row r="1303" spans="1:6" x14ac:dyDescent="0.25">
      <c r="A1303" t="s">
        <v>378</v>
      </c>
      <c r="B1303">
        <v>25</v>
      </c>
      <c r="C1303" t="s">
        <v>1290</v>
      </c>
      <c r="D1303" t="s">
        <v>1219</v>
      </c>
      <c r="E1303" t="s">
        <v>1215</v>
      </c>
      <c r="F1303" s="99" t="s">
        <v>1213</v>
      </c>
    </row>
    <row r="1304" spans="1:6" x14ac:dyDescent="0.25">
      <c r="A1304" t="s">
        <v>319</v>
      </c>
      <c r="B1304">
        <v>25</v>
      </c>
      <c r="C1304" t="s">
        <v>1290</v>
      </c>
      <c r="D1304" t="s">
        <v>1218</v>
      </c>
      <c r="E1304" t="s">
        <v>1210</v>
      </c>
      <c r="F1304" s="99" t="s">
        <v>1213</v>
      </c>
    </row>
    <row r="1305" spans="1:6" x14ac:dyDescent="0.25">
      <c r="A1305" t="s">
        <v>395</v>
      </c>
      <c r="B1305">
        <v>25</v>
      </c>
      <c r="C1305" t="s">
        <v>1290</v>
      </c>
      <c r="D1305" t="s">
        <v>1219</v>
      </c>
      <c r="E1305" t="s">
        <v>1210</v>
      </c>
      <c r="F1305" s="99" t="s">
        <v>1213</v>
      </c>
    </row>
    <row r="1306" spans="1:6" x14ac:dyDescent="0.25">
      <c r="A1306" t="s">
        <v>82</v>
      </c>
      <c r="B1306">
        <v>25</v>
      </c>
      <c r="C1306" t="s">
        <v>1290</v>
      </c>
      <c r="D1306" t="s">
        <v>1220</v>
      </c>
      <c r="E1306" t="s">
        <v>1217</v>
      </c>
      <c r="F1306" s="99" t="s">
        <v>1213</v>
      </c>
    </row>
    <row r="1307" spans="1:6" x14ac:dyDescent="0.25">
      <c r="A1307" t="s">
        <v>584</v>
      </c>
      <c r="B1307">
        <v>25</v>
      </c>
      <c r="C1307" t="s">
        <v>1290</v>
      </c>
      <c r="D1307" t="s">
        <v>1206</v>
      </c>
      <c r="E1307" t="s">
        <v>1207</v>
      </c>
      <c r="F1307" s="99" t="s">
        <v>1213</v>
      </c>
    </row>
    <row r="1308" spans="1:6" x14ac:dyDescent="0.25">
      <c r="A1308" t="s">
        <v>104</v>
      </c>
      <c r="B1308">
        <v>25</v>
      </c>
      <c r="C1308" t="s">
        <v>1290</v>
      </c>
      <c r="D1308" t="s">
        <v>1222</v>
      </c>
      <c r="E1308" t="s">
        <v>1212</v>
      </c>
      <c r="F1308" s="99" t="s">
        <v>1213</v>
      </c>
    </row>
    <row r="1309" spans="1:6" x14ac:dyDescent="0.25">
      <c r="A1309" t="s">
        <v>471</v>
      </c>
      <c r="B1309">
        <v>25</v>
      </c>
      <c r="C1309" t="s">
        <v>1290</v>
      </c>
      <c r="D1309" t="s">
        <v>1219</v>
      </c>
      <c r="E1309" t="s">
        <v>1210</v>
      </c>
      <c r="F1309" s="99" t="s">
        <v>1213</v>
      </c>
    </row>
    <row r="1310" spans="1:6" x14ac:dyDescent="0.25">
      <c r="A1310" t="s">
        <v>579</v>
      </c>
      <c r="B1310">
        <v>25</v>
      </c>
      <c r="C1310" t="s">
        <v>1290</v>
      </c>
      <c r="D1310" t="s">
        <v>1206</v>
      </c>
      <c r="E1310" t="s">
        <v>1210</v>
      </c>
      <c r="F1310" s="99" t="s">
        <v>1213</v>
      </c>
    </row>
    <row r="1311" spans="1:6" x14ac:dyDescent="0.25">
      <c r="A1311" t="s">
        <v>673</v>
      </c>
      <c r="B1311">
        <v>25</v>
      </c>
      <c r="C1311" t="s">
        <v>1290</v>
      </c>
      <c r="D1311" t="s">
        <v>1219</v>
      </c>
      <c r="E1311" t="s">
        <v>1217</v>
      </c>
      <c r="F1311" s="99" t="s">
        <v>1213</v>
      </c>
    </row>
    <row r="1312" spans="1:6" x14ac:dyDescent="0.25">
      <c r="A1312" t="s">
        <v>355</v>
      </c>
      <c r="B1312">
        <v>25</v>
      </c>
      <c r="C1312" t="s">
        <v>1290</v>
      </c>
      <c r="D1312" t="s">
        <v>1218</v>
      </c>
      <c r="E1312" t="s">
        <v>1210</v>
      </c>
      <c r="F1312" s="99" t="s">
        <v>1213</v>
      </c>
    </row>
    <row r="1313" spans="1:6" x14ac:dyDescent="0.25">
      <c r="A1313" t="s">
        <v>453</v>
      </c>
      <c r="B1313">
        <v>25</v>
      </c>
      <c r="C1313" t="s">
        <v>1290</v>
      </c>
      <c r="D1313" t="s">
        <v>1206</v>
      </c>
      <c r="E1313" t="s">
        <v>1210</v>
      </c>
      <c r="F1313" s="99" t="s">
        <v>1213</v>
      </c>
    </row>
    <row r="1314" spans="1:6" x14ac:dyDescent="0.25">
      <c r="A1314" t="s">
        <v>633</v>
      </c>
      <c r="B1314">
        <v>25</v>
      </c>
      <c r="C1314" t="s">
        <v>1290</v>
      </c>
      <c r="D1314" t="s">
        <v>1220</v>
      </c>
      <c r="E1314" t="s">
        <v>1210</v>
      </c>
      <c r="F1314" s="99" t="s">
        <v>1213</v>
      </c>
    </row>
    <row r="1315" spans="1:6" x14ac:dyDescent="0.25">
      <c r="A1315" t="s">
        <v>919</v>
      </c>
      <c r="B1315">
        <v>25</v>
      </c>
      <c r="C1315" t="s">
        <v>1290</v>
      </c>
      <c r="D1315" t="s">
        <v>1206</v>
      </c>
      <c r="E1315" t="s">
        <v>1210</v>
      </c>
      <c r="F1315" s="99" t="s">
        <v>1213</v>
      </c>
    </row>
    <row r="1316" spans="1:6" x14ac:dyDescent="0.25">
      <c r="A1316" t="s">
        <v>511</v>
      </c>
      <c r="B1316">
        <v>25</v>
      </c>
      <c r="C1316" t="s">
        <v>1290</v>
      </c>
      <c r="D1316" t="s">
        <v>1219</v>
      </c>
      <c r="E1316" t="s">
        <v>1210</v>
      </c>
      <c r="F1316" s="99" t="s">
        <v>1213</v>
      </c>
    </row>
    <row r="1317" spans="1:6" x14ac:dyDescent="0.25">
      <c r="A1317" t="s">
        <v>1013</v>
      </c>
      <c r="B1317">
        <v>25</v>
      </c>
      <c r="C1317" t="s">
        <v>1290</v>
      </c>
      <c r="D1317" t="s">
        <v>1206</v>
      </c>
      <c r="E1317" t="s">
        <v>1215</v>
      </c>
      <c r="F1317" s="99" t="s">
        <v>1213</v>
      </c>
    </row>
    <row r="1318" spans="1:6" x14ac:dyDescent="0.25">
      <c r="A1318" t="s">
        <v>1048</v>
      </c>
      <c r="B1318">
        <v>25</v>
      </c>
      <c r="C1318" t="s">
        <v>1290</v>
      </c>
      <c r="D1318" t="s">
        <v>1206</v>
      </c>
      <c r="E1318" t="s">
        <v>1207</v>
      </c>
      <c r="F1318" s="99" t="s">
        <v>1213</v>
      </c>
    </row>
    <row r="1319" spans="1:6" x14ac:dyDescent="0.25">
      <c r="A1319" t="s">
        <v>440</v>
      </c>
      <c r="B1319">
        <v>25</v>
      </c>
      <c r="C1319" t="s">
        <v>1290</v>
      </c>
      <c r="D1319" t="s">
        <v>1220</v>
      </c>
      <c r="E1319" t="s">
        <v>1207</v>
      </c>
      <c r="F1319" s="99" t="s">
        <v>1213</v>
      </c>
    </row>
    <row r="1320" spans="1:6" x14ac:dyDescent="0.25">
      <c r="A1320" t="s">
        <v>679</v>
      </c>
      <c r="B1320">
        <v>25</v>
      </c>
      <c r="C1320" t="s">
        <v>1290</v>
      </c>
      <c r="D1320" t="s">
        <v>1220</v>
      </c>
      <c r="E1320" t="s">
        <v>1210</v>
      </c>
      <c r="F1320" s="99" t="s">
        <v>1213</v>
      </c>
    </row>
    <row r="1321" spans="1:6" x14ac:dyDescent="0.25">
      <c r="A1321" t="s">
        <v>599</v>
      </c>
      <c r="B1321">
        <v>25</v>
      </c>
      <c r="C1321" t="s">
        <v>1290</v>
      </c>
      <c r="D1321" t="s">
        <v>1219</v>
      </c>
      <c r="E1321" t="s">
        <v>1210</v>
      </c>
      <c r="F1321" s="99" t="s">
        <v>1213</v>
      </c>
    </row>
    <row r="1322" spans="1:6" x14ac:dyDescent="0.25">
      <c r="A1322" t="s">
        <v>621</v>
      </c>
      <c r="B1322">
        <v>25</v>
      </c>
      <c r="C1322" t="s">
        <v>1290</v>
      </c>
      <c r="D1322" t="s">
        <v>1206</v>
      </c>
      <c r="E1322" t="s">
        <v>1217</v>
      </c>
      <c r="F1322" s="99" t="s">
        <v>1213</v>
      </c>
    </row>
    <row r="1323" spans="1:6" x14ac:dyDescent="0.25">
      <c r="A1323" t="s">
        <v>208</v>
      </c>
      <c r="B1323">
        <v>25</v>
      </c>
      <c r="C1323" t="s">
        <v>1290</v>
      </c>
      <c r="D1323" t="s">
        <v>1206</v>
      </c>
      <c r="E1323" t="s">
        <v>1212</v>
      </c>
      <c r="F1323" s="99" t="s">
        <v>1213</v>
      </c>
    </row>
    <row r="1324" spans="1:6" x14ac:dyDescent="0.25">
      <c r="A1324" t="s">
        <v>464</v>
      </c>
      <c r="B1324">
        <v>25</v>
      </c>
      <c r="C1324" t="s">
        <v>1290</v>
      </c>
      <c r="D1324" t="s">
        <v>1206</v>
      </c>
      <c r="E1324" t="s">
        <v>1210</v>
      </c>
      <c r="F1324" s="99" t="s">
        <v>1213</v>
      </c>
    </row>
    <row r="1325" spans="1:6" x14ac:dyDescent="0.25">
      <c r="A1325" t="s">
        <v>282</v>
      </c>
      <c r="B1325">
        <v>25</v>
      </c>
      <c r="C1325" t="s">
        <v>1290</v>
      </c>
      <c r="D1325" t="s">
        <v>1219</v>
      </c>
      <c r="E1325" t="s">
        <v>1210</v>
      </c>
      <c r="F1325" s="99" t="s">
        <v>1213</v>
      </c>
    </row>
    <row r="1326" spans="1:6" x14ac:dyDescent="0.25">
      <c r="A1326" t="s">
        <v>684</v>
      </c>
      <c r="B1326">
        <v>25</v>
      </c>
      <c r="C1326" t="s">
        <v>1290</v>
      </c>
      <c r="D1326" t="s">
        <v>1206</v>
      </c>
      <c r="E1326" t="s">
        <v>1210</v>
      </c>
      <c r="F1326" s="99" t="s">
        <v>1213</v>
      </c>
    </row>
    <row r="1327" spans="1:6" x14ac:dyDescent="0.25">
      <c r="A1327" t="s">
        <v>114</v>
      </c>
      <c r="B1327">
        <v>25</v>
      </c>
      <c r="C1327" t="s">
        <v>1290</v>
      </c>
      <c r="D1327" t="s">
        <v>1218</v>
      </c>
      <c r="E1327" t="s">
        <v>1212</v>
      </c>
      <c r="F1327" s="99" t="s">
        <v>1213</v>
      </c>
    </row>
    <row r="1328" spans="1:6" x14ac:dyDescent="0.25">
      <c r="A1328" t="s">
        <v>191</v>
      </c>
      <c r="B1328">
        <v>25</v>
      </c>
      <c r="C1328" t="s">
        <v>1290</v>
      </c>
      <c r="D1328" t="s">
        <v>1222</v>
      </c>
      <c r="E1328" t="s">
        <v>1215</v>
      </c>
      <c r="F1328" s="99" t="s">
        <v>1213</v>
      </c>
    </row>
    <row r="1329" spans="1:6" x14ac:dyDescent="0.25">
      <c r="A1329" t="s">
        <v>1137</v>
      </c>
      <c r="B1329">
        <v>25</v>
      </c>
      <c r="C1329" t="s">
        <v>1290</v>
      </c>
      <c r="D1329" t="s">
        <v>1206</v>
      </c>
      <c r="E1329" t="s">
        <v>1210</v>
      </c>
      <c r="F1329" s="99" t="s">
        <v>1213</v>
      </c>
    </row>
    <row r="1330" spans="1:6" x14ac:dyDescent="0.25">
      <c r="A1330" t="s">
        <v>583</v>
      </c>
      <c r="B1330">
        <v>25</v>
      </c>
      <c r="C1330" t="s">
        <v>1290</v>
      </c>
      <c r="D1330" t="s">
        <v>1220</v>
      </c>
      <c r="E1330" t="s">
        <v>1210</v>
      </c>
      <c r="F1330" s="99" t="s">
        <v>1213</v>
      </c>
    </row>
    <row r="1331" spans="1:6" x14ac:dyDescent="0.25">
      <c r="A1331" t="s">
        <v>260</v>
      </c>
      <c r="B1331">
        <v>25</v>
      </c>
      <c r="C1331" t="s">
        <v>1290</v>
      </c>
      <c r="D1331" t="s">
        <v>1220</v>
      </c>
      <c r="E1331" t="s">
        <v>1210</v>
      </c>
      <c r="F1331" s="99" t="s">
        <v>1213</v>
      </c>
    </row>
    <row r="1332" spans="1:6" x14ac:dyDescent="0.25">
      <c r="A1332" t="s">
        <v>194</v>
      </c>
      <c r="B1332">
        <v>25</v>
      </c>
      <c r="C1332" t="s">
        <v>1290</v>
      </c>
      <c r="D1332" t="s">
        <v>1222</v>
      </c>
      <c r="E1332" t="s">
        <v>1217</v>
      </c>
      <c r="F1332" s="99" t="s">
        <v>1213</v>
      </c>
    </row>
    <row r="1333" spans="1:6" x14ac:dyDescent="0.25">
      <c r="A1333" t="s">
        <v>209</v>
      </c>
      <c r="B1333">
        <v>25</v>
      </c>
      <c r="C1333" t="s">
        <v>1290</v>
      </c>
      <c r="D1333" t="s">
        <v>1219</v>
      </c>
      <c r="E1333" t="s">
        <v>1210</v>
      </c>
      <c r="F1333" s="99" t="s">
        <v>1213</v>
      </c>
    </row>
    <row r="1334" spans="1:6" x14ac:dyDescent="0.25">
      <c r="A1334" t="s">
        <v>1014</v>
      </c>
      <c r="B1334">
        <v>25</v>
      </c>
      <c r="C1334" t="s">
        <v>1290</v>
      </c>
      <c r="D1334" t="s">
        <v>1206</v>
      </c>
      <c r="E1334" t="s">
        <v>1210</v>
      </c>
      <c r="F1334" s="99" t="s">
        <v>1213</v>
      </c>
    </row>
    <row r="1335" spans="1:6" x14ac:dyDescent="0.25">
      <c r="A1335" t="s">
        <v>694</v>
      </c>
      <c r="B1335">
        <v>25</v>
      </c>
      <c r="C1335" t="s">
        <v>1290</v>
      </c>
      <c r="D1335" t="s">
        <v>1220</v>
      </c>
      <c r="E1335" t="s">
        <v>1210</v>
      </c>
      <c r="F1335" s="99" t="s">
        <v>1213</v>
      </c>
    </row>
    <row r="1336" spans="1:6" x14ac:dyDescent="0.25">
      <c r="A1336" t="s">
        <v>1091</v>
      </c>
      <c r="B1336">
        <v>25</v>
      </c>
      <c r="C1336" t="s">
        <v>1290</v>
      </c>
      <c r="D1336" t="s">
        <v>1206</v>
      </c>
      <c r="E1336" t="s">
        <v>1215</v>
      </c>
      <c r="F1336" s="99" t="s">
        <v>1213</v>
      </c>
    </row>
    <row r="1337" spans="1:6" x14ac:dyDescent="0.25">
      <c r="A1337" t="s">
        <v>612</v>
      </c>
      <c r="B1337">
        <v>25</v>
      </c>
      <c r="C1337" t="s">
        <v>1290</v>
      </c>
      <c r="D1337" t="s">
        <v>1206</v>
      </c>
      <c r="E1337" t="s">
        <v>1210</v>
      </c>
      <c r="F1337" s="99" t="s">
        <v>1213</v>
      </c>
    </row>
    <row r="1338" spans="1:6" x14ac:dyDescent="0.25">
      <c r="A1338" t="s">
        <v>348</v>
      </c>
      <c r="B1338">
        <v>25</v>
      </c>
      <c r="C1338" t="s">
        <v>1290</v>
      </c>
      <c r="D1338" t="s">
        <v>1218</v>
      </c>
      <c r="E1338" t="s">
        <v>1215</v>
      </c>
      <c r="F1338" s="99" t="s">
        <v>1213</v>
      </c>
    </row>
    <row r="1339" spans="1:6" x14ac:dyDescent="0.25">
      <c r="A1339" t="s">
        <v>1039</v>
      </c>
      <c r="B1339">
        <v>25</v>
      </c>
      <c r="C1339" t="s">
        <v>1290</v>
      </c>
      <c r="D1339" t="s">
        <v>1206</v>
      </c>
      <c r="E1339" t="s">
        <v>1210</v>
      </c>
      <c r="F1339" s="99" t="s">
        <v>1213</v>
      </c>
    </row>
    <row r="1340" spans="1:6" x14ac:dyDescent="0.25">
      <c r="A1340" t="s">
        <v>878</v>
      </c>
      <c r="B1340">
        <v>25</v>
      </c>
      <c r="C1340" t="s">
        <v>1290</v>
      </c>
      <c r="D1340" t="s">
        <v>1206</v>
      </c>
      <c r="E1340" t="s">
        <v>1210</v>
      </c>
      <c r="F1340" s="99" t="s">
        <v>1213</v>
      </c>
    </row>
    <row r="1341" spans="1:6" x14ac:dyDescent="0.25">
      <c r="A1341" t="s">
        <v>516</v>
      </c>
      <c r="B1341">
        <v>25</v>
      </c>
      <c r="C1341" t="s">
        <v>1290</v>
      </c>
      <c r="D1341" t="s">
        <v>1206</v>
      </c>
      <c r="E1341" t="s">
        <v>1217</v>
      </c>
      <c r="F1341" s="99" t="s">
        <v>1213</v>
      </c>
    </row>
    <row r="1342" spans="1:6" x14ac:dyDescent="0.25">
      <c r="A1342" t="s">
        <v>359</v>
      </c>
      <c r="B1342">
        <v>25</v>
      </c>
      <c r="C1342" t="s">
        <v>1290</v>
      </c>
      <c r="D1342" t="s">
        <v>1219</v>
      </c>
      <c r="E1342" t="s">
        <v>1215</v>
      </c>
      <c r="F1342" s="99" t="s">
        <v>1213</v>
      </c>
    </row>
    <row r="1343" spans="1:6" x14ac:dyDescent="0.25">
      <c r="A1343" t="s">
        <v>604</v>
      </c>
      <c r="B1343">
        <v>25</v>
      </c>
      <c r="C1343" t="s">
        <v>1290</v>
      </c>
      <c r="D1343" t="s">
        <v>1219</v>
      </c>
      <c r="E1343" t="s">
        <v>1217</v>
      </c>
      <c r="F1343" s="99" t="s">
        <v>1213</v>
      </c>
    </row>
    <row r="1344" spans="1:6" x14ac:dyDescent="0.25">
      <c r="A1344" t="s">
        <v>97</v>
      </c>
      <c r="B1344">
        <v>25</v>
      </c>
      <c r="C1344" t="s">
        <v>1290</v>
      </c>
      <c r="D1344" t="s">
        <v>1222</v>
      </c>
      <c r="E1344" t="s">
        <v>1212</v>
      </c>
      <c r="F1344" s="99" t="s">
        <v>1213</v>
      </c>
    </row>
    <row r="1345" spans="1:6" x14ac:dyDescent="0.25">
      <c r="A1345" t="s">
        <v>398</v>
      </c>
      <c r="B1345">
        <v>25</v>
      </c>
      <c r="C1345" t="s">
        <v>1290</v>
      </c>
      <c r="D1345" t="s">
        <v>1218</v>
      </c>
      <c r="E1345" t="s">
        <v>1215</v>
      </c>
      <c r="F1345" s="99" t="s">
        <v>1213</v>
      </c>
    </row>
    <row r="1346" spans="1:6" x14ac:dyDescent="0.25">
      <c r="A1346" t="s">
        <v>62</v>
      </c>
      <c r="B1346">
        <v>25</v>
      </c>
      <c r="C1346" t="s">
        <v>1290</v>
      </c>
      <c r="D1346" t="s">
        <v>1206</v>
      </c>
      <c r="E1346" t="s">
        <v>1215</v>
      </c>
      <c r="F1346" s="99" t="s">
        <v>1213</v>
      </c>
    </row>
    <row r="1347" spans="1:6" x14ac:dyDescent="0.25">
      <c r="A1347" t="s">
        <v>590</v>
      </c>
      <c r="B1347">
        <v>25</v>
      </c>
      <c r="C1347" t="s">
        <v>1290</v>
      </c>
      <c r="D1347" t="s">
        <v>1220</v>
      </c>
      <c r="E1347" t="s">
        <v>1210</v>
      </c>
      <c r="F1347" s="99" t="s">
        <v>1213</v>
      </c>
    </row>
    <row r="1348" spans="1:6" x14ac:dyDescent="0.25">
      <c r="A1348" t="s">
        <v>220</v>
      </c>
      <c r="B1348">
        <v>25</v>
      </c>
      <c r="C1348" t="s">
        <v>1290</v>
      </c>
      <c r="D1348" t="s">
        <v>1220</v>
      </c>
      <c r="E1348" t="s">
        <v>1217</v>
      </c>
      <c r="F1348" s="99" t="s">
        <v>1213</v>
      </c>
    </row>
    <row r="1349" spans="1:6" x14ac:dyDescent="0.25">
      <c r="A1349" t="s">
        <v>884</v>
      </c>
      <c r="B1349">
        <v>25</v>
      </c>
      <c r="C1349" t="s">
        <v>1290</v>
      </c>
      <c r="D1349" t="s">
        <v>1206</v>
      </c>
      <c r="E1349" t="s">
        <v>1215</v>
      </c>
      <c r="F1349" s="99" t="s">
        <v>1213</v>
      </c>
    </row>
    <row r="1350" spans="1:6" x14ac:dyDescent="0.25">
      <c r="A1350" t="s">
        <v>266</v>
      </c>
      <c r="B1350">
        <v>25</v>
      </c>
      <c r="C1350" t="s">
        <v>1290</v>
      </c>
      <c r="D1350" t="s">
        <v>1219</v>
      </c>
      <c r="E1350" t="s">
        <v>1207</v>
      </c>
      <c r="F1350" s="99" t="s">
        <v>1213</v>
      </c>
    </row>
    <row r="1351" spans="1:6" x14ac:dyDescent="0.25">
      <c r="A1351" t="s">
        <v>1121</v>
      </c>
      <c r="B1351">
        <v>25</v>
      </c>
      <c r="C1351" t="s">
        <v>1290</v>
      </c>
      <c r="D1351" t="s">
        <v>1206</v>
      </c>
      <c r="E1351" t="s">
        <v>1207</v>
      </c>
      <c r="F1351" s="99" t="s">
        <v>1213</v>
      </c>
    </row>
    <row r="1352" spans="1:6" x14ac:dyDescent="0.25">
      <c r="A1352" t="s">
        <v>677</v>
      </c>
      <c r="B1352">
        <v>25</v>
      </c>
      <c r="C1352" t="s">
        <v>1290</v>
      </c>
      <c r="D1352" t="s">
        <v>1219</v>
      </c>
      <c r="E1352" t="s">
        <v>1217</v>
      </c>
      <c r="F1352" s="99" t="s">
        <v>1213</v>
      </c>
    </row>
    <row r="1353" spans="1:6" x14ac:dyDescent="0.25">
      <c r="A1353" t="s">
        <v>384</v>
      </c>
      <c r="B1353">
        <v>25</v>
      </c>
      <c r="C1353" t="s">
        <v>1290</v>
      </c>
      <c r="D1353" t="s">
        <v>1206</v>
      </c>
      <c r="E1353" t="s">
        <v>1217</v>
      </c>
      <c r="F1353" s="99" t="s">
        <v>1213</v>
      </c>
    </row>
    <row r="1354" spans="1:6" x14ac:dyDescent="0.25">
      <c r="A1354" t="s">
        <v>895</v>
      </c>
      <c r="B1354">
        <v>25</v>
      </c>
      <c r="C1354" t="s">
        <v>1290</v>
      </c>
      <c r="D1354" t="s">
        <v>1206</v>
      </c>
      <c r="E1354" t="s">
        <v>1215</v>
      </c>
      <c r="F1354" s="99" t="s">
        <v>1213</v>
      </c>
    </row>
    <row r="1355" spans="1:6" x14ac:dyDescent="0.25">
      <c r="A1355" t="s">
        <v>1173</v>
      </c>
      <c r="B1355">
        <v>25</v>
      </c>
      <c r="C1355" t="s">
        <v>1290</v>
      </c>
      <c r="D1355" t="s">
        <v>1206</v>
      </c>
      <c r="E1355" t="s">
        <v>1210</v>
      </c>
      <c r="F1355" s="99" t="s">
        <v>1213</v>
      </c>
    </row>
    <row r="1356" spans="1:6" x14ac:dyDescent="0.25">
      <c r="A1356" t="s">
        <v>226</v>
      </c>
      <c r="B1356">
        <v>25</v>
      </c>
      <c r="C1356" t="s">
        <v>1290</v>
      </c>
      <c r="D1356" t="s">
        <v>1206</v>
      </c>
      <c r="E1356" t="s">
        <v>1217</v>
      </c>
      <c r="F1356" s="99" t="s">
        <v>1213</v>
      </c>
    </row>
    <row r="1357" spans="1:6" x14ac:dyDescent="0.25">
      <c r="A1357" t="s">
        <v>1057</v>
      </c>
      <c r="B1357">
        <v>25</v>
      </c>
      <c r="C1357" t="s">
        <v>1290</v>
      </c>
      <c r="D1357" t="s">
        <v>1206</v>
      </c>
      <c r="E1357" t="s">
        <v>1210</v>
      </c>
      <c r="F1357" s="99" t="s">
        <v>1213</v>
      </c>
    </row>
    <row r="1358" spans="1:6" x14ac:dyDescent="0.25">
      <c r="A1358" t="s">
        <v>367</v>
      </c>
      <c r="B1358">
        <v>25</v>
      </c>
      <c r="C1358" t="s">
        <v>1290</v>
      </c>
      <c r="D1358" t="s">
        <v>1218</v>
      </c>
      <c r="E1358" t="s">
        <v>1210</v>
      </c>
      <c r="F1358" s="99" t="s">
        <v>1213</v>
      </c>
    </row>
    <row r="1359" spans="1:6" x14ac:dyDescent="0.25">
      <c r="A1359" t="s">
        <v>646</v>
      </c>
      <c r="B1359">
        <v>25</v>
      </c>
      <c r="C1359" t="s">
        <v>1290</v>
      </c>
      <c r="D1359" t="s">
        <v>1220</v>
      </c>
      <c r="E1359" t="s">
        <v>1210</v>
      </c>
      <c r="F1359" s="99" t="s">
        <v>1213</v>
      </c>
    </row>
    <row r="1360" spans="1:6" x14ac:dyDescent="0.25">
      <c r="A1360" t="s">
        <v>1104</v>
      </c>
      <c r="B1360">
        <v>25</v>
      </c>
      <c r="C1360" t="s">
        <v>1290</v>
      </c>
      <c r="D1360" t="s">
        <v>1206</v>
      </c>
      <c r="E1360" t="s">
        <v>1215</v>
      </c>
      <c r="F1360" s="99" t="s">
        <v>1213</v>
      </c>
    </row>
    <row r="1361" spans="1:6" x14ac:dyDescent="0.25">
      <c r="A1361" t="s">
        <v>485</v>
      </c>
      <c r="B1361">
        <v>25</v>
      </c>
      <c r="C1361" t="s">
        <v>1290</v>
      </c>
      <c r="D1361" t="s">
        <v>1219</v>
      </c>
      <c r="E1361" t="s">
        <v>1207</v>
      </c>
      <c r="F1361" s="99" t="s">
        <v>1213</v>
      </c>
    </row>
    <row r="1362" spans="1:6" x14ac:dyDescent="0.25">
      <c r="A1362" t="s">
        <v>312</v>
      </c>
      <c r="B1362">
        <v>25</v>
      </c>
      <c r="C1362" t="s">
        <v>1290</v>
      </c>
      <c r="D1362" t="s">
        <v>1219</v>
      </c>
      <c r="E1362" t="s">
        <v>1215</v>
      </c>
      <c r="F1362" s="99" t="s">
        <v>1213</v>
      </c>
    </row>
    <row r="1363" spans="1:6" x14ac:dyDescent="0.25">
      <c r="A1363" t="s">
        <v>569</v>
      </c>
      <c r="B1363">
        <v>25</v>
      </c>
      <c r="C1363" t="s">
        <v>1290</v>
      </c>
      <c r="D1363" t="s">
        <v>1220</v>
      </c>
      <c r="E1363" t="s">
        <v>1207</v>
      </c>
      <c r="F1363" s="99" t="s">
        <v>1213</v>
      </c>
    </row>
    <row r="1364" spans="1:6" x14ac:dyDescent="0.25">
      <c r="A1364" t="s">
        <v>1149</v>
      </c>
      <c r="B1364">
        <v>25</v>
      </c>
      <c r="C1364" t="s">
        <v>1290</v>
      </c>
      <c r="D1364" t="s">
        <v>1206</v>
      </c>
      <c r="E1364" t="s">
        <v>1210</v>
      </c>
      <c r="F1364" s="99" t="s">
        <v>1213</v>
      </c>
    </row>
    <row r="1365" spans="1:6" x14ac:dyDescent="0.25">
      <c r="A1365" t="s">
        <v>1113</v>
      </c>
      <c r="B1365">
        <v>25</v>
      </c>
      <c r="C1365" t="s">
        <v>1290</v>
      </c>
      <c r="D1365" t="s">
        <v>1206</v>
      </c>
      <c r="E1365" t="s">
        <v>1207</v>
      </c>
      <c r="F1365" s="99" t="s">
        <v>1213</v>
      </c>
    </row>
    <row r="1366" spans="1:6" x14ac:dyDescent="0.25">
      <c r="A1366" t="s">
        <v>1060</v>
      </c>
      <c r="B1366">
        <v>25</v>
      </c>
      <c r="C1366" t="s">
        <v>1290</v>
      </c>
      <c r="D1366" t="s">
        <v>1206</v>
      </c>
      <c r="E1366" t="s">
        <v>1215</v>
      </c>
      <c r="F1366" s="99" t="s">
        <v>1213</v>
      </c>
    </row>
    <row r="1367" spans="1:6" x14ac:dyDescent="0.25">
      <c r="A1367" t="s">
        <v>198</v>
      </c>
      <c r="B1367">
        <v>25</v>
      </c>
      <c r="C1367" t="s">
        <v>1290</v>
      </c>
      <c r="D1367" t="s">
        <v>1222</v>
      </c>
      <c r="E1367" t="s">
        <v>1212</v>
      </c>
      <c r="F1367" s="99" t="s">
        <v>1213</v>
      </c>
    </row>
    <row r="1368" spans="1:6" x14ac:dyDescent="0.25">
      <c r="A1368" t="s">
        <v>224</v>
      </c>
      <c r="B1368">
        <v>25</v>
      </c>
      <c r="C1368" t="s">
        <v>1290</v>
      </c>
      <c r="D1368" t="s">
        <v>1219</v>
      </c>
      <c r="E1368" t="s">
        <v>1210</v>
      </c>
      <c r="F1368" s="99" t="s">
        <v>1213</v>
      </c>
    </row>
    <row r="1369" spans="1:6" x14ac:dyDescent="0.25">
      <c r="A1369" t="s">
        <v>1030</v>
      </c>
      <c r="B1369">
        <v>25</v>
      </c>
      <c r="C1369" t="s">
        <v>1290</v>
      </c>
      <c r="D1369" t="s">
        <v>1206</v>
      </c>
      <c r="E1369" t="s">
        <v>1215</v>
      </c>
      <c r="F1369" s="99" t="s">
        <v>1213</v>
      </c>
    </row>
    <row r="1370" spans="1:6" x14ac:dyDescent="0.25">
      <c r="A1370" t="s">
        <v>489</v>
      </c>
      <c r="B1370">
        <v>25</v>
      </c>
      <c r="C1370" t="s">
        <v>1290</v>
      </c>
      <c r="D1370" t="s">
        <v>1206</v>
      </c>
      <c r="E1370" t="s">
        <v>1210</v>
      </c>
      <c r="F1370" s="99" t="s">
        <v>1213</v>
      </c>
    </row>
    <row r="1371" spans="1:6" x14ac:dyDescent="0.25">
      <c r="A1371" t="s">
        <v>1100</v>
      </c>
      <c r="B1371">
        <v>25</v>
      </c>
      <c r="C1371" t="s">
        <v>1290</v>
      </c>
      <c r="D1371" t="s">
        <v>1206</v>
      </c>
      <c r="E1371" t="s">
        <v>1215</v>
      </c>
      <c r="F1371" s="99" t="s">
        <v>1213</v>
      </c>
    </row>
    <row r="1372" spans="1:6" x14ac:dyDescent="0.25">
      <c r="A1372" t="s">
        <v>324</v>
      </c>
      <c r="B1372">
        <v>25</v>
      </c>
      <c r="C1372" t="s">
        <v>1290</v>
      </c>
      <c r="D1372" t="s">
        <v>1218</v>
      </c>
      <c r="E1372" t="s">
        <v>1215</v>
      </c>
      <c r="F1372" s="99" t="s">
        <v>1213</v>
      </c>
    </row>
    <row r="1373" spans="1:6" x14ac:dyDescent="0.25">
      <c r="A1373" t="s">
        <v>885</v>
      </c>
      <c r="B1373">
        <v>25</v>
      </c>
      <c r="C1373" t="s">
        <v>1290</v>
      </c>
      <c r="D1373" t="s">
        <v>1206</v>
      </c>
      <c r="E1373" t="s">
        <v>1210</v>
      </c>
      <c r="F1373" s="99" t="s">
        <v>1213</v>
      </c>
    </row>
    <row r="1374" spans="1:6" x14ac:dyDescent="0.25">
      <c r="A1374" t="s">
        <v>401</v>
      </c>
      <c r="B1374">
        <v>25</v>
      </c>
      <c r="C1374" t="s">
        <v>1290</v>
      </c>
      <c r="D1374" t="s">
        <v>1206</v>
      </c>
      <c r="E1374" t="s">
        <v>1217</v>
      </c>
      <c r="F1374" s="99" t="s">
        <v>1213</v>
      </c>
    </row>
    <row r="1375" spans="1:6" x14ac:dyDescent="0.25">
      <c r="A1375" t="s">
        <v>215</v>
      </c>
      <c r="B1375">
        <v>25</v>
      </c>
      <c r="C1375" t="s">
        <v>1290</v>
      </c>
      <c r="D1375" t="s">
        <v>1218</v>
      </c>
      <c r="E1375" t="s">
        <v>1207</v>
      </c>
      <c r="F1375" s="99" t="s">
        <v>1213</v>
      </c>
    </row>
    <row r="1376" spans="1:6" x14ac:dyDescent="0.25">
      <c r="A1376" t="s">
        <v>204</v>
      </c>
      <c r="B1376">
        <v>25</v>
      </c>
      <c r="C1376" t="s">
        <v>1290</v>
      </c>
      <c r="D1376" t="s">
        <v>1222</v>
      </c>
      <c r="E1376" t="s">
        <v>1217</v>
      </c>
      <c r="F1376" s="99" t="s">
        <v>1213</v>
      </c>
    </row>
    <row r="1377" spans="1:6" x14ac:dyDescent="0.25">
      <c r="A1377" t="s">
        <v>1034</v>
      </c>
      <c r="B1377">
        <v>25</v>
      </c>
      <c r="C1377" t="s">
        <v>1290</v>
      </c>
      <c r="D1377" t="s">
        <v>1206</v>
      </c>
      <c r="E1377" t="s">
        <v>1215</v>
      </c>
      <c r="F1377" s="99" t="s">
        <v>1213</v>
      </c>
    </row>
    <row r="1378" spans="1:6" x14ac:dyDescent="0.25">
      <c r="A1378" t="s">
        <v>145</v>
      </c>
      <c r="B1378">
        <v>25</v>
      </c>
      <c r="C1378" t="s">
        <v>1290</v>
      </c>
      <c r="D1378" t="s">
        <v>1220</v>
      </c>
      <c r="E1378" t="s">
        <v>1215</v>
      </c>
      <c r="F1378" s="99" t="s">
        <v>1213</v>
      </c>
    </row>
    <row r="1379" spans="1:6" x14ac:dyDescent="0.25">
      <c r="A1379" t="s">
        <v>158</v>
      </c>
      <c r="B1379">
        <v>25</v>
      </c>
      <c r="C1379" t="s">
        <v>1290</v>
      </c>
      <c r="D1379" t="s">
        <v>1222</v>
      </c>
      <c r="E1379" t="s">
        <v>1207</v>
      </c>
      <c r="F1379" s="99" t="s">
        <v>1213</v>
      </c>
    </row>
    <row r="1380" spans="1:6" x14ac:dyDescent="0.25">
      <c r="A1380" t="s">
        <v>139</v>
      </c>
      <c r="B1380">
        <v>25</v>
      </c>
      <c r="C1380" t="s">
        <v>1290</v>
      </c>
      <c r="D1380" t="s">
        <v>1219</v>
      </c>
      <c r="E1380" t="s">
        <v>1215</v>
      </c>
      <c r="F1380" s="99" t="s">
        <v>1213</v>
      </c>
    </row>
    <row r="1381" spans="1:6" x14ac:dyDescent="0.25">
      <c r="A1381" t="s">
        <v>890</v>
      </c>
      <c r="B1381">
        <v>25</v>
      </c>
      <c r="C1381" t="s">
        <v>1290</v>
      </c>
      <c r="D1381" t="s">
        <v>1206</v>
      </c>
      <c r="E1381" t="s">
        <v>1210</v>
      </c>
      <c r="F1381" s="99" t="s">
        <v>1213</v>
      </c>
    </row>
    <row r="1382" spans="1:6" x14ac:dyDescent="0.25">
      <c r="A1382" t="s">
        <v>1125</v>
      </c>
      <c r="B1382">
        <v>25</v>
      </c>
      <c r="C1382" t="s">
        <v>1290</v>
      </c>
      <c r="D1382" t="s">
        <v>1206</v>
      </c>
      <c r="E1382" t="s">
        <v>1207</v>
      </c>
      <c r="F1382" s="99" t="s">
        <v>1213</v>
      </c>
    </row>
    <row r="1383" spans="1:6" x14ac:dyDescent="0.25">
      <c r="A1383" t="s">
        <v>811</v>
      </c>
      <c r="B1383">
        <v>25</v>
      </c>
      <c r="C1383" t="s">
        <v>1290</v>
      </c>
      <c r="D1383" t="s">
        <v>1220</v>
      </c>
      <c r="E1383" t="s">
        <v>1207</v>
      </c>
      <c r="F1383" s="99" t="s">
        <v>1213</v>
      </c>
    </row>
    <row r="1384" spans="1:6" x14ac:dyDescent="0.25">
      <c r="A1384" t="s">
        <v>372</v>
      </c>
      <c r="B1384">
        <v>25</v>
      </c>
      <c r="C1384" t="s">
        <v>1290</v>
      </c>
      <c r="D1384" t="s">
        <v>1218</v>
      </c>
      <c r="E1384" t="s">
        <v>1210</v>
      </c>
      <c r="F1384" s="99" t="s">
        <v>1213</v>
      </c>
    </row>
    <row r="1385" spans="1:6" x14ac:dyDescent="0.25">
      <c r="A1385" t="s">
        <v>564</v>
      </c>
      <c r="B1385">
        <v>25</v>
      </c>
      <c r="C1385" t="s">
        <v>1290</v>
      </c>
      <c r="D1385" t="s">
        <v>1219</v>
      </c>
      <c r="E1385" t="s">
        <v>1207</v>
      </c>
      <c r="F1385" s="99" t="s">
        <v>1213</v>
      </c>
    </row>
    <row r="1386" spans="1:6" x14ac:dyDescent="0.25">
      <c r="A1386" t="s">
        <v>1131</v>
      </c>
      <c r="B1386">
        <v>25</v>
      </c>
      <c r="C1386" t="s">
        <v>1290</v>
      </c>
      <c r="D1386" t="s">
        <v>1220</v>
      </c>
      <c r="E1386" t="s">
        <v>1207</v>
      </c>
      <c r="F1386" s="99" t="s">
        <v>1213</v>
      </c>
    </row>
    <row r="1387" spans="1:6" x14ac:dyDescent="0.25">
      <c r="A1387" t="s">
        <v>1143</v>
      </c>
      <c r="B1387">
        <v>25</v>
      </c>
      <c r="C1387" t="s">
        <v>1290</v>
      </c>
      <c r="D1387" t="s">
        <v>1206</v>
      </c>
      <c r="E1387" t="s">
        <v>1215</v>
      </c>
      <c r="F1387" s="99" t="s">
        <v>1213</v>
      </c>
    </row>
    <row r="1388" spans="1:6" x14ac:dyDescent="0.25">
      <c r="A1388" t="s">
        <v>329</v>
      </c>
      <c r="B1388">
        <v>25</v>
      </c>
      <c r="C1388" t="s">
        <v>1290</v>
      </c>
      <c r="D1388" t="s">
        <v>1220</v>
      </c>
      <c r="E1388" t="s">
        <v>1210</v>
      </c>
      <c r="F1388" s="99" t="s">
        <v>1213</v>
      </c>
    </row>
    <row r="1389" spans="1:6" x14ac:dyDescent="0.25">
      <c r="A1389" t="s">
        <v>570</v>
      </c>
      <c r="B1389">
        <v>25</v>
      </c>
      <c r="C1389" t="s">
        <v>1290</v>
      </c>
      <c r="D1389" t="s">
        <v>1219</v>
      </c>
      <c r="E1389" t="s">
        <v>1207</v>
      </c>
      <c r="F1389" s="99" t="s">
        <v>1213</v>
      </c>
    </row>
    <row r="1390" spans="1:6" x14ac:dyDescent="0.25">
      <c r="A1390" t="s">
        <v>958</v>
      </c>
      <c r="B1390">
        <v>25</v>
      </c>
      <c r="C1390" t="s">
        <v>1290</v>
      </c>
      <c r="D1390" t="s">
        <v>1206</v>
      </c>
      <c r="E1390" t="s">
        <v>1215</v>
      </c>
      <c r="F1390" s="99" t="s">
        <v>1213</v>
      </c>
    </row>
    <row r="1391" spans="1:6" x14ac:dyDescent="0.25">
      <c r="A1391" t="s">
        <v>1184</v>
      </c>
      <c r="B1391">
        <v>25</v>
      </c>
      <c r="C1391" t="s">
        <v>1290</v>
      </c>
      <c r="D1391" t="s">
        <v>1220</v>
      </c>
      <c r="E1391" t="s">
        <v>1207</v>
      </c>
      <c r="F1391" s="99" t="s">
        <v>1213</v>
      </c>
    </row>
    <row r="1392" spans="1:6" x14ac:dyDescent="0.25">
      <c r="A1392" t="s">
        <v>80</v>
      </c>
      <c r="B1392">
        <v>25</v>
      </c>
      <c r="C1392" t="s">
        <v>1290</v>
      </c>
      <c r="D1392" t="s">
        <v>1220</v>
      </c>
      <c r="E1392" t="s">
        <v>1207</v>
      </c>
      <c r="F1392" s="99" t="s">
        <v>1213</v>
      </c>
    </row>
    <row r="1393" spans="1:6" x14ac:dyDescent="0.25">
      <c r="A1393" t="s">
        <v>720</v>
      </c>
      <c r="B1393">
        <v>25</v>
      </c>
      <c r="C1393" t="s">
        <v>1290</v>
      </c>
      <c r="D1393" t="s">
        <v>1206</v>
      </c>
      <c r="E1393" t="s">
        <v>1207</v>
      </c>
      <c r="F1393" s="99" t="s">
        <v>1213</v>
      </c>
    </row>
    <row r="1394" spans="1:6" x14ac:dyDescent="0.25">
      <c r="A1394" t="s">
        <v>517</v>
      </c>
      <c r="B1394">
        <v>25</v>
      </c>
      <c r="C1394" t="s">
        <v>1290</v>
      </c>
      <c r="D1394" t="s">
        <v>1220</v>
      </c>
      <c r="E1394" t="s">
        <v>1217</v>
      </c>
      <c r="F1394" s="99" t="s">
        <v>1213</v>
      </c>
    </row>
    <row r="1395" spans="1:6" x14ac:dyDescent="0.25">
      <c r="A1395" t="s">
        <v>871</v>
      </c>
      <c r="B1395">
        <v>25</v>
      </c>
      <c r="C1395" t="s">
        <v>1290</v>
      </c>
      <c r="D1395" t="s">
        <v>1206</v>
      </c>
      <c r="E1395" t="s">
        <v>1215</v>
      </c>
      <c r="F1395" s="99" t="s">
        <v>1213</v>
      </c>
    </row>
    <row r="1396" spans="1:6" x14ac:dyDescent="0.25">
      <c r="A1396" t="s">
        <v>1168</v>
      </c>
      <c r="B1396">
        <v>25</v>
      </c>
      <c r="C1396" t="s">
        <v>1290</v>
      </c>
      <c r="D1396" t="s">
        <v>1206</v>
      </c>
      <c r="E1396" t="s">
        <v>1215</v>
      </c>
      <c r="F1396" s="99" t="s">
        <v>1213</v>
      </c>
    </row>
    <row r="1397" spans="1:6" x14ac:dyDescent="0.25">
      <c r="A1397" t="s">
        <v>61</v>
      </c>
      <c r="B1397">
        <v>25</v>
      </c>
      <c r="C1397" t="s">
        <v>1290</v>
      </c>
      <c r="D1397" t="s">
        <v>1220</v>
      </c>
      <c r="E1397" t="s">
        <v>1215</v>
      </c>
      <c r="F1397" s="99" t="s">
        <v>1213</v>
      </c>
    </row>
    <row r="1398" spans="1:6" x14ac:dyDescent="0.25">
      <c r="A1398" t="s">
        <v>492</v>
      </c>
      <c r="B1398">
        <v>25</v>
      </c>
      <c r="C1398" t="s">
        <v>1290</v>
      </c>
      <c r="D1398" t="s">
        <v>1206</v>
      </c>
      <c r="E1398" t="s">
        <v>1210</v>
      </c>
      <c r="F1398" s="99" t="s">
        <v>1213</v>
      </c>
    </row>
    <row r="1399" spans="1:6" x14ac:dyDescent="0.25">
      <c r="A1399" t="s">
        <v>251</v>
      </c>
      <c r="B1399">
        <v>25</v>
      </c>
      <c r="C1399" t="s">
        <v>1290</v>
      </c>
      <c r="D1399" t="s">
        <v>1219</v>
      </c>
      <c r="E1399" t="s">
        <v>1210</v>
      </c>
      <c r="F1399" s="99" t="s">
        <v>1213</v>
      </c>
    </row>
    <row r="1400" spans="1:6" x14ac:dyDescent="0.25">
      <c r="A1400" t="s">
        <v>716</v>
      </c>
      <c r="B1400">
        <v>25</v>
      </c>
      <c r="C1400" t="s">
        <v>1290</v>
      </c>
      <c r="D1400" t="s">
        <v>1219</v>
      </c>
      <c r="E1400" t="s">
        <v>1210</v>
      </c>
      <c r="F1400" s="99" t="s">
        <v>1213</v>
      </c>
    </row>
    <row r="1401" spans="1:6" x14ac:dyDescent="0.25">
      <c r="A1401" t="s">
        <v>1120</v>
      </c>
      <c r="B1401">
        <v>25</v>
      </c>
      <c r="C1401" t="s">
        <v>1290</v>
      </c>
      <c r="D1401" t="s">
        <v>1206</v>
      </c>
      <c r="E1401" t="s">
        <v>1207</v>
      </c>
      <c r="F1401" s="99" t="s">
        <v>1213</v>
      </c>
    </row>
    <row r="1402" spans="1:6" x14ac:dyDescent="0.25">
      <c r="A1402" t="s">
        <v>162</v>
      </c>
      <c r="B1402">
        <v>25</v>
      </c>
      <c r="C1402" t="s">
        <v>1290</v>
      </c>
      <c r="D1402" t="s">
        <v>1222</v>
      </c>
      <c r="E1402" t="s">
        <v>1212</v>
      </c>
      <c r="F1402" s="99" t="s">
        <v>1213</v>
      </c>
    </row>
    <row r="1403" spans="1:6" x14ac:dyDescent="0.25">
      <c r="A1403" t="s">
        <v>389</v>
      </c>
      <c r="B1403">
        <v>25</v>
      </c>
      <c r="C1403" t="s">
        <v>1290</v>
      </c>
      <c r="D1403" t="s">
        <v>1218</v>
      </c>
      <c r="E1403" t="s">
        <v>1210</v>
      </c>
      <c r="F1403" s="99" t="s">
        <v>1213</v>
      </c>
    </row>
    <row r="1404" spans="1:6" x14ac:dyDescent="0.25">
      <c r="A1404" t="s">
        <v>596</v>
      </c>
      <c r="B1404">
        <v>25</v>
      </c>
      <c r="C1404" t="s">
        <v>1290</v>
      </c>
      <c r="D1404" t="s">
        <v>1219</v>
      </c>
      <c r="E1404" t="s">
        <v>1207</v>
      </c>
      <c r="F1404" s="99" t="s">
        <v>1213</v>
      </c>
    </row>
    <row r="1405" spans="1:6" x14ac:dyDescent="0.25">
      <c r="A1405" t="s">
        <v>141</v>
      </c>
      <c r="B1405">
        <v>25</v>
      </c>
      <c r="C1405" t="s">
        <v>1290</v>
      </c>
      <c r="D1405" t="s">
        <v>1219</v>
      </c>
      <c r="E1405" t="s">
        <v>1215</v>
      </c>
      <c r="F1405" s="99" t="s">
        <v>1213</v>
      </c>
    </row>
    <row r="1406" spans="1:6" x14ac:dyDescent="0.25">
      <c r="A1406" t="s">
        <v>687</v>
      </c>
      <c r="B1406">
        <v>25</v>
      </c>
      <c r="C1406" t="s">
        <v>1290</v>
      </c>
      <c r="D1406" t="s">
        <v>1220</v>
      </c>
      <c r="E1406" t="s">
        <v>1210</v>
      </c>
      <c r="F1406" s="99" t="s">
        <v>1213</v>
      </c>
    </row>
    <row r="1407" spans="1:6" x14ac:dyDescent="0.25">
      <c r="A1407" t="s">
        <v>96</v>
      </c>
      <c r="B1407">
        <v>25</v>
      </c>
      <c r="C1407" t="s">
        <v>1290</v>
      </c>
      <c r="D1407" t="s">
        <v>1222</v>
      </c>
      <c r="E1407" t="s">
        <v>1212</v>
      </c>
      <c r="F1407" s="99" t="s">
        <v>1213</v>
      </c>
    </row>
    <row r="1408" spans="1:6" x14ac:dyDescent="0.25">
      <c r="A1408" t="s">
        <v>1198</v>
      </c>
      <c r="B1408">
        <v>25</v>
      </c>
      <c r="C1408" t="s">
        <v>1290</v>
      </c>
      <c r="D1408" t="s">
        <v>1220</v>
      </c>
      <c r="E1408" t="s">
        <v>1207</v>
      </c>
      <c r="F1408" s="99" t="s">
        <v>1213</v>
      </c>
    </row>
    <row r="1409" spans="1:6" x14ac:dyDescent="0.25">
      <c r="A1409" t="s">
        <v>466</v>
      </c>
      <c r="B1409">
        <v>25</v>
      </c>
      <c r="C1409" t="s">
        <v>1290</v>
      </c>
      <c r="D1409" t="s">
        <v>1206</v>
      </c>
      <c r="E1409" t="s">
        <v>1217</v>
      </c>
      <c r="F1409" s="99" t="s">
        <v>1213</v>
      </c>
    </row>
    <row r="1410" spans="1:6" x14ac:dyDescent="0.25">
      <c r="A1410" t="s">
        <v>1117</v>
      </c>
      <c r="B1410">
        <v>25</v>
      </c>
      <c r="C1410" t="s">
        <v>1290</v>
      </c>
      <c r="D1410" t="s">
        <v>1220</v>
      </c>
      <c r="E1410" t="s">
        <v>1207</v>
      </c>
      <c r="F1410" s="99" t="s">
        <v>1213</v>
      </c>
    </row>
    <row r="1411" spans="1:6" x14ac:dyDescent="0.25">
      <c r="A1411" t="s">
        <v>515</v>
      </c>
      <c r="B1411">
        <v>25</v>
      </c>
      <c r="C1411" t="s">
        <v>1290</v>
      </c>
      <c r="D1411" t="s">
        <v>1219</v>
      </c>
      <c r="E1411" t="s">
        <v>1210</v>
      </c>
      <c r="F1411" s="99" t="s">
        <v>1213</v>
      </c>
    </row>
    <row r="1412" spans="1:6" x14ac:dyDescent="0.25">
      <c r="A1412" t="s">
        <v>1041</v>
      </c>
      <c r="B1412">
        <v>25</v>
      </c>
      <c r="C1412" t="s">
        <v>1290</v>
      </c>
      <c r="D1412" t="s">
        <v>1206</v>
      </c>
      <c r="E1412" t="s">
        <v>1210</v>
      </c>
      <c r="F1412" s="99" t="s">
        <v>1213</v>
      </c>
    </row>
    <row r="1413" spans="1:6" x14ac:dyDescent="0.25">
      <c r="A1413" t="s">
        <v>795</v>
      </c>
      <c r="B1413">
        <v>25</v>
      </c>
      <c r="C1413" t="s">
        <v>1290</v>
      </c>
      <c r="D1413" t="s">
        <v>1206</v>
      </c>
      <c r="E1413" t="s">
        <v>1210</v>
      </c>
      <c r="F1413" s="99" t="s">
        <v>1213</v>
      </c>
    </row>
    <row r="1414" spans="1:6" x14ac:dyDescent="0.25">
      <c r="A1414" t="s">
        <v>1123</v>
      </c>
      <c r="B1414">
        <v>25</v>
      </c>
      <c r="C1414" t="s">
        <v>1290</v>
      </c>
      <c r="D1414" t="s">
        <v>1206</v>
      </c>
      <c r="E1414" t="s">
        <v>1207</v>
      </c>
      <c r="F1414" s="99" t="s">
        <v>1213</v>
      </c>
    </row>
    <row r="1415" spans="1:6" x14ac:dyDescent="0.25">
      <c r="A1415" t="s">
        <v>749</v>
      </c>
      <c r="B1415">
        <v>25</v>
      </c>
      <c r="C1415" t="s">
        <v>1290</v>
      </c>
      <c r="D1415" t="s">
        <v>1219</v>
      </c>
      <c r="E1415" t="s">
        <v>1210</v>
      </c>
      <c r="F1415" s="99" t="s">
        <v>1213</v>
      </c>
    </row>
    <row r="1416" spans="1:6" x14ac:dyDescent="0.25">
      <c r="A1416" t="s">
        <v>84</v>
      </c>
      <c r="B1416">
        <v>25</v>
      </c>
      <c r="C1416" t="s">
        <v>1290</v>
      </c>
      <c r="D1416" t="s">
        <v>1220</v>
      </c>
      <c r="E1416" t="s">
        <v>1217</v>
      </c>
      <c r="F1416" s="99" t="s">
        <v>1213</v>
      </c>
    </row>
    <row r="1417" spans="1:6" x14ac:dyDescent="0.25">
      <c r="A1417" t="s">
        <v>375</v>
      </c>
      <c r="B1417">
        <v>25</v>
      </c>
      <c r="C1417" t="s">
        <v>1290</v>
      </c>
      <c r="D1417" t="s">
        <v>1218</v>
      </c>
      <c r="E1417" t="s">
        <v>1210</v>
      </c>
      <c r="F1417" s="99" t="s">
        <v>1213</v>
      </c>
    </row>
    <row r="1418" spans="1:6" x14ac:dyDescent="0.25">
      <c r="A1418" t="s">
        <v>964</v>
      </c>
      <c r="B1418">
        <v>25</v>
      </c>
      <c r="C1418" t="s">
        <v>1290</v>
      </c>
      <c r="D1418" t="s">
        <v>1206</v>
      </c>
      <c r="E1418" t="s">
        <v>1215</v>
      </c>
      <c r="F1418" s="99" t="s">
        <v>1213</v>
      </c>
    </row>
    <row r="1419" spans="1:6" x14ac:dyDescent="0.25">
      <c r="A1419" t="s">
        <v>507</v>
      </c>
      <c r="B1419">
        <v>25</v>
      </c>
      <c r="C1419" t="s">
        <v>1290</v>
      </c>
      <c r="D1419" t="s">
        <v>1220</v>
      </c>
      <c r="E1419" t="s">
        <v>1210</v>
      </c>
      <c r="F1419" s="99" t="s">
        <v>1213</v>
      </c>
    </row>
    <row r="1420" spans="1:6" x14ac:dyDescent="0.25">
      <c r="A1420" t="s">
        <v>808</v>
      </c>
      <c r="B1420">
        <v>25</v>
      </c>
      <c r="C1420" t="s">
        <v>1290</v>
      </c>
      <c r="D1420" t="s">
        <v>1219</v>
      </c>
      <c r="E1420" t="s">
        <v>1210</v>
      </c>
      <c r="F1420" s="99" t="s">
        <v>1213</v>
      </c>
    </row>
    <row r="1421" spans="1:6" x14ac:dyDescent="0.25">
      <c r="A1421" t="s">
        <v>1128</v>
      </c>
      <c r="B1421">
        <v>25</v>
      </c>
      <c r="C1421" t="s">
        <v>1290</v>
      </c>
      <c r="D1421" t="s">
        <v>1206</v>
      </c>
      <c r="E1421" t="s">
        <v>1207</v>
      </c>
      <c r="F1421" s="99" t="s">
        <v>1213</v>
      </c>
    </row>
    <row r="1422" spans="1:6" x14ac:dyDescent="0.25">
      <c r="A1422" t="s">
        <v>896</v>
      </c>
      <c r="B1422">
        <v>25</v>
      </c>
      <c r="C1422" t="s">
        <v>1290</v>
      </c>
      <c r="D1422" t="s">
        <v>1206</v>
      </c>
      <c r="E1422" t="s">
        <v>1215</v>
      </c>
      <c r="F1422" s="99" t="s">
        <v>1213</v>
      </c>
    </row>
    <row r="1423" spans="1:6" x14ac:dyDescent="0.25">
      <c r="A1423" t="s">
        <v>586</v>
      </c>
      <c r="B1423">
        <v>25</v>
      </c>
      <c r="C1423" t="s">
        <v>1290</v>
      </c>
      <c r="D1423" t="s">
        <v>1219</v>
      </c>
      <c r="E1423" t="s">
        <v>1207</v>
      </c>
      <c r="F1423" s="99" t="s">
        <v>1213</v>
      </c>
    </row>
    <row r="1424" spans="1:6" x14ac:dyDescent="0.25">
      <c r="A1424" t="s">
        <v>567</v>
      </c>
      <c r="B1424">
        <v>25</v>
      </c>
      <c r="C1424" t="s">
        <v>1290</v>
      </c>
      <c r="D1424" t="s">
        <v>1220</v>
      </c>
      <c r="E1424" t="s">
        <v>1217</v>
      </c>
      <c r="F1424" s="99" t="s">
        <v>1213</v>
      </c>
    </row>
    <row r="1425" spans="1:6" x14ac:dyDescent="0.25">
      <c r="A1425" t="s">
        <v>70</v>
      </c>
      <c r="B1425">
        <v>25</v>
      </c>
      <c r="C1425" t="s">
        <v>1290</v>
      </c>
      <c r="D1425" t="s">
        <v>1206</v>
      </c>
      <c r="E1425" t="s">
        <v>1217</v>
      </c>
      <c r="F1425" s="99" t="s">
        <v>1213</v>
      </c>
    </row>
    <row r="1426" spans="1:6" x14ac:dyDescent="0.25">
      <c r="A1426" t="s">
        <v>491</v>
      </c>
      <c r="B1426">
        <v>25</v>
      </c>
      <c r="C1426" t="s">
        <v>1290</v>
      </c>
      <c r="D1426" t="s">
        <v>1220</v>
      </c>
      <c r="E1426" t="s">
        <v>1207</v>
      </c>
      <c r="F1426" s="99" t="s">
        <v>1213</v>
      </c>
    </row>
    <row r="1427" spans="1:6" x14ac:dyDescent="0.25">
      <c r="A1427" t="s">
        <v>697</v>
      </c>
      <c r="B1427">
        <v>25</v>
      </c>
      <c r="C1427" t="s">
        <v>1290</v>
      </c>
      <c r="D1427" t="s">
        <v>1206</v>
      </c>
      <c r="E1427" t="s">
        <v>1210</v>
      </c>
      <c r="F1427" s="99" t="s">
        <v>1213</v>
      </c>
    </row>
    <row r="1428" spans="1:6" x14ac:dyDescent="0.25">
      <c r="A1428" t="s">
        <v>352</v>
      </c>
      <c r="B1428">
        <v>25</v>
      </c>
      <c r="C1428" t="s">
        <v>1290</v>
      </c>
      <c r="D1428" t="s">
        <v>1219</v>
      </c>
      <c r="E1428" t="s">
        <v>1215</v>
      </c>
      <c r="F1428" s="99" t="s">
        <v>1213</v>
      </c>
    </row>
    <row r="1429" spans="1:6" x14ac:dyDescent="0.25">
      <c r="A1429" t="s">
        <v>1151</v>
      </c>
      <c r="B1429">
        <v>25</v>
      </c>
      <c r="C1429" t="s">
        <v>1290</v>
      </c>
      <c r="D1429" t="s">
        <v>1206</v>
      </c>
      <c r="E1429" t="s">
        <v>1210</v>
      </c>
      <c r="F1429" s="99" t="s">
        <v>1213</v>
      </c>
    </row>
    <row r="1430" spans="1:6" x14ac:dyDescent="0.25">
      <c r="A1430" t="s">
        <v>241</v>
      </c>
      <c r="B1430">
        <v>25</v>
      </c>
      <c r="C1430" t="s">
        <v>1290</v>
      </c>
      <c r="D1430" t="s">
        <v>1218</v>
      </c>
      <c r="E1430" t="s">
        <v>1217</v>
      </c>
      <c r="F1430" s="99" t="s">
        <v>1213</v>
      </c>
    </row>
    <row r="1431" spans="1:6" x14ac:dyDescent="0.25">
      <c r="A1431" t="s">
        <v>711</v>
      </c>
      <c r="B1431">
        <v>25</v>
      </c>
      <c r="C1431" t="s">
        <v>1290</v>
      </c>
      <c r="D1431" t="s">
        <v>1219</v>
      </c>
      <c r="E1431" t="s">
        <v>1207</v>
      </c>
      <c r="F1431" s="99" t="s">
        <v>1213</v>
      </c>
    </row>
    <row r="1432" spans="1:6" x14ac:dyDescent="0.25">
      <c r="A1432" t="s">
        <v>407</v>
      </c>
      <c r="B1432">
        <v>25</v>
      </c>
      <c r="C1432" t="s">
        <v>1290</v>
      </c>
      <c r="D1432" t="s">
        <v>1218</v>
      </c>
      <c r="E1432" t="s">
        <v>1207</v>
      </c>
      <c r="F1432" s="99" t="s">
        <v>1213</v>
      </c>
    </row>
    <row r="1433" spans="1:6" x14ac:dyDescent="0.25">
      <c r="A1433" t="s">
        <v>537</v>
      </c>
      <c r="B1433">
        <v>25</v>
      </c>
      <c r="C1433" t="s">
        <v>1290</v>
      </c>
      <c r="D1433" t="s">
        <v>1220</v>
      </c>
      <c r="E1433" t="s">
        <v>1210</v>
      </c>
      <c r="F1433" s="99" t="s">
        <v>1213</v>
      </c>
    </row>
    <row r="1434" spans="1:6" x14ac:dyDescent="0.25">
      <c r="A1434" t="s">
        <v>732</v>
      </c>
      <c r="B1434">
        <v>25</v>
      </c>
      <c r="C1434" t="s">
        <v>1290</v>
      </c>
      <c r="D1434" t="s">
        <v>1219</v>
      </c>
      <c r="E1434" t="s">
        <v>1210</v>
      </c>
      <c r="F1434" s="99" t="s">
        <v>1213</v>
      </c>
    </row>
    <row r="1435" spans="1:6" x14ac:dyDescent="0.25">
      <c r="A1435" t="s">
        <v>766</v>
      </c>
      <c r="B1435">
        <v>25</v>
      </c>
      <c r="C1435" t="s">
        <v>1290</v>
      </c>
      <c r="D1435" t="s">
        <v>1206</v>
      </c>
      <c r="E1435" t="s">
        <v>1210</v>
      </c>
      <c r="F1435" s="99" t="s">
        <v>1213</v>
      </c>
    </row>
    <row r="1436" spans="1:6" x14ac:dyDescent="0.25">
      <c r="A1436" t="s">
        <v>242</v>
      </c>
      <c r="B1436">
        <v>25</v>
      </c>
      <c r="C1436" t="s">
        <v>1290</v>
      </c>
      <c r="D1436" t="s">
        <v>1218</v>
      </c>
      <c r="E1436" t="s">
        <v>1210</v>
      </c>
      <c r="F1436" s="99" t="s">
        <v>1213</v>
      </c>
    </row>
    <row r="1437" spans="1:6" x14ac:dyDescent="0.25">
      <c r="A1437" t="s">
        <v>709</v>
      </c>
      <c r="B1437">
        <v>25</v>
      </c>
      <c r="C1437" t="s">
        <v>1290</v>
      </c>
      <c r="D1437" t="s">
        <v>1219</v>
      </c>
      <c r="E1437" t="s">
        <v>1207</v>
      </c>
      <c r="F1437" s="99" t="s">
        <v>1213</v>
      </c>
    </row>
    <row r="1438" spans="1:6" x14ac:dyDescent="0.25">
      <c r="A1438" t="s">
        <v>288</v>
      </c>
      <c r="B1438">
        <v>25</v>
      </c>
      <c r="C1438" t="s">
        <v>1290</v>
      </c>
      <c r="D1438" t="s">
        <v>1219</v>
      </c>
      <c r="E1438" t="s">
        <v>1217</v>
      </c>
      <c r="F1438" s="99" t="s">
        <v>1213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FCA1-001A-4B61-A2D2-B6378C7F81E3}">
  <dimension ref="A1:G10"/>
  <sheetViews>
    <sheetView workbookViewId="0">
      <selection activeCell="C5" sqref="C5:E5"/>
    </sheetView>
  </sheetViews>
  <sheetFormatPr defaultRowHeight="15.75" x14ac:dyDescent="0.25"/>
  <cols>
    <col min="1" max="1" width="60" bestFit="1" customWidth="1"/>
    <col min="2" max="2" width="15.25" bestFit="1" customWidth="1"/>
    <col min="3" max="5" width="8" bestFit="1" customWidth="1"/>
    <col min="6" max="6" width="6.375" bestFit="1" customWidth="1"/>
    <col min="7" max="9" width="11" bestFit="1" customWidth="1"/>
  </cols>
  <sheetData>
    <row r="1" spans="1:7" x14ac:dyDescent="0.25">
      <c r="A1" s="80" t="s">
        <v>1201</v>
      </c>
      <c r="B1" t="s">
        <v>1290</v>
      </c>
    </row>
    <row r="3" spans="1:7" x14ac:dyDescent="0.25">
      <c r="A3" s="80" t="s">
        <v>1286</v>
      </c>
      <c r="B3" s="80" t="s">
        <v>1287</v>
      </c>
    </row>
    <row r="4" spans="1:7" x14ac:dyDescent="0.25">
      <c r="A4" s="80" t="s">
        <v>1274</v>
      </c>
      <c r="B4" t="s">
        <v>1207</v>
      </c>
      <c r="C4" t="s">
        <v>1217</v>
      </c>
      <c r="D4" t="s">
        <v>1210</v>
      </c>
      <c r="E4" t="s">
        <v>1215</v>
      </c>
      <c r="F4" t="s">
        <v>1212</v>
      </c>
      <c r="G4" t="s">
        <v>1275</v>
      </c>
    </row>
    <row r="5" spans="1:7" x14ac:dyDescent="0.25">
      <c r="A5" s="82" t="s">
        <v>1206</v>
      </c>
      <c r="B5" s="88">
        <v>0.13696224758560141</v>
      </c>
      <c r="C5" s="88">
        <v>9.6575943810359971E-2</v>
      </c>
      <c r="D5" s="88">
        <v>0.2923617208077261</v>
      </c>
      <c r="E5" s="88">
        <v>6.2335381913959612E-2</v>
      </c>
      <c r="F5" s="88">
        <v>1.7559262510974539E-3</v>
      </c>
      <c r="G5" s="88">
        <v>0.58999122036874452</v>
      </c>
    </row>
    <row r="6" spans="1:7" x14ac:dyDescent="0.25">
      <c r="A6" s="82" t="s">
        <v>1222</v>
      </c>
      <c r="B6" s="88">
        <v>3.5118525021949078E-3</v>
      </c>
      <c r="C6" s="88">
        <v>3.5118525021949078E-3</v>
      </c>
      <c r="D6" s="88">
        <v>1.7559262510974539E-3</v>
      </c>
      <c r="E6" s="88">
        <v>3.5118525021949078E-3</v>
      </c>
      <c r="F6" s="88">
        <v>7.0237050043898156E-3</v>
      </c>
      <c r="G6" s="88">
        <v>1.9315188762071993E-2</v>
      </c>
    </row>
    <row r="7" spans="1:7" x14ac:dyDescent="0.25">
      <c r="A7" s="82" t="s">
        <v>1220</v>
      </c>
      <c r="B7" s="88">
        <v>4.4776119402985072E-2</v>
      </c>
      <c r="C7" s="88">
        <v>6.2335381913959612E-2</v>
      </c>
      <c r="D7" s="88">
        <v>6.0579455662862158E-2</v>
      </c>
      <c r="E7" s="88">
        <v>1.7559262510974539E-3</v>
      </c>
      <c r="F7" s="88">
        <v>0</v>
      </c>
      <c r="G7" s="88">
        <v>0.16944688323090429</v>
      </c>
    </row>
    <row r="8" spans="1:7" x14ac:dyDescent="0.25">
      <c r="A8" s="82" t="s">
        <v>1219</v>
      </c>
      <c r="B8" s="88">
        <v>3.5996488147497806E-2</v>
      </c>
      <c r="C8" s="88">
        <v>5.0921861281826165E-2</v>
      </c>
      <c r="D8" s="88">
        <v>7.0237050043898158E-2</v>
      </c>
      <c r="E8" s="88">
        <v>9.6575943810359964E-3</v>
      </c>
      <c r="F8" s="88">
        <v>0</v>
      </c>
      <c r="G8" s="88">
        <v>0.16681299385425813</v>
      </c>
    </row>
    <row r="9" spans="1:7" x14ac:dyDescent="0.25">
      <c r="A9" s="82" t="s">
        <v>1218</v>
      </c>
      <c r="B9" s="88">
        <v>7.0237050043898156E-3</v>
      </c>
      <c r="C9" s="88">
        <v>7.0237050043898156E-3</v>
      </c>
      <c r="D9" s="88">
        <v>2.2827041264266899E-2</v>
      </c>
      <c r="E9" s="88">
        <v>1.5803336259877086E-2</v>
      </c>
      <c r="F9" s="88">
        <v>1.7559262510974539E-3</v>
      </c>
      <c r="G9" s="88">
        <v>5.4433713784021072E-2</v>
      </c>
    </row>
    <row r="10" spans="1:7" x14ac:dyDescent="0.25">
      <c r="A10" s="82" t="s">
        <v>1275</v>
      </c>
      <c r="B10" s="88">
        <v>0.22827041264266901</v>
      </c>
      <c r="C10" s="88">
        <v>0.22036874451273047</v>
      </c>
      <c r="D10" s="88">
        <v>0.44776119402985076</v>
      </c>
      <c r="E10" s="88">
        <v>9.3064091308165051E-2</v>
      </c>
      <c r="F10" s="88">
        <v>1.0535557506584723E-2</v>
      </c>
      <c r="G10" s="8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workbookViewId="0">
      <selection activeCell="A3" sqref="A3:H9"/>
    </sheetView>
  </sheetViews>
  <sheetFormatPr defaultColWidth="11" defaultRowHeight="15.75" x14ac:dyDescent="0.25"/>
  <cols>
    <col min="2" max="2" width="19.125" bestFit="1" customWidth="1"/>
    <col min="8" max="8" width="16.125" customWidth="1"/>
  </cols>
  <sheetData>
    <row r="1" spans="1:9" x14ac:dyDescent="0.25">
      <c r="A1" s="59" t="s">
        <v>1251</v>
      </c>
      <c r="B1" s="1"/>
      <c r="C1" s="1"/>
      <c r="D1" s="2"/>
      <c r="E1" s="1"/>
      <c r="F1" s="9"/>
      <c r="G1" s="10"/>
      <c r="H1" s="10"/>
      <c r="I1" s="10"/>
    </row>
    <row r="2" spans="1:9" x14ac:dyDescent="0.25">
      <c r="A2" s="8"/>
      <c r="B2" s="8"/>
      <c r="C2" s="8"/>
      <c r="D2" s="8"/>
      <c r="E2" s="8"/>
      <c r="F2" s="8"/>
      <c r="G2" s="8"/>
      <c r="H2" s="8"/>
      <c r="I2" s="8"/>
    </row>
    <row r="3" spans="1:9" x14ac:dyDescent="0.25">
      <c r="A3" s="91" t="s">
        <v>1227</v>
      </c>
      <c r="B3" s="91"/>
      <c r="C3" s="91"/>
      <c r="D3" s="91"/>
      <c r="E3" s="8"/>
      <c r="F3" s="91" t="s">
        <v>1228</v>
      </c>
      <c r="G3" s="91"/>
      <c r="H3" s="91"/>
      <c r="I3" s="8"/>
    </row>
    <row r="4" spans="1:9" ht="17.100000000000001" customHeight="1" x14ac:dyDescent="0.25">
      <c r="A4" s="47" t="s">
        <v>41</v>
      </c>
      <c r="B4" s="47" t="s">
        <v>1224</v>
      </c>
      <c r="C4" s="47" t="s">
        <v>1225</v>
      </c>
      <c r="D4" s="47" t="s">
        <v>1226</v>
      </c>
      <c r="E4" s="8"/>
      <c r="F4" s="92" t="s">
        <v>45</v>
      </c>
      <c r="G4" s="93"/>
      <c r="H4" s="94"/>
      <c r="I4" s="8"/>
    </row>
    <row r="5" spans="1:9" ht="17.100000000000001" customHeight="1" x14ac:dyDescent="0.25">
      <c r="A5" s="48" t="s">
        <v>53</v>
      </c>
      <c r="B5" s="48">
        <v>770</v>
      </c>
      <c r="C5" s="48">
        <v>700</v>
      </c>
      <c r="D5" s="48">
        <v>50</v>
      </c>
      <c r="E5" s="8"/>
      <c r="F5" s="50" t="s">
        <v>46</v>
      </c>
      <c r="G5" s="51"/>
      <c r="H5" s="52"/>
      <c r="I5" s="8"/>
    </row>
    <row r="6" spans="1:9" ht="17.100000000000001" customHeight="1" x14ac:dyDescent="0.25">
      <c r="A6" s="48" t="s">
        <v>56</v>
      </c>
      <c r="B6" s="48">
        <v>550</v>
      </c>
      <c r="C6" s="48">
        <v>500</v>
      </c>
      <c r="D6" s="48">
        <v>35</v>
      </c>
      <c r="E6" s="8"/>
      <c r="F6" s="92" t="s">
        <v>47</v>
      </c>
      <c r="G6" s="93"/>
      <c r="H6" s="94"/>
      <c r="I6" s="8"/>
    </row>
    <row r="7" spans="1:9" ht="17.100000000000001" customHeight="1" x14ac:dyDescent="0.25">
      <c r="A7" s="48" t="s">
        <v>57</v>
      </c>
      <c r="B7" s="48">
        <v>440</v>
      </c>
      <c r="C7" s="48">
        <v>400</v>
      </c>
      <c r="D7" s="48">
        <v>30</v>
      </c>
      <c r="E7" s="8"/>
      <c r="F7" s="92" t="s">
        <v>48</v>
      </c>
      <c r="G7" s="93"/>
      <c r="H7" s="94"/>
      <c r="I7" s="8"/>
    </row>
    <row r="8" spans="1:9" ht="17.100000000000001" customHeight="1" x14ac:dyDescent="0.25">
      <c r="A8" s="48" t="s">
        <v>63</v>
      </c>
      <c r="B8" s="48">
        <v>330</v>
      </c>
      <c r="C8" s="48">
        <v>150</v>
      </c>
      <c r="D8" s="48">
        <v>40</v>
      </c>
      <c r="E8" s="8"/>
      <c r="F8" s="92" t="s">
        <v>49</v>
      </c>
      <c r="G8" s="93"/>
      <c r="H8" s="94"/>
      <c r="I8" s="8"/>
    </row>
    <row r="9" spans="1:9" x14ac:dyDescent="0.25">
      <c r="A9" s="48" t="s">
        <v>69</v>
      </c>
      <c r="B9" s="48">
        <v>220</v>
      </c>
      <c r="C9" s="48">
        <v>200</v>
      </c>
      <c r="D9" s="48">
        <v>5</v>
      </c>
      <c r="E9" s="8"/>
      <c r="F9" s="8"/>
      <c r="G9" s="8"/>
      <c r="H9" s="8"/>
      <c r="I9" s="8"/>
    </row>
    <row r="10" spans="1:9" x14ac:dyDescent="0.25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25">
      <c r="A11" s="91" t="s">
        <v>1229</v>
      </c>
      <c r="B11" s="91"/>
      <c r="C11" s="91"/>
      <c r="D11" s="91"/>
      <c r="E11" s="91"/>
      <c r="F11" s="91"/>
      <c r="G11" s="91"/>
      <c r="H11" s="91"/>
      <c r="I11" s="91"/>
    </row>
    <row r="12" spans="1:9" s="56" customFormat="1" x14ac:dyDescent="0.25">
      <c r="A12" s="55"/>
      <c r="B12" s="55"/>
      <c r="C12" s="55"/>
      <c r="D12" s="55"/>
      <c r="E12" s="55"/>
      <c r="F12" s="55"/>
      <c r="G12" s="55"/>
      <c r="H12" s="55"/>
      <c r="I12" s="55"/>
    </row>
    <row r="13" spans="1:9" ht="17.25" x14ac:dyDescent="0.3">
      <c r="A13" s="53" t="s">
        <v>1242</v>
      </c>
      <c r="B13" s="49"/>
      <c r="C13" s="49"/>
      <c r="D13" s="49"/>
      <c r="E13" s="49"/>
      <c r="F13" s="49"/>
      <c r="G13" s="49"/>
      <c r="H13" s="49"/>
      <c r="I13" s="49"/>
    </row>
    <row r="14" spans="1:9" ht="17.25" x14ac:dyDescent="0.3">
      <c r="A14" s="49" t="s">
        <v>1223</v>
      </c>
      <c r="B14" s="49"/>
      <c r="C14" s="49"/>
      <c r="D14" s="49"/>
      <c r="E14" s="49"/>
      <c r="F14" s="49"/>
      <c r="G14" s="49"/>
      <c r="H14" s="49"/>
      <c r="I14" s="49"/>
    </row>
    <row r="15" spans="1:9" ht="17.25" x14ac:dyDescent="0.3">
      <c r="A15" s="49" t="s">
        <v>1214</v>
      </c>
      <c r="B15" s="49"/>
      <c r="C15" s="49"/>
      <c r="D15" s="49"/>
      <c r="E15" s="49"/>
      <c r="F15" s="49"/>
      <c r="G15" s="49"/>
      <c r="H15" s="49" t="s">
        <v>1262</v>
      </c>
      <c r="I15" s="49"/>
    </row>
    <row r="16" spans="1:9" ht="17.25" x14ac:dyDescent="0.3">
      <c r="A16" s="49" t="s">
        <v>1209</v>
      </c>
      <c r="B16" s="49"/>
      <c r="C16" s="49"/>
      <c r="D16" s="49"/>
      <c r="E16" s="49"/>
      <c r="F16" s="49"/>
      <c r="G16" s="49"/>
      <c r="H16" s="49"/>
      <c r="I16" s="49"/>
    </row>
    <row r="17" spans="1:9" ht="17.25" x14ac:dyDescent="0.3">
      <c r="A17" s="49" t="s">
        <v>1265</v>
      </c>
      <c r="B17" s="49"/>
      <c r="C17" s="49"/>
      <c r="D17" s="49"/>
      <c r="E17" s="49"/>
      <c r="F17" s="49"/>
      <c r="G17" s="49"/>
      <c r="H17" s="49"/>
      <c r="I17" s="49"/>
    </row>
    <row r="18" spans="1:9" ht="17.25" x14ac:dyDescent="0.3">
      <c r="A18" s="49" t="s">
        <v>1205</v>
      </c>
      <c r="B18" s="49"/>
      <c r="C18" s="49"/>
      <c r="D18" s="49"/>
      <c r="E18" s="49"/>
      <c r="F18" s="49"/>
      <c r="G18" s="49"/>
      <c r="H18" s="49"/>
      <c r="I18" s="49"/>
    </row>
    <row r="19" spans="1:9" ht="17.25" x14ac:dyDescent="0.3">
      <c r="A19" s="53"/>
      <c r="B19" s="49"/>
      <c r="C19" s="49"/>
      <c r="D19" s="49"/>
      <c r="E19" s="49"/>
      <c r="F19" s="49"/>
      <c r="G19" s="49"/>
      <c r="H19" s="49"/>
      <c r="I19" s="49"/>
    </row>
    <row r="20" spans="1:9" ht="17.25" x14ac:dyDescent="0.3">
      <c r="A20" s="53" t="s">
        <v>1230</v>
      </c>
      <c r="B20" s="49"/>
      <c r="C20" s="49"/>
      <c r="D20" s="49"/>
      <c r="E20" s="49"/>
      <c r="F20" s="49"/>
      <c r="G20" s="49"/>
      <c r="H20" s="49"/>
      <c r="I20" s="49"/>
    </row>
    <row r="21" spans="1:9" ht="17.25" x14ac:dyDescent="0.3">
      <c r="A21" s="49" t="s">
        <v>1231</v>
      </c>
      <c r="B21" s="49"/>
      <c r="C21" s="49"/>
      <c r="D21" s="49"/>
      <c r="E21" s="49"/>
      <c r="F21" s="49"/>
      <c r="G21" s="49"/>
      <c r="H21" s="49"/>
      <c r="I21" s="49"/>
    </row>
    <row r="22" spans="1:9" ht="17.25" x14ac:dyDescent="0.3">
      <c r="A22" s="54" t="s">
        <v>1232</v>
      </c>
      <c r="B22" s="49"/>
      <c r="C22" s="49"/>
      <c r="D22" s="49"/>
      <c r="E22" s="49"/>
      <c r="F22" s="49"/>
      <c r="G22" s="49"/>
      <c r="H22" s="49"/>
      <c r="I22" s="49"/>
    </row>
    <row r="23" spans="1:9" ht="17.25" x14ac:dyDescent="0.3">
      <c r="A23" s="49" t="s">
        <v>1233</v>
      </c>
      <c r="B23" s="49"/>
      <c r="C23" s="49"/>
      <c r="D23" s="49"/>
      <c r="E23" s="49"/>
      <c r="F23" s="49"/>
      <c r="G23" s="49"/>
      <c r="H23" s="49"/>
      <c r="I23" s="49"/>
    </row>
    <row r="24" spans="1:9" ht="17.25" x14ac:dyDescent="0.3">
      <c r="A24" s="49" t="s">
        <v>1234</v>
      </c>
      <c r="B24" s="49"/>
      <c r="C24" s="49"/>
      <c r="D24" s="49"/>
      <c r="E24" s="49"/>
      <c r="F24" s="49"/>
      <c r="G24" s="49"/>
      <c r="H24" s="49"/>
      <c r="I24" s="49"/>
    </row>
    <row r="25" spans="1:9" ht="17.25" x14ac:dyDescent="0.3">
      <c r="A25" s="49" t="s">
        <v>1235</v>
      </c>
      <c r="B25" s="49"/>
      <c r="C25" s="49"/>
      <c r="D25" s="49"/>
      <c r="E25" s="49"/>
      <c r="F25" s="49"/>
      <c r="G25" s="49"/>
      <c r="H25" s="49"/>
      <c r="I25" s="49"/>
    </row>
    <row r="26" spans="1:9" ht="17.25" x14ac:dyDescent="0.3">
      <c r="A26" s="49"/>
      <c r="B26" s="49"/>
      <c r="C26" s="49"/>
      <c r="D26" s="49"/>
      <c r="E26" s="49"/>
      <c r="F26" s="49"/>
      <c r="G26" s="49"/>
      <c r="H26" s="49"/>
      <c r="I26" s="49"/>
    </row>
    <row r="27" spans="1:9" ht="17.25" x14ac:dyDescent="0.3">
      <c r="A27" s="53" t="s">
        <v>1256</v>
      </c>
      <c r="B27" s="49"/>
      <c r="C27" s="49"/>
      <c r="D27" s="49"/>
      <c r="E27" s="49"/>
      <c r="F27" s="49"/>
      <c r="G27" s="49"/>
      <c r="H27" s="49"/>
      <c r="I27" s="49"/>
    </row>
    <row r="28" spans="1:9" ht="17.25" x14ac:dyDescent="0.3">
      <c r="A28" s="49" t="s">
        <v>1207</v>
      </c>
      <c r="B28" s="49"/>
      <c r="C28" s="49"/>
      <c r="D28" s="49"/>
      <c r="E28" s="49"/>
      <c r="F28" s="49"/>
      <c r="G28" s="49"/>
      <c r="H28" s="49"/>
      <c r="I28" s="49"/>
    </row>
    <row r="29" spans="1:9" ht="17.25" x14ac:dyDescent="0.3">
      <c r="A29" s="49" t="s">
        <v>1217</v>
      </c>
      <c r="B29" s="49"/>
      <c r="C29" s="49"/>
      <c r="D29" s="49"/>
      <c r="E29" s="49"/>
      <c r="F29" s="49"/>
      <c r="G29" s="49"/>
      <c r="H29" s="49"/>
      <c r="I29" s="49"/>
    </row>
    <row r="30" spans="1:9" ht="17.25" x14ac:dyDescent="0.3">
      <c r="A30" s="49" t="s">
        <v>1210</v>
      </c>
      <c r="B30" s="49"/>
      <c r="C30" s="49"/>
      <c r="D30" s="49"/>
      <c r="E30" s="49"/>
      <c r="F30" s="49"/>
      <c r="G30" s="49"/>
      <c r="H30" s="49"/>
      <c r="I30" s="49"/>
    </row>
    <row r="31" spans="1:9" ht="17.25" x14ac:dyDescent="0.3">
      <c r="A31" s="49" t="s">
        <v>1215</v>
      </c>
      <c r="B31" s="49"/>
      <c r="C31" s="49"/>
      <c r="D31" s="49"/>
      <c r="E31" s="49"/>
      <c r="F31" s="49"/>
      <c r="G31" s="49"/>
      <c r="H31" s="49"/>
      <c r="I31" s="49"/>
    </row>
    <row r="32" spans="1:9" ht="17.25" x14ac:dyDescent="0.3">
      <c r="A32" s="49" t="s">
        <v>1236</v>
      </c>
      <c r="B32" s="49"/>
      <c r="C32" s="49"/>
      <c r="D32" s="49"/>
      <c r="E32" s="49"/>
      <c r="F32" s="49"/>
      <c r="G32" s="49"/>
      <c r="H32" s="49"/>
      <c r="I32" s="49"/>
    </row>
    <row r="33" spans="1:9" ht="17.25" x14ac:dyDescent="0.3">
      <c r="A33" s="49"/>
      <c r="B33" s="49"/>
      <c r="C33" s="49"/>
      <c r="D33" s="49"/>
      <c r="E33" s="49"/>
      <c r="F33" s="49"/>
      <c r="G33" s="49"/>
      <c r="H33" s="49"/>
      <c r="I33" s="49"/>
    </row>
    <row r="34" spans="1:9" ht="17.25" x14ac:dyDescent="0.3">
      <c r="A34" s="53" t="s">
        <v>1237</v>
      </c>
      <c r="B34" s="49"/>
      <c r="C34" s="49"/>
      <c r="D34" s="49"/>
      <c r="E34" s="49"/>
      <c r="F34" s="49"/>
      <c r="G34" s="49"/>
      <c r="H34" s="49"/>
      <c r="I34" s="49"/>
    </row>
    <row r="35" spans="1:9" ht="17.25" x14ac:dyDescent="0.3">
      <c r="A35" s="49" t="s">
        <v>1213</v>
      </c>
      <c r="B35" s="49"/>
      <c r="C35" s="49"/>
      <c r="D35" s="49"/>
      <c r="E35" s="49"/>
      <c r="F35" s="49"/>
      <c r="G35" s="49"/>
      <c r="H35" s="49"/>
      <c r="I35" s="49"/>
    </row>
    <row r="36" spans="1:9" ht="17.25" x14ac:dyDescent="0.3">
      <c r="A36" s="49" t="s">
        <v>1238</v>
      </c>
      <c r="B36" s="49"/>
      <c r="C36" s="49"/>
      <c r="D36" s="49"/>
      <c r="E36" s="49"/>
      <c r="F36" s="49"/>
      <c r="G36" s="49"/>
      <c r="H36" s="49"/>
      <c r="I36" s="49"/>
    </row>
    <row r="37" spans="1:9" ht="17.25" x14ac:dyDescent="0.3">
      <c r="A37" s="49" t="s">
        <v>1239</v>
      </c>
      <c r="B37" s="49"/>
      <c r="C37" s="49"/>
      <c r="D37" s="49"/>
      <c r="E37" s="49"/>
      <c r="F37" s="49"/>
      <c r="G37" s="49"/>
      <c r="H37" s="49"/>
      <c r="I37" s="49"/>
    </row>
    <row r="38" spans="1:9" ht="17.25" x14ac:dyDescent="0.3">
      <c r="A38" s="49" t="s">
        <v>1240</v>
      </c>
      <c r="B38" s="49"/>
      <c r="C38" s="49"/>
      <c r="D38" s="49"/>
      <c r="E38" s="49"/>
      <c r="F38" s="49"/>
      <c r="G38" s="49"/>
      <c r="H38" s="49"/>
      <c r="I38" s="49"/>
    </row>
    <row r="39" spans="1:9" ht="17.25" x14ac:dyDescent="0.3">
      <c r="A39" s="49" t="s">
        <v>1241</v>
      </c>
      <c r="B39" s="49"/>
      <c r="C39" s="49"/>
      <c r="D39" s="49"/>
      <c r="E39" s="49"/>
      <c r="F39" s="49"/>
      <c r="G39" s="49"/>
      <c r="H39" s="49"/>
      <c r="I39" s="49"/>
    </row>
    <row r="40" spans="1:9" x14ac:dyDescent="0.25">
      <c r="A40" s="8"/>
      <c r="B40" s="8"/>
      <c r="C40" s="8"/>
      <c r="D40" s="8"/>
      <c r="E40" s="8"/>
      <c r="F40" s="8"/>
      <c r="G40" s="8"/>
      <c r="H40" s="8"/>
      <c r="I40" s="8"/>
    </row>
  </sheetData>
  <mergeCells count="7">
    <mergeCell ref="A11:I11"/>
    <mergeCell ref="A3:D3"/>
    <mergeCell ref="F3:H3"/>
    <mergeCell ref="F4:H4"/>
    <mergeCell ref="F6:H6"/>
    <mergeCell ref="F7:H7"/>
    <mergeCell ref="F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Содержание</vt:lpstr>
      <vt:lpstr>Задание</vt:lpstr>
      <vt:lpstr>Личные данные</vt:lpstr>
      <vt:lpstr>Результаты опроса</vt:lpstr>
      <vt:lpstr>Свод (Рез. опр.)</vt:lpstr>
      <vt:lpstr>Сгруппированные данные</vt:lpstr>
      <vt:lpstr>Свод (Сгруп. дан.)</vt:lpstr>
      <vt:lpstr>Дополнительные 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Янов Георгий Тимофеевич</cp:lastModifiedBy>
  <dcterms:created xsi:type="dcterms:W3CDTF">2019-09-13T15:48:37Z</dcterms:created>
  <dcterms:modified xsi:type="dcterms:W3CDTF">2025-12-05T13:15:25Z</dcterms:modified>
</cp:coreProperties>
</file>