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anovGT\Desktop\"/>
    </mc:Choice>
  </mc:AlternateContent>
  <xr:revisionPtr revIDLastSave="0" documentId="8_{C18E585B-FC42-4C0E-A125-92F93715EE9D}" xr6:coauthVersionLast="47" xr6:coauthVersionMax="47" xr10:uidLastSave="{00000000-0000-0000-0000-000000000000}"/>
  <bookViews>
    <workbookView xWindow="-120" yWindow="-120" windowWidth="29040" windowHeight="15840" tabRatio="782" activeTab="8" xr2:uid="{00000000-000D-0000-FFFF-FFFF00000000}"/>
  </bookViews>
  <sheets>
    <sheet name="Содержание" sheetId="1" r:id="rId1"/>
    <sheet name="Задание" sheetId="2" r:id="rId2"/>
    <sheet name="Личные данные" sheetId="3" r:id="rId3"/>
    <sheet name="Результаты опроса" sheetId="4" r:id="rId4"/>
    <sheet name="Свод (Рез. опр.)" sheetId="5" r:id="rId5"/>
    <sheet name="Сгруппированные данные" sheetId="6" r:id="rId6"/>
    <sheet name="Свод (Сгруп. дан.)" sheetId="7" r:id="rId7"/>
    <sheet name="Свод (Тариф)" sheetId="13" r:id="rId8"/>
    <sheet name="Матрица" sheetId="15" r:id="rId9"/>
    <sheet name="Дополнительные данные" sheetId="8" r:id="rId10"/>
  </sheets>
  <definedNames>
    <definedName name="_xlnm._FilterDatabase" localSheetId="2" hidden="1">'Личные данные'!$A$5:$S$1144</definedName>
    <definedName name="_xlnm._FilterDatabase" localSheetId="3" hidden="1">'Результаты опроса'!$A$2:$F$299</definedName>
  </definedNames>
  <calcPr calcId="191029"/>
  <pivotCaches>
    <pivotCache cacheId="10" r:id="rId11"/>
    <pivotCache cacheId="15" r:id="rId12"/>
    <pivotCache cacheId="21" r:id="rId13"/>
  </pivotCaches>
  <extLst>
    <ext uri="GoogleSheetsCustomDataVersion2">
      <go:sheetsCustomData xmlns:go="http://customooxmlschemas.google.com/" r:id="rId14" roundtripDataChecksum="1qdS+5TZELea1vod0r3siZ2UHQKqI24V4UxVgDZrF8I="/>
    </ext>
  </extLst>
</workbook>
</file>

<file path=xl/calcChain.xml><?xml version="1.0" encoding="utf-8"?>
<calcChain xmlns="http://schemas.openxmlformats.org/spreadsheetml/2006/main">
  <c r="E5" i="15" l="1"/>
  <c r="F5" i="15"/>
  <c r="G5" i="15"/>
  <c r="H5" i="15"/>
  <c r="D5" i="15"/>
  <c r="E9" i="15"/>
  <c r="F9" i="15"/>
  <c r="G9" i="15"/>
  <c r="H9" i="15"/>
  <c r="D9" i="15"/>
  <c r="E8" i="15"/>
  <c r="F8" i="15"/>
  <c r="G8" i="15"/>
  <c r="H8" i="15"/>
  <c r="E7" i="15"/>
  <c r="F7" i="15"/>
  <c r="G7" i="15"/>
  <c r="H7" i="15"/>
  <c r="D8" i="15"/>
  <c r="D7" i="15"/>
  <c r="E6" i="15"/>
  <c r="F6" i="15"/>
  <c r="G6" i="15"/>
  <c r="H6" i="15"/>
  <c r="D6" i="15"/>
  <c r="H3" i="6"/>
  <c r="I3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300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P18" i="5"/>
  <c r="O18" i="5"/>
  <c r="N18" i="5"/>
  <c r="M18" i="5"/>
  <c r="L18" i="5"/>
  <c r="K18" i="5"/>
  <c r="P17" i="5"/>
  <c r="O17" i="5"/>
  <c r="N17" i="5"/>
  <c r="M17" i="5"/>
  <c r="L17" i="5"/>
  <c r="K17" i="5"/>
  <c r="P16" i="5"/>
  <c r="O16" i="5"/>
  <c r="N16" i="5"/>
  <c r="M16" i="5"/>
  <c r="L16" i="5"/>
  <c r="K16" i="5"/>
  <c r="P15" i="5"/>
  <c r="O15" i="5"/>
  <c r="N15" i="5"/>
  <c r="M15" i="5"/>
  <c r="L15" i="5"/>
  <c r="K15" i="5"/>
  <c r="P14" i="5"/>
  <c r="O14" i="5"/>
  <c r="N14" i="5"/>
  <c r="M14" i="5"/>
  <c r="L14" i="5"/>
  <c r="K14" i="5"/>
  <c r="P13" i="5"/>
  <c r="O13" i="5"/>
  <c r="N13" i="5"/>
  <c r="M13" i="5"/>
  <c r="L13" i="5"/>
  <c r="K13" i="5"/>
  <c r="V1144" i="3"/>
  <c r="S1144" i="3"/>
  <c r="P1144" i="3"/>
  <c r="R1144" i="3" s="1"/>
  <c r="S1143" i="3"/>
  <c r="Q1143" i="3"/>
  <c r="T1143" i="3" s="1"/>
  <c r="U1143" i="3" s="1"/>
  <c r="P1143" i="3"/>
  <c r="R1143" i="3" s="1"/>
  <c r="V1143" i="3" s="1"/>
  <c r="S1142" i="3"/>
  <c r="R1142" i="3"/>
  <c r="V1142" i="3" s="1"/>
  <c r="P1142" i="3"/>
  <c r="Q1142" i="3" s="1"/>
  <c r="T1142" i="3" s="1"/>
  <c r="U1142" i="3" s="1"/>
  <c r="S1141" i="3"/>
  <c r="P1141" i="3"/>
  <c r="R1141" i="3" s="1"/>
  <c r="V1141" i="3" s="1"/>
  <c r="S1140" i="3"/>
  <c r="P1140" i="3"/>
  <c r="R1140" i="3" s="1"/>
  <c r="V1140" i="3" s="1"/>
  <c r="S1139" i="3"/>
  <c r="R1139" i="3"/>
  <c r="V1139" i="3" s="1"/>
  <c r="P1139" i="3"/>
  <c r="Q1139" i="3" s="1"/>
  <c r="T1139" i="3" s="1"/>
  <c r="U1139" i="3" s="1"/>
  <c r="S1138" i="3"/>
  <c r="P1138" i="3"/>
  <c r="S1137" i="3"/>
  <c r="Q1137" i="3"/>
  <c r="T1137" i="3" s="1"/>
  <c r="U1137" i="3" s="1"/>
  <c r="P1137" i="3"/>
  <c r="R1137" i="3" s="1"/>
  <c r="V1137" i="3" s="1"/>
  <c r="S1136" i="3"/>
  <c r="R1136" i="3"/>
  <c r="V1136" i="3" s="1"/>
  <c r="P1136" i="3"/>
  <c r="Q1136" i="3" s="1"/>
  <c r="T1136" i="3" s="1"/>
  <c r="U1136" i="3" s="1"/>
  <c r="V1135" i="3"/>
  <c r="S1135" i="3"/>
  <c r="R1135" i="3"/>
  <c r="P1135" i="3"/>
  <c r="Q1135" i="3" s="1"/>
  <c r="T1135" i="3" s="1"/>
  <c r="U1135" i="3" s="1"/>
  <c r="S1134" i="3"/>
  <c r="R1134" i="3"/>
  <c r="V1134" i="3" s="1"/>
  <c r="Q1134" i="3"/>
  <c r="T1134" i="3" s="1"/>
  <c r="U1134" i="3" s="1"/>
  <c r="P1134" i="3"/>
  <c r="S1133" i="3"/>
  <c r="P1133" i="3"/>
  <c r="R1133" i="3" s="1"/>
  <c r="V1133" i="3" s="1"/>
  <c r="V1132" i="3"/>
  <c r="S1132" i="3"/>
  <c r="P1132" i="3"/>
  <c r="R1132" i="3" s="1"/>
  <c r="S1131" i="3"/>
  <c r="R1131" i="3"/>
  <c r="V1131" i="3" s="1"/>
  <c r="Q1131" i="3"/>
  <c r="T1131" i="3" s="1"/>
  <c r="U1131" i="3" s="1"/>
  <c r="P1131" i="3"/>
  <c r="U1130" i="3"/>
  <c r="S1130" i="3"/>
  <c r="R1130" i="3"/>
  <c r="V1130" i="3" s="1"/>
  <c r="Q1130" i="3"/>
  <c r="T1130" i="3" s="1"/>
  <c r="P1130" i="3"/>
  <c r="S1129" i="3"/>
  <c r="P1129" i="3"/>
  <c r="S1128" i="3"/>
  <c r="P1128" i="3"/>
  <c r="R1128" i="3" s="1"/>
  <c r="V1128" i="3" s="1"/>
  <c r="U1127" i="3"/>
  <c r="S1127" i="3"/>
  <c r="R1127" i="3"/>
  <c r="V1127" i="3" s="1"/>
  <c r="P1127" i="3"/>
  <c r="Q1127" i="3" s="1"/>
  <c r="T1127" i="3" s="1"/>
  <c r="S1126" i="3"/>
  <c r="P1126" i="3"/>
  <c r="T1125" i="3"/>
  <c r="U1125" i="3" s="1"/>
  <c r="S1125" i="3"/>
  <c r="Q1125" i="3"/>
  <c r="P1125" i="3"/>
  <c r="R1125" i="3" s="1"/>
  <c r="V1125" i="3" s="1"/>
  <c r="S1124" i="3"/>
  <c r="R1124" i="3"/>
  <c r="V1124" i="3" s="1"/>
  <c r="P1124" i="3"/>
  <c r="Q1124" i="3" s="1"/>
  <c r="T1124" i="3" s="1"/>
  <c r="U1124" i="3" s="1"/>
  <c r="V1123" i="3"/>
  <c r="S1123" i="3"/>
  <c r="R1123" i="3"/>
  <c r="P1123" i="3"/>
  <c r="Q1123" i="3" s="1"/>
  <c r="T1123" i="3" s="1"/>
  <c r="U1123" i="3" s="1"/>
  <c r="T1122" i="3"/>
  <c r="U1122" i="3" s="1"/>
  <c r="S1122" i="3"/>
  <c r="R1122" i="3"/>
  <c r="V1122" i="3" s="1"/>
  <c r="Q1122" i="3"/>
  <c r="P1122" i="3"/>
  <c r="S1121" i="3"/>
  <c r="P1121" i="3"/>
  <c r="R1121" i="3" s="1"/>
  <c r="V1121" i="3" s="1"/>
  <c r="S1120" i="3"/>
  <c r="P1120" i="3"/>
  <c r="S1119" i="3"/>
  <c r="R1119" i="3"/>
  <c r="V1119" i="3" s="1"/>
  <c r="Q1119" i="3"/>
  <c r="T1119" i="3" s="1"/>
  <c r="U1119" i="3" s="1"/>
  <c r="P1119" i="3"/>
  <c r="S1118" i="3"/>
  <c r="R1118" i="3"/>
  <c r="V1118" i="3" s="1"/>
  <c r="Q1118" i="3"/>
  <c r="T1118" i="3" s="1"/>
  <c r="U1118" i="3" s="1"/>
  <c r="P1118" i="3"/>
  <c r="S1117" i="3"/>
  <c r="P1117" i="3"/>
  <c r="S1116" i="3"/>
  <c r="P1116" i="3"/>
  <c r="R1116" i="3" s="1"/>
  <c r="V1116" i="3" s="1"/>
  <c r="U1115" i="3"/>
  <c r="S1115" i="3"/>
  <c r="R1115" i="3"/>
  <c r="V1115" i="3" s="1"/>
  <c r="P1115" i="3"/>
  <c r="Q1115" i="3" s="1"/>
  <c r="T1115" i="3" s="1"/>
  <c r="V1114" i="3"/>
  <c r="S1114" i="3"/>
  <c r="P1114" i="3"/>
  <c r="R1114" i="3" s="1"/>
  <c r="S1113" i="3"/>
  <c r="Q1113" i="3"/>
  <c r="T1113" i="3" s="1"/>
  <c r="U1113" i="3" s="1"/>
  <c r="P1113" i="3"/>
  <c r="R1113" i="3" s="1"/>
  <c r="V1113" i="3" s="1"/>
  <c r="S1112" i="3"/>
  <c r="R1112" i="3"/>
  <c r="V1112" i="3" s="1"/>
  <c r="P1112" i="3"/>
  <c r="Q1112" i="3" s="1"/>
  <c r="T1112" i="3" s="1"/>
  <c r="U1112" i="3" s="1"/>
  <c r="V1111" i="3"/>
  <c r="S1111" i="3"/>
  <c r="R1111" i="3"/>
  <c r="P1111" i="3"/>
  <c r="Q1111" i="3" s="1"/>
  <c r="T1111" i="3" s="1"/>
  <c r="U1111" i="3" s="1"/>
  <c r="U1110" i="3"/>
  <c r="T1110" i="3"/>
  <c r="S1110" i="3"/>
  <c r="R1110" i="3"/>
  <c r="V1110" i="3" s="1"/>
  <c r="Q1110" i="3"/>
  <c r="P1110" i="3"/>
  <c r="S1109" i="3"/>
  <c r="P1109" i="3"/>
  <c r="S1108" i="3"/>
  <c r="P1108" i="3"/>
  <c r="S1107" i="3"/>
  <c r="R1107" i="3"/>
  <c r="V1107" i="3" s="1"/>
  <c r="Q1107" i="3"/>
  <c r="T1107" i="3" s="1"/>
  <c r="U1107" i="3" s="1"/>
  <c r="P1107" i="3"/>
  <c r="S1106" i="3"/>
  <c r="R1106" i="3"/>
  <c r="V1106" i="3" s="1"/>
  <c r="Q1106" i="3"/>
  <c r="T1106" i="3" s="1"/>
  <c r="U1106" i="3" s="1"/>
  <c r="P1106" i="3"/>
  <c r="S1105" i="3"/>
  <c r="P1105" i="3"/>
  <c r="S1104" i="3"/>
  <c r="P1104" i="3"/>
  <c r="R1104" i="3" s="1"/>
  <c r="V1104" i="3" s="1"/>
  <c r="V1103" i="3"/>
  <c r="S1103" i="3"/>
  <c r="R1103" i="3"/>
  <c r="P1103" i="3"/>
  <c r="Q1103" i="3" s="1"/>
  <c r="T1103" i="3" s="1"/>
  <c r="U1103" i="3" s="1"/>
  <c r="S1102" i="3"/>
  <c r="Q1102" i="3"/>
  <c r="T1102" i="3" s="1"/>
  <c r="U1102" i="3" s="1"/>
  <c r="P1102" i="3"/>
  <c r="R1102" i="3" s="1"/>
  <c r="V1102" i="3" s="1"/>
  <c r="T1101" i="3"/>
  <c r="U1101" i="3" s="1"/>
  <c r="S1101" i="3"/>
  <c r="Q1101" i="3"/>
  <c r="P1101" i="3"/>
  <c r="R1101" i="3" s="1"/>
  <c r="V1101" i="3" s="1"/>
  <c r="S1100" i="3"/>
  <c r="R1100" i="3"/>
  <c r="V1100" i="3" s="1"/>
  <c r="P1100" i="3"/>
  <c r="Q1100" i="3" s="1"/>
  <c r="T1100" i="3" s="1"/>
  <c r="U1100" i="3" s="1"/>
  <c r="V1099" i="3"/>
  <c r="S1099" i="3"/>
  <c r="R1099" i="3"/>
  <c r="P1099" i="3"/>
  <c r="Q1099" i="3" s="1"/>
  <c r="T1099" i="3" s="1"/>
  <c r="U1099" i="3" s="1"/>
  <c r="S1098" i="3"/>
  <c r="R1098" i="3"/>
  <c r="V1098" i="3" s="1"/>
  <c r="Q1098" i="3"/>
  <c r="T1098" i="3" s="1"/>
  <c r="U1098" i="3" s="1"/>
  <c r="P1098" i="3"/>
  <c r="S1097" i="3"/>
  <c r="P1097" i="3"/>
  <c r="S1096" i="3"/>
  <c r="P1096" i="3"/>
  <c r="S1095" i="3"/>
  <c r="R1095" i="3"/>
  <c r="V1095" i="3" s="1"/>
  <c r="Q1095" i="3"/>
  <c r="T1095" i="3" s="1"/>
  <c r="U1095" i="3" s="1"/>
  <c r="P1095" i="3"/>
  <c r="U1094" i="3"/>
  <c r="S1094" i="3"/>
  <c r="R1094" i="3"/>
  <c r="V1094" i="3" s="1"/>
  <c r="Q1094" i="3"/>
  <c r="T1094" i="3" s="1"/>
  <c r="P1094" i="3"/>
  <c r="S1093" i="3"/>
  <c r="P1093" i="3"/>
  <c r="S1092" i="3"/>
  <c r="P1092" i="3"/>
  <c r="R1092" i="3" s="1"/>
  <c r="V1092" i="3" s="1"/>
  <c r="U1091" i="3"/>
  <c r="S1091" i="3"/>
  <c r="R1091" i="3"/>
  <c r="V1091" i="3" s="1"/>
  <c r="P1091" i="3"/>
  <c r="Q1091" i="3" s="1"/>
  <c r="T1091" i="3" s="1"/>
  <c r="S1090" i="3"/>
  <c r="Q1090" i="3"/>
  <c r="T1090" i="3" s="1"/>
  <c r="U1090" i="3" s="1"/>
  <c r="P1090" i="3"/>
  <c r="R1090" i="3" s="1"/>
  <c r="V1090" i="3" s="1"/>
  <c r="T1089" i="3"/>
  <c r="U1089" i="3" s="1"/>
  <c r="S1089" i="3"/>
  <c r="Q1089" i="3"/>
  <c r="P1089" i="3"/>
  <c r="R1089" i="3" s="1"/>
  <c r="V1089" i="3" s="1"/>
  <c r="S1088" i="3"/>
  <c r="R1088" i="3"/>
  <c r="V1088" i="3" s="1"/>
  <c r="P1088" i="3"/>
  <c r="Q1088" i="3" s="1"/>
  <c r="T1088" i="3" s="1"/>
  <c r="U1088" i="3" s="1"/>
  <c r="V1087" i="3"/>
  <c r="S1087" i="3"/>
  <c r="R1087" i="3"/>
  <c r="P1087" i="3"/>
  <c r="Q1087" i="3" s="1"/>
  <c r="T1087" i="3" s="1"/>
  <c r="U1087" i="3" s="1"/>
  <c r="S1086" i="3"/>
  <c r="R1086" i="3"/>
  <c r="V1086" i="3" s="1"/>
  <c r="Q1086" i="3"/>
  <c r="T1086" i="3" s="1"/>
  <c r="U1086" i="3" s="1"/>
  <c r="P1086" i="3"/>
  <c r="S1085" i="3"/>
  <c r="P1085" i="3"/>
  <c r="S1084" i="3"/>
  <c r="P1084" i="3"/>
  <c r="S1083" i="3"/>
  <c r="R1083" i="3"/>
  <c r="V1083" i="3" s="1"/>
  <c r="Q1083" i="3"/>
  <c r="T1083" i="3" s="1"/>
  <c r="U1083" i="3" s="1"/>
  <c r="P1083" i="3"/>
  <c r="S1082" i="3"/>
  <c r="R1082" i="3"/>
  <c r="V1082" i="3" s="1"/>
  <c r="Q1082" i="3"/>
  <c r="T1082" i="3" s="1"/>
  <c r="U1082" i="3" s="1"/>
  <c r="P1082" i="3"/>
  <c r="S1081" i="3"/>
  <c r="P1081" i="3"/>
  <c r="S1080" i="3"/>
  <c r="P1080" i="3"/>
  <c r="R1080" i="3" s="1"/>
  <c r="V1080" i="3" s="1"/>
  <c r="S1079" i="3"/>
  <c r="R1079" i="3"/>
  <c r="V1079" i="3" s="1"/>
  <c r="P1079" i="3"/>
  <c r="Q1079" i="3" s="1"/>
  <c r="T1079" i="3" s="1"/>
  <c r="U1079" i="3" s="1"/>
  <c r="S1078" i="3"/>
  <c r="P1078" i="3"/>
  <c r="R1078" i="3" s="1"/>
  <c r="V1078" i="3" s="1"/>
  <c r="S1077" i="3"/>
  <c r="Q1077" i="3"/>
  <c r="T1077" i="3" s="1"/>
  <c r="U1077" i="3" s="1"/>
  <c r="P1077" i="3"/>
  <c r="R1077" i="3" s="1"/>
  <c r="V1077" i="3" s="1"/>
  <c r="S1076" i="3"/>
  <c r="R1076" i="3"/>
  <c r="V1076" i="3" s="1"/>
  <c r="P1076" i="3"/>
  <c r="Q1076" i="3" s="1"/>
  <c r="T1076" i="3" s="1"/>
  <c r="U1076" i="3" s="1"/>
  <c r="V1075" i="3"/>
  <c r="S1075" i="3"/>
  <c r="R1075" i="3"/>
  <c r="P1075" i="3"/>
  <c r="Q1075" i="3" s="1"/>
  <c r="T1075" i="3" s="1"/>
  <c r="U1075" i="3" s="1"/>
  <c r="U1074" i="3"/>
  <c r="T1074" i="3"/>
  <c r="S1074" i="3"/>
  <c r="R1074" i="3"/>
  <c r="V1074" i="3" s="1"/>
  <c r="Q1074" i="3"/>
  <c r="P1074" i="3"/>
  <c r="S1073" i="3"/>
  <c r="P1073" i="3"/>
  <c r="S1072" i="3"/>
  <c r="P1072" i="3"/>
  <c r="S1071" i="3"/>
  <c r="R1071" i="3"/>
  <c r="V1071" i="3" s="1"/>
  <c r="Q1071" i="3"/>
  <c r="T1071" i="3" s="1"/>
  <c r="U1071" i="3" s="1"/>
  <c r="P1071" i="3"/>
  <c r="S1070" i="3"/>
  <c r="R1070" i="3"/>
  <c r="V1070" i="3" s="1"/>
  <c r="P1070" i="3"/>
  <c r="Q1070" i="3" s="1"/>
  <c r="T1070" i="3" s="1"/>
  <c r="U1070" i="3" s="1"/>
  <c r="S1069" i="3"/>
  <c r="P1069" i="3"/>
  <c r="S1068" i="3"/>
  <c r="P1068" i="3"/>
  <c r="R1068" i="3" s="1"/>
  <c r="V1068" i="3" s="1"/>
  <c r="S1067" i="3"/>
  <c r="R1067" i="3"/>
  <c r="V1067" i="3" s="1"/>
  <c r="P1067" i="3"/>
  <c r="Q1067" i="3" s="1"/>
  <c r="T1067" i="3" s="1"/>
  <c r="U1067" i="3" s="1"/>
  <c r="S1066" i="3"/>
  <c r="Q1066" i="3"/>
  <c r="T1066" i="3" s="1"/>
  <c r="U1066" i="3" s="1"/>
  <c r="P1066" i="3"/>
  <c r="R1066" i="3" s="1"/>
  <c r="V1066" i="3" s="1"/>
  <c r="S1065" i="3"/>
  <c r="Q1065" i="3"/>
  <c r="T1065" i="3" s="1"/>
  <c r="U1065" i="3" s="1"/>
  <c r="P1065" i="3"/>
  <c r="R1065" i="3" s="1"/>
  <c r="V1065" i="3" s="1"/>
  <c r="S1064" i="3"/>
  <c r="R1064" i="3"/>
  <c r="V1064" i="3" s="1"/>
  <c r="P1064" i="3"/>
  <c r="Q1064" i="3" s="1"/>
  <c r="T1064" i="3" s="1"/>
  <c r="U1064" i="3" s="1"/>
  <c r="S1063" i="3"/>
  <c r="P1063" i="3"/>
  <c r="R1063" i="3" s="1"/>
  <c r="V1063" i="3" s="1"/>
  <c r="S1062" i="3"/>
  <c r="R1062" i="3"/>
  <c r="V1062" i="3" s="1"/>
  <c r="Q1062" i="3"/>
  <c r="T1062" i="3" s="1"/>
  <c r="U1062" i="3" s="1"/>
  <c r="P1062" i="3"/>
  <c r="S1061" i="3"/>
  <c r="P1061" i="3"/>
  <c r="S1060" i="3"/>
  <c r="P1060" i="3"/>
  <c r="S1059" i="3"/>
  <c r="R1059" i="3"/>
  <c r="V1059" i="3" s="1"/>
  <c r="Q1059" i="3"/>
  <c r="T1059" i="3" s="1"/>
  <c r="U1059" i="3" s="1"/>
  <c r="P1059" i="3"/>
  <c r="U1058" i="3"/>
  <c r="S1058" i="3"/>
  <c r="R1058" i="3"/>
  <c r="V1058" i="3" s="1"/>
  <c r="P1058" i="3"/>
  <c r="Q1058" i="3" s="1"/>
  <c r="T1058" i="3" s="1"/>
  <c r="S1057" i="3"/>
  <c r="P1057" i="3"/>
  <c r="S1056" i="3"/>
  <c r="P1056" i="3"/>
  <c r="R1056" i="3" s="1"/>
  <c r="V1056" i="3" s="1"/>
  <c r="U1055" i="3"/>
  <c r="S1055" i="3"/>
  <c r="R1055" i="3"/>
  <c r="V1055" i="3" s="1"/>
  <c r="P1055" i="3"/>
  <c r="Q1055" i="3" s="1"/>
  <c r="T1055" i="3" s="1"/>
  <c r="S1054" i="3"/>
  <c r="Q1054" i="3"/>
  <c r="T1054" i="3" s="1"/>
  <c r="U1054" i="3" s="1"/>
  <c r="P1054" i="3"/>
  <c r="R1054" i="3" s="1"/>
  <c r="V1054" i="3" s="1"/>
  <c r="T1053" i="3"/>
  <c r="U1053" i="3" s="1"/>
  <c r="S1053" i="3"/>
  <c r="Q1053" i="3"/>
  <c r="P1053" i="3"/>
  <c r="R1053" i="3" s="1"/>
  <c r="V1053" i="3" s="1"/>
  <c r="S1052" i="3"/>
  <c r="R1052" i="3"/>
  <c r="V1052" i="3" s="1"/>
  <c r="P1052" i="3"/>
  <c r="Q1052" i="3" s="1"/>
  <c r="T1052" i="3" s="1"/>
  <c r="U1052" i="3" s="1"/>
  <c r="V1051" i="3"/>
  <c r="S1051" i="3"/>
  <c r="P1051" i="3"/>
  <c r="R1051" i="3" s="1"/>
  <c r="S1050" i="3"/>
  <c r="R1050" i="3"/>
  <c r="V1050" i="3" s="1"/>
  <c r="Q1050" i="3"/>
  <c r="T1050" i="3" s="1"/>
  <c r="U1050" i="3" s="1"/>
  <c r="P1050" i="3"/>
  <c r="S1049" i="3"/>
  <c r="P1049" i="3"/>
  <c r="S1048" i="3"/>
  <c r="P1048" i="3"/>
  <c r="S1047" i="3"/>
  <c r="R1047" i="3"/>
  <c r="V1047" i="3" s="1"/>
  <c r="Q1047" i="3"/>
  <c r="T1047" i="3" s="1"/>
  <c r="U1047" i="3" s="1"/>
  <c r="P1047" i="3"/>
  <c r="S1046" i="3"/>
  <c r="R1046" i="3"/>
  <c r="V1046" i="3" s="1"/>
  <c r="P1046" i="3"/>
  <c r="Q1046" i="3" s="1"/>
  <c r="T1046" i="3" s="1"/>
  <c r="U1046" i="3" s="1"/>
  <c r="S1045" i="3"/>
  <c r="P1045" i="3"/>
  <c r="S1044" i="3"/>
  <c r="P1044" i="3"/>
  <c r="R1044" i="3" s="1"/>
  <c r="V1044" i="3" s="1"/>
  <c r="V1043" i="3"/>
  <c r="S1043" i="3"/>
  <c r="R1043" i="3"/>
  <c r="P1043" i="3"/>
  <c r="Q1043" i="3" s="1"/>
  <c r="T1043" i="3" s="1"/>
  <c r="U1043" i="3" s="1"/>
  <c r="V1042" i="3"/>
  <c r="S1042" i="3"/>
  <c r="Q1042" i="3"/>
  <c r="T1042" i="3" s="1"/>
  <c r="U1042" i="3" s="1"/>
  <c r="P1042" i="3"/>
  <c r="R1042" i="3" s="1"/>
  <c r="T1041" i="3"/>
  <c r="U1041" i="3" s="1"/>
  <c r="S1041" i="3"/>
  <c r="Q1041" i="3"/>
  <c r="P1041" i="3"/>
  <c r="R1041" i="3" s="1"/>
  <c r="V1041" i="3" s="1"/>
  <c r="S1040" i="3"/>
  <c r="R1040" i="3"/>
  <c r="V1040" i="3" s="1"/>
  <c r="P1040" i="3"/>
  <c r="Q1040" i="3" s="1"/>
  <c r="T1040" i="3" s="1"/>
  <c r="U1040" i="3" s="1"/>
  <c r="V1039" i="3"/>
  <c r="S1039" i="3"/>
  <c r="P1039" i="3"/>
  <c r="R1039" i="3" s="1"/>
  <c r="S1038" i="3"/>
  <c r="R1038" i="3"/>
  <c r="V1038" i="3" s="1"/>
  <c r="Q1038" i="3"/>
  <c r="T1038" i="3" s="1"/>
  <c r="U1038" i="3" s="1"/>
  <c r="P1038" i="3"/>
  <c r="S1037" i="3"/>
  <c r="P1037" i="3"/>
  <c r="S1036" i="3"/>
  <c r="P1036" i="3"/>
  <c r="S1035" i="3"/>
  <c r="R1035" i="3"/>
  <c r="V1035" i="3" s="1"/>
  <c r="Q1035" i="3"/>
  <c r="T1035" i="3" s="1"/>
  <c r="U1035" i="3" s="1"/>
  <c r="P1035" i="3"/>
  <c r="U1034" i="3"/>
  <c r="S1034" i="3"/>
  <c r="R1034" i="3"/>
  <c r="V1034" i="3" s="1"/>
  <c r="P1034" i="3"/>
  <c r="Q1034" i="3" s="1"/>
  <c r="T1034" i="3" s="1"/>
  <c r="S1033" i="3"/>
  <c r="P1033" i="3"/>
  <c r="S1032" i="3"/>
  <c r="P1032" i="3"/>
  <c r="R1032" i="3" s="1"/>
  <c r="V1032" i="3" s="1"/>
  <c r="U1031" i="3"/>
  <c r="S1031" i="3"/>
  <c r="R1031" i="3"/>
  <c r="V1031" i="3" s="1"/>
  <c r="P1031" i="3"/>
  <c r="Q1031" i="3" s="1"/>
  <c r="T1031" i="3" s="1"/>
  <c r="S1030" i="3"/>
  <c r="Q1030" i="3"/>
  <c r="T1030" i="3" s="1"/>
  <c r="U1030" i="3" s="1"/>
  <c r="P1030" i="3"/>
  <c r="R1030" i="3" s="1"/>
  <c r="V1030" i="3" s="1"/>
  <c r="S1029" i="3"/>
  <c r="Q1029" i="3"/>
  <c r="T1029" i="3" s="1"/>
  <c r="U1029" i="3" s="1"/>
  <c r="P1029" i="3"/>
  <c r="R1029" i="3" s="1"/>
  <c r="V1029" i="3" s="1"/>
  <c r="S1028" i="3"/>
  <c r="R1028" i="3"/>
  <c r="V1028" i="3" s="1"/>
  <c r="P1028" i="3"/>
  <c r="Q1028" i="3" s="1"/>
  <c r="T1028" i="3" s="1"/>
  <c r="U1028" i="3" s="1"/>
  <c r="V1027" i="3"/>
  <c r="S1027" i="3"/>
  <c r="P1027" i="3"/>
  <c r="R1027" i="3" s="1"/>
  <c r="U1026" i="3"/>
  <c r="T1026" i="3"/>
  <c r="S1026" i="3"/>
  <c r="R1026" i="3"/>
  <c r="V1026" i="3" s="1"/>
  <c r="Q1026" i="3"/>
  <c r="P1026" i="3"/>
  <c r="S1025" i="3"/>
  <c r="P1025" i="3"/>
  <c r="S1024" i="3"/>
  <c r="P1024" i="3"/>
  <c r="S1023" i="3"/>
  <c r="R1023" i="3"/>
  <c r="V1023" i="3" s="1"/>
  <c r="Q1023" i="3"/>
  <c r="T1023" i="3" s="1"/>
  <c r="U1023" i="3" s="1"/>
  <c r="P1023" i="3"/>
  <c r="S1022" i="3"/>
  <c r="R1022" i="3"/>
  <c r="V1022" i="3" s="1"/>
  <c r="P1022" i="3"/>
  <c r="Q1022" i="3" s="1"/>
  <c r="T1022" i="3" s="1"/>
  <c r="U1022" i="3" s="1"/>
  <c r="S1021" i="3"/>
  <c r="P1021" i="3"/>
  <c r="S1020" i="3"/>
  <c r="P1020" i="3"/>
  <c r="R1020" i="3" s="1"/>
  <c r="V1020" i="3" s="1"/>
  <c r="S1019" i="3"/>
  <c r="R1019" i="3"/>
  <c r="V1019" i="3" s="1"/>
  <c r="P1019" i="3"/>
  <c r="Q1019" i="3" s="1"/>
  <c r="T1019" i="3" s="1"/>
  <c r="U1019" i="3" s="1"/>
  <c r="S1018" i="3"/>
  <c r="Q1018" i="3"/>
  <c r="T1018" i="3" s="1"/>
  <c r="U1018" i="3" s="1"/>
  <c r="P1018" i="3"/>
  <c r="R1018" i="3" s="1"/>
  <c r="V1018" i="3" s="1"/>
  <c r="S1017" i="3"/>
  <c r="Q1017" i="3"/>
  <c r="T1017" i="3" s="1"/>
  <c r="U1017" i="3" s="1"/>
  <c r="P1017" i="3"/>
  <c r="R1017" i="3" s="1"/>
  <c r="V1017" i="3" s="1"/>
  <c r="S1016" i="3"/>
  <c r="R1016" i="3"/>
  <c r="V1016" i="3" s="1"/>
  <c r="P1016" i="3"/>
  <c r="Q1016" i="3" s="1"/>
  <c r="T1016" i="3" s="1"/>
  <c r="U1016" i="3" s="1"/>
  <c r="V1015" i="3"/>
  <c r="S1015" i="3"/>
  <c r="R1015" i="3"/>
  <c r="P1015" i="3"/>
  <c r="Q1015" i="3" s="1"/>
  <c r="T1015" i="3" s="1"/>
  <c r="U1015" i="3" s="1"/>
  <c r="S1014" i="3"/>
  <c r="R1014" i="3"/>
  <c r="V1014" i="3" s="1"/>
  <c r="Q1014" i="3"/>
  <c r="T1014" i="3" s="1"/>
  <c r="U1014" i="3" s="1"/>
  <c r="P1014" i="3"/>
  <c r="S1013" i="3"/>
  <c r="P1013" i="3"/>
  <c r="S1012" i="3"/>
  <c r="P1012" i="3"/>
  <c r="S1011" i="3"/>
  <c r="R1011" i="3"/>
  <c r="V1011" i="3" s="1"/>
  <c r="Q1011" i="3"/>
  <c r="T1011" i="3" s="1"/>
  <c r="U1011" i="3" s="1"/>
  <c r="P1011" i="3"/>
  <c r="S1010" i="3"/>
  <c r="R1010" i="3"/>
  <c r="V1010" i="3" s="1"/>
  <c r="P1010" i="3"/>
  <c r="Q1010" i="3" s="1"/>
  <c r="T1010" i="3" s="1"/>
  <c r="U1010" i="3" s="1"/>
  <c r="S1009" i="3"/>
  <c r="P1009" i="3"/>
  <c r="S1008" i="3"/>
  <c r="P1008" i="3"/>
  <c r="R1008" i="3" s="1"/>
  <c r="V1008" i="3" s="1"/>
  <c r="V1007" i="3"/>
  <c r="U1007" i="3"/>
  <c r="S1007" i="3"/>
  <c r="R1007" i="3"/>
  <c r="P1007" i="3"/>
  <c r="Q1007" i="3" s="1"/>
  <c r="T1007" i="3" s="1"/>
  <c r="S1006" i="3"/>
  <c r="P1006" i="3"/>
  <c r="T1005" i="3"/>
  <c r="U1005" i="3" s="1"/>
  <c r="S1005" i="3"/>
  <c r="Q1005" i="3"/>
  <c r="P1005" i="3"/>
  <c r="R1005" i="3" s="1"/>
  <c r="V1005" i="3" s="1"/>
  <c r="S1004" i="3"/>
  <c r="R1004" i="3"/>
  <c r="V1004" i="3" s="1"/>
  <c r="P1004" i="3"/>
  <c r="Q1004" i="3" s="1"/>
  <c r="T1004" i="3" s="1"/>
  <c r="U1004" i="3" s="1"/>
  <c r="S1003" i="3"/>
  <c r="P1003" i="3"/>
  <c r="R1003" i="3" s="1"/>
  <c r="V1003" i="3" s="1"/>
  <c r="T1002" i="3"/>
  <c r="U1002" i="3" s="1"/>
  <c r="S1002" i="3"/>
  <c r="R1002" i="3"/>
  <c r="V1002" i="3" s="1"/>
  <c r="Q1002" i="3"/>
  <c r="P1002" i="3"/>
  <c r="S1001" i="3"/>
  <c r="P1001" i="3"/>
  <c r="S1000" i="3"/>
  <c r="P1000" i="3"/>
  <c r="S999" i="3"/>
  <c r="R999" i="3"/>
  <c r="V999" i="3" s="1"/>
  <c r="Q999" i="3"/>
  <c r="T999" i="3" s="1"/>
  <c r="U999" i="3" s="1"/>
  <c r="P999" i="3"/>
  <c r="S998" i="3"/>
  <c r="R998" i="3"/>
  <c r="V998" i="3" s="1"/>
  <c r="P998" i="3"/>
  <c r="Q998" i="3" s="1"/>
  <c r="T998" i="3" s="1"/>
  <c r="U998" i="3" s="1"/>
  <c r="S997" i="3"/>
  <c r="P997" i="3"/>
  <c r="S996" i="3"/>
  <c r="P996" i="3"/>
  <c r="R996" i="3" s="1"/>
  <c r="V996" i="3" s="1"/>
  <c r="S995" i="3"/>
  <c r="R995" i="3"/>
  <c r="V995" i="3" s="1"/>
  <c r="P995" i="3"/>
  <c r="Q995" i="3" s="1"/>
  <c r="T995" i="3" s="1"/>
  <c r="U995" i="3" s="1"/>
  <c r="S994" i="3"/>
  <c r="P994" i="3"/>
  <c r="R994" i="3" s="1"/>
  <c r="V994" i="3" s="1"/>
  <c r="S993" i="3"/>
  <c r="Q993" i="3"/>
  <c r="T993" i="3" s="1"/>
  <c r="U993" i="3" s="1"/>
  <c r="P993" i="3"/>
  <c r="R993" i="3" s="1"/>
  <c r="V993" i="3" s="1"/>
  <c r="S992" i="3"/>
  <c r="R992" i="3"/>
  <c r="V992" i="3" s="1"/>
  <c r="P992" i="3"/>
  <c r="Q992" i="3" s="1"/>
  <c r="T992" i="3" s="1"/>
  <c r="U992" i="3" s="1"/>
  <c r="S991" i="3"/>
  <c r="P991" i="3"/>
  <c r="R991" i="3" s="1"/>
  <c r="V991" i="3" s="1"/>
  <c r="S990" i="3"/>
  <c r="R990" i="3"/>
  <c r="V990" i="3" s="1"/>
  <c r="Q990" i="3"/>
  <c r="T990" i="3" s="1"/>
  <c r="U990" i="3" s="1"/>
  <c r="P990" i="3"/>
  <c r="S989" i="3"/>
  <c r="P989" i="3"/>
  <c r="S988" i="3"/>
  <c r="P988" i="3"/>
  <c r="S987" i="3"/>
  <c r="R987" i="3"/>
  <c r="V987" i="3" s="1"/>
  <c r="Q987" i="3"/>
  <c r="T987" i="3" s="1"/>
  <c r="U987" i="3" s="1"/>
  <c r="P987" i="3"/>
  <c r="U986" i="3"/>
  <c r="S986" i="3"/>
  <c r="R986" i="3"/>
  <c r="V986" i="3" s="1"/>
  <c r="P986" i="3"/>
  <c r="Q986" i="3" s="1"/>
  <c r="T986" i="3" s="1"/>
  <c r="S985" i="3"/>
  <c r="P985" i="3"/>
  <c r="S984" i="3"/>
  <c r="P984" i="3"/>
  <c r="R984" i="3" s="1"/>
  <c r="V984" i="3" s="1"/>
  <c r="V983" i="3"/>
  <c r="S983" i="3"/>
  <c r="R983" i="3"/>
  <c r="P983" i="3"/>
  <c r="Q983" i="3" s="1"/>
  <c r="T983" i="3" s="1"/>
  <c r="U983" i="3" s="1"/>
  <c r="S982" i="3"/>
  <c r="Q982" i="3"/>
  <c r="T982" i="3" s="1"/>
  <c r="U982" i="3" s="1"/>
  <c r="P982" i="3"/>
  <c r="R982" i="3" s="1"/>
  <c r="V982" i="3" s="1"/>
  <c r="S981" i="3"/>
  <c r="Q981" i="3"/>
  <c r="T981" i="3" s="1"/>
  <c r="U981" i="3" s="1"/>
  <c r="P981" i="3"/>
  <c r="R981" i="3" s="1"/>
  <c r="V981" i="3" s="1"/>
  <c r="S980" i="3"/>
  <c r="R980" i="3"/>
  <c r="V980" i="3" s="1"/>
  <c r="P980" i="3"/>
  <c r="Q980" i="3" s="1"/>
  <c r="T980" i="3" s="1"/>
  <c r="U980" i="3" s="1"/>
  <c r="S979" i="3"/>
  <c r="P979" i="3"/>
  <c r="R979" i="3" s="1"/>
  <c r="V979" i="3" s="1"/>
  <c r="S978" i="3"/>
  <c r="R978" i="3"/>
  <c r="V978" i="3" s="1"/>
  <c r="Q978" i="3"/>
  <c r="T978" i="3" s="1"/>
  <c r="U978" i="3" s="1"/>
  <c r="P978" i="3"/>
  <c r="S977" i="3"/>
  <c r="P977" i="3"/>
  <c r="S976" i="3"/>
  <c r="P976" i="3"/>
  <c r="S975" i="3"/>
  <c r="R975" i="3"/>
  <c r="V975" i="3" s="1"/>
  <c r="Q975" i="3"/>
  <c r="T975" i="3" s="1"/>
  <c r="U975" i="3" s="1"/>
  <c r="P975" i="3"/>
  <c r="S974" i="3"/>
  <c r="R974" i="3"/>
  <c r="V974" i="3" s="1"/>
  <c r="P974" i="3"/>
  <c r="Q974" i="3" s="1"/>
  <c r="T974" i="3" s="1"/>
  <c r="U974" i="3" s="1"/>
  <c r="S973" i="3"/>
  <c r="P973" i="3"/>
  <c r="S972" i="3"/>
  <c r="P972" i="3"/>
  <c r="R972" i="3" s="1"/>
  <c r="V972" i="3" s="1"/>
  <c r="S971" i="3"/>
  <c r="R971" i="3"/>
  <c r="V971" i="3" s="1"/>
  <c r="P971" i="3"/>
  <c r="Q971" i="3" s="1"/>
  <c r="T971" i="3" s="1"/>
  <c r="U971" i="3" s="1"/>
  <c r="V970" i="3"/>
  <c r="S970" i="3"/>
  <c r="P970" i="3"/>
  <c r="R970" i="3" s="1"/>
  <c r="T969" i="3"/>
  <c r="U969" i="3" s="1"/>
  <c r="S969" i="3"/>
  <c r="Q969" i="3"/>
  <c r="P969" i="3"/>
  <c r="R969" i="3" s="1"/>
  <c r="V969" i="3" s="1"/>
  <c r="S968" i="3"/>
  <c r="R968" i="3"/>
  <c r="V968" i="3" s="1"/>
  <c r="P968" i="3"/>
  <c r="Q968" i="3" s="1"/>
  <c r="T968" i="3" s="1"/>
  <c r="U968" i="3" s="1"/>
  <c r="V967" i="3"/>
  <c r="S967" i="3"/>
  <c r="R967" i="3"/>
  <c r="P967" i="3"/>
  <c r="Q967" i="3" s="1"/>
  <c r="T967" i="3" s="1"/>
  <c r="U967" i="3" s="1"/>
  <c r="T966" i="3"/>
  <c r="U966" i="3" s="1"/>
  <c r="S966" i="3"/>
  <c r="R966" i="3"/>
  <c r="V966" i="3" s="1"/>
  <c r="Q966" i="3"/>
  <c r="P966" i="3"/>
  <c r="S965" i="3"/>
  <c r="P965" i="3"/>
  <c r="S964" i="3"/>
  <c r="P964" i="3"/>
  <c r="S963" i="3"/>
  <c r="R963" i="3"/>
  <c r="V963" i="3" s="1"/>
  <c r="Q963" i="3"/>
  <c r="T963" i="3" s="1"/>
  <c r="U963" i="3" s="1"/>
  <c r="P963" i="3"/>
  <c r="S962" i="3"/>
  <c r="R962" i="3"/>
  <c r="V962" i="3" s="1"/>
  <c r="P962" i="3"/>
  <c r="Q962" i="3" s="1"/>
  <c r="T962" i="3" s="1"/>
  <c r="U962" i="3" s="1"/>
  <c r="S961" i="3"/>
  <c r="P961" i="3"/>
  <c r="R961" i="3" s="1"/>
  <c r="V961" i="3" s="1"/>
  <c r="S960" i="3"/>
  <c r="P960" i="3"/>
  <c r="R960" i="3" s="1"/>
  <c r="V960" i="3" s="1"/>
  <c r="S959" i="3"/>
  <c r="R959" i="3"/>
  <c r="V959" i="3" s="1"/>
  <c r="P959" i="3"/>
  <c r="Q959" i="3" s="1"/>
  <c r="T959" i="3" s="1"/>
  <c r="U959" i="3" s="1"/>
  <c r="S958" i="3"/>
  <c r="P958" i="3"/>
  <c r="R958" i="3" s="1"/>
  <c r="V958" i="3" s="1"/>
  <c r="S957" i="3"/>
  <c r="Q957" i="3"/>
  <c r="T957" i="3" s="1"/>
  <c r="U957" i="3" s="1"/>
  <c r="P957" i="3"/>
  <c r="R957" i="3" s="1"/>
  <c r="V957" i="3" s="1"/>
  <c r="T956" i="3"/>
  <c r="U956" i="3" s="1"/>
  <c r="S956" i="3"/>
  <c r="P956" i="3"/>
  <c r="Q956" i="3" s="1"/>
  <c r="T955" i="3"/>
  <c r="U955" i="3" s="1"/>
  <c r="S955" i="3"/>
  <c r="R955" i="3"/>
  <c r="V955" i="3" s="1"/>
  <c r="Q955" i="3"/>
  <c r="P955" i="3"/>
  <c r="S954" i="3"/>
  <c r="R954" i="3"/>
  <c r="V954" i="3" s="1"/>
  <c r="P954" i="3"/>
  <c r="Q954" i="3" s="1"/>
  <c r="T954" i="3" s="1"/>
  <c r="U954" i="3" s="1"/>
  <c r="S953" i="3"/>
  <c r="P953" i="3"/>
  <c r="R953" i="3" s="1"/>
  <c r="V953" i="3" s="1"/>
  <c r="S952" i="3"/>
  <c r="P952" i="3"/>
  <c r="R952" i="3" s="1"/>
  <c r="V952" i="3" s="1"/>
  <c r="V951" i="3"/>
  <c r="S951" i="3"/>
  <c r="R951" i="3"/>
  <c r="Q951" i="3"/>
  <c r="T951" i="3" s="1"/>
  <c r="U951" i="3" s="1"/>
  <c r="P951" i="3"/>
  <c r="S950" i="3"/>
  <c r="P950" i="3"/>
  <c r="V949" i="3"/>
  <c r="S949" i="3"/>
  <c r="P949" i="3"/>
  <c r="R949" i="3" s="1"/>
  <c r="S948" i="3"/>
  <c r="Q948" i="3"/>
  <c r="T948" i="3" s="1"/>
  <c r="U948" i="3" s="1"/>
  <c r="P948" i="3"/>
  <c r="R948" i="3" s="1"/>
  <c r="V948" i="3" s="1"/>
  <c r="S947" i="3"/>
  <c r="P947" i="3"/>
  <c r="R947" i="3" s="1"/>
  <c r="V947" i="3" s="1"/>
  <c r="T946" i="3"/>
  <c r="U946" i="3" s="1"/>
  <c r="S946" i="3"/>
  <c r="R946" i="3"/>
  <c r="V946" i="3" s="1"/>
  <c r="Q946" i="3"/>
  <c r="P946" i="3"/>
  <c r="T945" i="3"/>
  <c r="U945" i="3" s="1"/>
  <c r="S945" i="3"/>
  <c r="R945" i="3"/>
  <c r="V945" i="3" s="1"/>
  <c r="Q945" i="3"/>
  <c r="P945" i="3"/>
  <c r="S944" i="3"/>
  <c r="R944" i="3"/>
  <c r="V944" i="3" s="1"/>
  <c r="P944" i="3"/>
  <c r="Q944" i="3" s="1"/>
  <c r="T944" i="3" s="1"/>
  <c r="U944" i="3" s="1"/>
  <c r="S943" i="3"/>
  <c r="R943" i="3"/>
  <c r="V943" i="3" s="1"/>
  <c r="P943" i="3"/>
  <c r="Q943" i="3" s="1"/>
  <c r="T943" i="3" s="1"/>
  <c r="U943" i="3" s="1"/>
  <c r="S942" i="3"/>
  <c r="P942" i="3"/>
  <c r="R942" i="3" s="1"/>
  <c r="V942" i="3" s="1"/>
  <c r="S941" i="3"/>
  <c r="R941" i="3"/>
  <c r="V941" i="3" s="1"/>
  <c r="Q941" i="3"/>
  <c r="T941" i="3" s="1"/>
  <c r="U941" i="3" s="1"/>
  <c r="P941" i="3"/>
  <c r="V940" i="3"/>
  <c r="S940" i="3"/>
  <c r="R940" i="3"/>
  <c r="P940" i="3"/>
  <c r="Q940" i="3" s="1"/>
  <c r="T940" i="3" s="1"/>
  <c r="U940" i="3" s="1"/>
  <c r="S939" i="3"/>
  <c r="Q939" i="3"/>
  <c r="T939" i="3" s="1"/>
  <c r="U939" i="3" s="1"/>
  <c r="P939" i="3"/>
  <c r="R939" i="3" s="1"/>
  <c r="V939" i="3" s="1"/>
  <c r="T938" i="3"/>
  <c r="U938" i="3" s="1"/>
  <c r="S938" i="3"/>
  <c r="R938" i="3"/>
  <c r="V938" i="3" s="1"/>
  <c r="Q938" i="3"/>
  <c r="P938" i="3"/>
  <c r="U937" i="3"/>
  <c r="T937" i="3"/>
  <c r="S937" i="3"/>
  <c r="R937" i="3"/>
  <c r="V937" i="3" s="1"/>
  <c r="Q937" i="3"/>
  <c r="P937" i="3"/>
  <c r="S936" i="3"/>
  <c r="P936" i="3"/>
  <c r="R936" i="3" s="1"/>
  <c r="V936" i="3" s="1"/>
  <c r="S935" i="3"/>
  <c r="Q935" i="3"/>
  <c r="T935" i="3" s="1"/>
  <c r="U935" i="3" s="1"/>
  <c r="P935" i="3"/>
  <c r="R935" i="3" s="1"/>
  <c r="V935" i="3" s="1"/>
  <c r="S934" i="3"/>
  <c r="P934" i="3"/>
  <c r="S933" i="3"/>
  <c r="P933" i="3"/>
  <c r="R933" i="3" s="1"/>
  <c r="V933" i="3" s="1"/>
  <c r="T932" i="3"/>
  <c r="U932" i="3" s="1"/>
  <c r="S932" i="3"/>
  <c r="R932" i="3"/>
  <c r="V932" i="3" s="1"/>
  <c r="Q932" i="3"/>
  <c r="P932" i="3"/>
  <c r="S931" i="3"/>
  <c r="R931" i="3"/>
  <c r="V931" i="3" s="1"/>
  <c r="P931" i="3"/>
  <c r="Q931" i="3" s="1"/>
  <c r="T931" i="3" s="1"/>
  <c r="U931" i="3" s="1"/>
  <c r="S930" i="3"/>
  <c r="P930" i="3"/>
  <c r="R930" i="3" s="1"/>
  <c r="V930" i="3" s="1"/>
  <c r="S929" i="3"/>
  <c r="R929" i="3"/>
  <c r="V929" i="3" s="1"/>
  <c r="Q929" i="3"/>
  <c r="T929" i="3" s="1"/>
  <c r="U929" i="3" s="1"/>
  <c r="P929" i="3"/>
  <c r="V928" i="3"/>
  <c r="S928" i="3"/>
  <c r="R928" i="3"/>
  <c r="P928" i="3"/>
  <c r="Q928" i="3" s="1"/>
  <c r="T928" i="3" s="1"/>
  <c r="U928" i="3" s="1"/>
  <c r="S927" i="3"/>
  <c r="Q927" i="3"/>
  <c r="T927" i="3" s="1"/>
  <c r="U927" i="3" s="1"/>
  <c r="P927" i="3"/>
  <c r="R927" i="3" s="1"/>
  <c r="V927" i="3" s="1"/>
  <c r="T926" i="3"/>
  <c r="U926" i="3" s="1"/>
  <c r="S926" i="3"/>
  <c r="R926" i="3"/>
  <c r="V926" i="3" s="1"/>
  <c r="Q926" i="3"/>
  <c r="P926" i="3"/>
  <c r="U925" i="3"/>
  <c r="T925" i="3"/>
  <c r="S925" i="3"/>
  <c r="R925" i="3"/>
  <c r="V925" i="3" s="1"/>
  <c r="Q925" i="3"/>
  <c r="P925" i="3"/>
  <c r="S924" i="3"/>
  <c r="P924" i="3"/>
  <c r="R924" i="3" s="1"/>
  <c r="V924" i="3" s="1"/>
  <c r="U923" i="3"/>
  <c r="S923" i="3"/>
  <c r="Q923" i="3"/>
  <c r="T923" i="3" s="1"/>
  <c r="P923" i="3"/>
  <c r="R923" i="3" s="1"/>
  <c r="V923" i="3" s="1"/>
  <c r="S922" i="3"/>
  <c r="P922" i="3"/>
  <c r="S921" i="3"/>
  <c r="P921" i="3"/>
  <c r="R921" i="3" s="1"/>
  <c r="V921" i="3" s="1"/>
  <c r="T920" i="3"/>
  <c r="U920" i="3" s="1"/>
  <c r="S920" i="3"/>
  <c r="R920" i="3"/>
  <c r="V920" i="3" s="1"/>
  <c r="Q920" i="3"/>
  <c r="P920" i="3"/>
  <c r="S919" i="3"/>
  <c r="R919" i="3"/>
  <c r="V919" i="3" s="1"/>
  <c r="P919" i="3"/>
  <c r="Q919" i="3" s="1"/>
  <c r="T919" i="3" s="1"/>
  <c r="U919" i="3" s="1"/>
  <c r="S918" i="3"/>
  <c r="P918" i="3"/>
  <c r="R918" i="3" s="1"/>
  <c r="V918" i="3" s="1"/>
  <c r="S917" i="3"/>
  <c r="R917" i="3"/>
  <c r="V917" i="3" s="1"/>
  <c r="Q917" i="3"/>
  <c r="T917" i="3" s="1"/>
  <c r="U917" i="3" s="1"/>
  <c r="P917" i="3"/>
  <c r="V916" i="3"/>
  <c r="S916" i="3"/>
  <c r="R916" i="3"/>
  <c r="P916" i="3"/>
  <c r="Q916" i="3" s="1"/>
  <c r="T916" i="3" s="1"/>
  <c r="U916" i="3" s="1"/>
  <c r="S915" i="3"/>
  <c r="Q915" i="3"/>
  <c r="T915" i="3" s="1"/>
  <c r="U915" i="3" s="1"/>
  <c r="P915" i="3"/>
  <c r="R915" i="3" s="1"/>
  <c r="V915" i="3" s="1"/>
  <c r="T914" i="3"/>
  <c r="U914" i="3" s="1"/>
  <c r="S914" i="3"/>
  <c r="R914" i="3"/>
  <c r="V914" i="3" s="1"/>
  <c r="Q914" i="3"/>
  <c r="P914" i="3"/>
  <c r="U913" i="3"/>
  <c r="T913" i="3"/>
  <c r="S913" i="3"/>
  <c r="R913" i="3"/>
  <c r="V913" i="3" s="1"/>
  <c r="Q913" i="3"/>
  <c r="P913" i="3"/>
  <c r="S912" i="3"/>
  <c r="P912" i="3"/>
  <c r="R912" i="3" s="1"/>
  <c r="V912" i="3" s="1"/>
  <c r="S911" i="3"/>
  <c r="Q911" i="3"/>
  <c r="T911" i="3" s="1"/>
  <c r="U911" i="3" s="1"/>
  <c r="P911" i="3"/>
  <c r="R911" i="3" s="1"/>
  <c r="V911" i="3" s="1"/>
  <c r="S910" i="3"/>
  <c r="P910" i="3"/>
  <c r="S909" i="3"/>
  <c r="P909" i="3"/>
  <c r="R909" i="3" s="1"/>
  <c r="V909" i="3" s="1"/>
  <c r="T908" i="3"/>
  <c r="U908" i="3" s="1"/>
  <c r="S908" i="3"/>
  <c r="R908" i="3"/>
  <c r="V908" i="3" s="1"/>
  <c r="Q908" i="3"/>
  <c r="P908" i="3"/>
  <c r="S907" i="3"/>
  <c r="R907" i="3"/>
  <c r="V907" i="3" s="1"/>
  <c r="P907" i="3"/>
  <c r="Q907" i="3" s="1"/>
  <c r="T907" i="3" s="1"/>
  <c r="U907" i="3" s="1"/>
  <c r="S906" i="3"/>
  <c r="P906" i="3"/>
  <c r="R906" i="3" s="1"/>
  <c r="V906" i="3" s="1"/>
  <c r="S905" i="3"/>
  <c r="R905" i="3"/>
  <c r="V905" i="3" s="1"/>
  <c r="Q905" i="3"/>
  <c r="T905" i="3" s="1"/>
  <c r="U905" i="3" s="1"/>
  <c r="P905" i="3"/>
  <c r="V904" i="3"/>
  <c r="S904" i="3"/>
  <c r="R904" i="3"/>
  <c r="P904" i="3"/>
  <c r="Q904" i="3" s="1"/>
  <c r="T904" i="3" s="1"/>
  <c r="U904" i="3" s="1"/>
  <c r="S903" i="3"/>
  <c r="Q903" i="3"/>
  <c r="T903" i="3" s="1"/>
  <c r="U903" i="3" s="1"/>
  <c r="P903" i="3"/>
  <c r="R903" i="3" s="1"/>
  <c r="V903" i="3" s="1"/>
  <c r="T902" i="3"/>
  <c r="U902" i="3" s="1"/>
  <c r="S902" i="3"/>
  <c r="R902" i="3"/>
  <c r="V902" i="3" s="1"/>
  <c r="Q902" i="3"/>
  <c r="P902" i="3"/>
  <c r="U901" i="3"/>
  <c r="T901" i="3"/>
  <c r="S901" i="3"/>
  <c r="R901" i="3"/>
  <c r="V901" i="3" s="1"/>
  <c r="Q901" i="3"/>
  <c r="P901" i="3"/>
  <c r="S900" i="3"/>
  <c r="P900" i="3"/>
  <c r="R900" i="3" s="1"/>
  <c r="V900" i="3" s="1"/>
  <c r="U899" i="3"/>
  <c r="S899" i="3"/>
  <c r="Q899" i="3"/>
  <c r="T899" i="3" s="1"/>
  <c r="P899" i="3"/>
  <c r="R899" i="3" s="1"/>
  <c r="V899" i="3" s="1"/>
  <c r="S898" i="3"/>
  <c r="P898" i="3"/>
  <c r="S897" i="3"/>
  <c r="P897" i="3"/>
  <c r="R897" i="3" s="1"/>
  <c r="V897" i="3" s="1"/>
  <c r="T896" i="3"/>
  <c r="U896" i="3" s="1"/>
  <c r="S896" i="3"/>
  <c r="R896" i="3"/>
  <c r="V896" i="3" s="1"/>
  <c r="Q896" i="3"/>
  <c r="P896" i="3"/>
  <c r="S895" i="3"/>
  <c r="R895" i="3"/>
  <c r="V895" i="3" s="1"/>
  <c r="P895" i="3"/>
  <c r="Q895" i="3" s="1"/>
  <c r="T895" i="3" s="1"/>
  <c r="U895" i="3" s="1"/>
  <c r="S894" i="3"/>
  <c r="P894" i="3"/>
  <c r="R894" i="3" s="1"/>
  <c r="V894" i="3" s="1"/>
  <c r="S893" i="3"/>
  <c r="R893" i="3"/>
  <c r="V893" i="3" s="1"/>
  <c r="Q893" i="3"/>
  <c r="T893" i="3" s="1"/>
  <c r="U893" i="3" s="1"/>
  <c r="P893" i="3"/>
  <c r="V892" i="3"/>
  <c r="S892" i="3"/>
  <c r="R892" i="3"/>
  <c r="P892" i="3"/>
  <c r="Q892" i="3" s="1"/>
  <c r="T892" i="3" s="1"/>
  <c r="U892" i="3" s="1"/>
  <c r="S891" i="3"/>
  <c r="Q891" i="3"/>
  <c r="T891" i="3" s="1"/>
  <c r="U891" i="3" s="1"/>
  <c r="P891" i="3"/>
  <c r="R891" i="3" s="1"/>
  <c r="V891" i="3" s="1"/>
  <c r="T890" i="3"/>
  <c r="U890" i="3" s="1"/>
  <c r="S890" i="3"/>
  <c r="R890" i="3"/>
  <c r="V890" i="3" s="1"/>
  <c r="Q890" i="3"/>
  <c r="P890" i="3"/>
  <c r="U889" i="3"/>
  <c r="T889" i="3"/>
  <c r="S889" i="3"/>
  <c r="R889" i="3"/>
  <c r="V889" i="3" s="1"/>
  <c r="Q889" i="3"/>
  <c r="P889" i="3"/>
  <c r="S888" i="3"/>
  <c r="P888" i="3"/>
  <c r="U887" i="3"/>
  <c r="S887" i="3"/>
  <c r="Q887" i="3"/>
  <c r="T887" i="3" s="1"/>
  <c r="P887" i="3"/>
  <c r="R887" i="3" s="1"/>
  <c r="V887" i="3" s="1"/>
  <c r="S886" i="3"/>
  <c r="P886" i="3"/>
  <c r="S885" i="3"/>
  <c r="P885" i="3"/>
  <c r="R885" i="3" s="1"/>
  <c r="V885" i="3" s="1"/>
  <c r="T884" i="3"/>
  <c r="U884" i="3" s="1"/>
  <c r="S884" i="3"/>
  <c r="R884" i="3"/>
  <c r="V884" i="3" s="1"/>
  <c r="Q884" i="3"/>
  <c r="P884" i="3"/>
  <c r="S883" i="3"/>
  <c r="R883" i="3"/>
  <c r="V883" i="3" s="1"/>
  <c r="P883" i="3"/>
  <c r="Q883" i="3" s="1"/>
  <c r="T883" i="3" s="1"/>
  <c r="U883" i="3" s="1"/>
  <c r="V882" i="3"/>
  <c r="S882" i="3"/>
  <c r="P882" i="3"/>
  <c r="R882" i="3" s="1"/>
  <c r="S881" i="3"/>
  <c r="R881" i="3"/>
  <c r="V881" i="3" s="1"/>
  <c r="Q881" i="3"/>
  <c r="T881" i="3" s="1"/>
  <c r="U881" i="3" s="1"/>
  <c r="P881" i="3"/>
  <c r="V880" i="3"/>
  <c r="S880" i="3"/>
  <c r="R880" i="3"/>
  <c r="P880" i="3"/>
  <c r="Q880" i="3" s="1"/>
  <c r="T880" i="3" s="1"/>
  <c r="U880" i="3" s="1"/>
  <c r="S879" i="3"/>
  <c r="Q879" i="3"/>
  <c r="T879" i="3" s="1"/>
  <c r="U879" i="3" s="1"/>
  <c r="P879" i="3"/>
  <c r="R879" i="3" s="1"/>
  <c r="V879" i="3" s="1"/>
  <c r="T878" i="3"/>
  <c r="U878" i="3" s="1"/>
  <c r="S878" i="3"/>
  <c r="R878" i="3"/>
  <c r="V878" i="3" s="1"/>
  <c r="Q878" i="3"/>
  <c r="P878" i="3"/>
  <c r="U877" i="3"/>
  <c r="T877" i="3"/>
  <c r="S877" i="3"/>
  <c r="R877" i="3"/>
  <c r="V877" i="3" s="1"/>
  <c r="Q877" i="3"/>
  <c r="P877" i="3"/>
  <c r="S876" i="3"/>
  <c r="P876" i="3"/>
  <c r="S875" i="3"/>
  <c r="Q875" i="3"/>
  <c r="T875" i="3" s="1"/>
  <c r="U875" i="3" s="1"/>
  <c r="P875" i="3"/>
  <c r="R875" i="3" s="1"/>
  <c r="V875" i="3" s="1"/>
  <c r="S874" i="3"/>
  <c r="P874" i="3"/>
  <c r="Q874" i="3" s="1"/>
  <c r="T874" i="3" s="1"/>
  <c r="U874" i="3" s="1"/>
  <c r="S873" i="3"/>
  <c r="P873" i="3"/>
  <c r="R873" i="3" s="1"/>
  <c r="V873" i="3" s="1"/>
  <c r="T872" i="3"/>
  <c r="U872" i="3" s="1"/>
  <c r="S872" i="3"/>
  <c r="R872" i="3"/>
  <c r="V872" i="3" s="1"/>
  <c r="Q872" i="3"/>
  <c r="P872" i="3"/>
  <c r="U871" i="3"/>
  <c r="S871" i="3"/>
  <c r="R871" i="3"/>
  <c r="V871" i="3" s="1"/>
  <c r="P871" i="3"/>
  <c r="Q871" i="3" s="1"/>
  <c r="T871" i="3" s="1"/>
  <c r="S870" i="3"/>
  <c r="P870" i="3"/>
  <c r="S869" i="3"/>
  <c r="R869" i="3"/>
  <c r="V869" i="3" s="1"/>
  <c r="Q869" i="3"/>
  <c r="T869" i="3" s="1"/>
  <c r="U869" i="3" s="1"/>
  <c r="P869" i="3"/>
  <c r="V868" i="3"/>
  <c r="S868" i="3"/>
  <c r="R868" i="3"/>
  <c r="P868" i="3"/>
  <c r="Q868" i="3" s="1"/>
  <c r="T868" i="3" s="1"/>
  <c r="U868" i="3" s="1"/>
  <c r="S867" i="3"/>
  <c r="Q867" i="3"/>
  <c r="T867" i="3" s="1"/>
  <c r="U867" i="3" s="1"/>
  <c r="P867" i="3"/>
  <c r="R867" i="3" s="1"/>
  <c r="V867" i="3" s="1"/>
  <c r="T866" i="3"/>
  <c r="U866" i="3" s="1"/>
  <c r="S866" i="3"/>
  <c r="R866" i="3"/>
  <c r="V866" i="3" s="1"/>
  <c r="Q866" i="3"/>
  <c r="P866" i="3"/>
  <c r="U865" i="3"/>
  <c r="S865" i="3"/>
  <c r="R865" i="3"/>
  <c r="V865" i="3" s="1"/>
  <c r="Q865" i="3"/>
  <c r="T865" i="3" s="1"/>
  <c r="P865" i="3"/>
  <c r="S864" i="3"/>
  <c r="P864" i="3"/>
  <c r="U863" i="3"/>
  <c r="S863" i="3"/>
  <c r="Q863" i="3"/>
  <c r="T863" i="3" s="1"/>
  <c r="P863" i="3"/>
  <c r="R863" i="3" s="1"/>
  <c r="V863" i="3" s="1"/>
  <c r="S862" i="3"/>
  <c r="R862" i="3"/>
  <c r="V862" i="3" s="1"/>
  <c r="P862" i="3"/>
  <c r="Q862" i="3" s="1"/>
  <c r="T862" i="3" s="1"/>
  <c r="U862" i="3" s="1"/>
  <c r="S861" i="3"/>
  <c r="P861" i="3"/>
  <c r="R861" i="3" s="1"/>
  <c r="V861" i="3" s="1"/>
  <c r="T860" i="3"/>
  <c r="U860" i="3" s="1"/>
  <c r="S860" i="3"/>
  <c r="R860" i="3"/>
  <c r="V860" i="3" s="1"/>
  <c r="Q860" i="3"/>
  <c r="P860" i="3"/>
  <c r="S859" i="3"/>
  <c r="R859" i="3"/>
  <c r="V859" i="3" s="1"/>
  <c r="P859" i="3"/>
  <c r="Q859" i="3" s="1"/>
  <c r="T859" i="3" s="1"/>
  <c r="U859" i="3" s="1"/>
  <c r="S858" i="3"/>
  <c r="P858" i="3"/>
  <c r="S857" i="3"/>
  <c r="R857" i="3"/>
  <c r="V857" i="3" s="1"/>
  <c r="Q857" i="3"/>
  <c r="T857" i="3" s="1"/>
  <c r="U857" i="3" s="1"/>
  <c r="P857" i="3"/>
  <c r="S856" i="3"/>
  <c r="R856" i="3"/>
  <c r="V856" i="3" s="1"/>
  <c r="P856" i="3"/>
  <c r="Q856" i="3" s="1"/>
  <c r="T856" i="3" s="1"/>
  <c r="U856" i="3" s="1"/>
  <c r="S855" i="3"/>
  <c r="Q855" i="3"/>
  <c r="T855" i="3" s="1"/>
  <c r="U855" i="3" s="1"/>
  <c r="P855" i="3"/>
  <c r="R855" i="3" s="1"/>
  <c r="V855" i="3" s="1"/>
  <c r="T854" i="3"/>
  <c r="U854" i="3" s="1"/>
  <c r="S854" i="3"/>
  <c r="R854" i="3"/>
  <c r="V854" i="3" s="1"/>
  <c r="Q854" i="3"/>
  <c r="P854" i="3"/>
  <c r="S853" i="3"/>
  <c r="R853" i="3"/>
  <c r="V853" i="3" s="1"/>
  <c r="Q853" i="3"/>
  <c r="T853" i="3" s="1"/>
  <c r="U853" i="3" s="1"/>
  <c r="P853" i="3"/>
  <c r="S852" i="3"/>
  <c r="P852" i="3"/>
  <c r="S851" i="3"/>
  <c r="Q851" i="3"/>
  <c r="T851" i="3" s="1"/>
  <c r="U851" i="3" s="1"/>
  <c r="P851" i="3"/>
  <c r="R851" i="3" s="1"/>
  <c r="V851" i="3" s="1"/>
  <c r="S850" i="3"/>
  <c r="P850" i="3"/>
  <c r="Q850" i="3" s="1"/>
  <c r="T850" i="3" s="1"/>
  <c r="U850" i="3" s="1"/>
  <c r="S849" i="3"/>
  <c r="P849" i="3"/>
  <c r="R849" i="3" s="1"/>
  <c r="V849" i="3" s="1"/>
  <c r="T848" i="3"/>
  <c r="U848" i="3" s="1"/>
  <c r="S848" i="3"/>
  <c r="R848" i="3"/>
  <c r="V848" i="3" s="1"/>
  <c r="Q848" i="3"/>
  <c r="P848" i="3"/>
  <c r="U847" i="3"/>
  <c r="S847" i="3"/>
  <c r="R847" i="3"/>
  <c r="V847" i="3" s="1"/>
  <c r="P847" i="3"/>
  <c r="Q847" i="3" s="1"/>
  <c r="T847" i="3" s="1"/>
  <c r="S846" i="3"/>
  <c r="P846" i="3"/>
  <c r="S845" i="3"/>
  <c r="R845" i="3"/>
  <c r="V845" i="3" s="1"/>
  <c r="Q845" i="3"/>
  <c r="T845" i="3" s="1"/>
  <c r="U845" i="3" s="1"/>
  <c r="P845" i="3"/>
  <c r="V844" i="3"/>
  <c r="S844" i="3"/>
  <c r="R844" i="3"/>
  <c r="P844" i="3"/>
  <c r="Q844" i="3" s="1"/>
  <c r="T844" i="3" s="1"/>
  <c r="U844" i="3" s="1"/>
  <c r="S843" i="3"/>
  <c r="Q843" i="3"/>
  <c r="T843" i="3" s="1"/>
  <c r="U843" i="3" s="1"/>
  <c r="P843" i="3"/>
  <c r="R843" i="3" s="1"/>
  <c r="V843" i="3" s="1"/>
  <c r="T842" i="3"/>
  <c r="U842" i="3" s="1"/>
  <c r="S842" i="3"/>
  <c r="R842" i="3"/>
  <c r="V842" i="3" s="1"/>
  <c r="Q842" i="3"/>
  <c r="P842" i="3"/>
  <c r="U841" i="3"/>
  <c r="S841" i="3"/>
  <c r="R841" i="3"/>
  <c r="V841" i="3" s="1"/>
  <c r="Q841" i="3"/>
  <c r="T841" i="3" s="1"/>
  <c r="P841" i="3"/>
  <c r="S840" i="3"/>
  <c r="P840" i="3"/>
  <c r="S839" i="3"/>
  <c r="Q839" i="3"/>
  <c r="T839" i="3" s="1"/>
  <c r="U839" i="3" s="1"/>
  <c r="P839" i="3"/>
  <c r="R839" i="3" s="1"/>
  <c r="V839" i="3" s="1"/>
  <c r="S838" i="3"/>
  <c r="P838" i="3"/>
  <c r="Q838" i="3" s="1"/>
  <c r="T838" i="3" s="1"/>
  <c r="U838" i="3" s="1"/>
  <c r="S837" i="3"/>
  <c r="P837" i="3"/>
  <c r="S836" i="3"/>
  <c r="R836" i="3"/>
  <c r="V836" i="3" s="1"/>
  <c r="Q836" i="3"/>
  <c r="T836" i="3" s="1"/>
  <c r="U836" i="3" s="1"/>
  <c r="P836" i="3"/>
  <c r="S835" i="3"/>
  <c r="R835" i="3"/>
  <c r="V835" i="3" s="1"/>
  <c r="P835" i="3"/>
  <c r="Q835" i="3" s="1"/>
  <c r="T835" i="3" s="1"/>
  <c r="U835" i="3" s="1"/>
  <c r="S834" i="3"/>
  <c r="P834" i="3"/>
  <c r="T833" i="3"/>
  <c r="U833" i="3" s="1"/>
  <c r="S833" i="3"/>
  <c r="R833" i="3"/>
  <c r="V833" i="3" s="1"/>
  <c r="Q833" i="3"/>
  <c r="P833" i="3"/>
  <c r="S832" i="3"/>
  <c r="R832" i="3"/>
  <c r="V832" i="3" s="1"/>
  <c r="P832" i="3"/>
  <c r="Q832" i="3" s="1"/>
  <c r="T832" i="3" s="1"/>
  <c r="U832" i="3" s="1"/>
  <c r="S831" i="3"/>
  <c r="Q831" i="3"/>
  <c r="T831" i="3" s="1"/>
  <c r="U831" i="3" s="1"/>
  <c r="P831" i="3"/>
  <c r="R831" i="3" s="1"/>
  <c r="V831" i="3" s="1"/>
  <c r="T830" i="3"/>
  <c r="U830" i="3" s="1"/>
  <c r="S830" i="3"/>
  <c r="R830" i="3"/>
  <c r="V830" i="3" s="1"/>
  <c r="Q830" i="3"/>
  <c r="P830" i="3"/>
  <c r="U829" i="3"/>
  <c r="S829" i="3"/>
  <c r="R829" i="3"/>
  <c r="V829" i="3" s="1"/>
  <c r="Q829" i="3"/>
  <c r="T829" i="3" s="1"/>
  <c r="P829" i="3"/>
  <c r="S828" i="3"/>
  <c r="P828" i="3"/>
  <c r="S827" i="3"/>
  <c r="Q827" i="3"/>
  <c r="T827" i="3" s="1"/>
  <c r="U827" i="3" s="1"/>
  <c r="P827" i="3"/>
  <c r="R827" i="3" s="1"/>
  <c r="V827" i="3" s="1"/>
  <c r="S826" i="3"/>
  <c r="P826" i="3"/>
  <c r="Q826" i="3" s="1"/>
  <c r="T826" i="3" s="1"/>
  <c r="U826" i="3" s="1"/>
  <c r="V825" i="3"/>
  <c r="S825" i="3"/>
  <c r="Q825" i="3"/>
  <c r="T825" i="3" s="1"/>
  <c r="U825" i="3" s="1"/>
  <c r="P825" i="3"/>
  <c r="R825" i="3" s="1"/>
  <c r="S824" i="3"/>
  <c r="R824" i="3"/>
  <c r="V824" i="3" s="1"/>
  <c r="Q824" i="3"/>
  <c r="T824" i="3" s="1"/>
  <c r="U824" i="3" s="1"/>
  <c r="P824" i="3"/>
  <c r="S823" i="3"/>
  <c r="R823" i="3"/>
  <c r="V823" i="3" s="1"/>
  <c r="P823" i="3"/>
  <c r="Q823" i="3" s="1"/>
  <c r="T823" i="3" s="1"/>
  <c r="U823" i="3" s="1"/>
  <c r="S822" i="3"/>
  <c r="P822" i="3"/>
  <c r="T821" i="3"/>
  <c r="U821" i="3" s="1"/>
  <c r="S821" i="3"/>
  <c r="R821" i="3"/>
  <c r="V821" i="3" s="1"/>
  <c r="Q821" i="3"/>
  <c r="P821" i="3"/>
  <c r="V820" i="3"/>
  <c r="U820" i="3"/>
  <c r="S820" i="3"/>
  <c r="R820" i="3"/>
  <c r="P820" i="3"/>
  <c r="Q820" i="3" s="1"/>
  <c r="T820" i="3" s="1"/>
  <c r="S819" i="3"/>
  <c r="P819" i="3"/>
  <c r="R819" i="3" s="1"/>
  <c r="V819" i="3" s="1"/>
  <c r="S818" i="3"/>
  <c r="R818" i="3"/>
  <c r="V818" i="3" s="1"/>
  <c r="Q818" i="3"/>
  <c r="T818" i="3" s="1"/>
  <c r="U818" i="3" s="1"/>
  <c r="P818" i="3"/>
  <c r="V817" i="3"/>
  <c r="S817" i="3"/>
  <c r="R817" i="3"/>
  <c r="Q817" i="3"/>
  <c r="T817" i="3" s="1"/>
  <c r="U817" i="3" s="1"/>
  <c r="P817" i="3"/>
  <c r="S816" i="3"/>
  <c r="Q816" i="3"/>
  <c r="T816" i="3" s="1"/>
  <c r="U816" i="3" s="1"/>
  <c r="P816" i="3"/>
  <c r="R816" i="3" s="1"/>
  <c r="V816" i="3" s="1"/>
  <c r="U815" i="3"/>
  <c r="T815" i="3"/>
  <c r="S815" i="3"/>
  <c r="Q815" i="3"/>
  <c r="P815" i="3"/>
  <c r="R815" i="3" s="1"/>
  <c r="V815" i="3" s="1"/>
  <c r="S814" i="3"/>
  <c r="P814" i="3"/>
  <c r="Q814" i="3" s="1"/>
  <c r="T814" i="3" s="1"/>
  <c r="U814" i="3" s="1"/>
  <c r="V813" i="3"/>
  <c r="S813" i="3"/>
  <c r="Q813" i="3"/>
  <c r="T813" i="3" s="1"/>
  <c r="U813" i="3" s="1"/>
  <c r="P813" i="3"/>
  <c r="R813" i="3" s="1"/>
  <c r="S812" i="3"/>
  <c r="R812" i="3"/>
  <c r="V812" i="3" s="1"/>
  <c r="P812" i="3"/>
  <c r="Q812" i="3" s="1"/>
  <c r="T812" i="3" s="1"/>
  <c r="U812" i="3" s="1"/>
  <c r="S811" i="3"/>
  <c r="R811" i="3"/>
  <c r="V811" i="3" s="1"/>
  <c r="P811" i="3"/>
  <c r="Q811" i="3" s="1"/>
  <c r="T811" i="3" s="1"/>
  <c r="U811" i="3" s="1"/>
  <c r="T810" i="3"/>
  <c r="U810" i="3" s="1"/>
  <c r="S810" i="3"/>
  <c r="P810" i="3"/>
  <c r="Q810" i="3" s="1"/>
  <c r="S809" i="3"/>
  <c r="P809" i="3"/>
  <c r="R809" i="3" s="1"/>
  <c r="V809" i="3" s="1"/>
  <c r="U808" i="3"/>
  <c r="T808" i="3"/>
  <c r="S808" i="3"/>
  <c r="P808" i="3"/>
  <c r="Q808" i="3" s="1"/>
  <c r="S807" i="3"/>
  <c r="P807" i="3"/>
  <c r="R807" i="3" s="1"/>
  <c r="V807" i="3" s="1"/>
  <c r="V806" i="3"/>
  <c r="T806" i="3"/>
  <c r="U806" i="3" s="1"/>
  <c r="S806" i="3"/>
  <c r="R806" i="3"/>
  <c r="Q806" i="3"/>
  <c r="P806" i="3"/>
  <c r="S805" i="3"/>
  <c r="R805" i="3"/>
  <c r="V805" i="3" s="1"/>
  <c r="Q805" i="3"/>
  <c r="T805" i="3" s="1"/>
  <c r="U805" i="3" s="1"/>
  <c r="P805" i="3"/>
  <c r="V804" i="3"/>
  <c r="S804" i="3"/>
  <c r="P804" i="3"/>
  <c r="R804" i="3" s="1"/>
  <c r="S803" i="3"/>
  <c r="Q803" i="3"/>
  <c r="T803" i="3" s="1"/>
  <c r="U803" i="3" s="1"/>
  <c r="P803" i="3"/>
  <c r="R803" i="3" s="1"/>
  <c r="V803" i="3" s="1"/>
  <c r="S802" i="3"/>
  <c r="P802" i="3"/>
  <c r="R802" i="3" s="1"/>
  <c r="V802" i="3" s="1"/>
  <c r="S801" i="3"/>
  <c r="R801" i="3"/>
  <c r="V801" i="3" s="1"/>
  <c r="Q801" i="3"/>
  <c r="T801" i="3" s="1"/>
  <c r="U801" i="3" s="1"/>
  <c r="P801" i="3"/>
  <c r="S800" i="3"/>
  <c r="P800" i="3"/>
  <c r="R800" i="3" s="1"/>
  <c r="V800" i="3" s="1"/>
  <c r="S799" i="3"/>
  <c r="P799" i="3"/>
  <c r="S798" i="3"/>
  <c r="R798" i="3"/>
  <c r="V798" i="3" s="1"/>
  <c r="P798" i="3"/>
  <c r="Q798" i="3" s="1"/>
  <c r="T798" i="3" s="1"/>
  <c r="U798" i="3" s="1"/>
  <c r="T797" i="3"/>
  <c r="U797" i="3" s="1"/>
  <c r="S797" i="3"/>
  <c r="R797" i="3"/>
  <c r="V797" i="3" s="1"/>
  <c r="Q797" i="3"/>
  <c r="P797" i="3"/>
  <c r="S796" i="3"/>
  <c r="P796" i="3"/>
  <c r="R796" i="3" s="1"/>
  <c r="V796" i="3" s="1"/>
  <c r="S795" i="3"/>
  <c r="P795" i="3"/>
  <c r="R795" i="3" s="1"/>
  <c r="V795" i="3" s="1"/>
  <c r="V794" i="3"/>
  <c r="S794" i="3"/>
  <c r="R794" i="3"/>
  <c r="Q794" i="3"/>
  <c r="T794" i="3" s="1"/>
  <c r="U794" i="3" s="1"/>
  <c r="P794" i="3"/>
  <c r="S793" i="3"/>
  <c r="Q793" i="3"/>
  <c r="T793" i="3" s="1"/>
  <c r="U793" i="3" s="1"/>
  <c r="P793" i="3"/>
  <c r="R793" i="3" s="1"/>
  <c r="V793" i="3" s="1"/>
  <c r="S792" i="3"/>
  <c r="R792" i="3"/>
  <c r="V792" i="3" s="1"/>
  <c r="Q792" i="3"/>
  <c r="T792" i="3" s="1"/>
  <c r="U792" i="3" s="1"/>
  <c r="P792" i="3"/>
  <c r="S791" i="3"/>
  <c r="R791" i="3"/>
  <c r="V791" i="3" s="1"/>
  <c r="Q791" i="3"/>
  <c r="T791" i="3" s="1"/>
  <c r="U791" i="3" s="1"/>
  <c r="P791" i="3"/>
  <c r="V790" i="3"/>
  <c r="U790" i="3"/>
  <c r="T790" i="3"/>
  <c r="S790" i="3"/>
  <c r="R790" i="3"/>
  <c r="Q790" i="3"/>
  <c r="P790" i="3"/>
  <c r="S789" i="3"/>
  <c r="P789" i="3"/>
  <c r="R789" i="3" s="1"/>
  <c r="V789" i="3" s="1"/>
  <c r="S788" i="3"/>
  <c r="P788" i="3"/>
  <c r="R788" i="3" s="1"/>
  <c r="V788" i="3" s="1"/>
  <c r="S787" i="3"/>
  <c r="P787" i="3"/>
  <c r="S786" i="3"/>
  <c r="R786" i="3"/>
  <c r="V786" i="3" s="1"/>
  <c r="P786" i="3"/>
  <c r="Q786" i="3" s="1"/>
  <c r="T786" i="3" s="1"/>
  <c r="U786" i="3" s="1"/>
  <c r="T785" i="3"/>
  <c r="U785" i="3" s="1"/>
  <c r="S785" i="3"/>
  <c r="R785" i="3"/>
  <c r="V785" i="3" s="1"/>
  <c r="Q785" i="3"/>
  <c r="P785" i="3"/>
  <c r="S784" i="3"/>
  <c r="P784" i="3"/>
  <c r="R784" i="3" s="1"/>
  <c r="V784" i="3" s="1"/>
  <c r="S783" i="3"/>
  <c r="P783" i="3"/>
  <c r="R783" i="3" s="1"/>
  <c r="V783" i="3" s="1"/>
  <c r="V782" i="3"/>
  <c r="S782" i="3"/>
  <c r="R782" i="3"/>
  <c r="Q782" i="3"/>
  <c r="T782" i="3" s="1"/>
  <c r="U782" i="3" s="1"/>
  <c r="P782" i="3"/>
  <c r="V781" i="3"/>
  <c r="S781" i="3"/>
  <c r="Q781" i="3"/>
  <c r="T781" i="3" s="1"/>
  <c r="U781" i="3" s="1"/>
  <c r="P781" i="3"/>
  <c r="R781" i="3" s="1"/>
  <c r="S780" i="3"/>
  <c r="R780" i="3"/>
  <c r="V780" i="3" s="1"/>
  <c r="Q780" i="3"/>
  <c r="T780" i="3" s="1"/>
  <c r="U780" i="3" s="1"/>
  <c r="P780" i="3"/>
  <c r="S779" i="3"/>
  <c r="R779" i="3"/>
  <c r="V779" i="3" s="1"/>
  <c r="Q779" i="3"/>
  <c r="T779" i="3" s="1"/>
  <c r="U779" i="3" s="1"/>
  <c r="P779" i="3"/>
  <c r="V778" i="3"/>
  <c r="U778" i="3"/>
  <c r="T778" i="3"/>
  <c r="S778" i="3"/>
  <c r="R778" i="3"/>
  <c r="Q778" i="3"/>
  <c r="P778" i="3"/>
  <c r="S777" i="3"/>
  <c r="P777" i="3"/>
  <c r="R777" i="3" s="1"/>
  <c r="V777" i="3" s="1"/>
  <c r="S776" i="3"/>
  <c r="P776" i="3"/>
  <c r="R776" i="3" s="1"/>
  <c r="V776" i="3" s="1"/>
  <c r="S775" i="3"/>
  <c r="P775" i="3"/>
  <c r="S774" i="3"/>
  <c r="R774" i="3"/>
  <c r="V774" i="3" s="1"/>
  <c r="P774" i="3"/>
  <c r="Q774" i="3" s="1"/>
  <c r="T774" i="3" s="1"/>
  <c r="U774" i="3" s="1"/>
  <c r="T773" i="3"/>
  <c r="U773" i="3" s="1"/>
  <c r="S773" i="3"/>
  <c r="R773" i="3"/>
  <c r="V773" i="3" s="1"/>
  <c r="Q773" i="3"/>
  <c r="P773" i="3"/>
  <c r="S772" i="3"/>
  <c r="P772" i="3"/>
  <c r="R772" i="3" s="1"/>
  <c r="V772" i="3" s="1"/>
  <c r="S771" i="3"/>
  <c r="P771" i="3"/>
  <c r="R771" i="3" s="1"/>
  <c r="V771" i="3" s="1"/>
  <c r="V770" i="3"/>
  <c r="S770" i="3"/>
  <c r="R770" i="3"/>
  <c r="Q770" i="3"/>
  <c r="T770" i="3" s="1"/>
  <c r="U770" i="3" s="1"/>
  <c r="P770" i="3"/>
  <c r="S769" i="3"/>
  <c r="Q769" i="3"/>
  <c r="T769" i="3" s="1"/>
  <c r="U769" i="3" s="1"/>
  <c r="P769" i="3"/>
  <c r="R769" i="3" s="1"/>
  <c r="V769" i="3" s="1"/>
  <c r="S768" i="3"/>
  <c r="R768" i="3"/>
  <c r="V768" i="3" s="1"/>
  <c r="Q768" i="3"/>
  <c r="T768" i="3" s="1"/>
  <c r="U768" i="3" s="1"/>
  <c r="P768" i="3"/>
  <c r="S767" i="3"/>
  <c r="R767" i="3"/>
  <c r="V767" i="3" s="1"/>
  <c r="Q767" i="3"/>
  <c r="T767" i="3" s="1"/>
  <c r="U767" i="3" s="1"/>
  <c r="P767" i="3"/>
  <c r="V766" i="3"/>
  <c r="U766" i="3"/>
  <c r="T766" i="3"/>
  <c r="S766" i="3"/>
  <c r="R766" i="3"/>
  <c r="Q766" i="3"/>
  <c r="P766" i="3"/>
  <c r="S765" i="3"/>
  <c r="P765" i="3"/>
  <c r="R765" i="3" s="1"/>
  <c r="V765" i="3" s="1"/>
  <c r="S764" i="3"/>
  <c r="P764" i="3"/>
  <c r="R764" i="3" s="1"/>
  <c r="V764" i="3" s="1"/>
  <c r="S763" i="3"/>
  <c r="P763" i="3"/>
  <c r="S762" i="3"/>
  <c r="R762" i="3"/>
  <c r="V762" i="3" s="1"/>
  <c r="P762" i="3"/>
  <c r="Q762" i="3" s="1"/>
  <c r="T762" i="3" s="1"/>
  <c r="U762" i="3" s="1"/>
  <c r="T761" i="3"/>
  <c r="U761" i="3" s="1"/>
  <c r="S761" i="3"/>
  <c r="R761" i="3"/>
  <c r="V761" i="3" s="1"/>
  <c r="Q761" i="3"/>
  <c r="P761" i="3"/>
  <c r="S760" i="3"/>
  <c r="P760" i="3"/>
  <c r="R760" i="3" s="1"/>
  <c r="V760" i="3" s="1"/>
  <c r="S759" i="3"/>
  <c r="P759" i="3"/>
  <c r="R759" i="3" s="1"/>
  <c r="V759" i="3" s="1"/>
  <c r="S758" i="3"/>
  <c r="R758" i="3"/>
  <c r="V758" i="3" s="1"/>
  <c r="Q758" i="3"/>
  <c r="T758" i="3" s="1"/>
  <c r="U758" i="3" s="1"/>
  <c r="P758" i="3"/>
  <c r="S757" i="3"/>
  <c r="Q757" i="3"/>
  <c r="T757" i="3" s="1"/>
  <c r="U757" i="3" s="1"/>
  <c r="P757" i="3"/>
  <c r="R757" i="3" s="1"/>
  <c r="V757" i="3" s="1"/>
  <c r="S756" i="3"/>
  <c r="R756" i="3"/>
  <c r="V756" i="3" s="1"/>
  <c r="Q756" i="3"/>
  <c r="T756" i="3" s="1"/>
  <c r="U756" i="3" s="1"/>
  <c r="P756" i="3"/>
  <c r="S755" i="3"/>
  <c r="R755" i="3"/>
  <c r="V755" i="3" s="1"/>
  <c r="Q755" i="3"/>
  <c r="T755" i="3" s="1"/>
  <c r="U755" i="3" s="1"/>
  <c r="P755" i="3"/>
  <c r="V754" i="3"/>
  <c r="U754" i="3"/>
  <c r="T754" i="3"/>
  <c r="S754" i="3"/>
  <c r="R754" i="3"/>
  <c r="Q754" i="3"/>
  <c r="P754" i="3"/>
  <c r="S753" i="3"/>
  <c r="P753" i="3"/>
  <c r="R753" i="3" s="1"/>
  <c r="V753" i="3" s="1"/>
  <c r="S752" i="3"/>
  <c r="P752" i="3"/>
  <c r="R752" i="3" s="1"/>
  <c r="V752" i="3" s="1"/>
  <c r="S751" i="3"/>
  <c r="P751" i="3"/>
  <c r="S750" i="3"/>
  <c r="R750" i="3"/>
  <c r="V750" i="3" s="1"/>
  <c r="P750" i="3"/>
  <c r="Q750" i="3" s="1"/>
  <c r="T750" i="3" s="1"/>
  <c r="U750" i="3" s="1"/>
  <c r="T749" i="3"/>
  <c r="U749" i="3" s="1"/>
  <c r="S749" i="3"/>
  <c r="R749" i="3"/>
  <c r="V749" i="3" s="1"/>
  <c r="Q749" i="3"/>
  <c r="P749" i="3"/>
  <c r="S748" i="3"/>
  <c r="P748" i="3"/>
  <c r="R748" i="3" s="1"/>
  <c r="V748" i="3" s="1"/>
  <c r="S747" i="3"/>
  <c r="P747" i="3"/>
  <c r="R747" i="3" s="1"/>
  <c r="V747" i="3" s="1"/>
  <c r="S746" i="3"/>
  <c r="R746" i="3"/>
  <c r="V746" i="3" s="1"/>
  <c r="Q746" i="3"/>
  <c r="T746" i="3" s="1"/>
  <c r="U746" i="3" s="1"/>
  <c r="P746" i="3"/>
  <c r="S745" i="3"/>
  <c r="Q745" i="3"/>
  <c r="T745" i="3" s="1"/>
  <c r="U745" i="3" s="1"/>
  <c r="P745" i="3"/>
  <c r="R745" i="3" s="1"/>
  <c r="V745" i="3" s="1"/>
  <c r="S744" i="3"/>
  <c r="R744" i="3"/>
  <c r="V744" i="3" s="1"/>
  <c r="Q744" i="3"/>
  <c r="T744" i="3" s="1"/>
  <c r="U744" i="3" s="1"/>
  <c r="P744" i="3"/>
  <c r="S743" i="3"/>
  <c r="R743" i="3"/>
  <c r="V743" i="3" s="1"/>
  <c r="Q743" i="3"/>
  <c r="T743" i="3" s="1"/>
  <c r="U743" i="3" s="1"/>
  <c r="P743" i="3"/>
  <c r="V742" i="3"/>
  <c r="U742" i="3"/>
  <c r="T742" i="3"/>
  <c r="S742" i="3"/>
  <c r="R742" i="3"/>
  <c r="Q742" i="3"/>
  <c r="P742" i="3"/>
  <c r="S741" i="3"/>
  <c r="P741" i="3"/>
  <c r="R741" i="3" s="1"/>
  <c r="V741" i="3" s="1"/>
  <c r="S740" i="3"/>
  <c r="P740" i="3"/>
  <c r="R740" i="3" s="1"/>
  <c r="V740" i="3" s="1"/>
  <c r="S739" i="3"/>
  <c r="P739" i="3"/>
  <c r="S738" i="3"/>
  <c r="R738" i="3"/>
  <c r="V738" i="3" s="1"/>
  <c r="P738" i="3"/>
  <c r="Q738" i="3" s="1"/>
  <c r="T738" i="3" s="1"/>
  <c r="U738" i="3" s="1"/>
  <c r="T737" i="3"/>
  <c r="U737" i="3" s="1"/>
  <c r="S737" i="3"/>
  <c r="R737" i="3"/>
  <c r="V737" i="3" s="1"/>
  <c r="Q737" i="3"/>
  <c r="P737" i="3"/>
  <c r="S736" i="3"/>
  <c r="P736" i="3"/>
  <c r="R736" i="3" s="1"/>
  <c r="V736" i="3" s="1"/>
  <c r="S735" i="3"/>
  <c r="P735" i="3"/>
  <c r="R735" i="3" s="1"/>
  <c r="V735" i="3" s="1"/>
  <c r="S734" i="3"/>
  <c r="R734" i="3"/>
  <c r="V734" i="3" s="1"/>
  <c r="Q734" i="3"/>
  <c r="T734" i="3" s="1"/>
  <c r="U734" i="3" s="1"/>
  <c r="P734" i="3"/>
  <c r="V733" i="3"/>
  <c r="S733" i="3"/>
  <c r="Q733" i="3"/>
  <c r="T733" i="3" s="1"/>
  <c r="U733" i="3" s="1"/>
  <c r="P733" i="3"/>
  <c r="R733" i="3" s="1"/>
  <c r="S732" i="3"/>
  <c r="R732" i="3"/>
  <c r="V732" i="3" s="1"/>
  <c r="Q732" i="3"/>
  <c r="T732" i="3" s="1"/>
  <c r="U732" i="3" s="1"/>
  <c r="P732" i="3"/>
  <c r="S731" i="3"/>
  <c r="R731" i="3"/>
  <c r="V731" i="3" s="1"/>
  <c r="Q731" i="3"/>
  <c r="T731" i="3" s="1"/>
  <c r="U731" i="3" s="1"/>
  <c r="P731" i="3"/>
  <c r="V730" i="3"/>
  <c r="U730" i="3"/>
  <c r="T730" i="3"/>
  <c r="S730" i="3"/>
  <c r="R730" i="3"/>
  <c r="Q730" i="3"/>
  <c r="P730" i="3"/>
  <c r="S729" i="3"/>
  <c r="P729" i="3"/>
  <c r="S728" i="3"/>
  <c r="P728" i="3"/>
  <c r="R728" i="3" s="1"/>
  <c r="V728" i="3" s="1"/>
  <c r="S727" i="3"/>
  <c r="P727" i="3"/>
  <c r="Q727" i="3" s="1"/>
  <c r="T727" i="3" s="1"/>
  <c r="U727" i="3" s="1"/>
  <c r="S726" i="3"/>
  <c r="R726" i="3"/>
  <c r="V726" i="3" s="1"/>
  <c r="P726" i="3"/>
  <c r="Q726" i="3" s="1"/>
  <c r="T726" i="3" s="1"/>
  <c r="U726" i="3" s="1"/>
  <c r="T725" i="3"/>
  <c r="U725" i="3" s="1"/>
  <c r="S725" i="3"/>
  <c r="R725" i="3"/>
  <c r="V725" i="3" s="1"/>
  <c r="Q725" i="3"/>
  <c r="P725" i="3"/>
  <c r="S724" i="3"/>
  <c r="P724" i="3"/>
  <c r="R724" i="3" s="1"/>
  <c r="V724" i="3" s="1"/>
  <c r="S723" i="3"/>
  <c r="P723" i="3"/>
  <c r="R723" i="3" s="1"/>
  <c r="V723" i="3" s="1"/>
  <c r="S722" i="3"/>
  <c r="R722" i="3"/>
  <c r="V722" i="3" s="1"/>
  <c r="Q722" i="3"/>
  <c r="T722" i="3" s="1"/>
  <c r="U722" i="3" s="1"/>
  <c r="P722" i="3"/>
  <c r="S721" i="3"/>
  <c r="Q721" i="3"/>
  <c r="T721" i="3" s="1"/>
  <c r="U721" i="3" s="1"/>
  <c r="P721" i="3"/>
  <c r="R721" i="3" s="1"/>
  <c r="V721" i="3" s="1"/>
  <c r="S720" i="3"/>
  <c r="R720" i="3"/>
  <c r="V720" i="3" s="1"/>
  <c r="Q720" i="3"/>
  <c r="T720" i="3" s="1"/>
  <c r="U720" i="3" s="1"/>
  <c r="P720" i="3"/>
  <c r="S719" i="3"/>
  <c r="R719" i="3"/>
  <c r="V719" i="3" s="1"/>
  <c r="Q719" i="3"/>
  <c r="T719" i="3" s="1"/>
  <c r="U719" i="3" s="1"/>
  <c r="P719" i="3"/>
  <c r="V718" i="3"/>
  <c r="U718" i="3"/>
  <c r="T718" i="3"/>
  <c r="S718" i="3"/>
  <c r="R718" i="3"/>
  <c r="Q718" i="3"/>
  <c r="P718" i="3"/>
  <c r="S717" i="3"/>
  <c r="P717" i="3"/>
  <c r="S716" i="3"/>
  <c r="P716" i="3"/>
  <c r="R716" i="3" s="1"/>
  <c r="V716" i="3" s="1"/>
  <c r="S715" i="3"/>
  <c r="R715" i="3"/>
  <c r="V715" i="3" s="1"/>
  <c r="P715" i="3"/>
  <c r="Q715" i="3" s="1"/>
  <c r="T715" i="3" s="1"/>
  <c r="U715" i="3" s="1"/>
  <c r="S714" i="3"/>
  <c r="R714" i="3"/>
  <c r="V714" i="3" s="1"/>
  <c r="P714" i="3"/>
  <c r="Q714" i="3" s="1"/>
  <c r="T714" i="3" s="1"/>
  <c r="U714" i="3" s="1"/>
  <c r="T713" i="3"/>
  <c r="U713" i="3" s="1"/>
  <c r="S713" i="3"/>
  <c r="R713" i="3"/>
  <c r="V713" i="3" s="1"/>
  <c r="Q713" i="3"/>
  <c r="P713" i="3"/>
  <c r="S712" i="3"/>
  <c r="P712" i="3"/>
  <c r="S711" i="3"/>
  <c r="P711" i="3"/>
  <c r="R711" i="3" s="1"/>
  <c r="V711" i="3" s="1"/>
  <c r="S710" i="3"/>
  <c r="R710" i="3"/>
  <c r="V710" i="3" s="1"/>
  <c r="Q710" i="3"/>
  <c r="T710" i="3" s="1"/>
  <c r="U710" i="3" s="1"/>
  <c r="P710" i="3"/>
  <c r="V709" i="3"/>
  <c r="S709" i="3"/>
  <c r="Q709" i="3"/>
  <c r="T709" i="3" s="1"/>
  <c r="U709" i="3" s="1"/>
  <c r="P709" i="3"/>
  <c r="R709" i="3" s="1"/>
  <c r="S708" i="3"/>
  <c r="R708" i="3"/>
  <c r="V708" i="3" s="1"/>
  <c r="Q708" i="3"/>
  <c r="T708" i="3" s="1"/>
  <c r="U708" i="3" s="1"/>
  <c r="P708" i="3"/>
  <c r="S707" i="3"/>
  <c r="R707" i="3"/>
  <c r="V707" i="3" s="1"/>
  <c r="Q707" i="3"/>
  <c r="T707" i="3" s="1"/>
  <c r="U707" i="3" s="1"/>
  <c r="P707" i="3"/>
  <c r="V706" i="3"/>
  <c r="U706" i="3"/>
  <c r="T706" i="3"/>
  <c r="S706" i="3"/>
  <c r="R706" i="3"/>
  <c r="Q706" i="3"/>
  <c r="P706" i="3"/>
  <c r="S705" i="3"/>
  <c r="P705" i="3"/>
  <c r="R705" i="3" s="1"/>
  <c r="V705" i="3" s="1"/>
  <c r="S704" i="3"/>
  <c r="P704" i="3"/>
  <c r="R704" i="3" s="1"/>
  <c r="V704" i="3" s="1"/>
  <c r="S703" i="3"/>
  <c r="R703" i="3"/>
  <c r="V703" i="3" s="1"/>
  <c r="P703" i="3"/>
  <c r="Q703" i="3" s="1"/>
  <c r="T703" i="3" s="1"/>
  <c r="U703" i="3" s="1"/>
  <c r="S702" i="3"/>
  <c r="R702" i="3"/>
  <c r="V702" i="3" s="1"/>
  <c r="P702" i="3"/>
  <c r="Q702" i="3" s="1"/>
  <c r="T702" i="3" s="1"/>
  <c r="U702" i="3" s="1"/>
  <c r="T701" i="3"/>
  <c r="U701" i="3" s="1"/>
  <c r="S701" i="3"/>
  <c r="R701" i="3"/>
  <c r="V701" i="3" s="1"/>
  <c r="Q701" i="3"/>
  <c r="P701" i="3"/>
  <c r="S700" i="3"/>
  <c r="P700" i="3"/>
  <c r="S699" i="3"/>
  <c r="P699" i="3"/>
  <c r="R699" i="3" s="1"/>
  <c r="V699" i="3" s="1"/>
  <c r="S698" i="3"/>
  <c r="R698" i="3"/>
  <c r="V698" i="3" s="1"/>
  <c r="Q698" i="3"/>
  <c r="T698" i="3" s="1"/>
  <c r="U698" i="3" s="1"/>
  <c r="P698" i="3"/>
  <c r="V697" i="3"/>
  <c r="S697" i="3"/>
  <c r="Q697" i="3"/>
  <c r="T697" i="3" s="1"/>
  <c r="U697" i="3" s="1"/>
  <c r="P697" i="3"/>
  <c r="R697" i="3" s="1"/>
  <c r="S696" i="3"/>
  <c r="R696" i="3"/>
  <c r="V696" i="3" s="1"/>
  <c r="Q696" i="3"/>
  <c r="T696" i="3" s="1"/>
  <c r="U696" i="3" s="1"/>
  <c r="P696" i="3"/>
  <c r="S695" i="3"/>
  <c r="R695" i="3"/>
  <c r="V695" i="3" s="1"/>
  <c r="Q695" i="3"/>
  <c r="T695" i="3" s="1"/>
  <c r="U695" i="3" s="1"/>
  <c r="P695" i="3"/>
  <c r="V694" i="3"/>
  <c r="U694" i="3"/>
  <c r="T694" i="3"/>
  <c r="S694" i="3"/>
  <c r="R694" i="3"/>
  <c r="Q694" i="3"/>
  <c r="P694" i="3"/>
  <c r="S693" i="3"/>
  <c r="P693" i="3"/>
  <c r="R693" i="3" s="1"/>
  <c r="V693" i="3" s="1"/>
  <c r="S692" i="3"/>
  <c r="P692" i="3"/>
  <c r="S691" i="3"/>
  <c r="P691" i="3"/>
  <c r="Q691" i="3" s="1"/>
  <c r="T691" i="3" s="1"/>
  <c r="U691" i="3" s="1"/>
  <c r="S690" i="3"/>
  <c r="R690" i="3"/>
  <c r="V690" i="3" s="1"/>
  <c r="P690" i="3"/>
  <c r="Q690" i="3" s="1"/>
  <c r="T690" i="3" s="1"/>
  <c r="U690" i="3" s="1"/>
  <c r="T689" i="3"/>
  <c r="U689" i="3" s="1"/>
  <c r="S689" i="3"/>
  <c r="R689" i="3"/>
  <c r="V689" i="3" s="1"/>
  <c r="Q689" i="3"/>
  <c r="P689" i="3"/>
  <c r="S688" i="3"/>
  <c r="P688" i="3"/>
  <c r="V687" i="3"/>
  <c r="S687" i="3"/>
  <c r="P687" i="3"/>
  <c r="R687" i="3" s="1"/>
  <c r="V686" i="3"/>
  <c r="S686" i="3"/>
  <c r="R686" i="3"/>
  <c r="Q686" i="3"/>
  <c r="T686" i="3" s="1"/>
  <c r="U686" i="3" s="1"/>
  <c r="P686" i="3"/>
  <c r="S685" i="3"/>
  <c r="Q685" i="3"/>
  <c r="T685" i="3" s="1"/>
  <c r="U685" i="3" s="1"/>
  <c r="P685" i="3"/>
  <c r="R685" i="3" s="1"/>
  <c r="V685" i="3" s="1"/>
  <c r="S684" i="3"/>
  <c r="R684" i="3"/>
  <c r="V684" i="3" s="1"/>
  <c r="Q684" i="3"/>
  <c r="T684" i="3" s="1"/>
  <c r="U684" i="3" s="1"/>
  <c r="P684" i="3"/>
  <c r="S683" i="3"/>
  <c r="R683" i="3"/>
  <c r="V683" i="3" s="1"/>
  <c r="Q683" i="3"/>
  <c r="T683" i="3" s="1"/>
  <c r="U683" i="3" s="1"/>
  <c r="P683" i="3"/>
  <c r="V682" i="3"/>
  <c r="U682" i="3"/>
  <c r="T682" i="3"/>
  <c r="S682" i="3"/>
  <c r="R682" i="3"/>
  <c r="Q682" i="3"/>
  <c r="P682" i="3"/>
  <c r="S681" i="3"/>
  <c r="Q681" i="3"/>
  <c r="T681" i="3" s="1"/>
  <c r="U681" i="3" s="1"/>
  <c r="P681" i="3"/>
  <c r="R681" i="3" s="1"/>
  <c r="V681" i="3" s="1"/>
  <c r="S680" i="3"/>
  <c r="P680" i="3"/>
  <c r="S679" i="3"/>
  <c r="R679" i="3"/>
  <c r="V679" i="3" s="1"/>
  <c r="P679" i="3"/>
  <c r="Q679" i="3" s="1"/>
  <c r="T679" i="3" s="1"/>
  <c r="U679" i="3" s="1"/>
  <c r="S678" i="3"/>
  <c r="R678" i="3"/>
  <c r="V678" i="3" s="1"/>
  <c r="P678" i="3"/>
  <c r="Q678" i="3" s="1"/>
  <c r="T678" i="3" s="1"/>
  <c r="U678" i="3" s="1"/>
  <c r="T677" i="3"/>
  <c r="U677" i="3" s="1"/>
  <c r="S677" i="3"/>
  <c r="R677" i="3"/>
  <c r="V677" i="3" s="1"/>
  <c r="Q677" i="3"/>
  <c r="P677" i="3"/>
  <c r="S676" i="3"/>
  <c r="P676" i="3"/>
  <c r="S675" i="3"/>
  <c r="P675" i="3"/>
  <c r="R675" i="3" s="1"/>
  <c r="V675" i="3" s="1"/>
  <c r="V674" i="3"/>
  <c r="S674" i="3"/>
  <c r="R674" i="3"/>
  <c r="Q674" i="3"/>
  <c r="T674" i="3" s="1"/>
  <c r="U674" i="3" s="1"/>
  <c r="P674" i="3"/>
  <c r="V673" i="3"/>
  <c r="S673" i="3"/>
  <c r="Q673" i="3"/>
  <c r="T673" i="3" s="1"/>
  <c r="U673" i="3" s="1"/>
  <c r="P673" i="3"/>
  <c r="R673" i="3" s="1"/>
  <c r="S672" i="3"/>
  <c r="R672" i="3"/>
  <c r="V672" i="3" s="1"/>
  <c r="Q672" i="3"/>
  <c r="T672" i="3" s="1"/>
  <c r="U672" i="3" s="1"/>
  <c r="P672" i="3"/>
  <c r="S671" i="3"/>
  <c r="R671" i="3"/>
  <c r="V671" i="3" s="1"/>
  <c r="Q671" i="3"/>
  <c r="T671" i="3" s="1"/>
  <c r="U671" i="3" s="1"/>
  <c r="P671" i="3"/>
  <c r="V670" i="3"/>
  <c r="S670" i="3"/>
  <c r="R670" i="3"/>
  <c r="P670" i="3"/>
  <c r="Q670" i="3" s="1"/>
  <c r="T670" i="3" s="1"/>
  <c r="U670" i="3" s="1"/>
  <c r="U669" i="3"/>
  <c r="S669" i="3"/>
  <c r="Q669" i="3"/>
  <c r="T669" i="3" s="1"/>
  <c r="P669" i="3"/>
  <c r="R669" i="3" s="1"/>
  <c r="V669" i="3" s="1"/>
  <c r="S668" i="3"/>
  <c r="P668" i="3"/>
  <c r="S667" i="3"/>
  <c r="R667" i="3"/>
  <c r="V667" i="3" s="1"/>
  <c r="Q667" i="3"/>
  <c r="T667" i="3" s="1"/>
  <c r="U667" i="3" s="1"/>
  <c r="P667" i="3"/>
  <c r="S666" i="3"/>
  <c r="R666" i="3"/>
  <c r="V666" i="3" s="1"/>
  <c r="P666" i="3"/>
  <c r="Q666" i="3" s="1"/>
  <c r="T666" i="3" s="1"/>
  <c r="U666" i="3" s="1"/>
  <c r="T665" i="3"/>
  <c r="U665" i="3" s="1"/>
  <c r="S665" i="3"/>
  <c r="R665" i="3"/>
  <c r="V665" i="3" s="1"/>
  <c r="Q665" i="3"/>
  <c r="P665" i="3"/>
  <c r="S664" i="3"/>
  <c r="P664" i="3"/>
  <c r="V663" i="3"/>
  <c r="S663" i="3"/>
  <c r="P663" i="3"/>
  <c r="R663" i="3" s="1"/>
  <c r="S662" i="3"/>
  <c r="P662" i="3"/>
  <c r="R662" i="3" s="1"/>
  <c r="V662" i="3" s="1"/>
  <c r="V661" i="3"/>
  <c r="S661" i="3"/>
  <c r="Q661" i="3"/>
  <c r="T661" i="3" s="1"/>
  <c r="U661" i="3" s="1"/>
  <c r="P661" i="3"/>
  <c r="R661" i="3" s="1"/>
  <c r="S660" i="3"/>
  <c r="R660" i="3"/>
  <c r="V660" i="3" s="1"/>
  <c r="Q660" i="3"/>
  <c r="T660" i="3" s="1"/>
  <c r="U660" i="3" s="1"/>
  <c r="P660" i="3"/>
  <c r="S659" i="3"/>
  <c r="R659" i="3"/>
  <c r="V659" i="3" s="1"/>
  <c r="Q659" i="3"/>
  <c r="T659" i="3" s="1"/>
  <c r="U659" i="3" s="1"/>
  <c r="P659" i="3"/>
  <c r="V658" i="3"/>
  <c r="S658" i="3"/>
  <c r="R658" i="3"/>
  <c r="P658" i="3"/>
  <c r="Q658" i="3" s="1"/>
  <c r="T658" i="3" s="1"/>
  <c r="U658" i="3" s="1"/>
  <c r="S657" i="3"/>
  <c r="P657" i="3"/>
  <c r="R657" i="3" s="1"/>
  <c r="V657" i="3" s="1"/>
  <c r="S656" i="3"/>
  <c r="P656" i="3"/>
  <c r="S655" i="3"/>
  <c r="Q655" i="3"/>
  <c r="T655" i="3" s="1"/>
  <c r="U655" i="3" s="1"/>
  <c r="P655" i="3"/>
  <c r="R655" i="3" s="1"/>
  <c r="V655" i="3" s="1"/>
  <c r="V654" i="3"/>
  <c r="S654" i="3"/>
  <c r="R654" i="3"/>
  <c r="P654" i="3"/>
  <c r="Q654" i="3" s="1"/>
  <c r="T654" i="3" s="1"/>
  <c r="U654" i="3" s="1"/>
  <c r="U653" i="3"/>
  <c r="T653" i="3"/>
  <c r="S653" i="3"/>
  <c r="R653" i="3"/>
  <c r="V653" i="3" s="1"/>
  <c r="Q653" i="3"/>
  <c r="P653" i="3"/>
  <c r="T652" i="3"/>
  <c r="U652" i="3" s="1"/>
  <c r="S652" i="3"/>
  <c r="R652" i="3"/>
  <c r="V652" i="3" s="1"/>
  <c r="P652" i="3"/>
  <c r="Q652" i="3" s="1"/>
  <c r="S651" i="3"/>
  <c r="P651" i="3"/>
  <c r="R651" i="3" s="1"/>
  <c r="V651" i="3" s="1"/>
  <c r="S650" i="3"/>
  <c r="R650" i="3"/>
  <c r="V650" i="3" s="1"/>
  <c r="P650" i="3"/>
  <c r="Q650" i="3" s="1"/>
  <c r="T650" i="3" s="1"/>
  <c r="U650" i="3" s="1"/>
  <c r="S649" i="3"/>
  <c r="Q649" i="3"/>
  <c r="T649" i="3" s="1"/>
  <c r="U649" i="3" s="1"/>
  <c r="P649" i="3"/>
  <c r="R649" i="3" s="1"/>
  <c r="V649" i="3" s="1"/>
  <c r="S648" i="3"/>
  <c r="Q648" i="3"/>
  <c r="T648" i="3" s="1"/>
  <c r="U648" i="3" s="1"/>
  <c r="P648" i="3"/>
  <c r="R648" i="3" s="1"/>
  <c r="V648" i="3" s="1"/>
  <c r="S647" i="3"/>
  <c r="R647" i="3"/>
  <c r="V647" i="3" s="1"/>
  <c r="Q647" i="3"/>
  <c r="T647" i="3" s="1"/>
  <c r="U647" i="3" s="1"/>
  <c r="P647" i="3"/>
  <c r="V646" i="3"/>
  <c r="T646" i="3"/>
  <c r="U646" i="3" s="1"/>
  <c r="S646" i="3"/>
  <c r="R646" i="3"/>
  <c r="P646" i="3"/>
  <c r="Q646" i="3" s="1"/>
  <c r="U645" i="3"/>
  <c r="S645" i="3"/>
  <c r="Q645" i="3"/>
  <c r="T645" i="3" s="1"/>
  <c r="P645" i="3"/>
  <c r="R645" i="3" s="1"/>
  <c r="V645" i="3" s="1"/>
  <c r="S644" i="3"/>
  <c r="P644" i="3"/>
  <c r="S643" i="3"/>
  <c r="Q643" i="3"/>
  <c r="T643" i="3" s="1"/>
  <c r="U643" i="3" s="1"/>
  <c r="P643" i="3"/>
  <c r="R643" i="3" s="1"/>
  <c r="V643" i="3" s="1"/>
  <c r="S642" i="3"/>
  <c r="P642" i="3"/>
  <c r="Q642" i="3" s="1"/>
  <c r="T642" i="3" s="1"/>
  <c r="U642" i="3" s="1"/>
  <c r="U641" i="3"/>
  <c r="T641" i="3"/>
  <c r="S641" i="3"/>
  <c r="R641" i="3"/>
  <c r="V641" i="3" s="1"/>
  <c r="Q641" i="3"/>
  <c r="P641" i="3"/>
  <c r="T640" i="3"/>
  <c r="U640" i="3" s="1"/>
  <c r="S640" i="3"/>
  <c r="R640" i="3"/>
  <c r="V640" i="3" s="1"/>
  <c r="P640" i="3"/>
  <c r="Q640" i="3" s="1"/>
  <c r="S639" i="3"/>
  <c r="P639" i="3"/>
  <c r="R639" i="3" s="1"/>
  <c r="V639" i="3" s="1"/>
  <c r="S638" i="3"/>
  <c r="R638" i="3"/>
  <c r="V638" i="3" s="1"/>
  <c r="P638" i="3"/>
  <c r="Q638" i="3" s="1"/>
  <c r="T638" i="3" s="1"/>
  <c r="U638" i="3" s="1"/>
  <c r="S637" i="3"/>
  <c r="Q637" i="3"/>
  <c r="T637" i="3" s="1"/>
  <c r="U637" i="3" s="1"/>
  <c r="P637" i="3"/>
  <c r="R637" i="3" s="1"/>
  <c r="V637" i="3" s="1"/>
  <c r="V636" i="3"/>
  <c r="S636" i="3"/>
  <c r="Q636" i="3"/>
  <c r="T636" i="3" s="1"/>
  <c r="U636" i="3" s="1"/>
  <c r="P636" i="3"/>
  <c r="R636" i="3" s="1"/>
  <c r="S635" i="3"/>
  <c r="R635" i="3"/>
  <c r="V635" i="3" s="1"/>
  <c r="Q635" i="3"/>
  <c r="T635" i="3" s="1"/>
  <c r="U635" i="3" s="1"/>
  <c r="P635" i="3"/>
  <c r="V634" i="3"/>
  <c r="T634" i="3"/>
  <c r="U634" i="3" s="1"/>
  <c r="S634" i="3"/>
  <c r="R634" i="3"/>
  <c r="P634" i="3"/>
  <c r="Q634" i="3" s="1"/>
  <c r="S633" i="3"/>
  <c r="P633" i="3"/>
  <c r="R633" i="3" s="1"/>
  <c r="V633" i="3" s="1"/>
  <c r="V632" i="3"/>
  <c r="U632" i="3"/>
  <c r="T632" i="3"/>
  <c r="S632" i="3"/>
  <c r="R632" i="3"/>
  <c r="P632" i="3"/>
  <c r="Q632" i="3" s="1"/>
  <c r="S631" i="3"/>
  <c r="R631" i="3"/>
  <c r="V631" i="3" s="1"/>
  <c r="P631" i="3"/>
  <c r="Q631" i="3" s="1"/>
  <c r="T631" i="3" s="1"/>
  <c r="U631" i="3" s="1"/>
  <c r="T630" i="3"/>
  <c r="U630" i="3" s="1"/>
  <c r="S630" i="3"/>
  <c r="R630" i="3"/>
  <c r="V630" i="3" s="1"/>
  <c r="Q630" i="3"/>
  <c r="P630" i="3"/>
  <c r="U629" i="3"/>
  <c r="T629" i="3"/>
  <c r="S629" i="3"/>
  <c r="R629" i="3"/>
  <c r="V629" i="3" s="1"/>
  <c r="Q629" i="3"/>
  <c r="P629" i="3"/>
  <c r="S628" i="3"/>
  <c r="P628" i="3"/>
  <c r="R628" i="3" s="1"/>
  <c r="V628" i="3" s="1"/>
  <c r="S627" i="3"/>
  <c r="R627" i="3"/>
  <c r="V627" i="3" s="1"/>
  <c r="Q627" i="3"/>
  <c r="T627" i="3" s="1"/>
  <c r="U627" i="3" s="1"/>
  <c r="P627" i="3"/>
  <c r="V626" i="3"/>
  <c r="S626" i="3"/>
  <c r="R626" i="3"/>
  <c r="P626" i="3"/>
  <c r="Q626" i="3" s="1"/>
  <c r="T626" i="3" s="1"/>
  <c r="U626" i="3" s="1"/>
  <c r="S625" i="3"/>
  <c r="R625" i="3"/>
  <c r="V625" i="3" s="1"/>
  <c r="Q625" i="3"/>
  <c r="T625" i="3" s="1"/>
  <c r="U625" i="3" s="1"/>
  <c r="P625" i="3"/>
  <c r="S624" i="3"/>
  <c r="R624" i="3"/>
  <c r="V624" i="3" s="1"/>
  <c r="P624" i="3"/>
  <c r="Q624" i="3" s="1"/>
  <c r="T624" i="3" s="1"/>
  <c r="U624" i="3" s="1"/>
  <c r="V623" i="3"/>
  <c r="U623" i="3"/>
  <c r="T623" i="3"/>
  <c r="S623" i="3"/>
  <c r="R623" i="3"/>
  <c r="Q623" i="3"/>
  <c r="P623" i="3"/>
  <c r="S622" i="3"/>
  <c r="P622" i="3"/>
  <c r="R622" i="3" s="1"/>
  <c r="V622" i="3" s="1"/>
  <c r="U621" i="3"/>
  <c r="S621" i="3"/>
  <c r="Q621" i="3"/>
  <c r="T621" i="3" s="1"/>
  <c r="P621" i="3"/>
  <c r="R621" i="3" s="1"/>
  <c r="V621" i="3" s="1"/>
  <c r="S620" i="3"/>
  <c r="P620" i="3"/>
  <c r="V619" i="3"/>
  <c r="S619" i="3"/>
  <c r="R619" i="3"/>
  <c r="Q619" i="3"/>
  <c r="T619" i="3" s="1"/>
  <c r="U619" i="3" s="1"/>
  <c r="P619" i="3"/>
  <c r="T618" i="3"/>
  <c r="U618" i="3" s="1"/>
  <c r="S618" i="3"/>
  <c r="R618" i="3"/>
  <c r="V618" i="3" s="1"/>
  <c r="Q618" i="3"/>
  <c r="P618" i="3"/>
  <c r="S617" i="3"/>
  <c r="P617" i="3"/>
  <c r="R617" i="3" s="1"/>
  <c r="V617" i="3" s="1"/>
  <c r="S616" i="3"/>
  <c r="P616" i="3"/>
  <c r="R616" i="3" s="1"/>
  <c r="V616" i="3" s="1"/>
  <c r="S615" i="3"/>
  <c r="R615" i="3"/>
  <c r="V615" i="3" s="1"/>
  <c r="Q615" i="3"/>
  <c r="T615" i="3" s="1"/>
  <c r="U615" i="3" s="1"/>
  <c r="P615" i="3"/>
  <c r="V614" i="3"/>
  <c r="S614" i="3"/>
  <c r="R614" i="3"/>
  <c r="P614" i="3"/>
  <c r="Q614" i="3" s="1"/>
  <c r="T614" i="3" s="1"/>
  <c r="U614" i="3" s="1"/>
  <c r="S613" i="3"/>
  <c r="R613" i="3"/>
  <c r="V613" i="3" s="1"/>
  <c r="Q613" i="3"/>
  <c r="T613" i="3" s="1"/>
  <c r="U613" i="3" s="1"/>
  <c r="P613" i="3"/>
  <c r="S612" i="3"/>
  <c r="R612" i="3"/>
  <c r="V612" i="3" s="1"/>
  <c r="P612" i="3"/>
  <c r="Q612" i="3" s="1"/>
  <c r="T612" i="3" s="1"/>
  <c r="U612" i="3" s="1"/>
  <c r="V611" i="3"/>
  <c r="U611" i="3"/>
  <c r="T611" i="3"/>
  <c r="S611" i="3"/>
  <c r="R611" i="3"/>
  <c r="Q611" i="3"/>
  <c r="P611" i="3"/>
  <c r="S610" i="3"/>
  <c r="P610" i="3"/>
  <c r="R610" i="3" s="1"/>
  <c r="V610" i="3" s="1"/>
  <c r="S609" i="3"/>
  <c r="Q609" i="3"/>
  <c r="T609" i="3" s="1"/>
  <c r="U609" i="3" s="1"/>
  <c r="P609" i="3"/>
  <c r="R609" i="3" s="1"/>
  <c r="V609" i="3" s="1"/>
  <c r="S608" i="3"/>
  <c r="P608" i="3"/>
  <c r="V607" i="3"/>
  <c r="S607" i="3"/>
  <c r="R607" i="3"/>
  <c r="Q607" i="3"/>
  <c r="T607" i="3" s="1"/>
  <c r="U607" i="3" s="1"/>
  <c r="P607" i="3"/>
  <c r="T606" i="3"/>
  <c r="U606" i="3" s="1"/>
  <c r="S606" i="3"/>
  <c r="R606" i="3"/>
  <c r="V606" i="3" s="1"/>
  <c r="Q606" i="3"/>
  <c r="P606" i="3"/>
  <c r="S605" i="3"/>
  <c r="P605" i="3"/>
  <c r="R605" i="3" s="1"/>
  <c r="V605" i="3" s="1"/>
  <c r="S604" i="3"/>
  <c r="P604" i="3"/>
  <c r="R604" i="3" s="1"/>
  <c r="V604" i="3" s="1"/>
  <c r="S603" i="3"/>
  <c r="R603" i="3"/>
  <c r="V603" i="3" s="1"/>
  <c r="Q603" i="3"/>
  <c r="T603" i="3" s="1"/>
  <c r="U603" i="3" s="1"/>
  <c r="P603" i="3"/>
  <c r="V602" i="3"/>
  <c r="S602" i="3"/>
  <c r="R602" i="3"/>
  <c r="P602" i="3"/>
  <c r="Q602" i="3" s="1"/>
  <c r="T602" i="3" s="1"/>
  <c r="U602" i="3" s="1"/>
  <c r="S601" i="3"/>
  <c r="R601" i="3"/>
  <c r="V601" i="3" s="1"/>
  <c r="Q601" i="3"/>
  <c r="T601" i="3" s="1"/>
  <c r="U601" i="3" s="1"/>
  <c r="P601" i="3"/>
  <c r="S600" i="3"/>
  <c r="R600" i="3"/>
  <c r="V600" i="3" s="1"/>
  <c r="P600" i="3"/>
  <c r="Q600" i="3" s="1"/>
  <c r="T600" i="3" s="1"/>
  <c r="U600" i="3" s="1"/>
  <c r="V599" i="3"/>
  <c r="U599" i="3"/>
  <c r="T599" i="3"/>
  <c r="S599" i="3"/>
  <c r="R599" i="3"/>
  <c r="Q599" i="3"/>
  <c r="P599" i="3"/>
  <c r="S598" i="3"/>
  <c r="P598" i="3"/>
  <c r="R598" i="3" s="1"/>
  <c r="V598" i="3" s="1"/>
  <c r="U597" i="3"/>
  <c r="S597" i="3"/>
  <c r="Q597" i="3"/>
  <c r="T597" i="3" s="1"/>
  <c r="P597" i="3"/>
  <c r="R597" i="3" s="1"/>
  <c r="V597" i="3" s="1"/>
  <c r="S596" i="3"/>
  <c r="P596" i="3"/>
  <c r="V595" i="3"/>
  <c r="S595" i="3"/>
  <c r="R595" i="3"/>
  <c r="Q595" i="3"/>
  <c r="T595" i="3" s="1"/>
  <c r="U595" i="3" s="1"/>
  <c r="P595" i="3"/>
  <c r="T594" i="3"/>
  <c r="U594" i="3" s="1"/>
  <c r="S594" i="3"/>
  <c r="R594" i="3"/>
  <c r="V594" i="3" s="1"/>
  <c r="Q594" i="3"/>
  <c r="P594" i="3"/>
  <c r="S593" i="3"/>
  <c r="P593" i="3"/>
  <c r="R593" i="3" s="1"/>
  <c r="V593" i="3" s="1"/>
  <c r="S592" i="3"/>
  <c r="P592" i="3"/>
  <c r="R592" i="3" s="1"/>
  <c r="V592" i="3" s="1"/>
  <c r="S591" i="3"/>
  <c r="R591" i="3"/>
  <c r="V591" i="3" s="1"/>
  <c r="Q591" i="3"/>
  <c r="T591" i="3" s="1"/>
  <c r="U591" i="3" s="1"/>
  <c r="P591" i="3"/>
  <c r="V590" i="3"/>
  <c r="S590" i="3"/>
  <c r="R590" i="3"/>
  <c r="P590" i="3"/>
  <c r="Q590" i="3" s="1"/>
  <c r="T590" i="3" s="1"/>
  <c r="U590" i="3" s="1"/>
  <c r="S589" i="3"/>
  <c r="Q589" i="3"/>
  <c r="T589" i="3" s="1"/>
  <c r="U589" i="3" s="1"/>
  <c r="P589" i="3"/>
  <c r="R589" i="3" s="1"/>
  <c r="V589" i="3" s="1"/>
  <c r="S588" i="3"/>
  <c r="R588" i="3"/>
  <c r="V588" i="3" s="1"/>
  <c r="P588" i="3"/>
  <c r="Q588" i="3" s="1"/>
  <c r="T588" i="3" s="1"/>
  <c r="U588" i="3" s="1"/>
  <c r="V587" i="3"/>
  <c r="U587" i="3"/>
  <c r="T587" i="3"/>
  <c r="S587" i="3"/>
  <c r="R587" i="3"/>
  <c r="Q587" i="3"/>
  <c r="P587" i="3"/>
  <c r="S586" i="3"/>
  <c r="P586" i="3"/>
  <c r="R586" i="3" s="1"/>
  <c r="V586" i="3" s="1"/>
  <c r="S585" i="3"/>
  <c r="Q585" i="3"/>
  <c r="T585" i="3" s="1"/>
  <c r="U585" i="3" s="1"/>
  <c r="P585" i="3"/>
  <c r="R585" i="3" s="1"/>
  <c r="V585" i="3" s="1"/>
  <c r="S584" i="3"/>
  <c r="P584" i="3"/>
  <c r="V583" i="3"/>
  <c r="S583" i="3"/>
  <c r="R583" i="3"/>
  <c r="Q583" i="3"/>
  <c r="T583" i="3" s="1"/>
  <c r="U583" i="3" s="1"/>
  <c r="P583" i="3"/>
  <c r="T582" i="3"/>
  <c r="U582" i="3" s="1"/>
  <c r="S582" i="3"/>
  <c r="R582" i="3"/>
  <c r="V582" i="3" s="1"/>
  <c r="Q582" i="3"/>
  <c r="P582" i="3"/>
  <c r="S581" i="3"/>
  <c r="P581" i="3"/>
  <c r="R581" i="3" s="1"/>
  <c r="V581" i="3" s="1"/>
  <c r="S580" i="3"/>
  <c r="P580" i="3"/>
  <c r="R580" i="3" s="1"/>
  <c r="V580" i="3" s="1"/>
  <c r="S579" i="3"/>
  <c r="R579" i="3"/>
  <c r="V579" i="3" s="1"/>
  <c r="Q579" i="3"/>
  <c r="T579" i="3" s="1"/>
  <c r="U579" i="3" s="1"/>
  <c r="P579" i="3"/>
  <c r="V578" i="3"/>
  <c r="S578" i="3"/>
  <c r="R578" i="3"/>
  <c r="P578" i="3"/>
  <c r="Q578" i="3" s="1"/>
  <c r="T578" i="3" s="1"/>
  <c r="U578" i="3" s="1"/>
  <c r="S577" i="3"/>
  <c r="Q577" i="3"/>
  <c r="T577" i="3" s="1"/>
  <c r="U577" i="3" s="1"/>
  <c r="P577" i="3"/>
  <c r="R577" i="3" s="1"/>
  <c r="V577" i="3" s="1"/>
  <c r="S576" i="3"/>
  <c r="R576" i="3"/>
  <c r="V576" i="3" s="1"/>
  <c r="P576" i="3"/>
  <c r="Q576" i="3" s="1"/>
  <c r="T576" i="3" s="1"/>
  <c r="U576" i="3" s="1"/>
  <c r="V575" i="3"/>
  <c r="U575" i="3"/>
  <c r="T575" i="3"/>
  <c r="S575" i="3"/>
  <c r="R575" i="3"/>
  <c r="Q575" i="3"/>
  <c r="P575" i="3"/>
  <c r="S574" i="3"/>
  <c r="P574" i="3"/>
  <c r="U573" i="3"/>
  <c r="S573" i="3"/>
  <c r="Q573" i="3"/>
  <c r="T573" i="3" s="1"/>
  <c r="P573" i="3"/>
  <c r="R573" i="3" s="1"/>
  <c r="V573" i="3" s="1"/>
  <c r="S572" i="3"/>
  <c r="P572" i="3"/>
  <c r="Q572" i="3" s="1"/>
  <c r="T572" i="3" s="1"/>
  <c r="U572" i="3" s="1"/>
  <c r="V571" i="3"/>
  <c r="S571" i="3"/>
  <c r="R571" i="3"/>
  <c r="Q571" i="3"/>
  <c r="T571" i="3" s="1"/>
  <c r="U571" i="3" s="1"/>
  <c r="P571" i="3"/>
  <c r="T570" i="3"/>
  <c r="U570" i="3" s="1"/>
  <c r="S570" i="3"/>
  <c r="R570" i="3"/>
  <c r="V570" i="3" s="1"/>
  <c r="Q570" i="3"/>
  <c r="P570" i="3"/>
  <c r="S569" i="3"/>
  <c r="P569" i="3"/>
  <c r="R569" i="3" s="1"/>
  <c r="V569" i="3" s="1"/>
  <c r="S568" i="3"/>
  <c r="P568" i="3"/>
  <c r="S567" i="3"/>
  <c r="R567" i="3"/>
  <c r="V567" i="3" s="1"/>
  <c r="Q567" i="3"/>
  <c r="T567" i="3" s="1"/>
  <c r="U567" i="3" s="1"/>
  <c r="P567" i="3"/>
  <c r="V566" i="3"/>
  <c r="S566" i="3"/>
  <c r="R566" i="3"/>
  <c r="P566" i="3"/>
  <c r="Q566" i="3" s="1"/>
  <c r="T566" i="3" s="1"/>
  <c r="U566" i="3" s="1"/>
  <c r="S565" i="3"/>
  <c r="Q565" i="3"/>
  <c r="T565" i="3" s="1"/>
  <c r="U565" i="3" s="1"/>
  <c r="P565" i="3"/>
  <c r="R565" i="3" s="1"/>
  <c r="V565" i="3" s="1"/>
  <c r="S564" i="3"/>
  <c r="R564" i="3"/>
  <c r="V564" i="3" s="1"/>
  <c r="P564" i="3"/>
  <c r="Q564" i="3" s="1"/>
  <c r="T564" i="3" s="1"/>
  <c r="U564" i="3" s="1"/>
  <c r="V563" i="3"/>
  <c r="U563" i="3"/>
  <c r="T563" i="3"/>
  <c r="S563" i="3"/>
  <c r="R563" i="3"/>
  <c r="Q563" i="3"/>
  <c r="P563" i="3"/>
  <c r="S562" i="3"/>
  <c r="P562" i="3"/>
  <c r="U561" i="3"/>
  <c r="S561" i="3"/>
  <c r="Q561" i="3"/>
  <c r="T561" i="3" s="1"/>
  <c r="P561" i="3"/>
  <c r="R561" i="3" s="1"/>
  <c r="V561" i="3" s="1"/>
  <c r="S560" i="3"/>
  <c r="P560" i="3"/>
  <c r="Q560" i="3" s="1"/>
  <c r="T560" i="3" s="1"/>
  <c r="U560" i="3" s="1"/>
  <c r="V559" i="3"/>
  <c r="S559" i="3"/>
  <c r="R559" i="3"/>
  <c r="Q559" i="3"/>
  <c r="T559" i="3" s="1"/>
  <c r="U559" i="3" s="1"/>
  <c r="P559" i="3"/>
  <c r="T558" i="3"/>
  <c r="U558" i="3" s="1"/>
  <c r="S558" i="3"/>
  <c r="R558" i="3"/>
  <c r="V558" i="3" s="1"/>
  <c r="Q558" i="3"/>
  <c r="P558" i="3"/>
  <c r="S557" i="3"/>
  <c r="P557" i="3"/>
  <c r="R557" i="3" s="1"/>
  <c r="V557" i="3" s="1"/>
  <c r="S556" i="3"/>
  <c r="P556" i="3"/>
  <c r="S555" i="3"/>
  <c r="R555" i="3"/>
  <c r="V555" i="3" s="1"/>
  <c r="Q555" i="3"/>
  <c r="T555" i="3" s="1"/>
  <c r="U555" i="3" s="1"/>
  <c r="P555" i="3"/>
  <c r="S554" i="3"/>
  <c r="R554" i="3"/>
  <c r="V554" i="3" s="1"/>
  <c r="P554" i="3"/>
  <c r="Q554" i="3" s="1"/>
  <c r="T554" i="3" s="1"/>
  <c r="U554" i="3" s="1"/>
  <c r="S553" i="3"/>
  <c r="Q553" i="3"/>
  <c r="T553" i="3" s="1"/>
  <c r="U553" i="3" s="1"/>
  <c r="P553" i="3"/>
  <c r="R553" i="3" s="1"/>
  <c r="V553" i="3" s="1"/>
  <c r="T552" i="3"/>
  <c r="U552" i="3" s="1"/>
  <c r="S552" i="3"/>
  <c r="R552" i="3"/>
  <c r="V552" i="3" s="1"/>
  <c r="P552" i="3"/>
  <c r="Q552" i="3" s="1"/>
  <c r="V551" i="3"/>
  <c r="S551" i="3"/>
  <c r="R551" i="3"/>
  <c r="P551" i="3"/>
  <c r="Q551" i="3" s="1"/>
  <c r="T551" i="3" s="1"/>
  <c r="U551" i="3" s="1"/>
  <c r="S550" i="3"/>
  <c r="P550" i="3"/>
  <c r="S549" i="3"/>
  <c r="Q549" i="3"/>
  <c r="T549" i="3" s="1"/>
  <c r="U549" i="3" s="1"/>
  <c r="P549" i="3"/>
  <c r="R549" i="3" s="1"/>
  <c r="V549" i="3" s="1"/>
  <c r="S548" i="3"/>
  <c r="P548" i="3"/>
  <c r="Q548" i="3" s="1"/>
  <c r="T548" i="3" s="1"/>
  <c r="U548" i="3" s="1"/>
  <c r="V547" i="3"/>
  <c r="S547" i="3"/>
  <c r="R547" i="3"/>
  <c r="Q547" i="3"/>
  <c r="T547" i="3" s="1"/>
  <c r="U547" i="3" s="1"/>
  <c r="P547" i="3"/>
  <c r="T546" i="3"/>
  <c r="U546" i="3" s="1"/>
  <c r="S546" i="3"/>
  <c r="R546" i="3"/>
  <c r="V546" i="3" s="1"/>
  <c r="Q546" i="3"/>
  <c r="P546" i="3"/>
  <c r="S545" i="3"/>
  <c r="P545" i="3"/>
  <c r="R545" i="3" s="1"/>
  <c r="V545" i="3" s="1"/>
  <c r="S544" i="3"/>
  <c r="P544" i="3"/>
  <c r="S543" i="3"/>
  <c r="R543" i="3"/>
  <c r="V543" i="3" s="1"/>
  <c r="Q543" i="3"/>
  <c r="T543" i="3" s="1"/>
  <c r="U543" i="3" s="1"/>
  <c r="P543" i="3"/>
  <c r="V542" i="3"/>
  <c r="S542" i="3"/>
  <c r="R542" i="3"/>
  <c r="P542" i="3"/>
  <c r="Q542" i="3" s="1"/>
  <c r="T542" i="3" s="1"/>
  <c r="U542" i="3" s="1"/>
  <c r="S541" i="3"/>
  <c r="Q541" i="3"/>
  <c r="T541" i="3" s="1"/>
  <c r="U541" i="3" s="1"/>
  <c r="P541" i="3"/>
  <c r="R541" i="3" s="1"/>
  <c r="V541" i="3" s="1"/>
  <c r="S540" i="3"/>
  <c r="R540" i="3"/>
  <c r="V540" i="3" s="1"/>
  <c r="P540" i="3"/>
  <c r="Q540" i="3" s="1"/>
  <c r="T540" i="3" s="1"/>
  <c r="U540" i="3" s="1"/>
  <c r="V539" i="3"/>
  <c r="S539" i="3"/>
  <c r="R539" i="3"/>
  <c r="P539" i="3"/>
  <c r="Q539" i="3" s="1"/>
  <c r="T539" i="3" s="1"/>
  <c r="U539" i="3" s="1"/>
  <c r="S538" i="3"/>
  <c r="P538" i="3"/>
  <c r="S537" i="3"/>
  <c r="Q537" i="3"/>
  <c r="T537" i="3" s="1"/>
  <c r="U537" i="3" s="1"/>
  <c r="P537" i="3"/>
  <c r="R537" i="3" s="1"/>
  <c r="V537" i="3" s="1"/>
  <c r="S536" i="3"/>
  <c r="R536" i="3"/>
  <c r="V536" i="3" s="1"/>
  <c r="P536" i="3"/>
  <c r="Q536" i="3" s="1"/>
  <c r="T536" i="3" s="1"/>
  <c r="U536" i="3" s="1"/>
  <c r="V535" i="3"/>
  <c r="S535" i="3"/>
  <c r="R535" i="3"/>
  <c r="Q535" i="3"/>
  <c r="T535" i="3" s="1"/>
  <c r="U535" i="3" s="1"/>
  <c r="P535" i="3"/>
  <c r="T534" i="3"/>
  <c r="U534" i="3" s="1"/>
  <c r="S534" i="3"/>
  <c r="R534" i="3"/>
  <c r="V534" i="3" s="1"/>
  <c r="Q534" i="3"/>
  <c r="P534" i="3"/>
  <c r="S533" i="3"/>
  <c r="P533" i="3"/>
  <c r="R533" i="3" s="1"/>
  <c r="V533" i="3" s="1"/>
  <c r="S532" i="3"/>
  <c r="P532" i="3"/>
  <c r="S531" i="3"/>
  <c r="R531" i="3"/>
  <c r="V531" i="3" s="1"/>
  <c r="Q531" i="3"/>
  <c r="T531" i="3" s="1"/>
  <c r="U531" i="3" s="1"/>
  <c r="P531" i="3"/>
  <c r="V530" i="3"/>
  <c r="S530" i="3"/>
  <c r="R530" i="3"/>
  <c r="P530" i="3"/>
  <c r="Q530" i="3" s="1"/>
  <c r="T530" i="3" s="1"/>
  <c r="U530" i="3" s="1"/>
  <c r="S529" i="3"/>
  <c r="Q529" i="3"/>
  <c r="T529" i="3" s="1"/>
  <c r="U529" i="3" s="1"/>
  <c r="P529" i="3"/>
  <c r="R529" i="3" s="1"/>
  <c r="V529" i="3" s="1"/>
  <c r="S528" i="3"/>
  <c r="R528" i="3"/>
  <c r="V528" i="3" s="1"/>
  <c r="P528" i="3"/>
  <c r="Q528" i="3" s="1"/>
  <c r="T528" i="3" s="1"/>
  <c r="U528" i="3" s="1"/>
  <c r="V527" i="3"/>
  <c r="S527" i="3"/>
  <c r="R527" i="3"/>
  <c r="P527" i="3"/>
  <c r="Q527" i="3" s="1"/>
  <c r="T527" i="3" s="1"/>
  <c r="U527" i="3" s="1"/>
  <c r="S526" i="3"/>
  <c r="P526" i="3"/>
  <c r="S525" i="3"/>
  <c r="Q525" i="3"/>
  <c r="T525" i="3" s="1"/>
  <c r="U525" i="3" s="1"/>
  <c r="P525" i="3"/>
  <c r="R525" i="3" s="1"/>
  <c r="V525" i="3" s="1"/>
  <c r="S524" i="3"/>
  <c r="P524" i="3"/>
  <c r="Q524" i="3" s="1"/>
  <c r="T524" i="3" s="1"/>
  <c r="U524" i="3" s="1"/>
  <c r="V523" i="3"/>
  <c r="S523" i="3"/>
  <c r="R523" i="3"/>
  <c r="Q523" i="3"/>
  <c r="T523" i="3" s="1"/>
  <c r="U523" i="3" s="1"/>
  <c r="P523" i="3"/>
  <c r="T522" i="3"/>
  <c r="U522" i="3" s="1"/>
  <c r="S522" i="3"/>
  <c r="R522" i="3"/>
  <c r="V522" i="3" s="1"/>
  <c r="Q522" i="3"/>
  <c r="P522" i="3"/>
  <c r="S521" i="3"/>
  <c r="P521" i="3"/>
  <c r="R521" i="3" s="1"/>
  <c r="V521" i="3" s="1"/>
  <c r="S520" i="3"/>
  <c r="P520" i="3"/>
  <c r="S519" i="3"/>
  <c r="R519" i="3"/>
  <c r="V519" i="3" s="1"/>
  <c r="Q519" i="3"/>
  <c r="T519" i="3" s="1"/>
  <c r="U519" i="3" s="1"/>
  <c r="P519" i="3"/>
  <c r="V518" i="3"/>
  <c r="S518" i="3"/>
  <c r="R518" i="3"/>
  <c r="P518" i="3"/>
  <c r="Q518" i="3" s="1"/>
  <c r="T518" i="3" s="1"/>
  <c r="U518" i="3" s="1"/>
  <c r="S517" i="3"/>
  <c r="Q517" i="3"/>
  <c r="T517" i="3" s="1"/>
  <c r="U517" i="3" s="1"/>
  <c r="P517" i="3"/>
  <c r="R517" i="3" s="1"/>
  <c r="V517" i="3" s="1"/>
  <c r="T516" i="3"/>
  <c r="U516" i="3" s="1"/>
  <c r="S516" i="3"/>
  <c r="R516" i="3"/>
  <c r="V516" i="3" s="1"/>
  <c r="P516" i="3"/>
  <c r="Q516" i="3" s="1"/>
  <c r="V515" i="3"/>
  <c r="U515" i="3"/>
  <c r="S515" i="3"/>
  <c r="R515" i="3"/>
  <c r="P515" i="3"/>
  <c r="Q515" i="3" s="1"/>
  <c r="T515" i="3" s="1"/>
  <c r="S514" i="3"/>
  <c r="P514" i="3"/>
  <c r="U513" i="3"/>
  <c r="S513" i="3"/>
  <c r="Q513" i="3"/>
  <c r="T513" i="3" s="1"/>
  <c r="P513" i="3"/>
  <c r="R513" i="3" s="1"/>
  <c r="V513" i="3" s="1"/>
  <c r="S512" i="3"/>
  <c r="R512" i="3"/>
  <c r="V512" i="3" s="1"/>
  <c r="P512" i="3"/>
  <c r="Q512" i="3" s="1"/>
  <c r="T512" i="3" s="1"/>
  <c r="U512" i="3" s="1"/>
  <c r="V511" i="3"/>
  <c r="S511" i="3"/>
  <c r="R511" i="3"/>
  <c r="Q511" i="3"/>
  <c r="T511" i="3" s="1"/>
  <c r="U511" i="3" s="1"/>
  <c r="P511" i="3"/>
  <c r="T510" i="3"/>
  <c r="U510" i="3" s="1"/>
  <c r="S510" i="3"/>
  <c r="R510" i="3"/>
  <c r="V510" i="3" s="1"/>
  <c r="Q510" i="3"/>
  <c r="P510" i="3"/>
  <c r="S509" i="3"/>
  <c r="P509" i="3"/>
  <c r="R509" i="3" s="1"/>
  <c r="V509" i="3" s="1"/>
  <c r="S508" i="3"/>
  <c r="P508" i="3"/>
  <c r="S507" i="3"/>
  <c r="R507" i="3"/>
  <c r="V507" i="3" s="1"/>
  <c r="Q507" i="3"/>
  <c r="T507" i="3" s="1"/>
  <c r="U507" i="3" s="1"/>
  <c r="P507" i="3"/>
  <c r="V506" i="3"/>
  <c r="S506" i="3"/>
  <c r="R506" i="3"/>
  <c r="P506" i="3"/>
  <c r="Q506" i="3" s="1"/>
  <c r="T506" i="3" s="1"/>
  <c r="U506" i="3" s="1"/>
  <c r="S505" i="3"/>
  <c r="Q505" i="3"/>
  <c r="T505" i="3" s="1"/>
  <c r="U505" i="3" s="1"/>
  <c r="P505" i="3"/>
  <c r="R505" i="3" s="1"/>
  <c r="V505" i="3" s="1"/>
  <c r="S504" i="3"/>
  <c r="R504" i="3"/>
  <c r="V504" i="3" s="1"/>
  <c r="P504" i="3"/>
  <c r="Q504" i="3" s="1"/>
  <c r="T504" i="3" s="1"/>
  <c r="U504" i="3" s="1"/>
  <c r="V503" i="3"/>
  <c r="U503" i="3"/>
  <c r="S503" i="3"/>
  <c r="R503" i="3"/>
  <c r="P503" i="3"/>
  <c r="Q503" i="3" s="1"/>
  <c r="T503" i="3" s="1"/>
  <c r="S502" i="3"/>
  <c r="P502" i="3"/>
  <c r="U501" i="3"/>
  <c r="S501" i="3"/>
  <c r="Q501" i="3"/>
  <c r="T501" i="3" s="1"/>
  <c r="P501" i="3"/>
  <c r="R501" i="3" s="1"/>
  <c r="V501" i="3" s="1"/>
  <c r="S500" i="3"/>
  <c r="R500" i="3"/>
  <c r="V500" i="3" s="1"/>
  <c r="P500" i="3"/>
  <c r="Q500" i="3" s="1"/>
  <c r="T500" i="3" s="1"/>
  <c r="U500" i="3" s="1"/>
  <c r="V499" i="3"/>
  <c r="S499" i="3"/>
  <c r="R499" i="3"/>
  <c r="Q499" i="3"/>
  <c r="T499" i="3" s="1"/>
  <c r="U499" i="3" s="1"/>
  <c r="P499" i="3"/>
  <c r="T498" i="3"/>
  <c r="U498" i="3" s="1"/>
  <c r="S498" i="3"/>
  <c r="R498" i="3"/>
  <c r="V498" i="3" s="1"/>
  <c r="Q498" i="3"/>
  <c r="P498" i="3"/>
  <c r="S497" i="3"/>
  <c r="P497" i="3"/>
  <c r="S496" i="3"/>
  <c r="P496" i="3"/>
  <c r="S495" i="3"/>
  <c r="R495" i="3"/>
  <c r="V495" i="3" s="1"/>
  <c r="Q495" i="3"/>
  <c r="T495" i="3" s="1"/>
  <c r="U495" i="3" s="1"/>
  <c r="P495" i="3"/>
  <c r="V494" i="3"/>
  <c r="U494" i="3"/>
  <c r="S494" i="3"/>
  <c r="R494" i="3"/>
  <c r="P494" i="3"/>
  <c r="Q494" i="3" s="1"/>
  <c r="T494" i="3" s="1"/>
  <c r="S493" i="3"/>
  <c r="P493" i="3"/>
  <c r="R493" i="3" s="1"/>
  <c r="V493" i="3" s="1"/>
  <c r="S492" i="3"/>
  <c r="R492" i="3"/>
  <c r="V492" i="3" s="1"/>
  <c r="P492" i="3"/>
  <c r="Q492" i="3" s="1"/>
  <c r="T492" i="3" s="1"/>
  <c r="U492" i="3" s="1"/>
  <c r="V491" i="3"/>
  <c r="S491" i="3"/>
  <c r="R491" i="3"/>
  <c r="P491" i="3"/>
  <c r="Q491" i="3" s="1"/>
  <c r="T491" i="3" s="1"/>
  <c r="U491" i="3" s="1"/>
  <c r="V490" i="3"/>
  <c r="S490" i="3"/>
  <c r="Q490" i="3"/>
  <c r="T490" i="3" s="1"/>
  <c r="U490" i="3" s="1"/>
  <c r="P490" i="3"/>
  <c r="R490" i="3" s="1"/>
  <c r="S489" i="3"/>
  <c r="Q489" i="3"/>
  <c r="T489" i="3" s="1"/>
  <c r="U489" i="3" s="1"/>
  <c r="P489" i="3"/>
  <c r="R489" i="3" s="1"/>
  <c r="V489" i="3" s="1"/>
  <c r="S488" i="3"/>
  <c r="P488" i="3"/>
  <c r="Q488" i="3" s="1"/>
  <c r="T488" i="3" s="1"/>
  <c r="U488" i="3" s="1"/>
  <c r="V487" i="3"/>
  <c r="S487" i="3"/>
  <c r="R487" i="3"/>
  <c r="Q487" i="3"/>
  <c r="T487" i="3" s="1"/>
  <c r="U487" i="3" s="1"/>
  <c r="P487" i="3"/>
  <c r="T486" i="3"/>
  <c r="U486" i="3" s="1"/>
  <c r="S486" i="3"/>
  <c r="R486" i="3"/>
  <c r="V486" i="3" s="1"/>
  <c r="Q486" i="3"/>
  <c r="P486" i="3"/>
  <c r="S485" i="3"/>
  <c r="P485" i="3"/>
  <c r="S484" i="3"/>
  <c r="P484" i="3"/>
  <c r="U483" i="3"/>
  <c r="S483" i="3"/>
  <c r="R483" i="3"/>
  <c r="V483" i="3" s="1"/>
  <c r="Q483" i="3"/>
  <c r="T483" i="3" s="1"/>
  <c r="P483" i="3"/>
  <c r="U482" i="3"/>
  <c r="S482" i="3"/>
  <c r="R482" i="3"/>
  <c r="V482" i="3" s="1"/>
  <c r="P482" i="3"/>
  <c r="Q482" i="3" s="1"/>
  <c r="T482" i="3" s="1"/>
  <c r="S481" i="3"/>
  <c r="Q481" i="3"/>
  <c r="T481" i="3" s="1"/>
  <c r="U481" i="3" s="1"/>
  <c r="P481" i="3"/>
  <c r="R481" i="3" s="1"/>
  <c r="V481" i="3" s="1"/>
  <c r="S480" i="3"/>
  <c r="R480" i="3"/>
  <c r="V480" i="3" s="1"/>
  <c r="P480" i="3"/>
  <c r="Q480" i="3" s="1"/>
  <c r="T480" i="3" s="1"/>
  <c r="U480" i="3" s="1"/>
  <c r="V479" i="3"/>
  <c r="S479" i="3"/>
  <c r="R479" i="3"/>
  <c r="P479" i="3"/>
  <c r="Q479" i="3" s="1"/>
  <c r="T479" i="3" s="1"/>
  <c r="U479" i="3" s="1"/>
  <c r="S478" i="3"/>
  <c r="P478" i="3"/>
  <c r="R478" i="3" s="1"/>
  <c r="V478" i="3" s="1"/>
  <c r="S477" i="3"/>
  <c r="Q477" i="3"/>
  <c r="T477" i="3" s="1"/>
  <c r="U477" i="3" s="1"/>
  <c r="P477" i="3"/>
  <c r="R477" i="3" s="1"/>
  <c r="V477" i="3" s="1"/>
  <c r="S476" i="3"/>
  <c r="P476" i="3"/>
  <c r="V475" i="3"/>
  <c r="S475" i="3"/>
  <c r="R475" i="3"/>
  <c r="Q475" i="3"/>
  <c r="T475" i="3" s="1"/>
  <c r="U475" i="3" s="1"/>
  <c r="P475" i="3"/>
  <c r="S474" i="3"/>
  <c r="R474" i="3"/>
  <c r="V474" i="3" s="1"/>
  <c r="Q474" i="3"/>
  <c r="T474" i="3" s="1"/>
  <c r="U474" i="3" s="1"/>
  <c r="P474" i="3"/>
  <c r="S473" i="3"/>
  <c r="P473" i="3"/>
  <c r="S472" i="3"/>
  <c r="P472" i="3"/>
  <c r="S471" i="3"/>
  <c r="R471" i="3"/>
  <c r="V471" i="3" s="1"/>
  <c r="Q471" i="3"/>
  <c r="T471" i="3" s="1"/>
  <c r="U471" i="3" s="1"/>
  <c r="P471" i="3"/>
  <c r="V470" i="3"/>
  <c r="U470" i="3"/>
  <c r="S470" i="3"/>
  <c r="R470" i="3"/>
  <c r="P470" i="3"/>
  <c r="Q470" i="3" s="1"/>
  <c r="T470" i="3" s="1"/>
  <c r="S469" i="3"/>
  <c r="Q469" i="3"/>
  <c r="T469" i="3" s="1"/>
  <c r="U469" i="3" s="1"/>
  <c r="P469" i="3"/>
  <c r="R469" i="3" s="1"/>
  <c r="V469" i="3" s="1"/>
  <c r="S468" i="3"/>
  <c r="R468" i="3"/>
  <c r="V468" i="3" s="1"/>
  <c r="P468" i="3"/>
  <c r="Q468" i="3" s="1"/>
  <c r="T468" i="3" s="1"/>
  <c r="U468" i="3" s="1"/>
  <c r="S467" i="3"/>
  <c r="R467" i="3"/>
  <c r="V467" i="3" s="1"/>
  <c r="P467" i="3"/>
  <c r="Q467" i="3" s="1"/>
  <c r="T467" i="3" s="1"/>
  <c r="U467" i="3" s="1"/>
  <c r="S466" i="3"/>
  <c r="P466" i="3"/>
  <c r="V465" i="3"/>
  <c r="T465" i="3"/>
  <c r="U465" i="3" s="1"/>
  <c r="S465" i="3"/>
  <c r="Q465" i="3"/>
  <c r="P465" i="3"/>
  <c r="R465" i="3" s="1"/>
  <c r="S464" i="3"/>
  <c r="R464" i="3"/>
  <c r="V464" i="3" s="1"/>
  <c r="Q464" i="3"/>
  <c r="T464" i="3" s="1"/>
  <c r="U464" i="3" s="1"/>
  <c r="P464" i="3"/>
  <c r="V463" i="3"/>
  <c r="S463" i="3"/>
  <c r="R463" i="3"/>
  <c r="Q463" i="3"/>
  <c r="T463" i="3" s="1"/>
  <c r="U463" i="3" s="1"/>
  <c r="P463" i="3"/>
  <c r="T462" i="3"/>
  <c r="U462" i="3" s="1"/>
  <c r="S462" i="3"/>
  <c r="R462" i="3"/>
  <c r="V462" i="3" s="1"/>
  <c r="Q462" i="3"/>
  <c r="P462" i="3"/>
  <c r="S461" i="3"/>
  <c r="P461" i="3"/>
  <c r="S460" i="3"/>
  <c r="P460" i="3"/>
  <c r="S459" i="3"/>
  <c r="R459" i="3"/>
  <c r="V459" i="3" s="1"/>
  <c r="Q459" i="3"/>
  <c r="T459" i="3" s="1"/>
  <c r="U459" i="3" s="1"/>
  <c r="P459" i="3"/>
  <c r="V458" i="3"/>
  <c r="U458" i="3"/>
  <c r="S458" i="3"/>
  <c r="R458" i="3"/>
  <c r="P458" i="3"/>
  <c r="Q458" i="3" s="1"/>
  <c r="T458" i="3" s="1"/>
  <c r="S457" i="3"/>
  <c r="Q457" i="3"/>
  <c r="T457" i="3" s="1"/>
  <c r="U457" i="3" s="1"/>
  <c r="P457" i="3"/>
  <c r="R457" i="3" s="1"/>
  <c r="V457" i="3" s="1"/>
  <c r="S456" i="3"/>
  <c r="R456" i="3"/>
  <c r="V456" i="3" s="1"/>
  <c r="P456" i="3"/>
  <c r="Q456" i="3" s="1"/>
  <c r="T456" i="3" s="1"/>
  <c r="U456" i="3" s="1"/>
  <c r="S455" i="3"/>
  <c r="R455" i="3"/>
  <c r="V455" i="3" s="1"/>
  <c r="P455" i="3"/>
  <c r="Q455" i="3" s="1"/>
  <c r="T455" i="3" s="1"/>
  <c r="U455" i="3" s="1"/>
  <c r="S454" i="3"/>
  <c r="P454" i="3"/>
  <c r="V453" i="3"/>
  <c r="T453" i="3"/>
  <c r="U453" i="3" s="1"/>
  <c r="S453" i="3"/>
  <c r="Q453" i="3"/>
  <c r="P453" i="3"/>
  <c r="R453" i="3" s="1"/>
  <c r="S452" i="3"/>
  <c r="P452" i="3"/>
  <c r="V451" i="3"/>
  <c r="S451" i="3"/>
  <c r="R451" i="3"/>
  <c r="Q451" i="3"/>
  <c r="T451" i="3" s="1"/>
  <c r="U451" i="3" s="1"/>
  <c r="P451" i="3"/>
  <c r="T450" i="3"/>
  <c r="U450" i="3" s="1"/>
  <c r="S450" i="3"/>
  <c r="R450" i="3"/>
  <c r="V450" i="3" s="1"/>
  <c r="Q450" i="3"/>
  <c r="P450" i="3"/>
  <c r="S449" i="3"/>
  <c r="P449" i="3"/>
  <c r="R449" i="3" s="1"/>
  <c r="V449" i="3" s="1"/>
  <c r="S448" i="3"/>
  <c r="P448" i="3"/>
  <c r="S447" i="3"/>
  <c r="Q447" i="3"/>
  <c r="T447" i="3" s="1"/>
  <c r="U447" i="3" s="1"/>
  <c r="P447" i="3"/>
  <c r="R447" i="3" s="1"/>
  <c r="V447" i="3" s="1"/>
  <c r="S446" i="3"/>
  <c r="R446" i="3"/>
  <c r="V446" i="3" s="1"/>
  <c r="Q446" i="3"/>
  <c r="T446" i="3" s="1"/>
  <c r="U446" i="3" s="1"/>
  <c r="P446" i="3"/>
  <c r="S445" i="3"/>
  <c r="Q445" i="3"/>
  <c r="T445" i="3" s="1"/>
  <c r="U445" i="3" s="1"/>
  <c r="P445" i="3"/>
  <c r="R445" i="3" s="1"/>
  <c r="V445" i="3" s="1"/>
  <c r="V444" i="3"/>
  <c r="T444" i="3"/>
  <c r="U444" i="3" s="1"/>
  <c r="S444" i="3"/>
  <c r="R444" i="3"/>
  <c r="Q444" i="3"/>
  <c r="P444" i="3"/>
  <c r="S443" i="3"/>
  <c r="R443" i="3"/>
  <c r="V443" i="3" s="1"/>
  <c r="Q443" i="3"/>
  <c r="T443" i="3" s="1"/>
  <c r="U443" i="3" s="1"/>
  <c r="P443" i="3"/>
  <c r="S442" i="3"/>
  <c r="P442" i="3"/>
  <c r="R442" i="3" s="1"/>
  <c r="V442" i="3" s="1"/>
  <c r="S441" i="3"/>
  <c r="Q441" i="3"/>
  <c r="T441" i="3" s="1"/>
  <c r="U441" i="3" s="1"/>
  <c r="P441" i="3"/>
  <c r="R441" i="3" s="1"/>
  <c r="V441" i="3" s="1"/>
  <c r="S440" i="3"/>
  <c r="P440" i="3"/>
  <c r="R440" i="3" s="1"/>
  <c r="V440" i="3" s="1"/>
  <c r="S439" i="3"/>
  <c r="R439" i="3"/>
  <c r="V439" i="3" s="1"/>
  <c r="P439" i="3"/>
  <c r="Q439" i="3" s="1"/>
  <c r="T439" i="3" s="1"/>
  <c r="U439" i="3" s="1"/>
  <c r="S438" i="3"/>
  <c r="P438" i="3"/>
  <c r="R438" i="3" s="1"/>
  <c r="V438" i="3" s="1"/>
  <c r="U437" i="3"/>
  <c r="S437" i="3"/>
  <c r="R437" i="3"/>
  <c r="V437" i="3" s="1"/>
  <c r="P437" i="3"/>
  <c r="Q437" i="3" s="1"/>
  <c r="T437" i="3" s="1"/>
  <c r="S436" i="3"/>
  <c r="P436" i="3"/>
  <c r="S435" i="3"/>
  <c r="Q435" i="3"/>
  <c r="T435" i="3" s="1"/>
  <c r="U435" i="3" s="1"/>
  <c r="P435" i="3"/>
  <c r="R435" i="3" s="1"/>
  <c r="V435" i="3" s="1"/>
  <c r="S434" i="3"/>
  <c r="R434" i="3"/>
  <c r="V434" i="3" s="1"/>
  <c r="Q434" i="3"/>
  <c r="T434" i="3" s="1"/>
  <c r="U434" i="3" s="1"/>
  <c r="P434" i="3"/>
  <c r="S433" i="3"/>
  <c r="Q433" i="3"/>
  <c r="T433" i="3" s="1"/>
  <c r="U433" i="3" s="1"/>
  <c r="P433" i="3"/>
  <c r="R433" i="3" s="1"/>
  <c r="V433" i="3" s="1"/>
  <c r="V432" i="3"/>
  <c r="T432" i="3"/>
  <c r="U432" i="3" s="1"/>
  <c r="S432" i="3"/>
  <c r="R432" i="3"/>
  <c r="Q432" i="3"/>
  <c r="P432" i="3"/>
  <c r="S431" i="3"/>
  <c r="R431" i="3"/>
  <c r="V431" i="3" s="1"/>
  <c r="Q431" i="3"/>
  <c r="T431" i="3" s="1"/>
  <c r="U431" i="3" s="1"/>
  <c r="P431" i="3"/>
  <c r="V430" i="3"/>
  <c r="S430" i="3"/>
  <c r="P430" i="3"/>
  <c r="R430" i="3" s="1"/>
  <c r="S429" i="3"/>
  <c r="Q429" i="3"/>
  <c r="T429" i="3" s="1"/>
  <c r="U429" i="3" s="1"/>
  <c r="P429" i="3"/>
  <c r="R429" i="3" s="1"/>
  <c r="V429" i="3" s="1"/>
  <c r="S428" i="3"/>
  <c r="P428" i="3"/>
  <c r="R428" i="3" s="1"/>
  <c r="V428" i="3" s="1"/>
  <c r="S427" i="3"/>
  <c r="R427" i="3"/>
  <c r="V427" i="3" s="1"/>
  <c r="P427" i="3"/>
  <c r="Q427" i="3" s="1"/>
  <c r="T427" i="3" s="1"/>
  <c r="U427" i="3" s="1"/>
  <c r="S426" i="3"/>
  <c r="P426" i="3"/>
  <c r="R426" i="3" s="1"/>
  <c r="V426" i="3" s="1"/>
  <c r="S425" i="3"/>
  <c r="R425" i="3"/>
  <c r="V425" i="3" s="1"/>
  <c r="P425" i="3"/>
  <c r="Q425" i="3" s="1"/>
  <c r="T425" i="3" s="1"/>
  <c r="U425" i="3" s="1"/>
  <c r="S424" i="3"/>
  <c r="P424" i="3"/>
  <c r="S423" i="3"/>
  <c r="Q423" i="3"/>
  <c r="T423" i="3" s="1"/>
  <c r="U423" i="3" s="1"/>
  <c r="P423" i="3"/>
  <c r="R423" i="3" s="1"/>
  <c r="V423" i="3" s="1"/>
  <c r="S422" i="3"/>
  <c r="R422" i="3"/>
  <c r="V422" i="3" s="1"/>
  <c r="Q422" i="3"/>
  <c r="T422" i="3" s="1"/>
  <c r="U422" i="3" s="1"/>
  <c r="P422" i="3"/>
  <c r="S421" i="3"/>
  <c r="Q421" i="3"/>
  <c r="T421" i="3" s="1"/>
  <c r="U421" i="3" s="1"/>
  <c r="P421" i="3"/>
  <c r="R421" i="3" s="1"/>
  <c r="V421" i="3" s="1"/>
  <c r="V420" i="3"/>
  <c r="T420" i="3"/>
  <c r="U420" i="3" s="1"/>
  <c r="S420" i="3"/>
  <c r="R420" i="3"/>
  <c r="Q420" i="3"/>
  <c r="P420" i="3"/>
  <c r="S419" i="3"/>
  <c r="R419" i="3"/>
  <c r="V419" i="3" s="1"/>
  <c r="Q419" i="3"/>
  <c r="T419" i="3" s="1"/>
  <c r="U419" i="3" s="1"/>
  <c r="P419" i="3"/>
  <c r="V418" i="3"/>
  <c r="S418" i="3"/>
  <c r="P418" i="3"/>
  <c r="R418" i="3" s="1"/>
  <c r="S417" i="3"/>
  <c r="Q417" i="3"/>
  <c r="T417" i="3" s="1"/>
  <c r="U417" i="3" s="1"/>
  <c r="P417" i="3"/>
  <c r="R417" i="3" s="1"/>
  <c r="V417" i="3" s="1"/>
  <c r="S416" i="3"/>
  <c r="P416" i="3"/>
  <c r="R416" i="3" s="1"/>
  <c r="V416" i="3" s="1"/>
  <c r="S415" i="3"/>
  <c r="R415" i="3"/>
  <c r="V415" i="3" s="1"/>
  <c r="P415" i="3"/>
  <c r="Q415" i="3" s="1"/>
  <c r="T415" i="3" s="1"/>
  <c r="U415" i="3" s="1"/>
  <c r="S414" i="3"/>
  <c r="P414" i="3"/>
  <c r="R414" i="3" s="1"/>
  <c r="V414" i="3" s="1"/>
  <c r="S413" i="3"/>
  <c r="R413" i="3"/>
  <c r="V413" i="3" s="1"/>
  <c r="P413" i="3"/>
  <c r="Q413" i="3" s="1"/>
  <c r="T413" i="3" s="1"/>
  <c r="U413" i="3" s="1"/>
  <c r="S412" i="3"/>
  <c r="P412" i="3"/>
  <c r="V411" i="3"/>
  <c r="S411" i="3"/>
  <c r="Q411" i="3"/>
  <c r="T411" i="3" s="1"/>
  <c r="U411" i="3" s="1"/>
  <c r="P411" i="3"/>
  <c r="R411" i="3" s="1"/>
  <c r="S410" i="3"/>
  <c r="R410" i="3"/>
  <c r="V410" i="3" s="1"/>
  <c r="Q410" i="3"/>
  <c r="T410" i="3" s="1"/>
  <c r="U410" i="3" s="1"/>
  <c r="P410" i="3"/>
  <c r="S409" i="3"/>
  <c r="Q409" i="3"/>
  <c r="T409" i="3" s="1"/>
  <c r="U409" i="3" s="1"/>
  <c r="P409" i="3"/>
  <c r="R409" i="3" s="1"/>
  <c r="V409" i="3" s="1"/>
  <c r="T408" i="3"/>
  <c r="U408" i="3" s="1"/>
  <c r="S408" i="3"/>
  <c r="Q408" i="3"/>
  <c r="P408" i="3"/>
  <c r="R408" i="3" s="1"/>
  <c r="V408" i="3" s="1"/>
  <c r="S407" i="3"/>
  <c r="R407" i="3"/>
  <c r="V407" i="3" s="1"/>
  <c r="Q407" i="3"/>
  <c r="T407" i="3" s="1"/>
  <c r="U407" i="3" s="1"/>
  <c r="P407" i="3"/>
  <c r="S406" i="3"/>
  <c r="P406" i="3"/>
  <c r="R406" i="3" s="1"/>
  <c r="V406" i="3" s="1"/>
  <c r="S405" i="3"/>
  <c r="Q405" i="3"/>
  <c r="T405" i="3" s="1"/>
  <c r="U405" i="3" s="1"/>
  <c r="P405" i="3"/>
  <c r="R405" i="3" s="1"/>
  <c r="V405" i="3" s="1"/>
  <c r="S404" i="3"/>
  <c r="P404" i="3"/>
  <c r="R404" i="3" s="1"/>
  <c r="V404" i="3" s="1"/>
  <c r="S403" i="3"/>
  <c r="R403" i="3"/>
  <c r="V403" i="3" s="1"/>
  <c r="P403" i="3"/>
  <c r="Q403" i="3" s="1"/>
  <c r="T403" i="3" s="1"/>
  <c r="U403" i="3" s="1"/>
  <c r="S402" i="3"/>
  <c r="P402" i="3"/>
  <c r="R402" i="3" s="1"/>
  <c r="V402" i="3" s="1"/>
  <c r="S401" i="3"/>
  <c r="R401" i="3"/>
  <c r="V401" i="3" s="1"/>
  <c r="P401" i="3"/>
  <c r="Q401" i="3" s="1"/>
  <c r="T401" i="3" s="1"/>
  <c r="U401" i="3" s="1"/>
  <c r="S400" i="3"/>
  <c r="P400" i="3"/>
  <c r="V399" i="3"/>
  <c r="S399" i="3"/>
  <c r="Q399" i="3"/>
  <c r="T399" i="3" s="1"/>
  <c r="U399" i="3" s="1"/>
  <c r="P399" i="3"/>
  <c r="R399" i="3" s="1"/>
  <c r="S398" i="3"/>
  <c r="R398" i="3"/>
  <c r="V398" i="3" s="1"/>
  <c r="Q398" i="3"/>
  <c r="T398" i="3" s="1"/>
  <c r="U398" i="3" s="1"/>
  <c r="P398" i="3"/>
  <c r="S397" i="3"/>
  <c r="Q397" i="3"/>
  <c r="T397" i="3" s="1"/>
  <c r="U397" i="3" s="1"/>
  <c r="P397" i="3"/>
  <c r="R397" i="3" s="1"/>
  <c r="V397" i="3" s="1"/>
  <c r="T396" i="3"/>
  <c r="U396" i="3" s="1"/>
  <c r="S396" i="3"/>
  <c r="Q396" i="3"/>
  <c r="P396" i="3"/>
  <c r="R396" i="3" s="1"/>
  <c r="V396" i="3" s="1"/>
  <c r="S395" i="3"/>
  <c r="R395" i="3"/>
  <c r="V395" i="3" s="1"/>
  <c r="Q395" i="3"/>
  <c r="T395" i="3" s="1"/>
  <c r="U395" i="3" s="1"/>
  <c r="P395" i="3"/>
  <c r="V394" i="3"/>
  <c r="S394" i="3"/>
  <c r="P394" i="3"/>
  <c r="R394" i="3" s="1"/>
  <c r="S393" i="3"/>
  <c r="Q393" i="3"/>
  <c r="T393" i="3" s="1"/>
  <c r="U393" i="3" s="1"/>
  <c r="P393" i="3"/>
  <c r="R393" i="3" s="1"/>
  <c r="V393" i="3" s="1"/>
  <c r="S392" i="3"/>
  <c r="P392" i="3"/>
  <c r="R392" i="3" s="1"/>
  <c r="V392" i="3" s="1"/>
  <c r="S391" i="3"/>
  <c r="R391" i="3"/>
  <c r="V391" i="3" s="1"/>
  <c r="P391" i="3"/>
  <c r="Q391" i="3" s="1"/>
  <c r="T391" i="3" s="1"/>
  <c r="U391" i="3" s="1"/>
  <c r="S390" i="3"/>
  <c r="P390" i="3"/>
  <c r="R390" i="3" s="1"/>
  <c r="V390" i="3" s="1"/>
  <c r="U389" i="3"/>
  <c r="T389" i="3"/>
  <c r="S389" i="3"/>
  <c r="R389" i="3"/>
  <c r="V389" i="3" s="1"/>
  <c r="P389" i="3"/>
  <c r="Q389" i="3" s="1"/>
  <c r="S388" i="3"/>
  <c r="P388" i="3"/>
  <c r="S387" i="3"/>
  <c r="Q387" i="3"/>
  <c r="T387" i="3" s="1"/>
  <c r="U387" i="3" s="1"/>
  <c r="P387" i="3"/>
  <c r="R387" i="3" s="1"/>
  <c r="V387" i="3" s="1"/>
  <c r="S386" i="3"/>
  <c r="R386" i="3"/>
  <c r="V386" i="3" s="1"/>
  <c r="Q386" i="3"/>
  <c r="T386" i="3" s="1"/>
  <c r="U386" i="3" s="1"/>
  <c r="P386" i="3"/>
  <c r="S385" i="3"/>
  <c r="Q385" i="3"/>
  <c r="T385" i="3" s="1"/>
  <c r="U385" i="3" s="1"/>
  <c r="P385" i="3"/>
  <c r="R385" i="3" s="1"/>
  <c r="V385" i="3" s="1"/>
  <c r="T384" i="3"/>
  <c r="U384" i="3" s="1"/>
  <c r="S384" i="3"/>
  <c r="Q384" i="3"/>
  <c r="P384" i="3"/>
  <c r="R384" i="3" s="1"/>
  <c r="V384" i="3" s="1"/>
  <c r="S383" i="3"/>
  <c r="R383" i="3"/>
  <c r="V383" i="3" s="1"/>
  <c r="Q383" i="3"/>
  <c r="T383" i="3" s="1"/>
  <c r="U383" i="3" s="1"/>
  <c r="P383" i="3"/>
  <c r="S382" i="3"/>
  <c r="P382" i="3"/>
  <c r="R382" i="3" s="1"/>
  <c r="V382" i="3" s="1"/>
  <c r="S381" i="3"/>
  <c r="P381" i="3"/>
  <c r="R381" i="3" s="1"/>
  <c r="V381" i="3" s="1"/>
  <c r="S380" i="3"/>
  <c r="P380" i="3"/>
  <c r="R380" i="3" s="1"/>
  <c r="V380" i="3" s="1"/>
  <c r="S379" i="3"/>
  <c r="R379" i="3"/>
  <c r="V379" i="3" s="1"/>
  <c r="P379" i="3"/>
  <c r="Q379" i="3" s="1"/>
  <c r="T379" i="3" s="1"/>
  <c r="U379" i="3" s="1"/>
  <c r="S378" i="3"/>
  <c r="P378" i="3"/>
  <c r="R378" i="3" s="1"/>
  <c r="V378" i="3" s="1"/>
  <c r="S377" i="3"/>
  <c r="R377" i="3"/>
  <c r="V377" i="3" s="1"/>
  <c r="P377" i="3"/>
  <c r="Q377" i="3" s="1"/>
  <c r="T377" i="3" s="1"/>
  <c r="U377" i="3" s="1"/>
  <c r="S376" i="3"/>
  <c r="P376" i="3"/>
  <c r="V375" i="3"/>
  <c r="S375" i="3"/>
  <c r="Q375" i="3"/>
  <c r="T375" i="3" s="1"/>
  <c r="U375" i="3" s="1"/>
  <c r="P375" i="3"/>
  <c r="R375" i="3" s="1"/>
  <c r="S374" i="3"/>
  <c r="R374" i="3"/>
  <c r="V374" i="3" s="1"/>
  <c r="Q374" i="3"/>
  <c r="T374" i="3" s="1"/>
  <c r="U374" i="3" s="1"/>
  <c r="P374" i="3"/>
  <c r="S373" i="3"/>
  <c r="Q373" i="3"/>
  <c r="T373" i="3" s="1"/>
  <c r="U373" i="3" s="1"/>
  <c r="P373" i="3"/>
  <c r="R373" i="3" s="1"/>
  <c r="V373" i="3" s="1"/>
  <c r="T372" i="3"/>
  <c r="U372" i="3" s="1"/>
  <c r="S372" i="3"/>
  <c r="Q372" i="3"/>
  <c r="P372" i="3"/>
  <c r="R372" i="3" s="1"/>
  <c r="V372" i="3" s="1"/>
  <c r="S371" i="3"/>
  <c r="R371" i="3"/>
  <c r="V371" i="3" s="1"/>
  <c r="Q371" i="3"/>
  <c r="T371" i="3" s="1"/>
  <c r="U371" i="3" s="1"/>
  <c r="P371" i="3"/>
  <c r="S370" i="3"/>
  <c r="P370" i="3"/>
  <c r="R370" i="3" s="1"/>
  <c r="V370" i="3" s="1"/>
  <c r="S369" i="3"/>
  <c r="Q369" i="3"/>
  <c r="T369" i="3" s="1"/>
  <c r="U369" i="3" s="1"/>
  <c r="P369" i="3"/>
  <c r="R369" i="3" s="1"/>
  <c r="V369" i="3" s="1"/>
  <c r="S368" i="3"/>
  <c r="P368" i="3"/>
  <c r="R368" i="3" s="1"/>
  <c r="V368" i="3" s="1"/>
  <c r="S367" i="3"/>
  <c r="R367" i="3"/>
  <c r="V367" i="3" s="1"/>
  <c r="P367" i="3"/>
  <c r="Q367" i="3" s="1"/>
  <c r="T367" i="3" s="1"/>
  <c r="U367" i="3" s="1"/>
  <c r="S366" i="3"/>
  <c r="P366" i="3"/>
  <c r="R366" i="3" s="1"/>
  <c r="V366" i="3" s="1"/>
  <c r="S365" i="3"/>
  <c r="R365" i="3"/>
  <c r="V365" i="3" s="1"/>
  <c r="P365" i="3"/>
  <c r="Q365" i="3" s="1"/>
  <c r="T365" i="3" s="1"/>
  <c r="U365" i="3" s="1"/>
  <c r="S364" i="3"/>
  <c r="P364" i="3"/>
  <c r="V363" i="3"/>
  <c r="S363" i="3"/>
  <c r="Q363" i="3"/>
  <c r="T363" i="3" s="1"/>
  <c r="U363" i="3" s="1"/>
  <c r="P363" i="3"/>
  <c r="R363" i="3" s="1"/>
  <c r="S362" i="3"/>
  <c r="R362" i="3"/>
  <c r="V362" i="3" s="1"/>
  <c r="Q362" i="3"/>
  <c r="T362" i="3" s="1"/>
  <c r="U362" i="3" s="1"/>
  <c r="P362" i="3"/>
  <c r="S361" i="3"/>
  <c r="Q361" i="3"/>
  <c r="T361" i="3" s="1"/>
  <c r="U361" i="3" s="1"/>
  <c r="P361" i="3"/>
  <c r="R361" i="3" s="1"/>
  <c r="V361" i="3" s="1"/>
  <c r="T360" i="3"/>
  <c r="U360" i="3" s="1"/>
  <c r="S360" i="3"/>
  <c r="Q360" i="3"/>
  <c r="P360" i="3"/>
  <c r="R360" i="3" s="1"/>
  <c r="V360" i="3" s="1"/>
  <c r="S359" i="3"/>
  <c r="R359" i="3"/>
  <c r="V359" i="3" s="1"/>
  <c r="Q359" i="3"/>
  <c r="T359" i="3" s="1"/>
  <c r="U359" i="3" s="1"/>
  <c r="P359" i="3"/>
  <c r="V358" i="3"/>
  <c r="S358" i="3"/>
  <c r="P358" i="3"/>
  <c r="R358" i="3" s="1"/>
  <c r="S357" i="3"/>
  <c r="Q357" i="3"/>
  <c r="T357" i="3" s="1"/>
  <c r="U357" i="3" s="1"/>
  <c r="P357" i="3"/>
  <c r="R357" i="3" s="1"/>
  <c r="V357" i="3" s="1"/>
  <c r="S356" i="3"/>
  <c r="P356" i="3"/>
  <c r="R356" i="3" s="1"/>
  <c r="V356" i="3" s="1"/>
  <c r="S355" i="3"/>
  <c r="R355" i="3"/>
  <c r="V355" i="3" s="1"/>
  <c r="P355" i="3"/>
  <c r="Q355" i="3" s="1"/>
  <c r="T355" i="3" s="1"/>
  <c r="U355" i="3" s="1"/>
  <c r="S354" i="3"/>
  <c r="P354" i="3"/>
  <c r="R354" i="3" s="1"/>
  <c r="V354" i="3" s="1"/>
  <c r="S353" i="3"/>
  <c r="R353" i="3"/>
  <c r="V353" i="3" s="1"/>
  <c r="P353" i="3"/>
  <c r="Q353" i="3" s="1"/>
  <c r="T353" i="3" s="1"/>
  <c r="U353" i="3" s="1"/>
  <c r="S352" i="3"/>
  <c r="P352" i="3"/>
  <c r="S351" i="3"/>
  <c r="Q351" i="3"/>
  <c r="T351" i="3" s="1"/>
  <c r="U351" i="3" s="1"/>
  <c r="P351" i="3"/>
  <c r="R351" i="3" s="1"/>
  <c r="V351" i="3" s="1"/>
  <c r="S350" i="3"/>
  <c r="R350" i="3"/>
  <c r="V350" i="3" s="1"/>
  <c r="Q350" i="3"/>
  <c r="T350" i="3" s="1"/>
  <c r="U350" i="3" s="1"/>
  <c r="P350" i="3"/>
  <c r="S349" i="3"/>
  <c r="Q349" i="3"/>
  <c r="T349" i="3" s="1"/>
  <c r="U349" i="3" s="1"/>
  <c r="P349" i="3"/>
  <c r="R349" i="3" s="1"/>
  <c r="V349" i="3" s="1"/>
  <c r="V348" i="3"/>
  <c r="T348" i="3"/>
  <c r="U348" i="3" s="1"/>
  <c r="S348" i="3"/>
  <c r="R348" i="3"/>
  <c r="Q348" i="3"/>
  <c r="P348" i="3"/>
  <c r="S347" i="3"/>
  <c r="R347" i="3"/>
  <c r="V347" i="3" s="1"/>
  <c r="Q347" i="3"/>
  <c r="T347" i="3" s="1"/>
  <c r="U347" i="3" s="1"/>
  <c r="P347" i="3"/>
  <c r="V346" i="3"/>
  <c r="S346" i="3"/>
  <c r="P346" i="3"/>
  <c r="R346" i="3" s="1"/>
  <c r="S345" i="3"/>
  <c r="P345" i="3"/>
  <c r="R345" i="3" s="1"/>
  <c r="V345" i="3" s="1"/>
  <c r="S344" i="3"/>
  <c r="P344" i="3"/>
  <c r="R344" i="3" s="1"/>
  <c r="V344" i="3" s="1"/>
  <c r="S343" i="3"/>
  <c r="R343" i="3"/>
  <c r="V343" i="3" s="1"/>
  <c r="P343" i="3"/>
  <c r="Q343" i="3" s="1"/>
  <c r="T343" i="3" s="1"/>
  <c r="U343" i="3" s="1"/>
  <c r="S342" i="3"/>
  <c r="P342" i="3"/>
  <c r="S341" i="3"/>
  <c r="R341" i="3"/>
  <c r="V341" i="3" s="1"/>
  <c r="P341" i="3"/>
  <c r="Q341" i="3" s="1"/>
  <c r="T341" i="3" s="1"/>
  <c r="U341" i="3" s="1"/>
  <c r="S340" i="3"/>
  <c r="R340" i="3"/>
  <c r="V340" i="3" s="1"/>
  <c r="P340" i="3"/>
  <c r="Q340" i="3" s="1"/>
  <c r="T340" i="3" s="1"/>
  <c r="U340" i="3" s="1"/>
  <c r="V339" i="3"/>
  <c r="S339" i="3"/>
  <c r="Q339" i="3"/>
  <c r="T339" i="3" s="1"/>
  <c r="U339" i="3" s="1"/>
  <c r="P339" i="3"/>
  <c r="R339" i="3" s="1"/>
  <c r="S338" i="3"/>
  <c r="R338" i="3"/>
  <c r="V338" i="3" s="1"/>
  <c r="Q338" i="3"/>
  <c r="T338" i="3" s="1"/>
  <c r="U338" i="3" s="1"/>
  <c r="P338" i="3"/>
  <c r="S337" i="3"/>
  <c r="Q337" i="3"/>
  <c r="T337" i="3" s="1"/>
  <c r="U337" i="3" s="1"/>
  <c r="P337" i="3"/>
  <c r="R337" i="3" s="1"/>
  <c r="V337" i="3" s="1"/>
  <c r="T336" i="3"/>
  <c r="U336" i="3" s="1"/>
  <c r="S336" i="3"/>
  <c r="Q336" i="3"/>
  <c r="P336" i="3"/>
  <c r="R336" i="3" s="1"/>
  <c r="V336" i="3" s="1"/>
  <c r="S335" i="3"/>
  <c r="R335" i="3"/>
  <c r="V335" i="3" s="1"/>
  <c r="Q335" i="3"/>
  <c r="T335" i="3" s="1"/>
  <c r="U335" i="3" s="1"/>
  <c r="P335" i="3"/>
  <c r="V334" i="3"/>
  <c r="S334" i="3"/>
  <c r="P334" i="3"/>
  <c r="R334" i="3" s="1"/>
  <c r="S333" i="3"/>
  <c r="P333" i="3"/>
  <c r="R333" i="3" s="1"/>
  <c r="V333" i="3" s="1"/>
  <c r="S332" i="3"/>
  <c r="P332" i="3"/>
  <c r="V331" i="3"/>
  <c r="U331" i="3"/>
  <c r="S331" i="3"/>
  <c r="R331" i="3"/>
  <c r="P331" i="3"/>
  <c r="Q331" i="3" s="1"/>
  <c r="T331" i="3" s="1"/>
  <c r="S330" i="3"/>
  <c r="P330" i="3"/>
  <c r="R330" i="3" s="1"/>
  <c r="V330" i="3" s="1"/>
  <c r="T329" i="3"/>
  <c r="U329" i="3" s="1"/>
  <c r="S329" i="3"/>
  <c r="R329" i="3"/>
  <c r="V329" i="3" s="1"/>
  <c r="P329" i="3"/>
  <c r="Q329" i="3" s="1"/>
  <c r="T328" i="3"/>
  <c r="U328" i="3" s="1"/>
  <c r="S328" i="3"/>
  <c r="P328" i="3"/>
  <c r="Q328" i="3" s="1"/>
  <c r="S327" i="3"/>
  <c r="Q327" i="3"/>
  <c r="T327" i="3" s="1"/>
  <c r="U327" i="3" s="1"/>
  <c r="P327" i="3"/>
  <c r="R327" i="3" s="1"/>
  <c r="V327" i="3" s="1"/>
  <c r="V326" i="3"/>
  <c r="S326" i="3"/>
  <c r="R326" i="3"/>
  <c r="Q326" i="3"/>
  <c r="T326" i="3" s="1"/>
  <c r="U326" i="3" s="1"/>
  <c r="P326" i="3"/>
  <c r="S325" i="3"/>
  <c r="P325" i="3"/>
  <c r="R325" i="3" s="1"/>
  <c r="V325" i="3" s="1"/>
  <c r="V324" i="3"/>
  <c r="T324" i="3"/>
  <c r="U324" i="3" s="1"/>
  <c r="S324" i="3"/>
  <c r="Q324" i="3"/>
  <c r="P324" i="3"/>
  <c r="R324" i="3" s="1"/>
  <c r="U323" i="3"/>
  <c r="S323" i="3"/>
  <c r="R323" i="3"/>
  <c r="V323" i="3" s="1"/>
  <c r="Q323" i="3"/>
  <c r="T323" i="3" s="1"/>
  <c r="P323" i="3"/>
  <c r="S322" i="3"/>
  <c r="P322" i="3"/>
  <c r="S321" i="3"/>
  <c r="Q321" i="3"/>
  <c r="T321" i="3" s="1"/>
  <c r="U321" i="3" s="1"/>
  <c r="P321" i="3"/>
  <c r="R321" i="3" s="1"/>
  <c r="V321" i="3" s="1"/>
  <c r="S320" i="3"/>
  <c r="P320" i="3"/>
  <c r="Q320" i="3" s="1"/>
  <c r="T320" i="3" s="1"/>
  <c r="U320" i="3" s="1"/>
  <c r="U319" i="3"/>
  <c r="S319" i="3"/>
  <c r="R319" i="3"/>
  <c r="V319" i="3" s="1"/>
  <c r="P319" i="3"/>
  <c r="Q319" i="3" s="1"/>
  <c r="T319" i="3" s="1"/>
  <c r="S318" i="3"/>
  <c r="R318" i="3"/>
  <c r="V318" i="3" s="1"/>
  <c r="Q318" i="3"/>
  <c r="T318" i="3" s="1"/>
  <c r="U318" i="3" s="1"/>
  <c r="P318" i="3"/>
  <c r="S317" i="3"/>
  <c r="R317" i="3"/>
  <c r="V317" i="3" s="1"/>
  <c r="P317" i="3"/>
  <c r="Q317" i="3" s="1"/>
  <c r="T317" i="3" s="1"/>
  <c r="U317" i="3" s="1"/>
  <c r="T316" i="3"/>
  <c r="U316" i="3" s="1"/>
  <c r="S316" i="3"/>
  <c r="P316" i="3"/>
  <c r="Q316" i="3" s="1"/>
  <c r="V315" i="3"/>
  <c r="S315" i="3"/>
  <c r="Q315" i="3"/>
  <c r="T315" i="3" s="1"/>
  <c r="U315" i="3" s="1"/>
  <c r="P315" i="3"/>
  <c r="R315" i="3" s="1"/>
  <c r="U314" i="3"/>
  <c r="T314" i="3"/>
  <c r="S314" i="3"/>
  <c r="R314" i="3"/>
  <c r="V314" i="3" s="1"/>
  <c r="Q314" i="3"/>
  <c r="P314" i="3"/>
  <c r="S313" i="3"/>
  <c r="Q313" i="3"/>
  <c r="T313" i="3" s="1"/>
  <c r="U313" i="3" s="1"/>
  <c r="P313" i="3"/>
  <c r="R313" i="3" s="1"/>
  <c r="V313" i="3" s="1"/>
  <c r="T312" i="3"/>
  <c r="U312" i="3" s="1"/>
  <c r="S312" i="3"/>
  <c r="Q312" i="3"/>
  <c r="P312" i="3"/>
  <c r="R312" i="3" s="1"/>
  <c r="V312" i="3" s="1"/>
  <c r="U311" i="3"/>
  <c r="S311" i="3"/>
  <c r="R311" i="3"/>
  <c r="V311" i="3" s="1"/>
  <c r="Q311" i="3"/>
  <c r="T311" i="3" s="1"/>
  <c r="P311" i="3"/>
  <c r="S310" i="3"/>
  <c r="P310" i="3"/>
  <c r="S309" i="3"/>
  <c r="Q309" i="3"/>
  <c r="T309" i="3" s="1"/>
  <c r="U309" i="3" s="1"/>
  <c r="P309" i="3"/>
  <c r="R309" i="3" s="1"/>
  <c r="V309" i="3" s="1"/>
  <c r="S308" i="3"/>
  <c r="P308" i="3"/>
  <c r="Q308" i="3" s="1"/>
  <c r="T308" i="3" s="1"/>
  <c r="U308" i="3" s="1"/>
  <c r="V307" i="3"/>
  <c r="U307" i="3"/>
  <c r="S307" i="3"/>
  <c r="R307" i="3"/>
  <c r="P307" i="3"/>
  <c r="Q307" i="3" s="1"/>
  <c r="T307" i="3" s="1"/>
  <c r="S306" i="3"/>
  <c r="R306" i="3"/>
  <c r="V306" i="3" s="1"/>
  <c r="Q306" i="3"/>
  <c r="T306" i="3" s="1"/>
  <c r="U306" i="3" s="1"/>
  <c r="P306" i="3"/>
  <c r="T305" i="3"/>
  <c r="U305" i="3" s="1"/>
  <c r="S305" i="3"/>
  <c r="R305" i="3"/>
  <c r="V305" i="3" s="1"/>
  <c r="P305" i="3"/>
  <c r="Q305" i="3" s="1"/>
  <c r="S304" i="3"/>
  <c r="P304" i="3"/>
  <c r="V303" i="3"/>
  <c r="S303" i="3"/>
  <c r="Q303" i="3"/>
  <c r="T303" i="3" s="1"/>
  <c r="U303" i="3" s="1"/>
  <c r="P303" i="3"/>
  <c r="R303" i="3" s="1"/>
  <c r="S302" i="3"/>
  <c r="R302" i="3"/>
  <c r="V302" i="3" s="1"/>
  <c r="Q302" i="3"/>
  <c r="T302" i="3" s="1"/>
  <c r="U302" i="3" s="1"/>
  <c r="P302" i="3"/>
  <c r="S301" i="3"/>
  <c r="Q301" i="3"/>
  <c r="T301" i="3" s="1"/>
  <c r="U301" i="3" s="1"/>
  <c r="P301" i="3"/>
  <c r="R301" i="3" s="1"/>
  <c r="V301" i="3" s="1"/>
  <c r="S300" i="3"/>
  <c r="Q300" i="3"/>
  <c r="T300" i="3" s="1"/>
  <c r="U300" i="3" s="1"/>
  <c r="P300" i="3"/>
  <c r="R300" i="3" s="1"/>
  <c r="V300" i="3" s="1"/>
  <c r="T299" i="3"/>
  <c r="U299" i="3" s="1"/>
  <c r="S299" i="3"/>
  <c r="R299" i="3"/>
  <c r="V299" i="3" s="1"/>
  <c r="Q299" i="3"/>
  <c r="P299" i="3"/>
  <c r="S298" i="3"/>
  <c r="P298" i="3"/>
  <c r="S297" i="3"/>
  <c r="Q297" i="3"/>
  <c r="T297" i="3" s="1"/>
  <c r="U297" i="3" s="1"/>
  <c r="P297" i="3"/>
  <c r="R297" i="3" s="1"/>
  <c r="V297" i="3" s="1"/>
  <c r="S296" i="3"/>
  <c r="R296" i="3"/>
  <c r="V296" i="3" s="1"/>
  <c r="Q296" i="3"/>
  <c r="T296" i="3" s="1"/>
  <c r="U296" i="3" s="1"/>
  <c r="P296" i="3"/>
  <c r="S295" i="3"/>
  <c r="P295" i="3"/>
  <c r="T294" i="3"/>
  <c r="U294" i="3" s="1"/>
  <c r="S294" i="3"/>
  <c r="Q294" i="3"/>
  <c r="P294" i="3"/>
  <c r="R294" i="3" s="1"/>
  <c r="V294" i="3" s="1"/>
  <c r="S293" i="3"/>
  <c r="R293" i="3"/>
  <c r="V293" i="3" s="1"/>
  <c r="P293" i="3"/>
  <c r="Q293" i="3" s="1"/>
  <c r="T293" i="3" s="1"/>
  <c r="U293" i="3" s="1"/>
  <c r="U292" i="3"/>
  <c r="T292" i="3"/>
  <c r="S292" i="3"/>
  <c r="P292" i="3"/>
  <c r="Q292" i="3" s="1"/>
  <c r="V291" i="3"/>
  <c r="T291" i="3"/>
  <c r="U291" i="3" s="1"/>
  <c r="S291" i="3"/>
  <c r="Q291" i="3"/>
  <c r="P291" i="3"/>
  <c r="R291" i="3" s="1"/>
  <c r="V290" i="3"/>
  <c r="T290" i="3"/>
  <c r="U290" i="3" s="1"/>
  <c r="S290" i="3"/>
  <c r="R290" i="3"/>
  <c r="Q290" i="3"/>
  <c r="P290" i="3"/>
  <c r="S289" i="3"/>
  <c r="P289" i="3"/>
  <c r="R289" i="3" s="1"/>
  <c r="V289" i="3" s="1"/>
  <c r="S288" i="3"/>
  <c r="R288" i="3"/>
  <c r="V288" i="3" s="1"/>
  <c r="Q288" i="3"/>
  <c r="T288" i="3" s="1"/>
  <c r="U288" i="3" s="1"/>
  <c r="P288" i="3"/>
  <c r="U287" i="3"/>
  <c r="T287" i="3"/>
  <c r="S287" i="3"/>
  <c r="R287" i="3"/>
  <c r="V287" i="3" s="1"/>
  <c r="Q287" i="3"/>
  <c r="P287" i="3"/>
  <c r="S286" i="3"/>
  <c r="P286" i="3"/>
  <c r="R286" i="3" s="1"/>
  <c r="V286" i="3" s="1"/>
  <c r="S285" i="3"/>
  <c r="Q285" i="3"/>
  <c r="T285" i="3" s="1"/>
  <c r="U285" i="3" s="1"/>
  <c r="P285" i="3"/>
  <c r="R285" i="3" s="1"/>
  <c r="V285" i="3" s="1"/>
  <c r="V284" i="3"/>
  <c r="S284" i="3"/>
  <c r="R284" i="3"/>
  <c r="P284" i="3"/>
  <c r="Q284" i="3" s="1"/>
  <c r="T284" i="3" s="1"/>
  <c r="U284" i="3" s="1"/>
  <c r="S283" i="3"/>
  <c r="Q283" i="3"/>
  <c r="T283" i="3" s="1"/>
  <c r="U283" i="3" s="1"/>
  <c r="P283" i="3"/>
  <c r="R283" i="3" s="1"/>
  <c r="V283" i="3" s="1"/>
  <c r="S282" i="3"/>
  <c r="R282" i="3"/>
  <c r="V282" i="3" s="1"/>
  <c r="P282" i="3"/>
  <c r="Q282" i="3" s="1"/>
  <c r="T282" i="3" s="1"/>
  <c r="U282" i="3" s="1"/>
  <c r="U281" i="3"/>
  <c r="T281" i="3"/>
  <c r="S281" i="3"/>
  <c r="R281" i="3"/>
  <c r="V281" i="3" s="1"/>
  <c r="Q281" i="3"/>
  <c r="P281" i="3"/>
  <c r="S280" i="3"/>
  <c r="P280" i="3"/>
  <c r="R280" i="3" s="1"/>
  <c r="V280" i="3" s="1"/>
  <c r="U279" i="3"/>
  <c r="T279" i="3"/>
  <c r="S279" i="3"/>
  <c r="Q279" i="3"/>
  <c r="P279" i="3"/>
  <c r="R279" i="3" s="1"/>
  <c r="V279" i="3" s="1"/>
  <c r="S278" i="3"/>
  <c r="P278" i="3"/>
  <c r="V277" i="3"/>
  <c r="S277" i="3"/>
  <c r="R277" i="3"/>
  <c r="Q277" i="3"/>
  <c r="T277" i="3" s="1"/>
  <c r="U277" i="3" s="1"/>
  <c r="P277" i="3"/>
  <c r="S276" i="3"/>
  <c r="R276" i="3"/>
  <c r="V276" i="3" s="1"/>
  <c r="Q276" i="3"/>
  <c r="T276" i="3" s="1"/>
  <c r="U276" i="3" s="1"/>
  <c r="P276" i="3"/>
  <c r="S275" i="3"/>
  <c r="P275" i="3"/>
  <c r="R275" i="3" s="1"/>
  <c r="V275" i="3" s="1"/>
  <c r="S274" i="3"/>
  <c r="P274" i="3"/>
  <c r="R274" i="3" s="1"/>
  <c r="V274" i="3" s="1"/>
  <c r="S273" i="3"/>
  <c r="Q273" i="3"/>
  <c r="T273" i="3" s="1"/>
  <c r="U273" i="3" s="1"/>
  <c r="P273" i="3"/>
  <c r="R273" i="3" s="1"/>
  <c r="V273" i="3" s="1"/>
  <c r="V272" i="3"/>
  <c r="S272" i="3"/>
  <c r="R272" i="3"/>
  <c r="P272" i="3"/>
  <c r="Q272" i="3" s="1"/>
  <c r="T272" i="3" s="1"/>
  <c r="U272" i="3" s="1"/>
  <c r="S271" i="3"/>
  <c r="Q271" i="3"/>
  <c r="T271" i="3" s="1"/>
  <c r="U271" i="3" s="1"/>
  <c r="P271" i="3"/>
  <c r="R271" i="3" s="1"/>
  <c r="V271" i="3" s="1"/>
  <c r="S270" i="3"/>
  <c r="R270" i="3"/>
  <c r="V270" i="3" s="1"/>
  <c r="P270" i="3"/>
  <c r="Q270" i="3" s="1"/>
  <c r="T270" i="3" s="1"/>
  <c r="U270" i="3" s="1"/>
  <c r="U269" i="3"/>
  <c r="T269" i="3"/>
  <c r="S269" i="3"/>
  <c r="R269" i="3"/>
  <c r="V269" i="3" s="1"/>
  <c r="Q269" i="3"/>
  <c r="P269" i="3"/>
  <c r="S268" i="3"/>
  <c r="P268" i="3"/>
  <c r="R268" i="3" s="1"/>
  <c r="V268" i="3" s="1"/>
  <c r="U267" i="3"/>
  <c r="T267" i="3"/>
  <c r="S267" i="3"/>
  <c r="Q267" i="3"/>
  <c r="P267" i="3"/>
  <c r="R267" i="3" s="1"/>
  <c r="V267" i="3" s="1"/>
  <c r="S266" i="3"/>
  <c r="P266" i="3"/>
  <c r="V265" i="3"/>
  <c r="S265" i="3"/>
  <c r="R265" i="3"/>
  <c r="Q265" i="3"/>
  <c r="T265" i="3" s="1"/>
  <c r="U265" i="3" s="1"/>
  <c r="P265" i="3"/>
  <c r="S264" i="3"/>
  <c r="R264" i="3"/>
  <c r="V264" i="3" s="1"/>
  <c r="Q264" i="3"/>
  <c r="T264" i="3" s="1"/>
  <c r="U264" i="3" s="1"/>
  <c r="P264" i="3"/>
  <c r="S263" i="3"/>
  <c r="P263" i="3"/>
  <c r="R263" i="3" s="1"/>
  <c r="V263" i="3" s="1"/>
  <c r="S262" i="3"/>
  <c r="P262" i="3"/>
  <c r="R262" i="3" s="1"/>
  <c r="V262" i="3" s="1"/>
  <c r="S261" i="3"/>
  <c r="Q261" i="3"/>
  <c r="T261" i="3" s="1"/>
  <c r="U261" i="3" s="1"/>
  <c r="P261" i="3"/>
  <c r="R261" i="3" s="1"/>
  <c r="V261" i="3" s="1"/>
  <c r="V260" i="3"/>
  <c r="S260" i="3"/>
  <c r="R260" i="3"/>
  <c r="P260" i="3"/>
  <c r="Q260" i="3" s="1"/>
  <c r="T260" i="3" s="1"/>
  <c r="U260" i="3" s="1"/>
  <c r="S259" i="3"/>
  <c r="Q259" i="3"/>
  <c r="T259" i="3" s="1"/>
  <c r="U259" i="3" s="1"/>
  <c r="P259" i="3"/>
  <c r="R259" i="3" s="1"/>
  <c r="V259" i="3" s="1"/>
  <c r="S258" i="3"/>
  <c r="R258" i="3"/>
  <c r="V258" i="3" s="1"/>
  <c r="P258" i="3"/>
  <c r="Q258" i="3" s="1"/>
  <c r="T258" i="3" s="1"/>
  <c r="U258" i="3" s="1"/>
  <c r="U257" i="3"/>
  <c r="T257" i="3"/>
  <c r="S257" i="3"/>
  <c r="R257" i="3"/>
  <c r="V257" i="3" s="1"/>
  <c r="Q257" i="3"/>
  <c r="P257" i="3"/>
  <c r="S256" i="3"/>
  <c r="P256" i="3"/>
  <c r="R256" i="3" s="1"/>
  <c r="V256" i="3" s="1"/>
  <c r="U255" i="3"/>
  <c r="T255" i="3"/>
  <c r="S255" i="3"/>
  <c r="Q255" i="3"/>
  <c r="P255" i="3"/>
  <c r="R255" i="3" s="1"/>
  <c r="V255" i="3" s="1"/>
  <c r="S254" i="3"/>
  <c r="P254" i="3"/>
  <c r="V253" i="3"/>
  <c r="S253" i="3"/>
  <c r="R253" i="3"/>
  <c r="Q253" i="3"/>
  <c r="T253" i="3" s="1"/>
  <c r="U253" i="3" s="1"/>
  <c r="P253" i="3"/>
  <c r="S252" i="3"/>
  <c r="R252" i="3"/>
  <c r="V252" i="3" s="1"/>
  <c r="Q252" i="3"/>
  <c r="T252" i="3" s="1"/>
  <c r="U252" i="3" s="1"/>
  <c r="P252" i="3"/>
  <c r="S251" i="3"/>
  <c r="P251" i="3"/>
  <c r="R251" i="3" s="1"/>
  <c r="V251" i="3" s="1"/>
  <c r="S250" i="3"/>
  <c r="P250" i="3"/>
  <c r="R250" i="3" s="1"/>
  <c r="V250" i="3" s="1"/>
  <c r="S249" i="3"/>
  <c r="Q249" i="3"/>
  <c r="T249" i="3" s="1"/>
  <c r="U249" i="3" s="1"/>
  <c r="P249" i="3"/>
  <c r="R249" i="3" s="1"/>
  <c r="V249" i="3" s="1"/>
  <c r="V248" i="3"/>
  <c r="S248" i="3"/>
  <c r="R248" i="3"/>
  <c r="P248" i="3"/>
  <c r="Q248" i="3" s="1"/>
  <c r="T248" i="3" s="1"/>
  <c r="U248" i="3" s="1"/>
  <c r="S247" i="3"/>
  <c r="Q247" i="3"/>
  <c r="T247" i="3" s="1"/>
  <c r="U247" i="3" s="1"/>
  <c r="P247" i="3"/>
  <c r="R247" i="3" s="1"/>
  <c r="V247" i="3" s="1"/>
  <c r="S246" i="3"/>
  <c r="R246" i="3"/>
  <c r="V246" i="3" s="1"/>
  <c r="P246" i="3"/>
  <c r="Q246" i="3" s="1"/>
  <c r="T246" i="3" s="1"/>
  <c r="U246" i="3" s="1"/>
  <c r="U245" i="3"/>
  <c r="T245" i="3"/>
  <c r="S245" i="3"/>
  <c r="R245" i="3"/>
  <c r="V245" i="3" s="1"/>
  <c r="Q245" i="3"/>
  <c r="P245" i="3"/>
  <c r="S244" i="3"/>
  <c r="P244" i="3"/>
  <c r="R244" i="3" s="1"/>
  <c r="V244" i="3" s="1"/>
  <c r="U243" i="3"/>
  <c r="T243" i="3"/>
  <c r="S243" i="3"/>
  <c r="Q243" i="3"/>
  <c r="P243" i="3"/>
  <c r="R243" i="3" s="1"/>
  <c r="V243" i="3" s="1"/>
  <c r="S242" i="3"/>
  <c r="P242" i="3"/>
  <c r="V241" i="3"/>
  <c r="S241" i="3"/>
  <c r="R241" i="3"/>
  <c r="Q241" i="3"/>
  <c r="T241" i="3" s="1"/>
  <c r="U241" i="3" s="1"/>
  <c r="P241" i="3"/>
  <c r="S240" i="3"/>
  <c r="R240" i="3"/>
  <c r="V240" i="3" s="1"/>
  <c r="Q240" i="3"/>
  <c r="T240" i="3" s="1"/>
  <c r="U240" i="3" s="1"/>
  <c r="P240" i="3"/>
  <c r="S239" i="3"/>
  <c r="P239" i="3"/>
  <c r="R239" i="3" s="1"/>
  <c r="V239" i="3" s="1"/>
  <c r="S238" i="3"/>
  <c r="P238" i="3"/>
  <c r="R238" i="3" s="1"/>
  <c r="V238" i="3" s="1"/>
  <c r="S237" i="3"/>
  <c r="Q237" i="3"/>
  <c r="T237" i="3" s="1"/>
  <c r="U237" i="3" s="1"/>
  <c r="P237" i="3"/>
  <c r="R237" i="3" s="1"/>
  <c r="V237" i="3" s="1"/>
  <c r="V236" i="3"/>
  <c r="S236" i="3"/>
  <c r="R236" i="3"/>
  <c r="P236" i="3"/>
  <c r="Q236" i="3" s="1"/>
  <c r="T236" i="3" s="1"/>
  <c r="U236" i="3" s="1"/>
  <c r="S235" i="3"/>
  <c r="Q235" i="3"/>
  <c r="T235" i="3" s="1"/>
  <c r="U235" i="3" s="1"/>
  <c r="P235" i="3"/>
  <c r="R235" i="3" s="1"/>
  <c r="V235" i="3" s="1"/>
  <c r="S234" i="3"/>
  <c r="R234" i="3"/>
  <c r="V234" i="3" s="1"/>
  <c r="P234" i="3"/>
  <c r="Q234" i="3" s="1"/>
  <c r="T234" i="3" s="1"/>
  <c r="U234" i="3" s="1"/>
  <c r="U233" i="3"/>
  <c r="T233" i="3"/>
  <c r="S233" i="3"/>
  <c r="R233" i="3"/>
  <c r="V233" i="3" s="1"/>
  <c r="Q233" i="3"/>
  <c r="P233" i="3"/>
  <c r="S232" i="3"/>
  <c r="P232" i="3"/>
  <c r="R232" i="3" s="1"/>
  <c r="V232" i="3" s="1"/>
  <c r="U231" i="3"/>
  <c r="T231" i="3"/>
  <c r="S231" i="3"/>
  <c r="Q231" i="3"/>
  <c r="P231" i="3"/>
  <c r="R231" i="3" s="1"/>
  <c r="V231" i="3" s="1"/>
  <c r="S230" i="3"/>
  <c r="P230" i="3"/>
  <c r="V229" i="3"/>
  <c r="S229" i="3"/>
  <c r="R229" i="3"/>
  <c r="Q229" i="3"/>
  <c r="T229" i="3" s="1"/>
  <c r="U229" i="3" s="1"/>
  <c r="P229" i="3"/>
  <c r="S228" i="3"/>
  <c r="R228" i="3"/>
  <c r="V228" i="3" s="1"/>
  <c r="Q228" i="3"/>
  <c r="T228" i="3" s="1"/>
  <c r="U228" i="3" s="1"/>
  <c r="P228" i="3"/>
  <c r="S227" i="3"/>
  <c r="P227" i="3"/>
  <c r="R227" i="3" s="1"/>
  <c r="V227" i="3" s="1"/>
  <c r="S226" i="3"/>
  <c r="P226" i="3"/>
  <c r="R226" i="3" s="1"/>
  <c r="V226" i="3" s="1"/>
  <c r="S225" i="3"/>
  <c r="Q225" i="3"/>
  <c r="T225" i="3" s="1"/>
  <c r="U225" i="3" s="1"/>
  <c r="P225" i="3"/>
  <c r="R225" i="3" s="1"/>
  <c r="V225" i="3" s="1"/>
  <c r="V224" i="3"/>
  <c r="S224" i="3"/>
  <c r="R224" i="3"/>
  <c r="P224" i="3"/>
  <c r="Q224" i="3" s="1"/>
  <c r="T224" i="3" s="1"/>
  <c r="U224" i="3" s="1"/>
  <c r="S223" i="3"/>
  <c r="Q223" i="3"/>
  <c r="T223" i="3" s="1"/>
  <c r="U223" i="3" s="1"/>
  <c r="P223" i="3"/>
  <c r="R223" i="3" s="1"/>
  <c r="V223" i="3" s="1"/>
  <c r="S222" i="3"/>
  <c r="R222" i="3"/>
  <c r="V222" i="3" s="1"/>
  <c r="P222" i="3"/>
  <c r="Q222" i="3" s="1"/>
  <c r="T222" i="3" s="1"/>
  <c r="U222" i="3" s="1"/>
  <c r="U221" i="3"/>
  <c r="T221" i="3"/>
  <c r="S221" i="3"/>
  <c r="R221" i="3"/>
  <c r="V221" i="3" s="1"/>
  <c r="Q221" i="3"/>
  <c r="P221" i="3"/>
  <c r="S220" i="3"/>
  <c r="P220" i="3"/>
  <c r="R220" i="3" s="1"/>
  <c r="V220" i="3" s="1"/>
  <c r="U219" i="3"/>
  <c r="T219" i="3"/>
  <c r="S219" i="3"/>
  <c r="Q219" i="3"/>
  <c r="P219" i="3"/>
  <c r="R219" i="3" s="1"/>
  <c r="V219" i="3" s="1"/>
  <c r="S218" i="3"/>
  <c r="P218" i="3"/>
  <c r="V217" i="3"/>
  <c r="S217" i="3"/>
  <c r="R217" i="3"/>
  <c r="Q217" i="3"/>
  <c r="T217" i="3" s="1"/>
  <c r="U217" i="3" s="1"/>
  <c r="P217" i="3"/>
  <c r="S216" i="3"/>
  <c r="R216" i="3"/>
  <c r="V216" i="3" s="1"/>
  <c r="Q216" i="3"/>
  <c r="T216" i="3" s="1"/>
  <c r="U216" i="3" s="1"/>
  <c r="P216" i="3"/>
  <c r="S215" i="3"/>
  <c r="P215" i="3"/>
  <c r="R215" i="3" s="1"/>
  <c r="V215" i="3" s="1"/>
  <c r="S214" i="3"/>
  <c r="P214" i="3"/>
  <c r="R214" i="3" s="1"/>
  <c r="V214" i="3" s="1"/>
  <c r="S213" i="3"/>
  <c r="Q213" i="3"/>
  <c r="T213" i="3" s="1"/>
  <c r="U213" i="3" s="1"/>
  <c r="P213" i="3"/>
  <c r="R213" i="3" s="1"/>
  <c r="V213" i="3" s="1"/>
  <c r="V212" i="3"/>
  <c r="S212" i="3"/>
  <c r="R212" i="3"/>
  <c r="P212" i="3"/>
  <c r="Q212" i="3" s="1"/>
  <c r="T212" i="3" s="1"/>
  <c r="U212" i="3" s="1"/>
  <c r="S211" i="3"/>
  <c r="Q211" i="3"/>
  <c r="T211" i="3" s="1"/>
  <c r="U211" i="3" s="1"/>
  <c r="P211" i="3"/>
  <c r="R211" i="3" s="1"/>
  <c r="V211" i="3" s="1"/>
  <c r="S210" i="3"/>
  <c r="R210" i="3"/>
  <c r="V210" i="3" s="1"/>
  <c r="P210" i="3"/>
  <c r="Q210" i="3" s="1"/>
  <c r="T210" i="3" s="1"/>
  <c r="U210" i="3" s="1"/>
  <c r="U209" i="3"/>
  <c r="T209" i="3"/>
  <c r="S209" i="3"/>
  <c r="R209" i="3"/>
  <c r="V209" i="3" s="1"/>
  <c r="Q209" i="3"/>
  <c r="P209" i="3"/>
  <c r="S208" i="3"/>
  <c r="P208" i="3"/>
  <c r="R208" i="3" s="1"/>
  <c r="V208" i="3" s="1"/>
  <c r="U207" i="3"/>
  <c r="T207" i="3"/>
  <c r="S207" i="3"/>
  <c r="Q207" i="3"/>
  <c r="P207" i="3"/>
  <c r="R207" i="3" s="1"/>
  <c r="V207" i="3" s="1"/>
  <c r="S206" i="3"/>
  <c r="P206" i="3"/>
  <c r="V205" i="3"/>
  <c r="S205" i="3"/>
  <c r="R205" i="3"/>
  <c r="Q205" i="3"/>
  <c r="T205" i="3" s="1"/>
  <c r="U205" i="3" s="1"/>
  <c r="P205" i="3"/>
  <c r="S204" i="3"/>
  <c r="R204" i="3"/>
  <c r="V204" i="3" s="1"/>
  <c r="Q204" i="3"/>
  <c r="T204" i="3" s="1"/>
  <c r="U204" i="3" s="1"/>
  <c r="P204" i="3"/>
  <c r="S203" i="3"/>
  <c r="P203" i="3"/>
  <c r="R203" i="3" s="1"/>
  <c r="V203" i="3" s="1"/>
  <c r="S202" i="3"/>
  <c r="P202" i="3"/>
  <c r="R202" i="3" s="1"/>
  <c r="V202" i="3" s="1"/>
  <c r="S201" i="3"/>
  <c r="Q201" i="3"/>
  <c r="T201" i="3" s="1"/>
  <c r="U201" i="3" s="1"/>
  <c r="P201" i="3"/>
  <c r="R201" i="3" s="1"/>
  <c r="V201" i="3" s="1"/>
  <c r="V200" i="3"/>
  <c r="S200" i="3"/>
  <c r="R200" i="3"/>
  <c r="P200" i="3"/>
  <c r="Q200" i="3" s="1"/>
  <c r="T200" i="3" s="1"/>
  <c r="U200" i="3" s="1"/>
  <c r="S199" i="3"/>
  <c r="Q199" i="3"/>
  <c r="T199" i="3" s="1"/>
  <c r="U199" i="3" s="1"/>
  <c r="P199" i="3"/>
  <c r="R199" i="3" s="1"/>
  <c r="V199" i="3" s="1"/>
  <c r="S198" i="3"/>
  <c r="R198" i="3"/>
  <c r="V198" i="3" s="1"/>
  <c r="P198" i="3"/>
  <c r="Q198" i="3" s="1"/>
  <c r="T198" i="3" s="1"/>
  <c r="U198" i="3" s="1"/>
  <c r="U197" i="3"/>
  <c r="T197" i="3"/>
  <c r="S197" i="3"/>
  <c r="R197" i="3"/>
  <c r="V197" i="3" s="1"/>
  <c r="Q197" i="3"/>
  <c r="P197" i="3"/>
  <c r="S196" i="3"/>
  <c r="P196" i="3"/>
  <c r="R196" i="3" s="1"/>
  <c r="V196" i="3" s="1"/>
  <c r="U195" i="3"/>
  <c r="T195" i="3"/>
  <c r="S195" i="3"/>
  <c r="Q195" i="3"/>
  <c r="P195" i="3"/>
  <c r="R195" i="3" s="1"/>
  <c r="V195" i="3" s="1"/>
  <c r="S194" i="3"/>
  <c r="P194" i="3"/>
  <c r="V193" i="3"/>
  <c r="S193" i="3"/>
  <c r="R193" i="3"/>
  <c r="Q193" i="3"/>
  <c r="T193" i="3" s="1"/>
  <c r="U193" i="3" s="1"/>
  <c r="P193" i="3"/>
  <c r="S192" i="3"/>
  <c r="R192" i="3"/>
  <c r="V192" i="3" s="1"/>
  <c r="Q192" i="3"/>
  <c r="T192" i="3" s="1"/>
  <c r="U192" i="3" s="1"/>
  <c r="P192" i="3"/>
  <c r="S191" i="3"/>
  <c r="P191" i="3"/>
  <c r="R191" i="3" s="1"/>
  <c r="V191" i="3" s="1"/>
  <c r="S190" i="3"/>
  <c r="P190" i="3"/>
  <c r="R190" i="3" s="1"/>
  <c r="V190" i="3" s="1"/>
  <c r="S189" i="3"/>
  <c r="Q189" i="3"/>
  <c r="T189" i="3" s="1"/>
  <c r="U189" i="3" s="1"/>
  <c r="P189" i="3"/>
  <c r="R189" i="3" s="1"/>
  <c r="V189" i="3" s="1"/>
  <c r="V188" i="3"/>
  <c r="S188" i="3"/>
  <c r="R188" i="3"/>
  <c r="P188" i="3"/>
  <c r="Q188" i="3" s="1"/>
  <c r="T188" i="3" s="1"/>
  <c r="U188" i="3" s="1"/>
  <c r="S187" i="3"/>
  <c r="Q187" i="3"/>
  <c r="T187" i="3" s="1"/>
  <c r="U187" i="3" s="1"/>
  <c r="P187" i="3"/>
  <c r="R187" i="3" s="1"/>
  <c r="V187" i="3" s="1"/>
  <c r="S186" i="3"/>
  <c r="R186" i="3"/>
  <c r="V186" i="3" s="1"/>
  <c r="P186" i="3"/>
  <c r="Q186" i="3" s="1"/>
  <c r="T186" i="3" s="1"/>
  <c r="U186" i="3" s="1"/>
  <c r="U185" i="3"/>
  <c r="T185" i="3"/>
  <c r="S185" i="3"/>
  <c r="R185" i="3"/>
  <c r="V185" i="3" s="1"/>
  <c r="Q185" i="3"/>
  <c r="P185" i="3"/>
  <c r="S184" i="3"/>
  <c r="P184" i="3"/>
  <c r="R184" i="3" s="1"/>
  <c r="V184" i="3" s="1"/>
  <c r="T183" i="3"/>
  <c r="U183" i="3" s="1"/>
  <c r="S183" i="3"/>
  <c r="Q183" i="3"/>
  <c r="P183" i="3"/>
  <c r="R183" i="3" s="1"/>
  <c r="V183" i="3" s="1"/>
  <c r="S182" i="3"/>
  <c r="P182" i="3"/>
  <c r="Q182" i="3" s="1"/>
  <c r="T182" i="3" s="1"/>
  <c r="U182" i="3" s="1"/>
  <c r="V181" i="3"/>
  <c r="S181" i="3"/>
  <c r="R181" i="3"/>
  <c r="Q181" i="3"/>
  <c r="T181" i="3" s="1"/>
  <c r="U181" i="3" s="1"/>
  <c r="P181" i="3"/>
  <c r="S180" i="3"/>
  <c r="R180" i="3"/>
  <c r="V180" i="3" s="1"/>
  <c r="Q180" i="3"/>
  <c r="T180" i="3" s="1"/>
  <c r="U180" i="3" s="1"/>
  <c r="P180" i="3"/>
  <c r="S179" i="3"/>
  <c r="P179" i="3"/>
  <c r="R179" i="3" s="1"/>
  <c r="V179" i="3" s="1"/>
  <c r="S178" i="3"/>
  <c r="P178" i="3"/>
  <c r="R178" i="3" s="1"/>
  <c r="V178" i="3" s="1"/>
  <c r="S177" i="3"/>
  <c r="Q177" i="3"/>
  <c r="T177" i="3" s="1"/>
  <c r="U177" i="3" s="1"/>
  <c r="P177" i="3"/>
  <c r="R177" i="3" s="1"/>
  <c r="V177" i="3" s="1"/>
  <c r="V176" i="3"/>
  <c r="U176" i="3"/>
  <c r="S176" i="3"/>
  <c r="R176" i="3"/>
  <c r="P176" i="3"/>
  <c r="Q176" i="3" s="1"/>
  <c r="T176" i="3" s="1"/>
  <c r="S175" i="3"/>
  <c r="P175" i="3"/>
  <c r="R175" i="3" s="1"/>
  <c r="V175" i="3" s="1"/>
  <c r="S174" i="3"/>
  <c r="R174" i="3"/>
  <c r="V174" i="3" s="1"/>
  <c r="P174" i="3"/>
  <c r="Q174" i="3" s="1"/>
  <c r="T174" i="3" s="1"/>
  <c r="U174" i="3" s="1"/>
  <c r="U173" i="3"/>
  <c r="T173" i="3"/>
  <c r="S173" i="3"/>
  <c r="R173" i="3"/>
  <c r="V173" i="3" s="1"/>
  <c r="Q173" i="3"/>
  <c r="P173" i="3"/>
  <c r="S172" i="3"/>
  <c r="P172" i="3"/>
  <c r="T171" i="3"/>
  <c r="U171" i="3" s="1"/>
  <c r="S171" i="3"/>
  <c r="Q171" i="3"/>
  <c r="P171" i="3"/>
  <c r="R171" i="3" s="1"/>
  <c r="V171" i="3" s="1"/>
  <c r="S170" i="3"/>
  <c r="R170" i="3"/>
  <c r="V170" i="3" s="1"/>
  <c r="P170" i="3"/>
  <c r="Q170" i="3" s="1"/>
  <c r="T170" i="3" s="1"/>
  <c r="U170" i="3" s="1"/>
  <c r="V169" i="3"/>
  <c r="S169" i="3"/>
  <c r="R169" i="3"/>
  <c r="Q169" i="3"/>
  <c r="T169" i="3" s="1"/>
  <c r="U169" i="3" s="1"/>
  <c r="P169" i="3"/>
  <c r="S168" i="3"/>
  <c r="R168" i="3"/>
  <c r="V168" i="3" s="1"/>
  <c r="Q168" i="3"/>
  <c r="T168" i="3" s="1"/>
  <c r="U168" i="3" s="1"/>
  <c r="P168" i="3"/>
  <c r="S167" i="3"/>
  <c r="P167" i="3"/>
  <c r="R167" i="3" s="1"/>
  <c r="V167" i="3" s="1"/>
  <c r="S166" i="3"/>
  <c r="P166" i="3"/>
  <c r="R166" i="3" s="1"/>
  <c r="V166" i="3" s="1"/>
  <c r="S165" i="3"/>
  <c r="Q165" i="3"/>
  <c r="T165" i="3" s="1"/>
  <c r="U165" i="3" s="1"/>
  <c r="P165" i="3"/>
  <c r="R165" i="3" s="1"/>
  <c r="V165" i="3" s="1"/>
  <c r="U164" i="3"/>
  <c r="S164" i="3"/>
  <c r="R164" i="3"/>
  <c r="V164" i="3" s="1"/>
  <c r="Q164" i="3"/>
  <c r="T164" i="3" s="1"/>
  <c r="P164" i="3"/>
  <c r="S163" i="3"/>
  <c r="P163" i="3"/>
  <c r="R163" i="3" s="1"/>
  <c r="V163" i="3" s="1"/>
  <c r="S162" i="3"/>
  <c r="R162" i="3"/>
  <c r="V162" i="3" s="1"/>
  <c r="P162" i="3"/>
  <c r="Q162" i="3" s="1"/>
  <c r="T162" i="3" s="1"/>
  <c r="U162" i="3" s="1"/>
  <c r="U161" i="3"/>
  <c r="T161" i="3"/>
  <c r="S161" i="3"/>
  <c r="R161" i="3"/>
  <c r="V161" i="3" s="1"/>
  <c r="Q161" i="3"/>
  <c r="P161" i="3"/>
  <c r="S160" i="3"/>
  <c r="P160" i="3"/>
  <c r="S159" i="3"/>
  <c r="P159" i="3"/>
  <c r="R159" i="3" s="1"/>
  <c r="V159" i="3" s="1"/>
  <c r="S158" i="3"/>
  <c r="P158" i="3"/>
  <c r="Q158" i="3" s="1"/>
  <c r="T158" i="3" s="1"/>
  <c r="U158" i="3" s="1"/>
  <c r="S157" i="3"/>
  <c r="R157" i="3"/>
  <c r="V157" i="3" s="1"/>
  <c r="Q157" i="3"/>
  <c r="T157" i="3" s="1"/>
  <c r="U157" i="3" s="1"/>
  <c r="P157" i="3"/>
  <c r="S156" i="3"/>
  <c r="R156" i="3"/>
  <c r="V156" i="3" s="1"/>
  <c r="Q156" i="3"/>
  <c r="T156" i="3" s="1"/>
  <c r="U156" i="3" s="1"/>
  <c r="P156" i="3"/>
  <c r="S155" i="3"/>
  <c r="P155" i="3"/>
  <c r="R155" i="3" s="1"/>
  <c r="V155" i="3" s="1"/>
  <c r="S154" i="3"/>
  <c r="P154" i="3"/>
  <c r="Q154" i="3" s="1"/>
  <c r="T154" i="3" s="1"/>
  <c r="U154" i="3" s="1"/>
  <c r="S153" i="3"/>
  <c r="P153" i="3"/>
  <c r="R153" i="3" s="1"/>
  <c r="V153" i="3" s="1"/>
  <c r="S152" i="3"/>
  <c r="P152" i="3"/>
  <c r="R152" i="3" s="1"/>
  <c r="V152" i="3" s="1"/>
  <c r="S151" i="3"/>
  <c r="R151" i="3"/>
  <c r="V151" i="3" s="1"/>
  <c r="Q151" i="3"/>
  <c r="T151" i="3" s="1"/>
  <c r="U151" i="3" s="1"/>
  <c r="P151" i="3"/>
  <c r="V150" i="3"/>
  <c r="S150" i="3"/>
  <c r="R150" i="3"/>
  <c r="P150" i="3"/>
  <c r="Q150" i="3" s="1"/>
  <c r="T150" i="3" s="1"/>
  <c r="U150" i="3" s="1"/>
  <c r="S149" i="3"/>
  <c r="R149" i="3"/>
  <c r="V149" i="3" s="1"/>
  <c r="Q149" i="3"/>
  <c r="T149" i="3" s="1"/>
  <c r="U149" i="3" s="1"/>
  <c r="P149" i="3"/>
  <c r="S148" i="3"/>
  <c r="P148" i="3"/>
  <c r="S147" i="3"/>
  <c r="P147" i="3"/>
  <c r="R147" i="3" s="1"/>
  <c r="V147" i="3" s="1"/>
  <c r="S146" i="3"/>
  <c r="R146" i="3"/>
  <c r="V146" i="3" s="1"/>
  <c r="P146" i="3"/>
  <c r="Q146" i="3" s="1"/>
  <c r="T146" i="3" s="1"/>
  <c r="U146" i="3" s="1"/>
  <c r="S145" i="3"/>
  <c r="R145" i="3"/>
  <c r="V145" i="3" s="1"/>
  <c r="Q145" i="3"/>
  <c r="T145" i="3" s="1"/>
  <c r="U145" i="3" s="1"/>
  <c r="P145" i="3"/>
  <c r="T144" i="3"/>
  <c r="U144" i="3" s="1"/>
  <c r="S144" i="3"/>
  <c r="R144" i="3"/>
  <c r="V144" i="3" s="1"/>
  <c r="Q144" i="3"/>
  <c r="P144" i="3"/>
  <c r="S143" i="3"/>
  <c r="P143" i="3"/>
  <c r="R143" i="3" s="1"/>
  <c r="V143" i="3" s="1"/>
  <c r="S142" i="3"/>
  <c r="R142" i="3"/>
  <c r="V142" i="3" s="1"/>
  <c r="P142" i="3"/>
  <c r="Q142" i="3" s="1"/>
  <c r="T142" i="3" s="1"/>
  <c r="U142" i="3" s="1"/>
  <c r="V141" i="3"/>
  <c r="S141" i="3"/>
  <c r="R141" i="3"/>
  <c r="Q141" i="3"/>
  <c r="T141" i="3" s="1"/>
  <c r="U141" i="3" s="1"/>
  <c r="P141" i="3"/>
  <c r="S140" i="3"/>
  <c r="P140" i="3"/>
  <c r="R140" i="3" s="1"/>
  <c r="V140" i="3" s="1"/>
  <c r="S139" i="3"/>
  <c r="R139" i="3"/>
  <c r="V139" i="3" s="1"/>
  <c r="Q139" i="3"/>
  <c r="T139" i="3" s="1"/>
  <c r="U139" i="3" s="1"/>
  <c r="P139" i="3"/>
  <c r="T138" i="3"/>
  <c r="U138" i="3" s="1"/>
  <c r="S138" i="3"/>
  <c r="R138" i="3"/>
  <c r="V138" i="3" s="1"/>
  <c r="P138" i="3"/>
  <c r="Q138" i="3" s="1"/>
  <c r="S137" i="3"/>
  <c r="R137" i="3"/>
  <c r="V137" i="3" s="1"/>
  <c r="Q137" i="3"/>
  <c r="T137" i="3" s="1"/>
  <c r="U137" i="3" s="1"/>
  <c r="P137" i="3"/>
  <c r="V136" i="3"/>
  <c r="S136" i="3"/>
  <c r="Q136" i="3"/>
  <c r="T136" i="3" s="1"/>
  <c r="U136" i="3" s="1"/>
  <c r="P136" i="3"/>
  <c r="R136" i="3" s="1"/>
  <c r="V135" i="3"/>
  <c r="S135" i="3"/>
  <c r="Q135" i="3"/>
  <c r="T135" i="3" s="1"/>
  <c r="U135" i="3" s="1"/>
  <c r="P135" i="3"/>
  <c r="R135" i="3" s="1"/>
  <c r="T134" i="3"/>
  <c r="U134" i="3" s="1"/>
  <c r="S134" i="3"/>
  <c r="R134" i="3"/>
  <c r="V134" i="3" s="1"/>
  <c r="Q134" i="3"/>
  <c r="P134" i="3"/>
  <c r="V133" i="3"/>
  <c r="S133" i="3"/>
  <c r="R133" i="3"/>
  <c r="Q133" i="3"/>
  <c r="T133" i="3" s="1"/>
  <c r="U133" i="3" s="1"/>
  <c r="P133" i="3"/>
  <c r="S132" i="3"/>
  <c r="P132" i="3"/>
  <c r="R132" i="3" s="1"/>
  <c r="V132" i="3" s="1"/>
  <c r="S131" i="3"/>
  <c r="Q131" i="3"/>
  <c r="T131" i="3" s="1"/>
  <c r="U131" i="3" s="1"/>
  <c r="P131" i="3"/>
  <c r="R131" i="3" s="1"/>
  <c r="V131" i="3" s="1"/>
  <c r="S130" i="3"/>
  <c r="R130" i="3"/>
  <c r="V130" i="3" s="1"/>
  <c r="P130" i="3"/>
  <c r="Q130" i="3" s="1"/>
  <c r="T130" i="3" s="1"/>
  <c r="U130" i="3" s="1"/>
  <c r="V129" i="3"/>
  <c r="S129" i="3"/>
  <c r="R129" i="3"/>
  <c r="Q129" i="3"/>
  <c r="T129" i="3" s="1"/>
  <c r="U129" i="3" s="1"/>
  <c r="P129" i="3"/>
  <c r="S128" i="3"/>
  <c r="P128" i="3"/>
  <c r="R128" i="3" s="1"/>
  <c r="V128" i="3" s="1"/>
  <c r="S127" i="3"/>
  <c r="R127" i="3"/>
  <c r="V127" i="3" s="1"/>
  <c r="P127" i="3"/>
  <c r="Q127" i="3" s="1"/>
  <c r="T127" i="3" s="1"/>
  <c r="U127" i="3" s="1"/>
  <c r="V126" i="3"/>
  <c r="S126" i="3"/>
  <c r="R126" i="3"/>
  <c r="P126" i="3"/>
  <c r="Q126" i="3" s="1"/>
  <c r="T126" i="3" s="1"/>
  <c r="U126" i="3" s="1"/>
  <c r="T125" i="3"/>
  <c r="U125" i="3" s="1"/>
  <c r="S125" i="3"/>
  <c r="R125" i="3"/>
  <c r="V125" i="3" s="1"/>
  <c r="Q125" i="3"/>
  <c r="P125" i="3"/>
  <c r="V124" i="3"/>
  <c r="T124" i="3"/>
  <c r="U124" i="3" s="1"/>
  <c r="S124" i="3"/>
  <c r="R124" i="3"/>
  <c r="Q124" i="3"/>
  <c r="P124" i="3"/>
  <c r="S123" i="3"/>
  <c r="P123" i="3"/>
  <c r="R123" i="3" s="1"/>
  <c r="V123" i="3" s="1"/>
  <c r="T122" i="3"/>
  <c r="U122" i="3" s="1"/>
  <c r="S122" i="3"/>
  <c r="R122" i="3"/>
  <c r="V122" i="3" s="1"/>
  <c r="Q122" i="3"/>
  <c r="P122" i="3"/>
  <c r="V121" i="3"/>
  <c r="U121" i="3"/>
  <c r="S121" i="3"/>
  <c r="R121" i="3"/>
  <c r="Q121" i="3"/>
  <c r="T121" i="3" s="1"/>
  <c r="P121" i="3"/>
  <c r="S120" i="3"/>
  <c r="R120" i="3"/>
  <c r="V120" i="3" s="1"/>
  <c r="P120" i="3"/>
  <c r="Q120" i="3" s="1"/>
  <c r="T120" i="3" s="1"/>
  <c r="U120" i="3" s="1"/>
  <c r="S119" i="3"/>
  <c r="P119" i="3"/>
  <c r="R119" i="3" s="1"/>
  <c r="V119" i="3" s="1"/>
  <c r="U118" i="3"/>
  <c r="T118" i="3"/>
  <c r="S118" i="3"/>
  <c r="R118" i="3"/>
  <c r="V118" i="3" s="1"/>
  <c r="P118" i="3"/>
  <c r="Q118" i="3" s="1"/>
  <c r="S117" i="3"/>
  <c r="P117" i="3"/>
  <c r="R117" i="3" s="1"/>
  <c r="V117" i="3" s="1"/>
  <c r="S116" i="3"/>
  <c r="R116" i="3"/>
  <c r="V116" i="3" s="1"/>
  <c r="P116" i="3"/>
  <c r="Q116" i="3" s="1"/>
  <c r="T116" i="3" s="1"/>
  <c r="U116" i="3" s="1"/>
  <c r="S115" i="3"/>
  <c r="R115" i="3"/>
  <c r="V115" i="3" s="1"/>
  <c r="Q115" i="3"/>
  <c r="T115" i="3" s="1"/>
  <c r="U115" i="3" s="1"/>
  <c r="P115" i="3"/>
  <c r="V114" i="3"/>
  <c r="T114" i="3"/>
  <c r="U114" i="3" s="1"/>
  <c r="S114" i="3"/>
  <c r="R114" i="3"/>
  <c r="P114" i="3"/>
  <c r="Q114" i="3" s="1"/>
  <c r="V113" i="3"/>
  <c r="S113" i="3"/>
  <c r="R113" i="3"/>
  <c r="Q113" i="3"/>
  <c r="T113" i="3" s="1"/>
  <c r="U113" i="3" s="1"/>
  <c r="P113" i="3"/>
  <c r="S112" i="3"/>
  <c r="Q112" i="3"/>
  <c r="T112" i="3" s="1"/>
  <c r="U112" i="3" s="1"/>
  <c r="P112" i="3"/>
  <c r="R112" i="3" s="1"/>
  <c r="V112" i="3" s="1"/>
  <c r="S111" i="3"/>
  <c r="P111" i="3"/>
  <c r="R111" i="3" s="1"/>
  <c r="V111" i="3" s="1"/>
  <c r="S110" i="3"/>
  <c r="P110" i="3"/>
  <c r="R110" i="3" s="1"/>
  <c r="V110" i="3" s="1"/>
  <c r="S109" i="3"/>
  <c r="Q109" i="3"/>
  <c r="T109" i="3" s="1"/>
  <c r="U109" i="3" s="1"/>
  <c r="P109" i="3"/>
  <c r="R109" i="3" s="1"/>
  <c r="V109" i="3" s="1"/>
  <c r="S108" i="3"/>
  <c r="R108" i="3"/>
  <c r="V108" i="3" s="1"/>
  <c r="Q108" i="3"/>
  <c r="T108" i="3" s="1"/>
  <c r="U108" i="3" s="1"/>
  <c r="P108" i="3"/>
  <c r="T107" i="3"/>
  <c r="U107" i="3" s="1"/>
  <c r="S107" i="3"/>
  <c r="R107" i="3"/>
  <c r="V107" i="3" s="1"/>
  <c r="Q107" i="3"/>
  <c r="P107" i="3"/>
  <c r="T106" i="3"/>
  <c r="U106" i="3" s="1"/>
  <c r="S106" i="3"/>
  <c r="R106" i="3"/>
  <c r="V106" i="3" s="1"/>
  <c r="P106" i="3"/>
  <c r="Q106" i="3" s="1"/>
  <c r="S105" i="3"/>
  <c r="P105" i="3"/>
  <c r="R105" i="3" s="1"/>
  <c r="V105" i="3" s="1"/>
  <c r="S104" i="3"/>
  <c r="P104" i="3"/>
  <c r="R104" i="3" s="1"/>
  <c r="V104" i="3" s="1"/>
  <c r="S103" i="3"/>
  <c r="R103" i="3"/>
  <c r="V103" i="3" s="1"/>
  <c r="P103" i="3"/>
  <c r="Q103" i="3" s="1"/>
  <c r="T103" i="3" s="1"/>
  <c r="U103" i="3" s="1"/>
  <c r="V102" i="3"/>
  <c r="S102" i="3"/>
  <c r="R102" i="3"/>
  <c r="Q102" i="3"/>
  <c r="T102" i="3" s="1"/>
  <c r="U102" i="3" s="1"/>
  <c r="P102" i="3"/>
  <c r="V101" i="3"/>
  <c r="S101" i="3"/>
  <c r="R101" i="3"/>
  <c r="Q101" i="3"/>
  <c r="T101" i="3" s="1"/>
  <c r="U101" i="3" s="1"/>
  <c r="P101" i="3"/>
  <c r="S100" i="3"/>
  <c r="Q100" i="3"/>
  <c r="T100" i="3" s="1"/>
  <c r="U100" i="3" s="1"/>
  <c r="P100" i="3"/>
  <c r="R100" i="3" s="1"/>
  <c r="V100" i="3" s="1"/>
  <c r="S99" i="3"/>
  <c r="P99" i="3"/>
  <c r="R99" i="3" s="1"/>
  <c r="V99" i="3" s="1"/>
  <c r="T98" i="3"/>
  <c r="U98" i="3" s="1"/>
  <c r="S98" i="3"/>
  <c r="R98" i="3"/>
  <c r="V98" i="3" s="1"/>
  <c r="Q98" i="3"/>
  <c r="P98" i="3"/>
  <c r="V97" i="3"/>
  <c r="S97" i="3"/>
  <c r="R97" i="3"/>
  <c r="Q97" i="3"/>
  <c r="T97" i="3" s="1"/>
  <c r="U97" i="3" s="1"/>
  <c r="P97" i="3"/>
  <c r="S96" i="3"/>
  <c r="P96" i="3"/>
  <c r="R96" i="3" s="1"/>
  <c r="V96" i="3" s="1"/>
  <c r="S95" i="3"/>
  <c r="R95" i="3"/>
  <c r="V95" i="3" s="1"/>
  <c r="P95" i="3"/>
  <c r="Q95" i="3" s="1"/>
  <c r="T95" i="3" s="1"/>
  <c r="U95" i="3" s="1"/>
  <c r="T94" i="3"/>
  <c r="U94" i="3" s="1"/>
  <c r="S94" i="3"/>
  <c r="P94" i="3"/>
  <c r="Q94" i="3" s="1"/>
  <c r="S93" i="3"/>
  <c r="P93" i="3"/>
  <c r="R93" i="3" s="1"/>
  <c r="V93" i="3" s="1"/>
  <c r="S92" i="3"/>
  <c r="R92" i="3"/>
  <c r="V92" i="3" s="1"/>
  <c r="P92" i="3"/>
  <c r="Q92" i="3" s="1"/>
  <c r="T92" i="3" s="1"/>
  <c r="U92" i="3" s="1"/>
  <c r="S91" i="3"/>
  <c r="R91" i="3"/>
  <c r="V91" i="3" s="1"/>
  <c r="P91" i="3"/>
  <c r="Q91" i="3" s="1"/>
  <c r="T91" i="3" s="1"/>
  <c r="U91" i="3" s="1"/>
  <c r="S90" i="3"/>
  <c r="P90" i="3"/>
  <c r="R90" i="3" s="1"/>
  <c r="V90" i="3" s="1"/>
  <c r="T89" i="3"/>
  <c r="U89" i="3" s="1"/>
  <c r="S89" i="3"/>
  <c r="R89" i="3"/>
  <c r="V89" i="3" s="1"/>
  <c r="Q89" i="3"/>
  <c r="P89" i="3"/>
  <c r="S88" i="3"/>
  <c r="R88" i="3"/>
  <c r="V88" i="3" s="1"/>
  <c r="P88" i="3"/>
  <c r="Q88" i="3" s="1"/>
  <c r="T88" i="3" s="1"/>
  <c r="U88" i="3" s="1"/>
  <c r="V87" i="3"/>
  <c r="T87" i="3"/>
  <c r="U87" i="3" s="1"/>
  <c r="S87" i="3"/>
  <c r="R87" i="3"/>
  <c r="Q87" i="3"/>
  <c r="P87" i="3"/>
  <c r="V86" i="3"/>
  <c r="S86" i="3"/>
  <c r="R86" i="3"/>
  <c r="Q86" i="3"/>
  <c r="T86" i="3" s="1"/>
  <c r="U86" i="3" s="1"/>
  <c r="P86" i="3"/>
  <c r="S85" i="3"/>
  <c r="Q85" i="3"/>
  <c r="T85" i="3" s="1"/>
  <c r="U85" i="3" s="1"/>
  <c r="P85" i="3"/>
  <c r="R85" i="3" s="1"/>
  <c r="V85" i="3" s="1"/>
  <c r="S84" i="3"/>
  <c r="Q84" i="3"/>
  <c r="T84" i="3" s="1"/>
  <c r="U84" i="3" s="1"/>
  <c r="P84" i="3"/>
  <c r="R84" i="3" s="1"/>
  <c r="V84" i="3" s="1"/>
  <c r="S83" i="3"/>
  <c r="R83" i="3"/>
  <c r="V83" i="3" s="1"/>
  <c r="Q83" i="3"/>
  <c r="T83" i="3" s="1"/>
  <c r="U83" i="3" s="1"/>
  <c r="P83" i="3"/>
  <c r="S82" i="3"/>
  <c r="P82" i="3"/>
  <c r="R82" i="3" s="1"/>
  <c r="V82" i="3" s="1"/>
  <c r="S81" i="3"/>
  <c r="P81" i="3"/>
  <c r="R81" i="3" s="1"/>
  <c r="V81" i="3" s="1"/>
  <c r="S80" i="3"/>
  <c r="R80" i="3"/>
  <c r="V80" i="3" s="1"/>
  <c r="P80" i="3"/>
  <c r="Q80" i="3" s="1"/>
  <c r="T80" i="3" s="1"/>
  <c r="U80" i="3" s="1"/>
  <c r="S79" i="3"/>
  <c r="R79" i="3"/>
  <c r="V79" i="3" s="1"/>
  <c r="P79" i="3"/>
  <c r="Q79" i="3" s="1"/>
  <c r="T79" i="3" s="1"/>
  <c r="U79" i="3" s="1"/>
  <c r="S78" i="3"/>
  <c r="P78" i="3"/>
  <c r="R78" i="3" s="1"/>
  <c r="V78" i="3" s="1"/>
  <c r="T77" i="3"/>
  <c r="U77" i="3" s="1"/>
  <c r="S77" i="3"/>
  <c r="R77" i="3"/>
  <c r="V77" i="3" s="1"/>
  <c r="Q77" i="3"/>
  <c r="P77" i="3"/>
  <c r="S76" i="3"/>
  <c r="R76" i="3"/>
  <c r="V76" i="3" s="1"/>
  <c r="P76" i="3"/>
  <c r="Q76" i="3" s="1"/>
  <c r="T76" i="3" s="1"/>
  <c r="U76" i="3" s="1"/>
  <c r="V75" i="3"/>
  <c r="T75" i="3"/>
  <c r="U75" i="3" s="1"/>
  <c r="S75" i="3"/>
  <c r="R75" i="3"/>
  <c r="Q75" i="3"/>
  <c r="P75" i="3"/>
  <c r="V74" i="3"/>
  <c r="S74" i="3"/>
  <c r="R74" i="3"/>
  <c r="Q74" i="3"/>
  <c r="T74" i="3" s="1"/>
  <c r="U74" i="3" s="1"/>
  <c r="P74" i="3"/>
  <c r="S73" i="3"/>
  <c r="P73" i="3"/>
  <c r="R73" i="3" s="1"/>
  <c r="V73" i="3" s="1"/>
  <c r="S72" i="3"/>
  <c r="Q72" i="3"/>
  <c r="T72" i="3" s="1"/>
  <c r="U72" i="3" s="1"/>
  <c r="P72" i="3"/>
  <c r="R72" i="3" s="1"/>
  <c r="V72" i="3" s="1"/>
  <c r="S71" i="3"/>
  <c r="R71" i="3"/>
  <c r="V71" i="3" s="1"/>
  <c r="Q71" i="3"/>
  <c r="T71" i="3" s="1"/>
  <c r="U71" i="3" s="1"/>
  <c r="P71" i="3"/>
  <c r="S70" i="3"/>
  <c r="P70" i="3"/>
  <c r="R70" i="3" s="1"/>
  <c r="V70" i="3" s="1"/>
  <c r="S69" i="3"/>
  <c r="P69" i="3"/>
  <c r="R69" i="3" s="1"/>
  <c r="V69" i="3" s="1"/>
  <c r="S68" i="3"/>
  <c r="R68" i="3"/>
  <c r="V68" i="3" s="1"/>
  <c r="P68" i="3"/>
  <c r="Q68" i="3" s="1"/>
  <c r="T68" i="3" s="1"/>
  <c r="U68" i="3" s="1"/>
  <c r="S67" i="3"/>
  <c r="R67" i="3"/>
  <c r="V67" i="3" s="1"/>
  <c r="P67" i="3"/>
  <c r="Q67" i="3" s="1"/>
  <c r="T67" i="3" s="1"/>
  <c r="U67" i="3" s="1"/>
  <c r="S66" i="3"/>
  <c r="P66" i="3"/>
  <c r="R66" i="3" s="1"/>
  <c r="V66" i="3" s="1"/>
  <c r="T65" i="3"/>
  <c r="U65" i="3" s="1"/>
  <c r="S65" i="3"/>
  <c r="R65" i="3"/>
  <c r="V65" i="3" s="1"/>
  <c r="Q65" i="3"/>
  <c r="P65" i="3"/>
  <c r="S64" i="3"/>
  <c r="R64" i="3"/>
  <c r="V64" i="3" s="1"/>
  <c r="P64" i="3"/>
  <c r="Q64" i="3" s="1"/>
  <c r="T64" i="3" s="1"/>
  <c r="U64" i="3" s="1"/>
  <c r="V63" i="3"/>
  <c r="S63" i="3"/>
  <c r="R63" i="3"/>
  <c r="Q63" i="3"/>
  <c r="T63" i="3" s="1"/>
  <c r="U63" i="3" s="1"/>
  <c r="P63" i="3"/>
  <c r="V62" i="3"/>
  <c r="S62" i="3"/>
  <c r="R62" i="3"/>
  <c r="Q62" i="3"/>
  <c r="T62" i="3" s="1"/>
  <c r="U62" i="3" s="1"/>
  <c r="P62" i="3"/>
  <c r="S61" i="3"/>
  <c r="P61" i="3"/>
  <c r="R61" i="3" s="1"/>
  <c r="V61" i="3" s="1"/>
  <c r="S60" i="3"/>
  <c r="Q60" i="3"/>
  <c r="T60" i="3" s="1"/>
  <c r="U60" i="3" s="1"/>
  <c r="P60" i="3"/>
  <c r="R60" i="3" s="1"/>
  <c r="V60" i="3" s="1"/>
  <c r="S59" i="3"/>
  <c r="R59" i="3"/>
  <c r="V59" i="3" s="1"/>
  <c r="Q59" i="3"/>
  <c r="T59" i="3" s="1"/>
  <c r="U59" i="3" s="1"/>
  <c r="P59" i="3"/>
  <c r="S58" i="3"/>
  <c r="P58" i="3"/>
  <c r="R58" i="3" s="1"/>
  <c r="V58" i="3" s="1"/>
  <c r="S57" i="3"/>
  <c r="P57" i="3"/>
  <c r="R57" i="3" s="1"/>
  <c r="V57" i="3" s="1"/>
  <c r="S56" i="3"/>
  <c r="R56" i="3"/>
  <c r="V56" i="3" s="1"/>
  <c r="P56" i="3"/>
  <c r="Q56" i="3" s="1"/>
  <c r="T56" i="3" s="1"/>
  <c r="U56" i="3" s="1"/>
  <c r="S55" i="3"/>
  <c r="R55" i="3"/>
  <c r="V55" i="3" s="1"/>
  <c r="P55" i="3"/>
  <c r="Q55" i="3" s="1"/>
  <c r="T55" i="3" s="1"/>
  <c r="U55" i="3" s="1"/>
  <c r="S54" i="3"/>
  <c r="P54" i="3"/>
  <c r="R54" i="3" s="1"/>
  <c r="V54" i="3" s="1"/>
  <c r="T53" i="3"/>
  <c r="U53" i="3" s="1"/>
  <c r="S53" i="3"/>
  <c r="R53" i="3"/>
  <c r="V53" i="3" s="1"/>
  <c r="Q53" i="3"/>
  <c r="P53" i="3"/>
  <c r="S52" i="3"/>
  <c r="R52" i="3"/>
  <c r="V52" i="3" s="1"/>
  <c r="P52" i="3"/>
  <c r="Q52" i="3" s="1"/>
  <c r="T52" i="3" s="1"/>
  <c r="U52" i="3" s="1"/>
  <c r="V51" i="3"/>
  <c r="S51" i="3"/>
  <c r="R51" i="3"/>
  <c r="Q51" i="3"/>
  <c r="T51" i="3" s="1"/>
  <c r="U51" i="3" s="1"/>
  <c r="P51" i="3"/>
  <c r="V50" i="3"/>
  <c r="S50" i="3"/>
  <c r="R50" i="3"/>
  <c r="Q50" i="3"/>
  <c r="T50" i="3" s="1"/>
  <c r="U50" i="3" s="1"/>
  <c r="P50" i="3"/>
  <c r="S49" i="3"/>
  <c r="P49" i="3"/>
  <c r="R49" i="3" s="1"/>
  <c r="V49" i="3" s="1"/>
  <c r="S48" i="3"/>
  <c r="Q48" i="3"/>
  <c r="T48" i="3" s="1"/>
  <c r="U48" i="3" s="1"/>
  <c r="P48" i="3"/>
  <c r="R48" i="3" s="1"/>
  <c r="V48" i="3" s="1"/>
  <c r="S47" i="3"/>
  <c r="R47" i="3"/>
  <c r="V47" i="3" s="1"/>
  <c r="Q47" i="3"/>
  <c r="T47" i="3" s="1"/>
  <c r="U47" i="3" s="1"/>
  <c r="P47" i="3"/>
  <c r="S46" i="3"/>
  <c r="P46" i="3"/>
  <c r="R46" i="3" s="1"/>
  <c r="V46" i="3" s="1"/>
  <c r="S45" i="3"/>
  <c r="P45" i="3"/>
  <c r="R45" i="3" s="1"/>
  <c r="V45" i="3" s="1"/>
  <c r="S44" i="3"/>
  <c r="R44" i="3"/>
  <c r="V44" i="3" s="1"/>
  <c r="P44" i="3"/>
  <c r="Q44" i="3" s="1"/>
  <c r="T44" i="3" s="1"/>
  <c r="U44" i="3" s="1"/>
  <c r="S43" i="3"/>
  <c r="R43" i="3"/>
  <c r="V43" i="3" s="1"/>
  <c r="P43" i="3"/>
  <c r="Q43" i="3" s="1"/>
  <c r="T43" i="3" s="1"/>
  <c r="U43" i="3" s="1"/>
  <c r="S42" i="3"/>
  <c r="P42" i="3"/>
  <c r="R42" i="3" s="1"/>
  <c r="V42" i="3" s="1"/>
  <c r="T41" i="3"/>
  <c r="U41" i="3" s="1"/>
  <c r="S41" i="3"/>
  <c r="R41" i="3"/>
  <c r="V41" i="3" s="1"/>
  <c r="Q41" i="3"/>
  <c r="P41" i="3"/>
  <c r="S40" i="3"/>
  <c r="R40" i="3"/>
  <c r="V40" i="3" s="1"/>
  <c r="P40" i="3"/>
  <c r="Q40" i="3" s="1"/>
  <c r="T40" i="3" s="1"/>
  <c r="U40" i="3" s="1"/>
  <c r="V39" i="3"/>
  <c r="S39" i="3"/>
  <c r="R39" i="3"/>
  <c r="Q39" i="3"/>
  <c r="T39" i="3" s="1"/>
  <c r="U39" i="3" s="1"/>
  <c r="P39" i="3"/>
  <c r="S38" i="3"/>
  <c r="R38" i="3"/>
  <c r="V38" i="3" s="1"/>
  <c r="Q38" i="3"/>
  <c r="T38" i="3" s="1"/>
  <c r="U38" i="3" s="1"/>
  <c r="P38" i="3"/>
  <c r="S37" i="3"/>
  <c r="P37" i="3"/>
  <c r="R37" i="3" s="1"/>
  <c r="V37" i="3" s="1"/>
  <c r="S36" i="3"/>
  <c r="Q36" i="3"/>
  <c r="T36" i="3" s="1"/>
  <c r="U36" i="3" s="1"/>
  <c r="P36" i="3"/>
  <c r="R36" i="3" s="1"/>
  <c r="V36" i="3" s="1"/>
  <c r="S35" i="3"/>
  <c r="R35" i="3"/>
  <c r="V35" i="3" s="1"/>
  <c r="Q35" i="3"/>
  <c r="T35" i="3" s="1"/>
  <c r="U35" i="3" s="1"/>
  <c r="P35" i="3"/>
  <c r="S34" i="3"/>
  <c r="P34" i="3"/>
  <c r="R34" i="3" s="1"/>
  <c r="V34" i="3" s="1"/>
  <c r="S33" i="3"/>
  <c r="P33" i="3"/>
  <c r="R33" i="3" s="1"/>
  <c r="V33" i="3" s="1"/>
  <c r="S32" i="3"/>
  <c r="R32" i="3"/>
  <c r="V32" i="3" s="1"/>
  <c r="P32" i="3"/>
  <c r="Q32" i="3" s="1"/>
  <c r="T32" i="3" s="1"/>
  <c r="U32" i="3" s="1"/>
  <c r="S31" i="3"/>
  <c r="R31" i="3"/>
  <c r="V31" i="3" s="1"/>
  <c r="P31" i="3"/>
  <c r="Q31" i="3" s="1"/>
  <c r="T31" i="3" s="1"/>
  <c r="U31" i="3" s="1"/>
  <c r="S30" i="3"/>
  <c r="P30" i="3"/>
  <c r="Q30" i="3" s="1"/>
  <c r="T30" i="3" s="1"/>
  <c r="U30" i="3" s="1"/>
  <c r="T29" i="3"/>
  <c r="U29" i="3" s="1"/>
  <c r="S29" i="3"/>
  <c r="R29" i="3"/>
  <c r="V29" i="3" s="1"/>
  <c r="Q29" i="3"/>
  <c r="P29" i="3"/>
  <c r="S28" i="3"/>
  <c r="R28" i="3"/>
  <c r="V28" i="3" s="1"/>
  <c r="P28" i="3"/>
  <c r="Q28" i="3" s="1"/>
  <c r="T28" i="3" s="1"/>
  <c r="U28" i="3" s="1"/>
  <c r="V27" i="3"/>
  <c r="S27" i="3"/>
  <c r="R27" i="3"/>
  <c r="Q27" i="3"/>
  <c r="T27" i="3" s="1"/>
  <c r="U27" i="3" s="1"/>
  <c r="P27" i="3"/>
  <c r="S26" i="3"/>
  <c r="R26" i="3"/>
  <c r="V26" i="3" s="1"/>
  <c r="Q26" i="3"/>
  <c r="T26" i="3" s="1"/>
  <c r="U26" i="3" s="1"/>
  <c r="P26" i="3"/>
  <c r="S25" i="3"/>
  <c r="P25" i="3"/>
  <c r="R25" i="3" s="1"/>
  <c r="V25" i="3" s="1"/>
  <c r="S24" i="3"/>
  <c r="Q24" i="3"/>
  <c r="T24" i="3" s="1"/>
  <c r="U24" i="3" s="1"/>
  <c r="P24" i="3"/>
  <c r="R24" i="3" s="1"/>
  <c r="V24" i="3" s="1"/>
  <c r="S23" i="3"/>
  <c r="R23" i="3"/>
  <c r="V23" i="3" s="1"/>
  <c r="Q23" i="3"/>
  <c r="T23" i="3" s="1"/>
  <c r="U23" i="3" s="1"/>
  <c r="P23" i="3"/>
  <c r="S22" i="3"/>
  <c r="P22" i="3"/>
  <c r="R22" i="3" s="1"/>
  <c r="V22" i="3" s="1"/>
  <c r="S21" i="3"/>
  <c r="P21" i="3"/>
  <c r="R21" i="3" s="1"/>
  <c r="V21" i="3" s="1"/>
  <c r="S20" i="3"/>
  <c r="R20" i="3"/>
  <c r="V20" i="3" s="1"/>
  <c r="P20" i="3"/>
  <c r="Q20" i="3" s="1"/>
  <c r="T20" i="3" s="1"/>
  <c r="U20" i="3" s="1"/>
  <c r="S19" i="3"/>
  <c r="R19" i="3"/>
  <c r="V19" i="3" s="1"/>
  <c r="P19" i="3"/>
  <c r="Q19" i="3" s="1"/>
  <c r="T19" i="3" s="1"/>
  <c r="U19" i="3" s="1"/>
  <c r="S18" i="3"/>
  <c r="P18" i="3"/>
  <c r="R18" i="3" s="1"/>
  <c r="V18" i="3" s="1"/>
  <c r="T17" i="3"/>
  <c r="U17" i="3" s="1"/>
  <c r="S17" i="3"/>
  <c r="R17" i="3"/>
  <c r="V17" i="3" s="1"/>
  <c r="Q17" i="3"/>
  <c r="P17" i="3"/>
  <c r="S16" i="3"/>
  <c r="R16" i="3"/>
  <c r="V16" i="3" s="1"/>
  <c r="P16" i="3"/>
  <c r="Q16" i="3" s="1"/>
  <c r="T16" i="3" s="1"/>
  <c r="U16" i="3" s="1"/>
  <c r="V15" i="3"/>
  <c r="S15" i="3"/>
  <c r="R15" i="3"/>
  <c r="Q15" i="3"/>
  <c r="T15" i="3" s="1"/>
  <c r="U15" i="3" s="1"/>
  <c r="P15" i="3"/>
  <c r="S14" i="3"/>
  <c r="R14" i="3"/>
  <c r="V14" i="3" s="1"/>
  <c r="Q14" i="3"/>
  <c r="T14" i="3" s="1"/>
  <c r="U14" i="3" s="1"/>
  <c r="P14" i="3"/>
  <c r="S13" i="3"/>
  <c r="P13" i="3"/>
  <c r="R13" i="3" s="1"/>
  <c r="V13" i="3" s="1"/>
  <c r="S12" i="3"/>
  <c r="Q12" i="3"/>
  <c r="T12" i="3" s="1"/>
  <c r="U12" i="3" s="1"/>
  <c r="P12" i="3"/>
  <c r="R12" i="3" s="1"/>
  <c r="V12" i="3" s="1"/>
  <c r="S11" i="3"/>
  <c r="R11" i="3"/>
  <c r="V11" i="3" s="1"/>
  <c r="Q11" i="3"/>
  <c r="T11" i="3" s="1"/>
  <c r="U11" i="3" s="1"/>
  <c r="P11" i="3"/>
  <c r="S10" i="3"/>
  <c r="P10" i="3"/>
  <c r="R10" i="3" s="1"/>
  <c r="V10" i="3" s="1"/>
  <c r="S9" i="3"/>
  <c r="P9" i="3"/>
  <c r="R9" i="3" s="1"/>
  <c r="V9" i="3" s="1"/>
  <c r="S8" i="3"/>
  <c r="R8" i="3"/>
  <c r="V8" i="3" s="1"/>
  <c r="P8" i="3"/>
  <c r="Q8" i="3" s="1"/>
  <c r="T8" i="3" s="1"/>
  <c r="U8" i="3" s="1"/>
  <c r="S7" i="3"/>
  <c r="R7" i="3"/>
  <c r="V7" i="3" s="1"/>
  <c r="P7" i="3"/>
  <c r="Q7" i="3" s="1"/>
  <c r="T7" i="3" s="1"/>
  <c r="U7" i="3" s="1"/>
  <c r="S6" i="3"/>
  <c r="P6" i="3"/>
  <c r="R6" i="3" s="1"/>
  <c r="I9" i="15" l="1"/>
  <c r="I8" i="15"/>
  <c r="I7" i="15"/>
  <c r="I6" i="15"/>
  <c r="H10" i="15"/>
  <c r="G10" i="15"/>
  <c r="F10" i="15"/>
  <c r="E10" i="15"/>
  <c r="V6" i="3"/>
  <c r="R332" i="3"/>
  <c r="V332" i="3" s="1"/>
  <c r="Q332" i="3"/>
  <c r="T332" i="3" s="1"/>
  <c r="U332" i="3" s="1"/>
  <c r="Q9" i="3"/>
  <c r="T9" i="3" s="1"/>
  <c r="U9" i="3" s="1"/>
  <c r="Q21" i="3"/>
  <c r="T21" i="3" s="1"/>
  <c r="U21" i="3" s="1"/>
  <c r="Q33" i="3"/>
  <c r="T33" i="3" s="1"/>
  <c r="U33" i="3" s="1"/>
  <c r="Q45" i="3"/>
  <c r="T45" i="3" s="1"/>
  <c r="U45" i="3" s="1"/>
  <c r="Q57" i="3"/>
  <c r="T57" i="3" s="1"/>
  <c r="U57" i="3" s="1"/>
  <c r="Q69" i="3"/>
  <c r="T69" i="3" s="1"/>
  <c r="U69" i="3" s="1"/>
  <c r="Q81" i="3"/>
  <c r="T81" i="3" s="1"/>
  <c r="U81" i="3" s="1"/>
  <c r="Q93" i="3"/>
  <c r="T93" i="3" s="1"/>
  <c r="U93" i="3" s="1"/>
  <c r="Q104" i="3"/>
  <c r="T104" i="3" s="1"/>
  <c r="U104" i="3" s="1"/>
  <c r="Q117" i="3"/>
  <c r="T117" i="3" s="1"/>
  <c r="U117" i="3" s="1"/>
  <c r="Q119" i="3"/>
  <c r="T119" i="3" s="1"/>
  <c r="U119" i="3" s="1"/>
  <c r="Q123" i="3"/>
  <c r="T123" i="3" s="1"/>
  <c r="U123" i="3" s="1"/>
  <c r="Q152" i="3"/>
  <c r="T152" i="3" s="1"/>
  <c r="U152" i="3" s="1"/>
  <c r="R154" i="3"/>
  <c r="V154" i="3" s="1"/>
  <c r="Q295" i="3"/>
  <c r="T295" i="3" s="1"/>
  <c r="U295" i="3" s="1"/>
  <c r="R295" i="3"/>
  <c r="V295" i="3" s="1"/>
  <c r="R160" i="3"/>
  <c r="V160" i="3" s="1"/>
  <c r="Q160" i="3"/>
  <c r="T160" i="3" s="1"/>
  <c r="U160" i="3" s="1"/>
  <c r="R194" i="3"/>
  <c r="V194" i="3" s="1"/>
  <c r="Q194" i="3"/>
  <c r="T194" i="3" s="1"/>
  <c r="U194" i="3" s="1"/>
  <c r="R218" i="3"/>
  <c r="V218" i="3" s="1"/>
  <c r="Q218" i="3"/>
  <c r="T218" i="3" s="1"/>
  <c r="U218" i="3" s="1"/>
  <c r="R242" i="3"/>
  <c r="V242" i="3" s="1"/>
  <c r="Q242" i="3"/>
  <c r="T242" i="3" s="1"/>
  <c r="U242" i="3" s="1"/>
  <c r="R266" i="3"/>
  <c r="V266" i="3" s="1"/>
  <c r="Q266" i="3"/>
  <c r="T266" i="3" s="1"/>
  <c r="U266" i="3" s="1"/>
  <c r="Q6" i="3"/>
  <c r="Q18" i="3"/>
  <c r="T18" i="3" s="1"/>
  <c r="U18" i="3" s="1"/>
  <c r="Q42" i="3"/>
  <c r="T42" i="3" s="1"/>
  <c r="U42" i="3" s="1"/>
  <c r="Q54" i="3"/>
  <c r="T54" i="3" s="1"/>
  <c r="U54" i="3" s="1"/>
  <c r="Q66" i="3"/>
  <c r="T66" i="3" s="1"/>
  <c r="U66" i="3" s="1"/>
  <c r="Q78" i="3"/>
  <c r="T78" i="3" s="1"/>
  <c r="U78" i="3" s="1"/>
  <c r="Q90" i="3"/>
  <c r="T90" i="3" s="1"/>
  <c r="U90" i="3" s="1"/>
  <c r="Q99" i="3"/>
  <c r="T99" i="3" s="1"/>
  <c r="U99" i="3" s="1"/>
  <c r="Q110" i="3"/>
  <c r="T110" i="3" s="1"/>
  <c r="U110" i="3" s="1"/>
  <c r="R148" i="3"/>
  <c r="V148" i="3" s="1"/>
  <c r="Q148" i="3"/>
  <c r="T148" i="3" s="1"/>
  <c r="U148" i="3" s="1"/>
  <c r="Q13" i="3"/>
  <c r="T13" i="3" s="1"/>
  <c r="U13" i="3" s="1"/>
  <c r="R30" i="3"/>
  <c r="V30" i="3" s="1"/>
  <c r="R172" i="3"/>
  <c r="V172" i="3" s="1"/>
  <c r="Q172" i="3"/>
  <c r="T172" i="3" s="1"/>
  <c r="U172" i="3" s="1"/>
  <c r="Q175" i="3"/>
  <c r="T175" i="3" s="1"/>
  <c r="U175" i="3" s="1"/>
  <c r="Q25" i="3"/>
  <c r="T25" i="3" s="1"/>
  <c r="U25" i="3" s="1"/>
  <c r="Q37" i="3"/>
  <c r="T37" i="3" s="1"/>
  <c r="U37" i="3" s="1"/>
  <c r="Q49" i="3"/>
  <c r="T49" i="3" s="1"/>
  <c r="U49" i="3" s="1"/>
  <c r="Q61" i="3"/>
  <c r="T61" i="3" s="1"/>
  <c r="U61" i="3" s="1"/>
  <c r="Q73" i="3"/>
  <c r="T73" i="3" s="1"/>
  <c r="U73" i="3" s="1"/>
  <c r="Q163" i="3"/>
  <c r="T163" i="3" s="1"/>
  <c r="U163" i="3" s="1"/>
  <c r="Q10" i="3"/>
  <c r="T10" i="3" s="1"/>
  <c r="U10" i="3" s="1"/>
  <c r="Q22" i="3"/>
  <c r="T22" i="3" s="1"/>
  <c r="U22" i="3" s="1"/>
  <c r="Q34" i="3"/>
  <c r="T34" i="3" s="1"/>
  <c r="U34" i="3" s="1"/>
  <c r="Q46" i="3"/>
  <c r="T46" i="3" s="1"/>
  <c r="U46" i="3" s="1"/>
  <c r="Q58" i="3"/>
  <c r="T58" i="3" s="1"/>
  <c r="U58" i="3" s="1"/>
  <c r="Q70" i="3"/>
  <c r="T70" i="3" s="1"/>
  <c r="U70" i="3" s="1"/>
  <c r="Q82" i="3"/>
  <c r="T82" i="3" s="1"/>
  <c r="U82" i="3" s="1"/>
  <c r="R94" i="3"/>
  <c r="V94" i="3" s="1"/>
  <c r="Q96" i="3"/>
  <c r="T96" i="3" s="1"/>
  <c r="U96" i="3" s="1"/>
  <c r="Q105" i="3"/>
  <c r="T105" i="3" s="1"/>
  <c r="U105" i="3" s="1"/>
  <c r="Q128" i="3"/>
  <c r="T128" i="3" s="1"/>
  <c r="U128" i="3" s="1"/>
  <c r="Q132" i="3"/>
  <c r="T132" i="3" s="1"/>
  <c r="U132" i="3" s="1"/>
  <c r="Q140" i="3"/>
  <c r="T140" i="3" s="1"/>
  <c r="U140" i="3" s="1"/>
  <c r="Q153" i="3"/>
  <c r="T153" i="3" s="1"/>
  <c r="U153" i="3" s="1"/>
  <c r="R158" i="3"/>
  <c r="V158" i="3" s="1"/>
  <c r="R182" i="3"/>
  <c r="V182" i="3" s="1"/>
  <c r="Q304" i="3"/>
  <c r="T304" i="3" s="1"/>
  <c r="U304" i="3" s="1"/>
  <c r="R304" i="3"/>
  <c r="V304" i="3" s="1"/>
  <c r="R206" i="3"/>
  <c r="V206" i="3" s="1"/>
  <c r="Q206" i="3"/>
  <c r="T206" i="3" s="1"/>
  <c r="U206" i="3" s="1"/>
  <c r="R230" i="3"/>
  <c r="V230" i="3" s="1"/>
  <c r="Q230" i="3"/>
  <c r="T230" i="3" s="1"/>
  <c r="U230" i="3" s="1"/>
  <c r="R254" i="3"/>
  <c r="V254" i="3" s="1"/>
  <c r="Q254" i="3"/>
  <c r="T254" i="3" s="1"/>
  <c r="U254" i="3" s="1"/>
  <c r="R278" i="3"/>
  <c r="V278" i="3" s="1"/>
  <c r="Q278" i="3"/>
  <c r="T278" i="3" s="1"/>
  <c r="U278" i="3" s="1"/>
  <c r="R322" i="3"/>
  <c r="V322" i="3" s="1"/>
  <c r="Q322" i="3"/>
  <c r="T322" i="3" s="1"/>
  <c r="U322" i="3" s="1"/>
  <c r="Q111" i="3"/>
  <c r="T111" i="3" s="1"/>
  <c r="U111" i="3" s="1"/>
  <c r="Q147" i="3"/>
  <c r="T147" i="3" s="1"/>
  <c r="U147" i="3" s="1"/>
  <c r="Q159" i="3"/>
  <c r="T159" i="3" s="1"/>
  <c r="U159" i="3" s="1"/>
  <c r="Q448" i="3"/>
  <c r="T448" i="3" s="1"/>
  <c r="U448" i="3" s="1"/>
  <c r="R448" i="3"/>
  <c r="V448" i="3" s="1"/>
  <c r="R376" i="3"/>
  <c r="V376" i="3" s="1"/>
  <c r="Q376" i="3"/>
  <c r="T376" i="3" s="1"/>
  <c r="U376" i="3" s="1"/>
  <c r="R412" i="3"/>
  <c r="V412" i="3" s="1"/>
  <c r="Q412" i="3"/>
  <c r="T412" i="3" s="1"/>
  <c r="U412" i="3" s="1"/>
  <c r="R452" i="3"/>
  <c r="V452" i="3" s="1"/>
  <c r="Q452" i="3"/>
  <c r="T452" i="3" s="1"/>
  <c r="U452" i="3" s="1"/>
  <c r="Q476" i="3"/>
  <c r="T476" i="3" s="1"/>
  <c r="U476" i="3" s="1"/>
  <c r="R476" i="3"/>
  <c r="V476" i="3" s="1"/>
  <c r="Q345" i="3"/>
  <c r="T345" i="3" s="1"/>
  <c r="U345" i="3" s="1"/>
  <c r="Q184" i="3"/>
  <c r="T184" i="3" s="1"/>
  <c r="U184" i="3" s="1"/>
  <c r="Q196" i="3"/>
  <c r="T196" i="3" s="1"/>
  <c r="U196" i="3" s="1"/>
  <c r="Q208" i="3"/>
  <c r="T208" i="3" s="1"/>
  <c r="U208" i="3" s="1"/>
  <c r="Q220" i="3"/>
  <c r="T220" i="3" s="1"/>
  <c r="U220" i="3" s="1"/>
  <c r="Q232" i="3"/>
  <c r="T232" i="3" s="1"/>
  <c r="U232" i="3" s="1"/>
  <c r="Q244" i="3"/>
  <c r="T244" i="3" s="1"/>
  <c r="U244" i="3" s="1"/>
  <c r="Q256" i="3"/>
  <c r="T256" i="3" s="1"/>
  <c r="U256" i="3" s="1"/>
  <c r="Q268" i="3"/>
  <c r="T268" i="3" s="1"/>
  <c r="U268" i="3" s="1"/>
  <c r="Q280" i="3"/>
  <c r="T280" i="3" s="1"/>
  <c r="U280" i="3" s="1"/>
  <c r="Q325" i="3"/>
  <c r="T325" i="3" s="1"/>
  <c r="U325" i="3" s="1"/>
  <c r="Q330" i="3"/>
  <c r="T330" i="3" s="1"/>
  <c r="U330" i="3" s="1"/>
  <c r="Q333" i="3"/>
  <c r="T333" i="3" s="1"/>
  <c r="U333" i="3" s="1"/>
  <c r="R466" i="3"/>
  <c r="V466" i="3" s="1"/>
  <c r="Q466" i="3"/>
  <c r="T466" i="3" s="1"/>
  <c r="U466" i="3" s="1"/>
  <c r="R644" i="3"/>
  <c r="V644" i="3" s="1"/>
  <c r="Q644" i="3"/>
  <c r="T644" i="3" s="1"/>
  <c r="U644" i="3" s="1"/>
  <c r="Q143" i="3"/>
  <c r="T143" i="3" s="1"/>
  <c r="U143" i="3" s="1"/>
  <c r="Q155" i="3"/>
  <c r="T155" i="3" s="1"/>
  <c r="U155" i="3" s="1"/>
  <c r="Q167" i="3"/>
  <c r="T167" i="3" s="1"/>
  <c r="U167" i="3" s="1"/>
  <c r="Q179" i="3"/>
  <c r="T179" i="3" s="1"/>
  <c r="U179" i="3" s="1"/>
  <c r="Q191" i="3"/>
  <c r="T191" i="3" s="1"/>
  <c r="U191" i="3" s="1"/>
  <c r="Q203" i="3"/>
  <c r="T203" i="3" s="1"/>
  <c r="U203" i="3" s="1"/>
  <c r="Q215" i="3"/>
  <c r="T215" i="3" s="1"/>
  <c r="U215" i="3" s="1"/>
  <c r="Q227" i="3"/>
  <c r="T227" i="3" s="1"/>
  <c r="U227" i="3" s="1"/>
  <c r="Q239" i="3"/>
  <c r="T239" i="3" s="1"/>
  <c r="U239" i="3" s="1"/>
  <c r="Q251" i="3"/>
  <c r="T251" i="3" s="1"/>
  <c r="U251" i="3" s="1"/>
  <c r="Q263" i="3"/>
  <c r="T263" i="3" s="1"/>
  <c r="U263" i="3" s="1"/>
  <c r="Q275" i="3"/>
  <c r="T275" i="3" s="1"/>
  <c r="U275" i="3" s="1"/>
  <c r="Q289" i="3"/>
  <c r="T289" i="3" s="1"/>
  <c r="U289" i="3" s="1"/>
  <c r="R298" i="3"/>
  <c r="V298" i="3" s="1"/>
  <c r="Q298" i="3"/>
  <c r="T298" i="3" s="1"/>
  <c r="U298" i="3" s="1"/>
  <c r="R310" i="3"/>
  <c r="V310" i="3" s="1"/>
  <c r="Q310" i="3"/>
  <c r="T310" i="3" s="1"/>
  <c r="U310" i="3" s="1"/>
  <c r="Q381" i="3"/>
  <c r="T381" i="3" s="1"/>
  <c r="U381" i="3" s="1"/>
  <c r="R320" i="3"/>
  <c r="V320" i="3" s="1"/>
  <c r="R328" i="3"/>
  <c r="V328" i="3" s="1"/>
  <c r="R342" i="3"/>
  <c r="V342" i="3" s="1"/>
  <c r="Q342" i="3"/>
  <c r="T342" i="3" s="1"/>
  <c r="U342" i="3" s="1"/>
  <c r="R352" i="3"/>
  <c r="V352" i="3" s="1"/>
  <c r="Q352" i="3"/>
  <c r="T352" i="3" s="1"/>
  <c r="U352" i="3" s="1"/>
  <c r="R388" i="3"/>
  <c r="V388" i="3" s="1"/>
  <c r="Q388" i="3"/>
  <c r="T388" i="3" s="1"/>
  <c r="U388" i="3" s="1"/>
  <c r="R424" i="3"/>
  <c r="V424" i="3" s="1"/>
  <c r="Q424" i="3"/>
  <c r="T424" i="3" s="1"/>
  <c r="U424" i="3" s="1"/>
  <c r="R436" i="3"/>
  <c r="V436" i="3" s="1"/>
  <c r="Q436" i="3"/>
  <c r="T436" i="3" s="1"/>
  <c r="U436" i="3" s="1"/>
  <c r="R454" i="3"/>
  <c r="V454" i="3" s="1"/>
  <c r="Q454" i="3"/>
  <c r="T454" i="3" s="1"/>
  <c r="U454" i="3" s="1"/>
  <c r="Q166" i="3"/>
  <c r="T166" i="3" s="1"/>
  <c r="U166" i="3" s="1"/>
  <c r="Q178" i="3"/>
  <c r="T178" i="3" s="1"/>
  <c r="U178" i="3" s="1"/>
  <c r="Q190" i="3"/>
  <c r="T190" i="3" s="1"/>
  <c r="U190" i="3" s="1"/>
  <c r="Q202" i="3"/>
  <c r="T202" i="3" s="1"/>
  <c r="U202" i="3" s="1"/>
  <c r="Q214" i="3"/>
  <c r="T214" i="3" s="1"/>
  <c r="U214" i="3" s="1"/>
  <c r="Q226" i="3"/>
  <c r="T226" i="3" s="1"/>
  <c r="U226" i="3" s="1"/>
  <c r="Q238" i="3"/>
  <c r="T238" i="3" s="1"/>
  <c r="U238" i="3" s="1"/>
  <c r="Q250" i="3"/>
  <c r="T250" i="3" s="1"/>
  <c r="U250" i="3" s="1"/>
  <c r="Q262" i="3"/>
  <c r="T262" i="3" s="1"/>
  <c r="U262" i="3" s="1"/>
  <c r="Q274" i="3"/>
  <c r="T274" i="3" s="1"/>
  <c r="U274" i="3" s="1"/>
  <c r="Q286" i="3"/>
  <c r="T286" i="3" s="1"/>
  <c r="U286" i="3" s="1"/>
  <c r="R292" i="3"/>
  <c r="V292" i="3" s="1"/>
  <c r="R308" i="3"/>
  <c r="V308" i="3" s="1"/>
  <c r="R316" i="3"/>
  <c r="V316" i="3" s="1"/>
  <c r="R364" i="3"/>
  <c r="V364" i="3" s="1"/>
  <c r="Q364" i="3"/>
  <c r="T364" i="3" s="1"/>
  <c r="U364" i="3" s="1"/>
  <c r="R400" i="3"/>
  <c r="V400" i="3" s="1"/>
  <c r="Q400" i="3"/>
  <c r="T400" i="3" s="1"/>
  <c r="U400" i="3" s="1"/>
  <c r="R461" i="3"/>
  <c r="V461" i="3" s="1"/>
  <c r="Q461" i="3"/>
  <c r="T461" i="3" s="1"/>
  <c r="U461" i="3" s="1"/>
  <c r="R596" i="3"/>
  <c r="V596" i="3" s="1"/>
  <c r="Q596" i="3"/>
  <c r="T596" i="3" s="1"/>
  <c r="U596" i="3" s="1"/>
  <c r="R484" i="3"/>
  <c r="V484" i="3" s="1"/>
  <c r="Q484" i="3"/>
  <c r="T484" i="3" s="1"/>
  <c r="U484" i="3" s="1"/>
  <c r="R556" i="3"/>
  <c r="V556" i="3" s="1"/>
  <c r="Q556" i="3"/>
  <c r="T556" i="3" s="1"/>
  <c r="U556" i="3" s="1"/>
  <c r="R562" i="3"/>
  <c r="V562" i="3" s="1"/>
  <c r="Q562" i="3"/>
  <c r="T562" i="3" s="1"/>
  <c r="U562" i="3" s="1"/>
  <c r="R574" i="3"/>
  <c r="V574" i="3" s="1"/>
  <c r="Q574" i="3"/>
  <c r="T574" i="3" s="1"/>
  <c r="U574" i="3" s="1"/>
  <c r="R544" i="3"/>
  <c r="V544" i="3" s="1"/>
  <c r="Q544" i="3"/>
  <c r="T544" i="3" s="1"/>
  <c r="U544" i="3" s="1"/>
  <c r="R550" i="3"/>
  <c r="V550" i="3" s="1"/>
  <c r="Q550" i="3"/>
  <c r="T550" i="3" s="1"/>
  <c r="U550" i="3" s="1"/>
  <c r="R568" i="3"/>
  <c r="V568" i="3" s="1"/>
  <c r="Q568" i="3"/>
  <c r="T568" i="3" s="1"/>
  <c r="U568" i="3" s="1"/>
  <c r="Q354" i="3"/>
  <c r="T354" i="3" s="1"/>
  <c r="U354" i="3" s="1"/>
  <c r="Q366" i="3"/>
  <c r="T366" i="3" s="1"/>
  <c r="U366" i="3" s="1"/>
  <c r="Q378" i="3"/>
  <c r="T378" i="3" s="1"/>
  <c r="U378" i="3" s="1"/>
  <c r="Q390" i="3"/>
  <c r="T390" i="3" s="1"/>
  <c r="U390" i="3" s="1"/>
  <c r="Q402" i="3"/>
  <c r="T402" i="3" s="1"/>
  <c r="U402" i="3" s="1"/>
  <c r="Q414" i="3"/>
  <c r="T414" i="3" s="1"/>
  <c r="U414" i="3" s="1"/>
  <c r="Q426" i="3"/>
  <c r="T426" i="3" s="1"/>
  <c r="U426" i="3" s="1"/>
  <c r="Q438" i="3"/>
  <c r="T438" i="3" s="1"/>
  <c r="U438" i="3" s="1"/>
  <c r="R532" i="3"/>
  <c r="V532" i="3" s="1"/>
  <c r="Q532" i="3"/>
  <c r="T532" i="3" s="1"/>
  <c r="U532" i="3" s="1"/>
  <c r="R538" i="3"/>
  <c r="V538" i="3" s="1"/>
  <c r="Q538" i="3"/>
  <c r="T538" i="3" s="1"/>
  <c r="U538" i="3" s="1"/>
  <c r="R584" i="3"/>
  <c r="V584" i="3" s="1"/>
  <c r="Q584" i="3"/>
  <c r="T584" i="3" s="1"/>
  <c r="U584" i="3" s="1"/>
  <c r="R520" i="3"/>
  <c r="V520" i="3" s="1"/>
  <c r="Q520" i="3"/>
  <c r="T520" i="3" s="1"/>
  <c r="U520" i="3" s="1"/>
  <c r="R526" i="3"/>
  <c r="V526" i="3" s="1"/>
  <c r="Q526" i="3"/>
  <c r="T526" i="3" s="1"/>
  <c r="U526" i="3" s="1"/>
  <c r="Q344" i="3"/>
  <c r="T344" i="3" s="1"/>
  <c r="U344" i="3" s="1"/>
  <c r="Q356" i="3"/>
  <c r="T356" i="3" s="1"/>
  <c r="U356" i="3" s="1"/>
  <c r="Q368" i="3"/>
  <c r="T368" i="3" s="1"/>
  <c r="U368" i="3" s="1"/>
  <c r="Q380" i="3"/>
  <c r="T380" i="3" s="1"/>
  <c r="U380" i="3" s="1"/>
  <c r="Q392" i="3"/>
  <c r="T392" i="3" s="1"/>
  <c r="U392" i="3" s="1"/>
  <c r="Q404" i="3"/>
  <c r="T404" i="3" s="1"/>
  <c r="U404" i="3" s="1"/>
  <c r="Q416" i="3"/>
  <c r="T416" i="3" s="1"/>
  <c r="U416" i="3" s="1"/>
  <c r="Q428" i="3"/>
  <c r="T428" i="3" s="1"/>
  <c r="U428" i="3" s="1"/>
  <c r="Q440" i="3"/>
  <c r="T440" i="3" s="1"/>
  <c r="U440" i="3" s="1"/>
  <c r="R485" i="3"/>
  <c r="V485" i="3" s="1"/>
  <c r="Q485" i="3"/>
  <c r="T485" i="3" s="1"/>
  <c r="U485" i="3" s="1"/>
  <c r="Q493" i="3"/>
  <c r="T493" i="3" s="1"/>
  <c r="U493" i="3" s="1"/>
  <c r="R496" i="3"/>
  <c r="V496" i="3" s="1"/>
  <c r="Q496" i="3"/>
  <c r="T496" i="3" s="1"/>
  <c r="U496" i="3" s="1"/>
  <c r="R508" i="3"/>
  <c r="V508" i="3" s="1"/>
  <c r="Q508" i="3"/>
  <c r="T508" i="3" s="1"/>
  <c r="U508" i="3" s="1"/>
  <c r="R514" i="3"/>
  <c r="V514" i="3" s="1"/>
  <c r="Q514" i="3"/>
  <c r="T514" i="3" s="1"/>
  <c r="U514" i="3" s="1"/>
  <c r="R620" i="3"/>
  <c r="V620" i="3" s="1"/>
  <c r="Q620" i="3"/>
  <c r="T620" i="3" s="1"/>
  <c r="U620" i="3" s="1"/>
  <c r="R460" i="3"/>
  <c r="V460" i="3" s="1"/>
  <c r="Q460" i="3"/>
  <c r="T460" i="3" s="1"/>
  <c r="U460" i="3" s="1"/>
  <c r="R472" i="3"/>
  <c r="V472" i="3" s="1"/>
  <c r="Q472" i="3"/>
  <c r="T472" i="3" s="1"/>
  <c r="U472" i="3" s="1"/>
  <c r="R502" i="3"/>
  <c r="V502" i="3" s="1"/>
  <c r="Q502" i="3"/>
  <c r="T502" i="3" s="1"/>
  <c r="U502" i="3" s="1"/>
  <c r="Q334" i="3"/>
  <c r="T334" i="3" s="1"/>
  <c r="U334" i="3" s="1"/>
  <c r="Q346" i="3"/>
  <c r="T346" i="3" s="1"/>
  <c r="U346" i="3" s="1"/>
  <c r="Q358" i="3"/>
  <c r="T358" i="3" s="1"/>
  <c r="U358" i="3" s="1"/>
  <c r="Q370" i="3"/>
  <c r="T370" i="3" s="1"/>
  <c r="U370" i="3" s="1"/>
  <c r="Q382" i="3"/>
  <c r="T382" i="3" s="1"/>
  <c r="U382" i="3" s="1"/>
  <c r="Q394" i="3"/>
  <c r="T394" i="3" s="1"/>
  <c r="U394" i="3" s="1"/>
  <c r="Q406" i="3"/>
  <c r="T406" i="3" s="1"/>
  <c r="U406" i="3" s="1"/>
  <c r="Q418" i="3"/>
  <c r="T418" i="3" s="1"/>
  <c r="U418" i="3" s="1"/>
  <c r="Q430" i="3"/>
  <c r="T430" i="3" s="1"/>
  <c r="U430" i="3" s="1"/>
  <c r="Q442" i="3"/>
  <c r="T442" i="3" s="1"/>
  <c r="U442" i="3" s="1"/>
  <c r="Q449" i="3"/>
  <c r="T449" i="3" s="1"/>
  <c r="U449" i="3" s="1"/>
  <c r="R560" i="3"/>
  <c r="V560" i="3" s="1"/>
  <c r="R572" i="3"/>
  <c r="V572" i="3" s="1"/>
  <c r="R729" i="3"/>
  <c r="V729" i="3" s="1"/>
  <c r="Q729" i="3"/>
  <c r="T729" i="3" s="1"/>
  <c r="U729" i="3" s="1"/>
  <c r="R488" i="3"/>
  <c r="V488" i="3" s="1"/>
  <c r="R548" i="3"/>
  <c r="V548" i="3" s="1"/>
  <c r="R608" i="3"/>
  <c r="V608" i="3" s="1"/>
  <c r="Q608" i="3"/>
  <c r="T608" i="3" s="1"/>
  <c r="U608" i="3" s="1"/>
  <c r="R497" i="3"/>
  <c r="V497" i="3" s="1"/>
  <c r="Q497" i="3"/>
  <c r="T497" i="3" s="1"/>
  <c r="U497" i="3" s="1"/>
  <c r="R775" i="3"/>
  <c r="V775" i="3" s="1"/>
  <c r="Q775" i="3"/>
  <c r="T775" i="3" s="1"/>
  <c r="U775" i="3" s="1"/>
  <c r="R473" i="3"/>
  <c r="V473" i="3" s="1"/>
  <c r="Q473" i="3"/>
  <c r="T473" i="3" s="1"/>
  <c r="U473" i="3" s="1"/>
  <c r="Q478" i="3"/>
  <c r="T478" i="3" s="1"/>
  <c r="U478" i="3" s="1"/>
  <c r="R524" i="3"/>
  <c r="V524" i="3" s="1"/>
  <c r="R664" i="3"/>
  <c r="V664" i="3" s="1"/>
  <c r="Q664" i="3"/>
  <c r="T664" i="3" s="1"/>
  <c r="U664" i="3" s="1"/>
  <c r="R739" i="3"/>
  <c r="V739" i="3" s="1"/>
  <c r="Q739" i="3"/>
  <c r="T739" i="3" s="1"/>
  <c r="U739" i="3" s="1"/>
  <c r="Q586" i="3"/>
  <c r="T586" i="3" s="1"/>
  <c r="U586" i="3" s="1"/>
  <c r="Q598" i="3"/>
  <c r="T598" i="3" s="1"/>
  <c r="U598" i="3" s="1"/>
  <c r="Q610" i="3"/>
  <c r="T610" i="3" s="1"/>
  <c r="U610" i="3" s="1"/>
  <c r="Q622" i="3"/>
  <c r="T622" i="3" s="1"/>
  <c r="U622" i="3" s="1"/>
  <c r="Q693" i="3"/>
  <c r="T693" i="3" s="1"/>
  <c r="U693" i="3" s="1"/>
  <c r="R717" i="3"/>
  <c r="V717" i="3" s="1"/>
  <c r="Q717" i="3"/>
  <c r="T717" i="3" s="1"/>
  <c r="U717" i="3" s="1"/>
  <c r="Q886" i="3"/>
  <c r="T886" i="3" s="1"/>
  <c r="U886" i="3" s="1"/>
  <c r="R886" i="3"/>
  <c r="V886" i="3" s="1"/>
  <c r="Q509" i="3"/>
  <c r="T509" i="3" s="1"/>
  <c r="U509" i="3" s="1"/>
  <c r="Q521" i="3"/>
  <c r="T521" i="3" s="1"/>
  <c r="U521" i="3" s="1"/>
  <c r="Q533" i="3"/>
  <c r="T533" i="3" s="1"/>
  <c r="U533" i="3" s="1"/>
  <c r="Q545" i="3"/>
  <c r="T545" i="3" s="1"/>
  <c r="U545" i="3" s="1"/>
  <c r="Q557" i="3"/>
  <c r="T557" i="3" s="1"/>
  <c r="U557" i="3" s="1"/>
  <c r="Q569" i="3"/>
  <c r="T569" i="3" s="1"/>
  <c r="U569" i="3" s="1"/>
  <c r="Q581" i="3"/>
  <c r="T581" i="3" s="1"/>
  <c r="U581" i="3" s="1"/>
  <c r="Q593" i="3"/>
  <c r="T593" i="3" s="1"/>
  <c r="U593" i="3" s="1"/>
  <c r="Q605" i="3"/>
  <c r="T605" i="3" s="1"/>
  <c r="U605" i="3" s="1"/>
  <c r="Q617" i="3"/>
  <c r="T617" i="3" s="1"/>
  <c r="U617" i="3" s="1"/>
  <c r="R642" i="3"/>
  <c r="V642" i="3" s="1"/>
  <c r="Q662" i="3"/>
  <c r="T662" i="3" s="1"/>
  <c r="U662" i="3" s="1"/>
  <c r="Q705" i="3"/>
  <c r="T705" i="3" s="1"/>
  <c r="U705" i="3" s="1"/>
  <c r="R763" i="3"/>
  <c r="V763" i="3" s="1"/>
  <c r="Q763" i="3"/>
  <c r="T763" i="3" s="1"/>
  <c r="U763" i="3" s="1"/>
  <c r="R799" i="3"/>
  <c r="V799" i="3" s="1"/>
  <c r="Q799" i="3"/>
  <c r="T799" i="3" s="1"/>
  <c r="U799" i="3" s="1"/>
  <c r="R1006" i="3"/>
  <c r="V1006" i="3" s="1"/>
  <c r="Q1006" i="3"/>
  <c r="T1006" i="3" s="1"/>
  <c r="U1006" i="3" s="1"/>
  <c r="Q633" i="3"/>
  <c r="T633" i="3" s="1"/>
  <c r="U633" i="3" s="1"/>
  <c r="Q657" i="3"/>
  <c r="T657" i="3" s="1"/>
  <c r="U657" i="3" s="1"/>
  <c r="R668" i="3"/>
  <c r="V668" i="3" s="1"/>
  <c r="Q668" i="3"/>
  <c r="T668" i="3" s="1"/>
  <c r="U668" i="3" s="1"/>
  <c r="R676" i="3"/>
  <c r="V676" i="3" s="1"/>
  <c r="Q676" i="3"/>
  <c r="T676" i="3" s="1"/>
  <c r="U676" i="3" s="1"/>
  <c r="R727" i="3"/>
  <c r="V727" i="3" s="1"/>
  <c r="R870" i="3"/>
  <c r="V870" i="3" s="1"/>
  <c r="Q870" i="3"/>
  <c r="T870" i="3" s="1"/>
  <c r="U870" i="3" s="1"/>
  <c r="R680" i="3"/>
  <c r="V680" i="3" s="1"/>
  <c r="Q680" i="3"/>
  <c r="T680" i="3" s="1"/>
  <c r="U680" i="3" s="1"/>
  <c r="R688" i="3"/>
  <c r="V688" i="3" s="1"/>
  <c r="Q688" i="3"/>
  <c r="T688" i="3" s="1"/>
  <c r="U688" i="3" s="1"/>
  <c r="R787" i="3"/>
  <c r="V787" i="3" s="1"/>
  <c r="Q787" i="3"/>
  <c r="T787" i="3" s="1"/>
  <c r="U787" i="3" s="1"/>
  <c r="R828" i="3"/>
  <c r="V828" i="3" s="1"/>
  <c r="Q828" i="3"/>
  <c r="T828" i="3" s="1"/>
  <c r="U828" i="3" s="1"/>
  <c r="R864" i="3"/>
  <c r="V864" i="3" s="1"/>
  <c r="Q864" i="3"/>
  <c r="T864" i="3" s="1"/>
  <c r="U864" i="3" s="1"/>
  <c r="Q580" i="3"/>
  <c r="T580" i="3" s="1"/>
  <c r="U580" i="3" s="1"/>
  <c r="Q592" i="3"/>
  <c r="T592" i="3" s="1"/>
  <c r="U592" i="3" s="1"/>
  <c r="Q604" i="3"/>
  <c r="T604" i="3" s="1"/>
  <c r="U604" i="3" s="1"/>
  <c r="Q616" i="3"/>
  <c r="T616" i="3" s="1"/>
  <c r="U616" i="3" s="1"/>
  <c r="Q628" i="3"/>
  <c r="T628" i="3" s="1"/>
  <c r="U628" i="3" s="1"/>
  <c r="R691" i="3"/>
  <c r="V691" i="3" s="1"/>
  <c r="R751" i="3"/>
  <c r="V751" i="3" s="1"/>
  <c r="Q751" i="3"/>
  <c r="T751" i="3" s="1"/>
  <c r="U751" i="3" s="1"/>
  <c r="R700" i="3"/>
  <c r="V700" i="3" s="1"/>
  <c r="Q700" i="3"/>
  <c r="T700" i="3" s="1"/>
  <c r="U700" i="3" s="1"/>
  <c r="R712" i="3"/>
  <c r="V712" i="3" s="1"/>
  <c r="Q712" i="3"/>
  <c r="T712" i="3" s="1"/>
  <c r="U712" i="3" s="1"/>
  <c r="R656" i="3"/>
  <c r="V656" i="3" s="1"/>
  <c r="Q656" i="3"/>
  <c r="T656" i="3" s="1"/>
  <c r="U656" i="3" s="1"/>
  <c r="R692" i="3"/>
  <c r="V692" i="3" s="1"/>
  <c r="Q692" i="3"/>
  <c r="T692" i="3" s="1"/>
  <c r="U692" i="3" s="1"/>
  <c r="R1060" i="3"/>
  <c r="V1060" i="3" s="1"/>
  <c r="Q1060" i="3"/>
  <c r="T1060" i="3" s="1"/>
  <c r="U1060" i="3" s="1"/>
  <c r="R1073" i="3"/>
  <c r="V1073" i="3" s="1"/>
  <c r="Q1073" i="3"/>
  <c r="T1073" i="3" s="1"/>
  <c r="U1073" i="3" s="1"/>
  <c r="R852" i="3"/>
  <c r="V852" i="3" s="1"/>
  <c r="Q852" i="3"/>
  <c r="T852" i="3" s="1"/>
  <c r="U852" i="3" s="1"/>
  <c r="R858" i="3"/>
  <c r="V858" i="3" s="1"/>
  <c r="Q858" i="3"/>
  <c r="T858" i="3" s="1"/>
  <c r="U858" i="3" s="1"/>
  <c r="R950" i="3"/>
  <c r="V950" i="3" s="1"/>
  <c r="Q950" i="3"/>
  <c r="T950" i="3" s="1"/>
  <c r="U950" i="3" s="1"/>
  <c r="Q741" i="3"/>
  <c r="T741" i="3" s="1"/>
  <c r="U741" i="3" s="1"/>
  <c r="Q753" i="3"/>
  <c r="T753" i="3" s="1"/>
  <c r="U753" i="3" s="1"/>
  <c r="Q765" i="3"/>
  <c r="T765" i="3" s="1"/>
  <c r="U765" i="3" s="1"/>
  <c r="Q777" i="3"/>
  <c r="T777" i="3" s="1"/>
  <c r="U777" i="3" s="1"/>
  <c r="Q789" i="3"/>
  <c r="T789" i="3" s="1"/>
  <c r="U789" i="3" s="1"/>
  <c r="Q807" i="3"/>
  <c r="T807" i="3" s="1"/>
  <c r="U807" i="3" s="1"/>
  <c r="Q809" i="3"/>
  <c r="T809" i="3" s="1"/>
  <c r="U809" i="3" s="1"/>
  <c r="R826" i="3"/>
  <c r="V826" i="3" s="1"/>
  <c r="R834" i="3"/>
  <c r="V834" i="3" s="1"/>
  <c r="Q834" i="3"/>
  <c r="T834" i="3" s="1"/>
  <c r="U834" i="3" s="1"/>
  <c r="R910" i="3"/>
  <c r="V910" i="3" s="1"/>
  <c r="Q910" i="3"/>
  <c r="T910" i="3" s="1"/>
  <c r="U910" i="3" s="1"/>
  <c r="Q724" i="3"/>
  <c r="T724" i="3" s="1"/>
  <c r="U724" i="3" s="1"/>
  <c r="Q736" i="3"/>
  <c r="T736" i="3" s="1"/>
  <c r="U736" i="3" s="1"/>
  <c r="Q748" i="3"/>
  <c r="T748" i="3" s="1"/>
  <c r="U748" i="3" s="1"/>
  <c r="Q760" i="3"/>
  <c r="T760" i="3" s="1"/>
  <c r="U760" i="3" s="1"/>
  <c r="Q772" i="3"/>
  <c r="T772" i="3" s="1"/>
  <c r="U772" i="3" s="1"/>
  <c r="Q784" i="3"/>
  <c r="T784" i="3" s="1"/>
  <c r="U784" i="3" s="1"/>
  <c r="Q796" i="3"/>
  <c r="T796" i="3" s="1"/>
  <c r="U796" i="3" s="1"/>
  <c r="R814" i="3"/>
  <c r="V814" i="3" s="1"/>
  <c r="R837" i="3"/>
  <c r="V837" i="3" s="1"/>
  <c r="Q837" i="3"/>
  <c r="T837" i="3" s="1"/>
  <c r="U837" i="3" s="1"/>
  <c r="R840" i="3"/>
  <c r="V840" i="3" s="1"/>
  <c r="Q840" i="3"/>
  <c r="T840" i="3" s="1"/>
  <c r="U840" i="3" s="1"/>
  <c r="R846" i="3"/>
  <c r="V846" i="3" s="1"/>
  <c r="Q846" i="3"/>
  <c r="T846" i="3" s="1"/>
  <c r="U846" i="3" s="1"/>
  <c r="R874" i="3"/>
  <c r="V874" i="3" s="1"/>
  <c r="R934" i="3"/>
  <c r="V934" i="3" s="1"/>
  <c r="Q934" i="3"/>
  <c r="T934" i="3" s="1"/>
  <c r="U934" i="3" s="1"/>
  <c r="Q819" i="3"/>
  <c r="T819" i="3" s="1"/>
  <c r="U819" i="3" s="1"/>
  <c r="R888" i="3"/>
  <c r="V888" i="3" s="1"/>
  <c r="Q888" i="3"/>
  <c r="T888" i="3" s="1"/>
  <c r="U888" i="3" s="1"/>
  <c r="Q704" i="3"/>
  <c r="T704" i="3" s="1"/>
  <c r="U704" i="3" s="1"/>
  <c r="Q716" i="3"/>
  <c r="T716" i="3" s="1"/>
  <c r="U716" i="3" s="1"/>
  <c r="Q728" i="3"/>
  <c r="T728" i="3" s="1"/>
  <c r="U728" i="3" s="1"/>
  <c r="Q740" i="3"/>
  <c r="T740" i="3" s="1"/>
  <c r="U740" i="3" s="1"/>
  <c r="Q752" i="3"/>
  <c r="T752" i="3" s="1"/>
  <c r="U752" i="3" s="1"/>
  <c r="Q764" i="3"/>
  <c r="T764" i="3" s="1"/>
  <c r="U764" i="3" s="1"/>
  <c r="Q776" i="3"/>
  <c r="T776" i="3" s="1"/>
  <c r="U776" i="3" s="1"/>
  <c r="Q788" i="3"/>
  <c r="T788" i="3" s="1"/>
  <c r="U788" i="3" s="1"/>
  <c r="Q800" i="3"/>
  <c r="T800" i="3" s="1"/>
  <c r="U800" i="3" s="1"/>
  <c r="Q802" i="3"/>
  <c r="T802" i="3" s="1"/>
  <c r="U802" i="3" s="1"/>
  <c r="Q804" i="3"/>
  <c r="T804" i="3" s="1"/>
  <c r="U804" i="3" s="1"/>
  <c r="R838" i="3"/>
  <c r="V838" i="3" s="1"/>
  <c r="R850" i="3"/>
  <c r="V850" i="3" s="1"/>
  <c r="R898" i="3"/>
  <c r="V898" i="3" s="1"/>
  <c r="Q898" i="3"/>
  <c r="T898" i="3" s="1"/>
  <c r="U898" i="3" s="1"/>
  <c r="R1025" i="3"/>
  <c r="V1025" i="3" s="1"/>
  <c r="Q1025" i="3"/>
  <c r="T1025" i="3" s="1"/>
  <c r="U1025" i="3" s="1"/>
  <c r="Q639" i="3"/>
  <c r="T639" i="3" s="1"/>
  <c r="U639" i="3" s="1"/>
  <c r="Q651" i="3"/>
  <c r="T651" i="3" s="1"/>
  <c r="U651" i="3" s="1"/>
  <c r="Q663" i="3"/>
  <c r="T663" i="3" s="1"/>
  <c r="U663" i="3" s="1"/>
  <c r="Q675" i="3"/>
  <c r="T675" i="3" s="1"/>
  <c r="U675" i="3" s="1"/>
  <c r="Q687" i="3"/>
  <c r="T687" i="3" s="1"/>
  <c r="U687" i="3" s="1"/>
  <c r="Q699" i="3"/>
  <c r="T699" i="3" s="1"/>
  <c r="U699" i="3" s="1"/>
  <c r="Q711" i="3"/>
  <c r="T711" i="3" s="1"/>
  <c r="U711" i="3" s="1"/>
  <c r="Q723" i="3"/>
  <c r="T723" i="3" s="1"/>
  <c r="U723" i="3" s="1"/>
  <c r="Q735" i="3"/>
  <c r="T735" i="3" s="1"/>
  <c r="U735" i="3" s="1"/>
  <c r="Q747" i="3"/>
  <c r="T747" i="3" s="1"/>
  <c r="U747" i="3" s="1"/>
  <c r="Q759" i="3"/>
  <c r="T759" i="3" s="1"/>
  <c r="U759" i="3" s="1"/>
  <c r="Q771" i="3"/>
  <c r="T771" i="3" s="1"/>
  <c r="U771" i="3" s="1"/>
  <c r="Q783" i="3"/>
  <c r="T783" i="3" s="1"/>
  <c r="U783" i="3" s="1"/>
  <c r="Q795" i="3"/>
  <c r="T795" i="3" s="1"/>
  <c r="U795" i="3" s="1"/>
  <c r="R808" i="3"/>
  <c r="V808" i="3" s="1"/>
  <c r="R810" i="3"/>
  <c r="V810" i="3" s="1"/>
  <c r="R822" i="3"/>
  <c r="V822" i="3" s="1"/>
  <c r="Q822" i="3"/>
  <c r="T822" i="3" s="1"/>
  <c r="U822" i="3" s="1"/>
  <c r="R1009" i="3"/>
  <c r="V1009" i="3" s="1"/>
  <c r="Q1009" i="3"/>
  <c r="T1009" i="3" s="1"/>
  <c r="U1009" i="3" s="1"/>
  <c r="R876" i="3"/>
  <c r="V876" i="3" s="1"/>
  <c r="Q876" i="3"/>
  <c r="T876" i="3" s="1"/>
  <c r="U876" i="3" s="1"/>
  <c r="R922" i="3"/>
  <c r="V922" i="3" s="1"/>
  <c r="Q922" i="3"/>
  <c r="T922" i="3" s="1"/>
  <c r="U922" i="3" s="1"/>
  <c r="R965" i="3"/>
  <c r="V965" i="3" s="1"/>
  <c r="Q965" i="3"/>
  <c r="T965" i="3" s="1"/>
  <c r="U965" i="3" s="1"/>
  <c r="R1057" i="3"/>
  <c r="V1057" i="3" s="1"/>
  <c r="Q1057" i="3"/>
  <c r="T1057" i="3" s="1"/>
  <c r="U1057" i="3" s="1"/>
  <c r="R1000" i="3"/>
  <c r="V1000" i="3" s="1"/>
  <c r="Q1000" i="3"/>
  <c r="T1000" i="3" s="1"/>
  <c r="U1000" i="3" s="1"/>
  <c r="R1013" i="3"/>
  <c r="V1013" i="3" s="1"/>
  <c r="Q1013" i="3"/>
  <c r="T1013" i="3" s="1"/>
  <c r="U1013" i="3" s="1"/>
  <c r="R1126" i="3"/>
  <c r="V1126" i="3" s="1"/>
  <c r="Q1126" i="3"/>
  <c r="T1126" i="3" s="1"/>
  <c r="U1126" i="3" s="1"/>
  <c r="Q900" i="3"/>
  <c r="T900" i="3" s="1"/>
  <c r="U900" i="3" s="1"/>
  <c r="Q912" i="3"/>
  <c r="T912" i="3" s="1"/>
  <c r="U912" i="3" s="1"/>
  <c r="Q924" i="3"/>
  <c r="T924" i="3" s="1"/>
  <c r="U924" i="3" s="1"/>
  <c r="Q936" i="3"/>
  <c r="T936" i="3" s="1"/>
  <c r="U936" i="3" s="1"/>
  <c r="Q952" i="3"/>
  <c r="T952" i="3" s="1"/>
  <c r="U952" i="3" s="1"/>
  <c r="R997" i="3"/>
  <c r="V997" i="3" s="1"/>
  <c r="Q997" i="3"/>
  <c r="T997" i="3" s="1"/>
  <c r="U997" i="3" s="1"/>
  <c r="R1048" i="3"/>
  <c r="V1048" i="3" s="1"/>
  <c r="Q1048" i="3"/>
  <c r="T1048" i="3" s="1"/>
  <c r="U1048" i="3" s="1"/>
  <c r="R1061" i="3"/>
  <c r="V1061" i="3" s="1"/>
  <c r="Q1061" i="3"/>
  <c r="T1061" i="3" s="1"/>
  <c r="U1061" i="3" s="1"/>
  <c r="Q994" i="3"/>
  <c r="T994" i="3" s="1"/>
  <c r="U994" i="3" s="1"/>
  <c r="R1045" i="3"/>
  <c r="V1045" i="3" s="1"/>
  <c r="Q1045" i="3"/>
  <c r="T1045" i="3" s="1"/>
  <c r="U1045" i="3" s="1"/>
  <c r="R1120" i="3"/>
  <c r="V1120" i="3" s="1"/>
  <c r="Q1120" i="3"/>
  <c r="T1120" i="3" s="1"/>
  <c r="U1120" i="3" s="1"/>
  <c r="R988" i="3"/>
  <c r="V988" i="3" s="1"/>
  <c r="Q988" i="3"/>
  <c r="T988" i="3" s="1"/>
  <c r="U988" i="3" s="1"/>
  <c r="R1001" i="3"/>
  <c r="V1001" i="3" s="1"/>
  <c r="Q1001" i="3"/>
  <c r="T1001" i="3" s="1"/>
  <c r="U1001" i="3" s="1"/>
  <c r="R1117" i="3"/>
  <c r="V1117" i="3" s="1"/>
  <c r="Q1117" i="3"/>
  <c r="T1117" i="3" s="1"/>
  <c r="U1117" i="3" s="1"/>
  <c r="R1138" i="3"/>
  <c r="V1138" i="3" s="1"/>
  <c r="Q1138" i="3"/>
  <c r="T1138" i="3" s="1"/>
  <c r="U1138" i="3" s="1"/>
  <c r="Q849" i="3"/>
  <c r="T849" i="3" s="1"/>
  <c r="U849" i="3" s="1"/>
  <c r="Q861" i="3"/>
  <c r="T861" i="3" s="1"/>
  <c r="U861" i="3" s="1"/>
  <c r="Q873" i="3"/>
  <c r="T873" i="3" s="1"/>
  <c r="U873" i="3" s="1"/>
  <c r="Q885" i="3"/>
  <c r="T885" i="3" s="1"/>
  <c r="U885" i="3" s="1"/>
  <c r="Q897" i="3"/>
  <c r="T897" i="3" s="1"/>
  <c r="U897" i="3" s="1"/>
  <c r="Q909" i="3"/>
  <c r="T909" i="3" s="1"/>
  <c r="U909" i="3" s="1"/>
  <c r="Q921" i="3"/>
  <c r="T921" i="3" s="1"/>
  <c r="U921" i="3" s="1"/>
  <c r="Q933" i="3"/>
  <c r="T933" i="3" s="1"/>
  <c r="U933" i="3" s="1"/>
  <c r="Q947" i="3"/>
  <c r="T947" i="3" s="1"/>
  <c r="U947" i="3" s="1"/>
  <c r="R956" i="3"/>
  <c r="V956" i="3" s="1"/>
  <c r="Q958" i="3"/>
  <c r="T958" i="3" s="1"/>
  <c r="U958" i="3" s="1"/>
  <c r="R985" i="3"/>
  <c r="V985" i="3" s="1"/>
  <c r="Q985" i="3"/>
  <c r="T985" i="3" s="1"/>
  <c r="U985" i="3" s="1"/>
  <c r="R1036" i="3"/>
  <c r="V1036" i="3" s="1"/>
  <c r="Q1036" i="3"/>
  <c r="T1036" i="3" s="1"/>
  <c r="U1036" i="3" s="1"/>
  <c r="R1049" i="3"/>
  <c r="V1049" i="3" s="1"/>
  <c r="Q1049" i="3"/>
  <c r="T1049" i="3" s="1"/>
  <c r="U1049" i="3" s="1"/>
  <c r="R1105" i="3"/>
  <c r="V1105" i="3" s="1"/>
  <c r="Q1105" i="3"/>
  <c r="T1105" i="3" s="1"/>
  <c r="U1105" i="3" s="1"/>
  <c r="R1108" i="3"/>
  <c r="V1108" i="3" s="1"/>
  <c r="Q1108" i="3"/>
  <c r="T1108" i="3" s="1"/>
  <c r="U1108" i="3" s="1"/>
  <c r="Q1114" i="3"/>
  <c r="T1114" i="3" s="1"/>
  <c r="U1114" i="3" s="1"/>
  <c r="Q949" i="3"/>
  <c r="T949" i="3" s="1"/>
  <c r="U949" i="3" s="1"/>
  <c r="R1033" i="3"/>
  <c r="V1033" i="3" s="1"/>
  <c r="Q1033" i="3"/>
  <c r="T1033" i="3" s="1"/>
  <c r="U1033" i="3" s="1"/>
  <c r="R1093" i="3"/>
  <c r="V1093" i="3" s="1"/>
  <c r="Q1093" i="3"/>
  <c r="T1093" i="3" s="1"/>
  <c r="U1093" i="3" s="1"/>
  <c r="R1096" i="3"/>
  <c r="V1096" i="3" s="1"/>
  <c r="Q1096" i="3"/>
  <c r="T1096" i="3" s="1"/>
  <c r="U1096" i="3" s="1"/>
  <c r="R976" i="3"/>
  <c r="V976" i="3" s="1"/>
  <c r="Q976" i="3"/>
  <c r="T976" i="3" s="1"/>
  <c r="U976" i="3" s="1"/>
  <c r="R989" i="3"/>
  <c r="V989" i="3" s="1"/>
  <c r="Q989" i="3"/>
  <c r="T989" i="3" s="1"/>
  <c r="U989" i="3" s="1"/>
  <c r="R1081" i="3"/>
  <c r="V1081" i="3" s="1"/>
  <c r="Q1081" i="3"/>
  <c r="T1081" i="3" s="1"/>
  <c r="U1081" i="3" s="1"/>
  <c r="R1084" i="3"/>
  <c r="V1084" i="3" s="1"/>
  <c r="Q1084" i="3"/>
  <c r="T1084" i="3" s="1"/>
  <c r="U1084" i="3" s="1"/>
  <c r="Q882" i="3"/>
  <c r="T882" i="3" s="1"/>
  <c r="U882" i="3" s="1"/>
  <c r="Q894" i="3"/>
  <c r="T894" i="3" s="1"/>
  <c r="U894" i="3" s="1"/>
  <c r="Q906" i="3"/>
  <c r="T906" i="3" s="1"/>
  <c r="U906" i="3" s="1"/>
  <c r="Q918" i="3"/>
  <c r="T918" i="3" s="1"/>
  <c r="U918" i="3" s="1"/>
  <c r="Q930" i="3"/>
  <c r="T930" i="3" s="1"/>
  <c r="U930" i="3" s="1"/>
  <c r="Q942" i="3"/>
  <c r="T942" i="3" s="1"/>
  <c r="U942" i="3" s="1"/>
  <c r="Q953" i="3"/>
  <c r="T953" i="3" s="1"/>
  <c r="U953" i="3" s="1"/>
  <c r="Q961" i="3"/>
  <c r="T961" i="3" s="1"/>
  <c r="U961" i="3" s="1"/>
  <c r="R964" i="3"/>
  <c r="V964" i="3" s="1"/>
  <c r="Q964" i="3"/>
  <c r="T964" i="3" s="1"/>
  <c r="U964" i="3" s="1"/>
  <c r="R973" i="3"/>
  <c r="V973" i="3" s="1"/>
  <c r="Q973" i="3"/>
  <c r="T973" i="3" s="1"/>
  <c r="U973" i="3" s="1"/>
  <c r="R1024" i="3"/>
  <c r="V1024" i="3" s="1"/>
  <c r="Q1024" i="3"/>
  <c r="T1024" i="3" s="1"/>
  <c r="U1024" i="3" s="1"/>
  <c r="R1037" i="3"/>
  <c r="V1037" i="3" s="1"/>
  <c r="Q1037" i="3"/>
  <c r="T1037" i="3" s="1"/>
  <c r="U1037" i="3" s="1"/>
  <c r="R1072" i="3"/>
  <c r="V1072" i="3" s="1"/>
  <c r="Q1072" i="3"/>
  <c r="T1072" i="3" s="1"/>
  <c r="U1072" i="3" s="1"/>
  <c r="Q1078" i="3"/>
  <c r="T1078" i="3" s="1"/>
  <c r="U1078" i="3" s="1"/>
  <c r="R1109" i="3"/>
  <c r="V1109" i="3" s="1"/>
  <c r="Q1109" i="3"/>
  <c r="T1109" i="3" s="1"/>
  <c r="U1109" i="3" s="1"/>
  <c r="Q970" i="3"/>
  <c r="T970" i="3" s="1"/>
  <c r="U970" i="3" s="1"/>
  <c r="R1021" i="3"/>
  <c r="V1021" i="3" s="1"/>
  <c r="Q1021" i="3"/>
  <c r="T1021" i="3" s="1"/>
  <c r="U1021" i="3" s="1"/>
  <c r="R1069" i="3"/>
  <c r="V1069" i="3" s="1"/>
  <c r="Q1069" i="3"/>
  <c r="T1069" i="3" s="1"/>
  <c r="U1069" i="3" s="1"/>
  <c r="R1097" i="3"/>
  <c r="V1097" i="3" s="1"/>
  <c r="Q1097" i="3"/>
  <c r="T1097" i="3" s="1"/>
  <c r="U1097" i="3" s="1"/>
  <c r="R1129" i="3"/>
  <c r="V1129" i="3" s="1"/>
  <c r="Q1129" i="3"/>
  <c r="T1129" i="3" s="1"/>
  <c r="U1129" i="3" s="1"/>
  <c r="R977" i="3"/>
  <c r="V977" i="3" s="1"/>
  <c r="Q977" i="3"/>
  <c r="T977" i="3" s="1"/>
  <c r="U977" i="3" s="1"/>
  <c r="R1012" i="3"/>
  <c r="V1012" i="3" s="1"/>
  <c r="Q1012" i="3"/>
  <c r="T1012" i="3" s="1"/>
  <c r="U1012" i="3" s="1"/>
  <c r="R1085" i="3"/>
  <c r="V1085" i="3" s="1"/>
  <c r="Q1085" i="3"/>
  <c r="T1085" i="3" s="1"/>
  <c r="U1085" i="3" s="1"/>
  <c r="Q1121" i="3"/>
  <c r="T1121" i="3" s="1"/>
  <c r="U1121" i="3" s="1"/>
  <c r="Q1133" i="3"/>
  <c r="T1133" i="3" s="1"/>
  <c r="U1133" i="3" s="1"/>
  <c r="Q960" i="3"/>
  <c r="T960" i="3" s="1"/>
  <c r="U960" i="3" s="1"/>
  <c r="Q972" i="3"/>
  <c r="T972" i="3" s="1"/>
  <c r="U972" i="3" s="1"/>
  <c r="Q984" i="3"/>
  <c r="T984" i="3" s="1"/>
  <c r="U984" i="3" s="1"/>
  <c r="Q996" i="3"/>
  <c r="T996" i="3" s="1"/>
  <c r="U996" i="3" s="1"/>
  <c r="Q1008" i="3"/>
  <c r="T1008" i="3" s="1"/>
  <c r="U1008" i="3" s="1"/>
  <c r="Q1020" i="3"/>
  <c r="T1020" i="3" s="1"/>
  <c r="U1020" i="3" s="1"/>
  <c r="Q1032" i="3"/>
  <c r="T1032" i="3" s="1"/>
  <c r="U1032" i="3" s="1"/>
  <c r="Q1044" i="3"/>
  <c r="T1044" i="3" s="1"/>
  <c r="U1044" i="3" s="1"/>
  <c r="Q1056" i="3"/>
  <c r="T1056" i="3" s="1"/>
  <c r="U1056" i="3" s="1"/>
  <c r="Q1068" i="3"/>
  <c r="T1068" i="3" s="1"/>
  <c r="U1068" i="3" s="1"/>
  <c r="Q1080" i="3"/>
  <c r="T1080" i="3" s="1"/>
  <c r="U1080" i="3" s="1"/>
  <c r="Q1092" i="3"/>
  <c r="T1092" i="3" s="1"/>
  <c r="U1092" i="3" s="1"/>
  <c r="Q1104" i="3"/>
  <c r="T1104" i="3" s="1"/>
  <c r="U1104" i="3" s="1"/>
  <c r="Q1116" i="3"/>
  <c r="T1116" i="3" s="1"/>
  <c r="U1116" i="3" s="1"/>
  <c r="Q1128" i="3"/>
  <c r="T1128" i="3" s="1"/>
  <c r="U1128" i="3" s="1"/>
  <c r="Q1140" i="3"/>
  <c r="T1140" i="3" s="1"/>
  <c r="U1140" i="3" s="1"/>
  <c r="Q979" i="3"/>
  <c r="T979" i="3" s="1"/>
  <c r="U979" i="3" s="1"/>
  <c r="Q991" i="3"/>
  <c r="T991" i="3" s="1"/>
  <c r="U991" i="3" s="1"/>
  <c r="Q1003" i="3"/>
  <c r="T1003" i="3" s="1"/>
  <c r="U1003" i="3" s="1"/>
  <c r="Q1027" i="3"/>
  <c r="T1027" i="3" s="1"/>
  <c r="U1027" i="3" s="1"/>
  <c r="Q1039" i="3"/>
  <c r="T1039" i="3" s="1"/>
  <c r="U1039" i="3" s="1"/>
  <c r="Q1051" i="3"/>
  <c r="T1051" i="3" s="1"/>
  <c r="U1051" i="3" s="1"/>
  <c r="Q1063" i="3"/>
  <c r="T1063" i="3" s="1"/>
  <c r="U1063" i="3" s="1"/>
  <c r="Q1132" i="3"/>
  <c r="T1132" i="3" s="1"/>
  <c r="U1132" i="3" s="1"/>
  <c r="Q1144" i="3"/>
  <c r="T1144" i="3" s="1"/>
  <c r="U1144" i="3" s="1"/>
  <c r="Q1141" i="3"/>
  <c r="T1141" i="3" s="1"/>
  <c r="U1141" i="3" s="1"/>
  <c r="T6" i="3" l="1"/>
  <c r="U6" i="3" s="1"/>
  <c r="R2" i="3"/>
  <c r="R3" i="3"/>
  <c r="D10" i="15"/>
  <c r="I10" i="15" s="1"/>
  <c r="I5" i="15"/>
</calcChain>
</file>

<file path=xl/sharedStrings.xml><?xml version="1.0" encoding="utf-8"?>
<sst xmlns="http://schemas.openxmlformats.org/spreadsheetml/2006/main" count="13188" uniqueCount="1300">
  <si>
    <t>ToolKit Excel. Базовый уровень. Проект</t>
  </si>
  <si>
    <t>№</t>
  </si>
  <si>
    <t>Лист</t>
  </si>
  <si>
    <t>Содержимое / описание</t>
  </si>
  <si>
    <t>Содержание</t>
  </si>
  <si>
    <t>Задание</t>
  </si>
  <si>
    <t>Описание кейса и задания</t>
  </si>
  <si>
    <t>Личные данные</t>
  </si>
  <si>
    <t>Информация о действующих абонентах оператора</t>
  </si>
  <si>
    <t>Результаты опроса</t>
  </si>
  <si>
    <t>Результаты опроса целевой аудитории в новом регионе</t>
  </si>
  <si>
    <t>Дополнительные данные</t>
  </si>
  <si>
    <t>Информация о тарифах, дополнительных услугах и вопросы анкеты</t>
  </si>
  <si>
    <t>Описание кейса</t>
  </si>
  <si>
    <t xml:space="preserve"> </t>
  </si>
  <si>
    <t>Май 2022 года. Сотовый оператор планирует расшириться на новый регион. Вы участвуете в проведении маркетингового исследовния и должны определить, какой тариф будет пользоваться популярностью у абонентов 18-25 лет.</t>
  </si>
  <si>
    <t>Ваши задачи:</t>
  </si>
  <si>
    <t xml:space="preserve">1. В соседних регионах с похожими соцально-экономическими условиями оператор предлагает для этой целевой аудитории тариф "Онлайн". </t>
  </si>
  <si>
    <t>Проанализируйте, можно ли продвигать его на тех же уловиях в новом регионе.</t>
  </si>
  <si>
    <t>2. Оператор хочет предложить акцию для новых абонентов: пакет из 2 дополнительных услуг будет бесплатным первые два месяца после подключения.</t>
  </si>
  <si>
    <t>Определите, какие 2 услуги будут наиболее привлекательны для целевой аудитории.</t>
  </si>
  <si>
    <t xml:space="preserve">Алгоритм работы </t>
  </si>
  <si>
    <t>Шаг 1</t>
  </si>
  <si>
    <t>Подготовьте личные данные пользователей</t>
  </si>
  <si>
    <t>1. Вычислите, сколько в среднем в месяц абоненты звонят и используют интернет. Для удобства указывайте время в минутах, а интернет-трафик - в гигабайтах.</t>
  </si>
  <si>
    <t>Для упрощения введите предпосылку, что каждый месяц абоненты тратят примерно одинаковое число минут и гигабайт.</t>
  </si>
  <si>
    <t>Подсказка: для подсчета средних значений для новых абонентов, которые подключились в 2022 году, используйте формулу DATEDIF.</t>
  </si>
  <si>
    <t>2. (По желанию) Удалите лишние данные: ненужные для анализа колонки и абонентов не из целевой аудитории (не в возрасте 18-25 лет на 01.05.2022).</t>
  </si>
  <si>
    <t>3. Перенесите информацию об абонентской плате с листа "Дополнительная информация".</t>
  </si>
  <si>
    <t>Шаг 2</t>
  </si>
  <si>
    <t>Подготовьте результаты опроса</t>
  </si>
  <si>
    <t>Очистите данные опроса: удалите дубли, пустые и не до конца заполненные строки и респондентов не из ЦА (не в возрасте 18-25 лет).</t>
  </si>
  <si>
    <t>Шаг 3</t>
  </si>
  <si>
    <t>Оцените, какие параметры тарифа лучше подойдут целевой аудитории</t>
  </si>
  <si>
    <t>Постройте сводную таблицу, показыващую популярность возможных комбинаций минут и гигабайт среди тех, кто не доволен своим сотовым оператором.</t>
  </si>
  <si>
    <t>Постройте соответствующий график.</t>
  </si>
  <si>
    <t>Считайте, что абонент не доволен оператором, ести он не ответил "полностью удовлетворен" или "скорее удовлетворен".</t>
  </si>
  <si>
    <t>Шаг 4</t>
  </si>
  <si>
    <t>Сравните результаты с предпочтениями абонентов из другого региона</t>
  </si>
  <si>
    <t xml:space="preserve">1. Сгруппируйте данные о потраченных минутах и гигабайтах: используйте разделение из опроса. </t>
  </si>
  <si>
    <t>Для перевода из месяцев в недели считайте, что в 1 месяце 30 дней.</t>
  </si>
  <si>
    <t>2. Постройте сводную таблицу и график, как в Шаге 3. Учитывайте только абонентов в возрасте 18-25 лет на 01.05.2022.</t>
  </si>
  <si>
    <t>Шаг 5</t>
  </si>
  <si>
    <t>Оценить готовность платить за тариф</t>
  </si>
  <si>
    <t>1. Постройте круговые диаграммы:</t>
  </si>
  <si>
    <t>а) распределение абонентской платы действующих абонентов;</t>
  </si>
  <si>
    <t>б) распределение субъективной готовости платить среди респондентов, недовольных своим оператором.</t>
  </si>
  <si>
    <t>2. Определите, какой процент потенциальных клиентов в новом регионе готовы платить 330 рублей за тариф Онлайн:</t>
  </si>
  <si>
    <t>а) посчитайте число респондентов, которым подошёл бы тариф Онлайн.</t>
  </si>
  <si>
    <t>Это те респонденты, недовольные своим нынешним оператором, которые говорят по телефону меньше 35 минут в неделю и тратят меньше 40 Гб интернета в месяц;</t>
  </si>
  <si>
    <t>б) посчитайте, сколько из них готовы платить 250-350 рублей за подходящий тариф</t>
  </si>
  <si>
    <t>Шаг 6</t>
  </si>
  <si>
    <t xml:space="preserve"> Выберите, какие доплнительные функции лучше включить в подарочный пакет услуг</t>
  </si>
  <si>
    <t xml:space="preserve">Оператор планирует предложить потенциальным абонентам акцию: два месяца бесплатного использования пакета из двух дополнительных услуг. </t>
  </si>
  <si>
    <t>Чтобы сформировать наиболее привлекательный для ЦА пакет, постройте матрицу и определите, какая пара дополнительных услуг наиболее популярна среди абонентов.</t>
  </si>
  <si>
    <t>То есть, какие две услуги чаще всего подключены одновременно.</t>
  </si>
  <si>
    <t>Дата создания отчета</t>
  </si>
  <si>
    <t>avg_min</t>
  </si>
  <si>
    <t xml:space="preserve">Начало года </t>
  </si>
  <si>
    <t>avg_gb</t>
  </si>
  <si>
    <t>ID</t>
  </si>
  <si>
    <t>Дата рождения</t>
  </si>
  <si>
    <t>Пол</t>
  </si>
  <si>
    <t>Код регина</t>
  </si>
  <si>
    <t>Способ получения номера</t>
  </si>
  <si>
    <t>Тариф</t>
  </si>
  <si>
    <t>Дата перехода на тариф</t>
  </si>
  <si>
    <t>Месяцев использования тарифа с 01/01/2022 (сколько раз была списана абонентская плата)</t>
  </si>
  <si>
    <t>Секунд потрачено на звонки с 01/01/2022</t>
  </si>
  <si>
    <t>Килобайт трафика потрачено с 01/01/2022</t>
  </si>
  <si>
    <t>Подписка на онлайн-кинотеатр</t>
  </si>
  <si>
    <t>Подписка на электронную библиотеку</t>
  </si>
  <si>
    <t>Подписка на TV</t>
  </si>
  <si>
    <t>Подписка на онлайн-курсы</t>
  </si>
  <si>
    <t>Фитнес приложение</t>
  </si>
  <si>
    <t>Сколько дней пользуются тарифом</t>
  </si>
  <si>
    <t>Потребление минут в месяц</t>
  </si>
  <si>
    <t>Потребление ГБ в месяц</t>
  </si>
  <si>
    <t>Сколько лет пользователям?</t>
  </si>
  <si>
    <t>Трата минут в неделю</t>
  </si>
  <si>
    <t>Категория минут</t>
  </si>
  <si>
    <t>Категория ГБ</t>
  </si>
  <si>
    <t>AXOBV991</t>
  </si>
  <si>
    <t>женский</t>
  </si>
  <si>
    <t>R51</t>
  </si>
  <si>
    <t>присвоение нового номера</t>
  </si>
  <si>
    <t>Ультра</t>
  </si>
  <si>
    <t>YIWQU824</t>
  </si>
  <si>
    <t>мужской</t>
  </si>
  <si>
    <t>Онлайн</t>
  </si>
  <si>
    <t>TVVXJ702</t>
  </si>
  <si>
    <t>YIZKW418</t>
  </si>
  <si>
    <t>перенос существующего номера</t>
  </si>
  <si>
    <t>Базовый</t>
  </si>
  <si>
    <t>MXYOM801</t>
  </si>
  <si>
    <t>GVTCR352</t>
  </si>
  <si>
    <t>Комфорт</t>
  </si>
  <si>
    <t>LAXMN110</t>
  </si>
  <si>
    <t>PUAAG520</t>
  </si>
  <si>
    <t>FBCVN966</t>
  </si>
  <si>
    <t>Премиум</t>
  </si>
  <si>
    <t>EMVOF074</t>
  </si>
  <si>
    <t>Тарифные планы</t>
  </si>
  <si>
    <t>Дополнительные услуги</t>
  </si>
  <si>
    <t>FRRVI702</t>
  </si>
  <si>
    <t>Абонентская плата</t>
  </si>
  <si>
    <t>Звонки</t>
  </si>
  <si>
    <t>Гб</t>
  </si>
  <si>
    <t>NRQRT304</t>
  </si>
  <si>
    <t>TPTOR701</t>
  </si>
  <si>
    <t>RRYYM097</t>
  </si>
  <si>
    <t>IGOYU966</t>
  </si>
  <si>
    <t>ZQZTD201</t>
  </si>
  <si>
    <t>SHJYU629</t>
  </si>
  <si>
    <t>FVWTK713</t>
  </si>
  <si>
    <t>VUMJS954</t>
  </si>
  <si>
    <t>TGNME740</t>
  </si>
  <si>
    <t>JSVAN850</t>
  </si>
  <si>
    <t>SJZLW931</t>
  </si>
  <si>
    <t>IPMUO011</t>
  </si>
  <si>
    <t>PTZQU800</t>
  </si>
  <si>
    <t>PMOYT654</t>
  </si>
  <si>
    <t>HDBHD377</t>
  </si>
  <si>
    <t>FZDJJ453</t>
  </si>
  <si>
    <t>ZMVFL343</t>
  </si>
  <si>
    <t>RBMKX235</t>
  </si>
  <si>
    <t>NECUE148</t>
  </si>
  <si>
    <t>YTPJR660</t>
  </si>
  <si>
    <t>URMMH384</t>
  </si>
  <si>
    <t>QMHJL247</t>
  </si>
  <si>
    <t>FZJPC224</t>
  </si>
  <si>
    <t>PZSOJ921</t>
  </si>
  <si>
    <t>BOVIU389</t>
  </si>
  <si>
    <t>EGYFH038</t>
  </si>
  <si>
    <t>IOSSO326</t>
  </si>
  <si>
    <t>JACIM924</t>
  </si>
  <si>
    <t>VEDYI674</t>
  </si>
  <si>
    <t>IEBXH936</t>
  </si>
  <si>
    <t>PTNKC925</t>
  </si>
  <si>
    <t>KYDXL935</t>
  </si>
  <si>
    <t>PIMVN715</t>
  </si>
  <si>
    <t>GOUOF785</t>
  </si>
  <si>
    <t>GQOUP534</t>
  </si>
  <si>
    <t>MMHHC347</t>
  </si>
  <si>
    <t>VQVIS240</t>
  </si>
  <si>
    <t>HDBLI646</t>
  </si>
  <si>
    <t>TZJQT490</t>
  </si>
  <si>
    <t>IEGGD858</t>
  </si>
  <si>
    <t>RBXIR480</t>
  </si>
  <si>
    <t>NFLJR990</t>
  </si>
  <si>
    <t>FVLGG345</t>
  </si>
  <si>
    <t>KLCQU151</t>
  </si>
  <si>
    <t>EJMKZ012</t>
  </si>
  <si>
    <t>TTKKY674</t>
  </si>
  <si>
    <t>NEYAE565</t>
  </si>
  <si>
    <t>UJBHG100</t>
  </si>
  <si>
    <t>DHBTY221</t>
  </si>
  <si>
    <t>RMGFC991</t>
  </si>
  <si>
    <t>YOWRC851</t>
  </si>
  <si>
    <t>YKKBN126</t>
  </si>
  <si>
    <t>YMARB668</t>
  </si>
  <si>
    <t>ZLDMD722</t>
  </si>
  <si>
    <t>UBFUL455</t>
  </si>
  <si>
    <t>PWNWP932</t>
  </si>
  <si>
    <t>PKTXX788</t>
  </si>
  <si>
    <t>QBSQA163</t>
  </si>
  <si>
    <t>UYKWD395</t>
  </si>
  <si>
    <t>VFFFI920</t>
  </si>
  <si>
    <t>USETY757</t>
  </si>
  <si>
    <t>SMPPV971</t>
  </si>
  <si>
    <t>JJKCE344</t>
  </si>
  <si>
    <t>JQHKP483</t>
  </si>
  <si>
    <t>QQXJM516</t>
  </si>
  <si>
    <t>YGOSP005</t>
  </si>
  <si>
    <t>TVPIN002</t>
  </si>
  <si>
    <t>KGNCA896</t>
  </si>
  <si>
    <t>LQHTZ771</t>
  </si>
  <si>
    <t>SFYXJ970</t>
  </si>
  <si>
    <t>AYZTL391</t>
  </si>
  <si>
    <t>ALDCJ504</t>
  </si>
  <si>
    <t>XGHDE064</t>
  </si>
  <si>
    <t>FOPWQ678</t>
  </si>
  <si>
    <t>GDVFK555</t>
  </si>
  <si>
    <t>HBLGZ660</t>
  </si>
  <si>
    <t>INBWM285</t>
  </si>
  <si>
    <t>EYSMM151</t>
  </si>
  <si>
    <t>UXWYV589</t>
  </si>
  <si>
    <t>SFNVR683</t>
  </si>
  <si>
    <t>OAAFN516</t>
  </si>
  <si>
    <t>JSCFY345</t>
  </si>
  <si>
    <t>QKDGB784</t>
  </si>
  <si>
    <t>KCHOU287</t>
  </si>
  <si>
    <t>VNGAJ106</t>
  </si>
  <si>
    <t>DSNDT618</t>
  </si>
  <si>
    <t>FCZGV753</t>
  </si>
  <si>
    <t>PXBHX507</t>
  </si>
  <si>
    <t>JNHEP291</t>
  </si>
  <si>
    <t>ATIDW415</t>
  </si>
  <si>
    <t>WRNVS238</t>
  </si>
  <si>
    <t>PFOMN980</t>
  </si>
  <si>
    <t>PZWWM566</t>
  </si>
  <si>
    <t>QRYZE299</t>
  </si>
  <si>
    <t>GSFAO265</t>
  </si>
  <si>
    <t>XMCLO271</t>
  </si>
  <si>
    <t>TICRG753</t>
  </si>
  <si>
    <t>HDIPI156</t>
  </si>
  <si>
    <t>TELUJ520</t>
  </si>
  <si>
    <t>JSRJV069</t>
  </si>
  <si>
    <t>SZMCX684</t>
  </si>
  <si>
    <t>MGLHZ725</t>
  </si>
  <si>
    <t>HIRDP415</t>
  </si>
  <si>
    <t>KKPST594</t>
  </si>
  <si>
    <t>MUANJ436</t>
  </si>
  <si>
    <t>THILU070</t>
  </si>
  <si>
    <t>ZWLQX145</t>
  </si>
  <si>
    <t>FUYSN220</t>
  </si>
  <si>
    <t>XRLCI973</t>
  </si>
  <si>
    <t>SNGGI477</t>
  </si>
  <si>
    <t>TOQEP520</t>
  </si>
  <si>
    <t>KNLEK806</t>
  </si>
  <si>
    <t>MSJZL467</t>
  </si>
  <si>
    <t>RWAAC859</t>
  </si>
  <si>
    <t>PBUSP405</t>
  </si>
  <si>
    <t>RVKKJ559</t>
  </si>
  <si>
    <t>ICHHW652</t>
  </si>
  <si>
    <t>OQUEX618</t>
  </si>
  <si>
    <t>MHFXK165</t>
  </si>
  <si>
    <t>JGZCT904</t>
  </si>
  <si>
    <t>DADDV778</t>
  </si>
  <si>
    <t>KSFAF369</t>
  </si>
  <si>
    <t>LINNV430</t>
  </si>
  <si>
    <t>EGMIV831</t>
  </si>
  <si>
    <t>ITIWE433</t>
  </si>
  <si>
    <t>HHVAM674</t>
  </si>
  <si>
    <t>DISTN462</t>
  </si>
  <si>
    <t>GUISI205</t>
  </si>
  <si>
    <t>AKMKT444</t>
  </si>
  <si>
    <t>QICOZ415</t>
  </si>
  <si>
    <t>CPPQZ624</t>
  </si>
  <si>
    <t>OQKDN513</t>
  </si>
  <si>
    <t>CZQCE560</t>
  </si>
  <si>
    <t>BUCEQ181</t>
  </si>
  <si>
    <t>LQFRC033</t>
  </si>
  <si>
    <t>ZZPQV582</t>
  </si>
  <si>
    <t>PXKKL584</t>
  </si>
  <si>
    <t>EKKIM876</t>
  </si>
  <si>
    <t>DGSYQ148</t>
  </si>
  <si>
    <t>UMKTB834</t>
  </si>
  <si>
    <t>NNGNZ263</t>
  </si>
  <si>
    <t>ULWCM384</t>
  </si>
  <si>
    <t>YSAPZ145</t>
  </si>
  <si>
    <t>MVFEP234</t>
  </si>
  <si>
    <t>NTMAS076</t>
  </si>
  <si>
    <t>IPLZQ058</t>
  </si>
  <si>
    <t>YRQNX002</t>
  </si>
  <si>
    <t>RCUYF467</t>
  </si>
  <si>
    <t>YMOGY992</t>
  </si>
  <si>
    <t>GPRRY188</t>
  </si>
  <si>
    <t>WAGFF004</t>
  </si>
  <si>
    <t>OLCPI268</t>
  </si>
  <si>
    <t>WAIUD477</t>
  </si>
  <si>
    <t>IAIOW301</t>
  </si>
  <si>
    <t>OWKRP825</t>
  </si>
  <si>
    <t>WXLZO926</t>
  </si>
  <si>
    <t>SFCNH265</t>
  </si>
  <si>
    <t>YOMHZ909</t>
  </si>
  <si>
    <t>ERXDA073</t>
  </si>
  <si>
    <t>MRHCP062</t>
  </si>
  <si>
    <t>EKSRY956</t>
  </si>
  <si>
    <t>SZLTP487</t>
  </si>
  <si>
    <t>GVKFT024</t>
  </si>
  <si>
    <t>TXIFX516</t>
  </si>
  <si>
    <t>XWNHQ351</t>
  </si>
  <si>
    <t>IQIKW240</t>
  </si>
  <si>
    <t>VYUKQ976</t>
  </si>
  <si>
    <t>YAFHS464</t>
  </si>
  <si>
    <t>GVRFK909</t>
  </si>
  <si>
    <t>WXDVJ468</t>
  </si>
  <si>
    <t>YUVBT903</t>
  </si>
  <si>
    <t>IHGJB494</t>
  </si>
  <si>
    <t>ACDMF101</t>
  </si>
  <si>
    <t>IZOHO374</t>
  </si>
  <si>
    <t>GQCYX781</t>
  </si>
  <si>
    <t>CFHEZ921</t>
  </si>
  <si>
    <t>FWINY235</t>
  </si>
  <si>
    <t>UBKCW126</t>
  </si>
  <si>
    <t>TIZJQ306</t>
  </si>
  <si>
    <t>VBLGV698</t>
  </si>
  <si>
    <t>ADLER875</t>
  </si>
  <si>
    <t>VNSDX088</t>
  </si>
  <si>
    <t>CCFLW070</t>
  </si>
  <si>
    <t>DRGYS813</t>
  </si>
  <si>
    <t>FCYKZ583</t>
  </si>
  <si>
    <t>JHNLG723</t>
  </si>
  <si>
    <t>ZBGIE949</t>
  </si>
  <si>
    <t>UKGJY948</t>
  </si>
  <si>
    <t>XKHYH141</t>
  </si>
  <si>
    <t>FIUAG396</t>
  </si>
  <si>
    <t>UMCNB407</t>
  </si>
  <si>
    <t>QSDJL761</t>
  </si>
  <si>
    <t>WVDWL737</t>
  </si>
  <si>
    <t>YTTAQ900</t>
  </si>
  <si>
    <t>AVUVM258</t>
  </si>
  <si>
    <t>WGFZY391</t>
  </si>
  <si>
    <t>SHOVA695</t>
  </si>
  <si>
    <t>OUXJC375</t>
  </si>
  <si>
    <t>SNXGR641</t>
  </si>
  <si>
    <t>XIEWO391</t>
  </si>
  <si>
    <t>CXCMI742</t>
  </si>
  <si>
    <t>SBIHL559</t>
  </si>
  <si>
    <t>UBLND282</t>
  </si>
  <si>
    <t>ROXTK731</t>
  </si>
  <si>
    <t>KSULN264</t>
  </si>
  <si>
    <t>QLOQI191</t>
  </si>
  <si>
    <t>JVVVG595</t>
  </si>
  <si>
    <t>CYFXC925</t>
  </si>
  <si>
    <t>ZDGGR542</t>
  </si>
  <si>
    <t>CJKLC154</t>
  </si>
  <si>
    <t>REAMI346</t>
  </si>
  <si>
    <t>FZYHE293</t>
  </si>
  <si>
    <t>RLZBR544</t>
  </si>
  <si>
    <t>OXHHP087</t>
  </si>
  <si>
    <t>ZBOIT251</t>
  </si>
  <si>
    <t>DFYAX776</t>
  </si>
  <si>
    <t>MRHCV388</t>
  </si>
  <si>
    <t>EPKWC871</t>
  </si>
  <si>
    <t>JQLLZ435</t>
  </si>
  <si>
    <t>MABNL298</t>
  </si>
  <si>
    <t>SXWZU923</t>
  </si>
  <si>
    <t>MXDIU505</t>
  </si>
  <si>
    <t>IAYUZ841</t>
  </si>
  <si>
    <t>MVTIS736</t>
  </si>
  <si>
    <t>RJFTK460</t>
  </si>
  <si>
    <t>BHRFO853</t>
  </si>
  <si>
    <t>OXVNT219</t>
  </si>
  <si>
    <t>RLFQQ803</t>
  </si>
  <si>
    <t>TITWY457</t>
  </si>
  <si>
    <t>CXURX432</t>
  </si>
  <si>
    <t>SRMUG693</t>
  </si>
  <si>
    <t>BGGNR973</t>
  </si>
  <si>
    <t>DQIEU099</t>
  </si>
  <si>
    <t>TVKKW864</t>
  </si>
  <si>
    <t>CASWZ949</t>
  </si>
  <si>
    <t>GZHLO126</t>
  </si>
  <si>
    <t>TOBKL270</t>
  </si>
  <si>
    <t>NXHCU156</t>
  </si>
  <si>
    <t>MFVSA799</t>
  </si>
  <si>
    <t>QPAUT941</t>
  </si>
  <si>
    <t>WQOEK465</t>
  </si>
  <si>
    <t>IZGDJ190</t>
  </si>
  <si>
    <t>XZIXK132</t>
  </si>
  <si>
    <t>KXOYC999</t>
  </si>
  <si>
    <t>SGCWQ644</t>
  </si>
  <si>
    <t>JNUMB465</t>
  </si>
  <si>
    <t>QXXHQ023</t>
  </si>
  <si>
    <t>WNOUN848</t>
  </si>
  <si>
    <t>RJNUX688</t>
  </si>
  <si>
    <t>QNRPW833</t>
  </si>
  <si>
    <t>GMJJX699</t>
  </si>
  <si>
    <t>UOIPB247</t>
  </si>
  <si>
    <t>AAGIN644</t>
  </si>
  <si>
    <t>LVUNT083</t>
  </si>
  <si>
    <t>UWTFZ545</t>
  </si>
  <si>
    <t>CORFW191</t>
  </si>
  <si>
    <t>DFKOB146</t>
  </si>
  <si>
    <t>NBELC966</t>
  </si>
  <si>
    <t>NYLSA567</t>
  </si>
  <si>
    <t>RJTZK817</t>
  </si>
  <si>
    <t>XZXDA252</t>
  </si>
  <si>
    <t>YYHUW265</t>
  </si>
  <si>
    <t>EFYAF837</t>
  </si>
  <si>
    <t>WJKLX816</t>
  </si>
  <si>
    <t>QQAKT194</t>
  </si>
  <si>
    <t>TTHOA129</t>
  </si>
  <si>
    <t>WIUYW419</t>
  </si>
  <si>
    <t>ATMBI289</t>
  </si>
  <si>
    <t>AHVLY731</t>
  </si>
  <si>
    <t>ESMTH011</t>
  </si>
  <si>
    <t>JYCXD277</t>
  </si>
  <si>
    <t>OUUFW128</t>
  </si>
  <si>
    <t>ZHWMA613</t>
  </si>
  <si>
    <t>SAYWC512</t>
  </si>
  <si>
    <t>MYMVQ237</t>
  </si>
  <si>
    <t>NLDLP691</t>
  </si>
  <si>
    <t>AIOCV053</t>
  </si>
  <si>
    <t>DQOTK104</t>
  </si>
  <si>
    <t>CJMTG449</t>
  </si>
  <si>
    <t>ELBCP735</t>
  </si>
  <si>
    <t>BRICK300</t>
  </si>
  <si>
    <t>MESAC365</t>
  </si>
  <si>
    <t>DODSK789</t>
  </si>
  <si>
    <t>HALPV291</t>
  </si>
  <si>
    <t>TPNAK785</t>
  </si>
  <si>
    <t>BLFHU823</t>
  </si>
  <si>
    <t>DEMFS927</t>
  </si>
  <si>
    <t>OGTPF392</t>
  </si>
  <si>
    <t>TKJWY232</t>
  </si>
  <si>
    <t>NOQOI447</t>
  </si>
  <si>
    <t>NAUEC412</t>
  </si>
  <si>
    <t>OQOUY965</t>
  </si>
  <si>
    <t>UCUSL986</t>
  </si>
  <si>
    <t>YWQQQ065</t>
  </si>
  <si>
    <t>DKNDT780</t>
  </si>
  <si>
    <t>ROIZZ460</t>
  </si>
  <si>
    <t>CBSXP220</t>
  </si>
  <si>
    <t>CRPZP936</t>
  </si>
  <si>
    <t>NFUTD512</t>
  </si>
  <si>
    <t>SZGIA139</t>
  </si>
  <si>
    <t>JOUJU466</t>
  </si>
  <si>
    <t>GCNLF751</t>
  </si>
  <si>
    <t>JIQBX523</t>
  </si>
  <si>
    <t>CRZXQ148</t>
  </si>
  <si>
    <t>DWYUU328</t>
  </si>
  <si>
    <t>LMODL804</t>
  </si>
  <si>
    <t>TQYRW639</t>
  </si>
  <si>
    <t>FJZIA235</t>
  </si>
  <si>
    <t>RBFLJ076</t>
  </si>
  <si>
    <t>FVYKO550</t>
  </si>
  <si>
    <t>BAZPL108</t>
  </si>
  <si>
    <t>JUEME099</t>
  </si>
  <si>
    <t>PGATX805</t>
  </si>
  <si>
    <t>XFXMU819</t>
  </si>
  <si>
    <t>IURER909</t>
  </si>
  <si>
    <t>TSGHS017</t>
  </si>
  <si>
    <t>QJGMZ119</t>
  </si>
  <si>
    <t>NTULR678</t>
  </si>
  <si>
    <t>PFVPA459</t>
  </si>
  <si>
    <t>UHGGF290</t>
  </si>
  <si>
    <t>CDTLL528</t>
  </si>
  <si>
    <t>USAIZ221</t>
  </si>
  <si>
    <t>VKSKS700</t>
  </si>
  <si>
    <t>IQZXR021</t>
  </si>
  <si>
    <t>TGTVI776</t>
  </si>
  <si>
    <t>KJMWS217</t>
  </si>
  <si>
    <t>UZJBN251</t>
  </si>
  <si>
    <t>JJQHK326</t>
  </si>
  <si>
    <t>YKFSZ454</t>
  </si>
  <si>
    <t>QXRQM793</t>
  </si>
  <si>
    <t>MGGIZ639</t>
  </si>
  <si>
    <t>UPRZS896</t>
  </si>
  <si>
    <t>JMJVE294</t>
  </si>
  <si>
    <t>IECWZ600</t>
  </si>
  <si>
    <t>TJOQI204</t>
  </si>
  <si>
    <t>EUVLH642</t>
  </si>
  <si>
    <t>JETUP671</t>
  </si>
  <si>
    <t>GNPXL798</t>
  </si>
  <si>
    <t>RVPJA891</t>
  </si>
  <si>
    <t>MRUSL435</t>
  </si>
  <si>
    <t>EYTEC329</t>
  </si>
  <si>
    <t>YOYKY514</t>
  </si>
  <si>
    <t>BMGLA260</t>
  </si>
  <si>
    <t>XAXRG771</t>
  </si>
  <si>
    <t>JUYSG925</t>
  </si>
  <si>
    <t>ZPXYR466</t>
  </si>
  <si>
    <t>RLSYF704</t>
  </si>
  <si>
    <t>XEPGL257</t>
  </si>
  <si>
    <t>NNMJZ088</t>
  </si>
  <si>
    <t>DISLO682</t>
  </si>
  <si>
    <t>GTJHZ328</t>
  </si>
  <si>
    <t>HYLPU031</t>
  </si>
  <si>
    <t>EFXUF094</t>
  </si>
  <si>
    <t>SYQWR833</t>
  </si>
  <si>
    <t>XNRIX567</t>
  </si>
  <si>
    <t>HYHUB634</t>
  </si>
  <si>
    <t>LHOZW943</t>
  </si>
  <si>
    <t>QGVYI659</t>
  </si>
  <si>
    <t>OOBLV398</t>
  </si>
  <si>
    <t>QZWWV627</t>
  </si>
  <si>
    <t>ZXTEB808</t>
  </si>
  <si>
    <t>QYUVU090</t>
  </si>
  <si>
    <t>EONFL103</t>
  </si>
  <si>
    <t>MHFDS221</t>
  </si>
  <si>
    <t>ZQRGK689</t>
  </si>
  <si>
    <t>AVTFX703</t>
  </si>
  <si>
    <t>HLWVM236</t>
  </si>
  <si>
    <t>FLKDL727</t>
  </si>
  <si>
    <t>QGZOT453</t>
  </si>
  <si>
    <t>LDCGO516</t>
  </si>
  <si>
    <t>JHYJH196</t>
  </si>
  <si>
    <t>BSZYJ139</t>
  </si>
  <si>
    <t>EILJB603</t>
  </si>
  <si>
    <t>SPKXM631</t>
  </si>
  <si>
    <t>JHGZK471</t>
  </si>
  <si>
    <t>XOJVY555</t>
  </si>
  <si>
    <t>NFCGY425</t>
  </si>
  <si>
    <t>SIEPE881</t>
  </si>
  <si>
    <t>FNKIZ168</t>
  </si>
  <si>
    <t>BCTTM728</t>
  </si>
  <si>
    <t>RQECK962</t>
  </si>
  <si>
    <t>TNBVA901</t>
  </si>
  <si>
    <t>DPCTC973</t>
  </si>
  <si>
    <t>LPEHU230</t>
  </si>
  <si>
    <t>ORRCS821</t>
  </si>
  <si>
    <t>LSCKC526</t>
  </si>
  <si>
    <t>UUAYL326</t>
  </si>
  <si>
    <t>NHWLT352</t>
  </si>
  <si>
    <t>PKUVN359</t>
  </si>
  <si>
    <t>IIVUR490</t>
  </si>
  <si>
    <t>ZRSXY237</t>
  </si>
  <si>
    <t>DSOPO369</t>
  </si>
  <si>
    <t>TQCDD249</t>
  </si>
  <si>
    <t>CIVXB799</t>
  </si>
  <si>
    <t>PLAEZ810</t>
  </si>
  <si>
    <t>QEWKW893</t>
  </si>
  <si>
    <t>ZUXCO869</t>
  </si>
  <si>
    <t>GQOUL736</t>
  </si>
  <si>
    <t>LKDZU416</t>
  </si>
  <si>
    <t>FURDL120</t>
  </si>
  <si>
    <t>EKYZE441</t>
  </si>
  <si>
    <t>EALJO658</t>
  </si>
  <si>
    <t>OJRBO291</t>
  </si>
  <si>
    <t>WKEWE932</t>
  </si>
  <si>
    <t>XBVBH959</t>
  </si>
  <si>
    <t>PADSF860</t>
  </si>
  <si>
    <t>YNTYZ363</t>
  </si>
  <si>
    <t>JGWUF955</t>
  </si>
  <si>
    <t>AJVWS553</t>
  </si>
  <si>
    <t>TSUAC691</t>
  </si>
  <si>
    <t>MONYQ657</t>
  </si>
  <si>
    <t>TFIZP919</t>
  </si>
  <si>
    <t>IUITK321</t>
  </si>
  <si>
    <t>WWGDQ377</t>
  </si>
  <si>
    <t>WVNYO346</t>
  </si>
  <si>
    <t>RJTFE152</t>
  </si>
  <si>
    <t>QZTMS464</t>
  </si>
  <si>
    <t>SIFQR280</t>
  </si>
  <si>
    <t>DSHQH303</t>
  </si>
  <si>
    <t>ULFFK642</t>
  </si>
  <si>
    <t>SVSNS271</t>
  </si>
  <si>
    <t>HRGLG135</t>
  </si>
  <si>
    <t>JUIRA674</t>
  </si>
  <si>
    <t>LYMFS351</t>
  </si>
  <si>
    <t>DYBVE492</t>
  </si>
  <si>
    <t>SVNXK824</t>
  </si>
  <si>
    <t>CQJKQ566</t>
  </si>
  <si>
    <t>TZKVV014</t>
  </si>
  <si>
    <t>OROHG900</t>
  </si>
  <si>
    <t>SWUNJ016</t>
  </si>
  <si>
    <t>VGIBN794</t>
  </si>
  <si>
    <t>FVZAX328</t>
  </si>
  <si>
    <t>FEDIQ240</t>
  </si>
  <si>
    <t>SMRRR352</t>
  </si>
  <si>
    <t>JVPTY742</t>
  </si>
  <si>
    <t>JCSDX534</t>
  </si>
  <si>
    <t>FQCLS078</t>
  </si>
  <si>
    <t>KOEVO656</t>
  </si>
  <si>
    <t>URRCR802</t>
  </si>
  <si>
    <t>WSKJX024</t>
  </si>
  <si>
    <t>JCXEO477</t>
  </si>
  <si>
    <t>WNGPC995</t>
  </si>
  <si>
    <t>RGZXG313</t>
  </si>
  <si>
    <t>EKRPL661</t>
  </si>
  <si>
    <t>OFFCA788</t>
  </si>
  <si>
    <t>TGNSK482</t>
  </si>
  <si>
    <t>RWNLQ765</t>
  </si>
  <si>
    <t>MCBMA425</t>
  </si>
  <si>
    <t>CPJZW436</t>
  </si>
  <si>
    <t>ZFTOP521</t>
  </si>
  <si>
    <t>ODGIF253</t>
  </si>
  <si>
    <t>ZMIEI393</t>
  </si>
  <si>
    <t>WJHOF596</t>
  </si>
  <si>
    <t>PWXTC497</t>
  </si>
  <si>
    <t>OEHBB964</t>
  </si>
  <si>
    <t>OENMM482</t>
  </si>
  <si>
    <t>PWHLR636</t>
  </si>
  <si>
    <t>QFQNM599</t>
  </si>
  <si>
    <t>FBGQT890</t>
  </si>
  <si>
    <t>TZUYN962</t>
  </si>
  <si>
    <t>UAXVW706</t>
  </si>
  <si>
    <t>QTWRY658</t>
  </si>
  <si>
    <t>TUACG813</t>
  </si>
  <si>
    <t>UCEMT890</t>
  </si>
  <si>
    <t>ZIKUW936</t>
  </si>
  <si>
    <t>FHOLZ380</t>
  </si>
  <si>
    <t>XUCNJ316</t>
  </si>
  <si>
    <t>QAKSU146</t>
  </si>
  <si>
    <t>WHEXW864</t>
  </si>
  <si>
    <t>SUQWM907</t>
  </si>
  <si>
    <t>ICRZS007</t>
  </si>
  <si>
    <t>BMALT668</t>
  </si>
  <si>
    <t>EZKUJ739</t>
  </si>
  <si>
    <t>LGKPV470</t>
  </si>
  <si>
    <t>HMUTP717</t>
  </si>
  <si>
    <t>FLHHA902</t>
  </si>
  <si>
    <t>PRKBD095</t>
  </si>
  <si>
    <t>GLZQH903</t>
  </si>
  <si>
    <t>MFTZD280</t>
  </si>
  <si>
    <t>UICIR908</t>
  </si>
  <si>
    <t>OPAXT050</t>
  </si>
  <si>
    <t>LUUAB532</t>
  </si>
  <si>
    <t>OMWFB516</t>
  </si>
  <si>
    <t>BTGEU819</t>
  </si>
  <si>
    <t>ENDDU763</t>
  </si>
  <si>
    <t>QCPMV336</t>
  </si>
  <si>
    <t>UZXAW127</t>
  </si>
  <si>
    <t>CFCMY210</t>
  </si>
  <si>
    <t>POXZP734</t>
  </si>
  <si>
    <t>LAMJT496</t>
  </si>
  <si>
    <t>EYXOV590</t>
  </si>
  <si>
    <t>LBNXT214</t>
  </si>
  <si>
    <t>SKKLG660</t>
  </si>
  <si>
    <t>HXLJE621</t>
  </si>
  <si>
    <t>HYKMF754</t>
  </si>
  <si>
    <t>WHCXL388</t>
  </si>
  <si>
    <t>TOTDA061</t>
  </si>
  <si>
    <t>IBFPT804</t>
  </si>
  <si>
    <t>OJBEZ718</t>
  </si>
  <si>
    <t>POKFI611</t>
  </si>
  <si>
    <t>TBULR028</t>
  </si>
  <si>
    <t>LWHMH322</t>
  </si>
  <si>
    <t>LIMIP750</t>
  </si>
  <si>
    <t>BLNKX189</t>
  </si>
  <si>
    <t>RXFKP750</t>
  </si>
  <si>
    <t>GTXSY819</t>
  </si>
  <si>
    <t>ZUQOP294</t>
  </si>
  <si>
    <t>PIGXC972</t>
  </si>
  <si>
    <t>MFTMX622</t>
  </si>
  <si>
    <t>QALXY843</t>
  </si>
  <si>
    <t>DDOSG151</t>
  </si>
  <si>
    <t>VARBR822</t>
  </si>
  <si>
    <t>XJULK368</t>
  </si>
  <si>
    <t>XEJHU965</t>
  </si>
  <si>
    <t>GQEMO540</t>
  </si>
  <si>
    <t>GLRKB877</t>
  </si>
  <si>
    <t>PQIHQ825</t>
  </si>
  <si>
    <t>TAASA894</t>
  </si>
  <si>
    <t>JMEFC890</t>
  </si>
  <si>
    <t>AKPTX689</t>
  </si>
  <si>
    <t>LXZYA607</t>
  </si>
  <si>
    <t>CILYA739</t>
  </si>
  <si>
    <t>PMLNA609</t>
  </si>
  <si>
    <t>XZYQY132</t>
  </si>
  <si>
    <t>DGPXY904</t>
  </si>
  <si>
    <t>RYDJM336</t>
  </si>
  <si>
    <t>UGKAK583</t>
  </si>
  <si>
    <t>WWRGC016</t>
  </si>
  <si>
    <t>TYCAC438</t>
  </si>
  <si>
    <t>RJTLU681</t>
  </si>
  <si>
    <t>SWCIR604</t>
  </si>
  <si>
    <t>LNBTG154</t>
  </si>
  <si>
    <t>FJDIZ908</t>
  </si>
  <si>
    <t>LZHAF913</t>
  </si>
  <si>
    <t>QBGLD433</t>
  </si>
  <si>
    <t>QVMQD615</t>
  </si>
  <si>
    <t>HQWZQ565</t>
  </si>
  <si>
    <t>WWOEP382</t>
  </si>
  <si>
    <t>PAYRP633</t>
  </si>
  <si>
    <t>WWVNG117</t>
  </si>
  <si>
    <t>UISKE667</t>
  </si>
  <si>
    <t>WTUJU128</t>
  </si>
  <si>
    <t>ZTLYW029</t>
  </si>
  <si>
    <t>OIYMR777</t>
  </si>
  <si>
    <t>ECDMY367</t>
  </si>
  <si>
    <t>OBZYP189</t>
  </si>
  <si>
    <t>XMFLT123</t>
  </si>
  <si>
    <t>HOKTO272</t>
  </si>
  <si>
    <t>SKWLK283</t>
  </si>
  <si>
    <t>LWERY396</t>
  </si>
  <si>
    <t>EBNLL641</t>
  </si>
  <si>
    <t>YPMXJ580</t>
  </si>
  <si>
    <t>ABOJI528</t>
  </si>
  <si>
    <t>GDOFJ743</t>
  </si>
  <si>
    <t>WCOQM992</t>
  </si>
  <si>
    <t>FOKJN828</t>
  </si>
  <si>
    <t>JZGZM198</t>
  </si>
  <si>
    <t>DESLX403</t>
  </si>
  <si>
    <t>QVNXW035</t>
  </si>
  <si>
    <t>ZGCIC855</t>
  </si>
  <si>
    <t>DWXVS867</t>
  </si>
  <si>
    <t>FNBCB399</t>
  </si>
  <si>
    <t>LSQBZ026</t>
  </si>
  <si>
    <t>ZHPXF549</t>
  </si>
  <si>
    <t>AJGOU308</t>
  </si>
  <si>
    <t>YLLTD572</t>
  </si>
  <si>
    <t>QTVJS012</t>
  </si>
  <si>
    <t>DKZOP557</t>
  </si>
  <si>
    <t>GJVFO664</t>
  </si>
  <si>
    <t>SIWXE396</t>
  </si>
  <si>
    <t>QDCQP088</t>
  </si>
  <si>
    <t>MYUFG599</t>
  </si>
  <si>
    <t>VAMGL196</t>
  </si>
  <si>
    <t>XKOHF218</t>
  </si>
  <si>
    <t>FWWKU744</t>
  </si>
  <si>
    <t>PEKIK721</t>
  </si>
  <si>
    <t>VOUGG003</t>
  </si>
  <si>
    <t>GZDAK943</t>
  </si>
  <si>
    <t>IURSU195</t>
  </si>
  <si>
    <t>KCMTQ006</t>
  </si>
  <si>
    <t>ZQZJR354</t>
  </si>
  <si>
    <t>ANJXW186</t>
  </si>
  <si>
    <t>UUXAQ080</t>
  </si>
  <si>
    <t>GMVWO237</t>
  </si>
  <si>
    <t>ZOSLW286</t>
  </si>
  <si>
    <t>IROTI885</t>
  </si>
  <si>
    <t>KWCIN839</t>
  </si>
  <si>
    <t>BDFCL864</t>
  </si>
  <si>
    <t>CYWRN222</t>
  </si>
  <si>
    <t>LXPNS293</t>
  </si>
  <si>
    <t>CFUEQ576</t>
  </si>
  <si>
    <t>XNQDT138</t>
  </si>
  <si>
    <t>UQEUN515</t>
  </si>
  <si>
    <t>HKREU588</t>
  </si>
  <si>
    <t>YZJAT122</t>
  </si>
  <si>
    <t>IXHHB027</t>
  </si>
  <si>
    <t>PSJQM360</t>
  </si>
  <si>
    <t>GDGTH925</t>
  </si>
  <si>
    <t>JBQGX835</t>
  </si>
  <si>
    <t>NLPXO352</t>
  </si>
  <si>
    <t>CEYNZ979</t>
  </si>
  <si>
    <t>EYRZO846</t>
  </si>
  <si>
    <t>PGOBU846</t>
  </si>
  <si>
    <t>ULWVN765</t>
  </si>
  <si>
    <t>OZCPZ929</t>
  </si>
  <si>
    <t>DDEUU081</t>
  </si>
  <si>
    <t>TJXGG896</t>
  </si>
  <si>
    <t>YTXCR157</t>
  </si>
  <si>
    <t>KEFPK052</t>
  </si>
  <si>
    <t>CYYEI328</t>
  </si>
  <si>
    <t>XOYVE467</t>
  </si>
  <si>
    <t>HGKRU036</t>
  </si>
  <si>
    <t>ZNURP586</t>
  </si>
  <si>
    <t>NTBYG367</t>
  </si>
  <si>
    <t>OTIML470</t>
  </si>
  <si>
    <t>KZPTS826</t>
  </si>
  <si>
    <t>PPXAY009</t>
  </si>
  <si>
    <t>VLKKY906</t>
  </si>
  <si>
    <t>TIQTW725</t>
  </si>
  <si>
    <t>PIUXK896</t>
  </si>
  <si>
    <t>CHABB965</t>
  </si>
  <si>
    <t>AJJXH748</t>
  </si>
  <si>
    <t>TSEIF261</t>
  </si>
  <si>
    <t>LJWXO987</t>
  </si>
  <si>
    <t>NYSDV793</t>
  </si>
  <si>
    <t>PCNCQ596</t>
  </si>
  <si>
    <t>FBAJW491</t>
  </si>
  <si>
    <t>JZNUM670</t>
  </si>
  <si>
    <t>VZEPX988</t>
  </si>
  <si>
    <t>IGYHP956</t>
  </si>
  <si>
    <t>OVGGC199</t>
  </si>
  <si>
    <t>LQFUX426</t>
  </si>
  <si>
    <t>AFEUD360</t>
  </si>
  <si>
    <t>MPDXO314</t>
  </si>
  <si>
    <t>ZAGHP041</t>
  </si>
  <si>
    <t>HDNSO250</t>
  </si>
  <si>
    <t>SHLJG121</t>
  </si>
  <si>
    <t>ZVRQI834</t>
  </si>
  <si>
    <t>MWMRL844</t>
  </si>
  <si>
    <t>DGHXT934</t>
  </si>
  <si>
    <t>OWQXB880</t>
  </si>
  <si>
    <t>CHBVB524</t>
  </si>
  <si>
    <t>NZTUE463</t>
  </si>
  <si>
    <t>UUXOA188</t>
  </si>
  <si>
    <t>QXRKB943</t>
  </si>
  <si>
    <t>ROAZJ677</t>
  </si>
  <si>
    <t>NIDMA535</t>
  </si>
  <si>
    <t>ELSJO056</t>
  </si>
  <si>
    <t>KHTEW310</t>
  </si>
  <si>
    <t>CHWVJ778</t>
  </si>
  <si>
    <t>ONQTL892</t>
  </si>
  <si>
    <t>TLWXU600</t>
  </si>
  <si>
    <t>ATLRB413</t>
  </si>
  <si>
    <t>YXXFV716</t>
  </si>
  <si>
    <t>NOCRY115</t>
  </si>
  <si>
    <t>RTQUU258</t>
  </si>
  <si>
    <t>HFPFC275</t>
  </si>
  <si>
    <t>AFUTM422</t>
  </si>
  <si>
    <t>PTFRI551</t>
  </si>
  <si>
    <t>AWZZB338</t>
  </si>
  <si>
    <t>GNVGJ042</t>
  </si>
  <si>
    <t>WIZEX088</t>
  </si>
  <si>
    <t>IVMBB524</t>
  </si>
  <si>
    <t>ESLZH011</t>
  </si>
  <si>
    <t>AAGZN621</t>
  </si>
  <si>
    <t>APXRT042</t>
  </si>
  <si>
    <t>HWMQN616</t>
  </si>
  <si>
    <t>TKAZF107</t>
  </si>
  <si>
    <t>PBRKE012</t>
  </si>
  <si>
    <t>QICPF524</t>
  </si>
  <si>
    <t>JPEWK164</t>
  </si>
  <si>
    <t>RUDVX633</t>
  </si>
  <si>
    <t>ZMDIS131</t>
  </si>
  <si>
    <t>NHDIU145</t>
  </si>
  <si>
    <t>BXYWO556</t>
  </si>
  <si>
    <t>OQWUH675</t>
  </si>
  <si>
    <t>FETSD241</t>
  </si>
  <si>
    <t>LGTCW816</t>
  </si>
  <si>
    <t>NRNZG719</t>
  </si>
  <si>
    <t>KKVQU036</t>
  </si>
  <si>
    <t>NHOMU487</t>
  </si>
  <si>
    <t>NYYSC495</t>
  </si>
  <si>
    <t>RMYMY393</t>
  </si>
  <si>
    <t>MHCDC139</t>
  </si>
  <si>
    <t>PWKXT626</t>
  </si>
  <si>
    <t>ZAPUF689</t>
  </si>
  <si>
    <t>BPHZI693</t>
  </si>
  <si>
    <t>DMVAY785</t>
  </si>
  <si>
    <t>TOLBE820</t>
  </si>
  <si>
    <t>HCPNM086</t>
  </si>
  <si>
    <t>QXLIZ465</t>
  </si>
  <si>
    <t>YJFGW187</t>
  </si>
  <si>
    <t>JPLMY797</t>
  </si>
  <si>
    <t>MXJFX750</t>
  </si>
  <si>
    <t>BPNMQ316</t>
  </si>
  <si>
    <t>IAKYA575</t>
  </si>
  <si>
    <t>XJAAF209</t>
  </si>
  <si>
    <t>UDFMS370</t>
  </si>
  <si>
    <t>TWBEU422</t>
  </si>
  <si>
    <t>QYWVH445</t>
  </si>
  <si>
    <t>ILEUQ564</t>
  </si>
  <si>
    <t>APJPK475</t>
  </si>
  <si>
    <t>TIGDT529</t>
  </si>
  <si>
    <t>QBMFY333</t>
  </si>
  <si>
    <t>ZEXVQ652</t>
  </si>
  <si>
    <t>BPASY757</t>
  </si>
  <si>
    <t>GYVIW841</t>
  </si>
  <si>
    <t>MXUOB840</t>
  </si>
  <si>
    <t>TMVFA513</t>
  </si>
  <si>
    <t>CQMBK783</t>
  </si>
  <si>
    <t>CQYHD986</t>
  </si>
  <si>
    <t>DFMVZ237</t>
  </si>
  <si>
    <t>FGBYC975</t>
  </si>
  <si>
    <t>NOLVO164</t>
  </si>
  <si>
    <t>CIJVC974</t>
  </si>
  <si>
    <t>IAKVV015</t>
  </si>
  <si>
    <t>AFGLH776</t>
  </si>
  <si>
    <t>TPOGC571</t>
  </si>
  <si>
    <t>BXVJI671</t>
  </si>
  <si>
    <t>NJBXD126</t>
  </si>
  <si>
    <t>AZVPL448</t>
  </si>
  <si>
    <t>OXQNV345</t>
  </si>
  <si>
    <t>OJKDC905</t>
  </si>
  <si>
    <t>XSCES231</t>
  </si>
  <si>
    <t>ZNVGM826</t>
  </si>
  <si>
    <t>ZJBUE172</t>
  </si>
  <si>
    <t>QPJUD134</t>
  </si>
  <si>
    <t>XLRHD658</t>
  </si>
  <si>
    <t>RLIHK926</t>
  </si>
  <si>
    <t>OIIMG565</t>
  </si>
  <si>
    <t>BWLIM275</t>
  </si>
  <si>
    <t>PIMZQ488</t>
  </si>
  <si>
    <t>DVUBO891</t>
  </si>
  <si>
    <t>IHJJI639</t>
  </si>
  <si>
    <t>PHGYR942</t>
  </si>
  <si>
    <t>HKGON806</t>
  </si>
  <si>
    <t>LYWKO314</t>
  </si>
  <si>
    <t>ONRZQ066</t>
  </si>
  <si>
    <t>JOGYP644</t>
  </si>
  <si>
    <t>NGFRR350</t>
  </si>
  <si>
    <t>HLGJH584</t>
  </si>
  <si>
    <t>HMITY946</t>
  </si>
  <si>
    <t>HKWJM849</t>
  </si>
  <si>
    <t>RCPAS323</t>
  </si>
  <si>
    <t>DDOWK789</t>
  </si>
  <si>
    <t>ATLFX326</t>
  </si>
  <si>
    <t>GEFVV131</t>
  </si>
  <si>
    <t>JDTDW522</t>
  </si>
  <si>
    <t>VYZAW487</t>
  </si>
  <si>
    <t>OZZWZ912</t>
  </si>
  <si>
    <t>EIJTV101</t>
  </si>
  <si>
    <t>QDIMX551</t>
  </si>
  <si>
    <t>YBNBL298</t>
  </si>
  <si>
    <t>BIPHF520</t>
  </si>
  <si>
    <t>WUFRK495</t>
  </si>
  <si>
    <t>QFMFV830</t>
  </si>
  <si>
    <t>DAEZY763</t>
  </si>
  <si>
    <t>VBDGR917</t>
  </si>
  <si>
    <t>YZQCO301</t>
  </si>
  <si>
    <t>HESKN724</t>
  </si>
  <si>
    <t>DSKVP962</t>
  </si>
  <si>
    <t>VFBBA628</t>
  </si>
  <si>
    <t>QCZME776</t>
  </si>
  <si>
    <t>ANZAE039</t>
  </si>
  <si>
    <t>EIFHC961</t>
  </si>
  <si>
    <t>QFQNC760</t>
  </si>
  <si>
    <t>UADKS911</t>
  </si>
  <si>
    <t>EAJVZ439</t>
  </si>
  <si>
    <t>VLOZL951</t>
  </si>
  <si>
    <t>ATPEL891</t>
  </si>
  <si>
    <t>URFJO620</t>
  </si>
  <si>
    <t>QPHQZ282</t>
  </si>
  <si>
    <t>FWHUU203</t>
  </si>
  <si>
    <t>GZGCB247</t>
  </si>
  <si>
    <t>ARNFH791</t>
  </si>
  <si>
    <t>JNHDK024</t>
  </si>
  <si>
    <t>DPKCF705</t>
  </si>
  <si>
    <t>WFEED418</t>
  </si>
  <si>
    <t>XENXC321</t>
  </si>
  <si>
    <t>XWLRY971</t>
  </si>
  <si>
    <t>MKGXY478</t>
  </si>
  <si>
    <t>PYYAS746</t>
  </si>
  <si>
    <t>XDMHZ297</t>
  </si>
  <si>
    <t>CNNFJ341</t>
  </si>
  <si>
    <t>DWADB953</t>
  </si>
  <si>
    <t>KOHXH943</t>
  </si>
  <si>
    <t>NNNGE787</t>
  </si>
  <si>
    <t>UCGEB363</t>
  </si>
  <si>
    <t>OYBDX721</t>
  </si>
  <si>
    <t>ZUBSK353</t>
  </si>
  <si>
    <t>PAIFP591</t>
  </si>
  <si>
    <t>YJIEP710</t>
  </si>
  <si>
    <t>WANHU318</t>
  </si>
  <si>
    <t>VIQRX547</t>
  </si>
  <si>
    <t>IRQWP763</t>
  </si>
  <si>
    <t>RSBDM241</t>
  </si>
  <si>
    <t>TDBNE695</t>
  </si>
  <si>
    <t>EHGZD317</t>
  </si>
  <si>
    <t>ILRMB075</t>
  </si>
  <si>
    <t>VZUHZ883</t>
  </si>
  <si>
    <t>ITNMT334</t>
  </si>
  <si>
    <t>HBAJK899</t>
  </si>
  <si>
    <t>XNMCX072</t>
  </si>
  <si>
    <t>RNYIV849</t>
  </si>
  <si>
    <t>IDUDX804</t>
  </si>
  <si>
    <t>HENXA387</t>
  </si>
  <si>
    <t>TXMMZ673</t>
  </si>
  <si>
    <t>BVKVV642</t>
  </si>
  <si>
    <t>SQNSZ952</t>
  </si>
  <si>
    <t>AJMGM712</t>
  </si>
  <si>
    <t>CTQXN831</t>
  </si>
  <si>
    <t>OFHNG821</t>
  </si>
  <si>
    <t>MDDLW982</t>
  </si>
  <si>
    <t>PQKCK030</t>
  </si>
  <si>
    <t>IWSXU617</t>
  </si>
  <si>
    <t>ASLML130</t>
  </si>
  <si>
    <t>URACX508</t>
  </si>
  <si>
    <t>HDTTX285</t>
  </si>
  <si>
    <t>TVDUM907</t>
  </si>
  <si>
    <t>IJYZH199</t>
  </si>
  <si>
    <t>NZNQZ845</t>
  </si>
  <si>
    <t>QZBQM890</t>
  </si>
  <si>
    <t>UCESD158</t>
  </si>
  <si>
    <t>CAAYW201</t>
  </si>
  <si>
    <t>PUSPQ812</t>
  </si>
  <si>
    <t>LUVNU742</t>
  </si>
  <si>
    <t>OHLSH131</t>
  </si>
  <si>
    <t>KJEZD671</t>
  </si>
  <si>
    <t>WMWUW459</t>
  </si>
  <si>
    <t>MBGQI926</t>
  </si>
  <si>
    <t>EXQBQ840</t>
  </si>
  <si>
    <t>ZGACD935</t>
  </si>
  <si>
    <t>EKJGM926</t>
  </si>
  <si>
    <t>UPVLT722</t>
  </si>
  <si>
    <t>XARUS608</t>
  </si>
  <si>
    <t>IFTGX633</t>
  </si>
  <si>
    <t>LYUHI269</t>
  </si>
  <si>
    <t>EDSMG394</t>
  </si>
  <si>
    <t>VPJWC678</t>
  </si>
  <si>
    <t>WHBEQ911</t>
  </si>
  <si>
    <t>ORSYC922</t>
  </si>
  <si>
    <t>ROMYB789</t>
  </si>
  <si>
    <t>VNXEV874</t>
  </si>
  <si>
    <t>EGKGR184</t>
  </si>
  <si>
    <t>CYRQL108</t>
  </si>
  <si>
    <t>RPMGM666</t>
  </si>
  <si>
    <t>SXEMG375</t>
  </si>
  <si>
    <t>XPLGR764</t>
  </si>
  <si>
    <t>QPVIB669</t>
  </si>
  <si>
    <t>IQCSE645</t>
  </si>
  <si>
    <t>JQRBD591</t>
  </si>
  <si>
    <t>RWJHH645</t>
  </si>
  <si>
    <t>LLNDT500</t>
  </si>
  <si>
    <t>ZMEHA722</t>
  </si>
  <si>
    <t>DRTGW180</t>
  </si>
  <si>
    <t>VFBFH300</t>
  </si>
  <si>
    <t>GNKCQ969</t>
  </si>
  <si>
    <t>AOOQZ019</t>
  </si>
  <si>
    <t>CDLXK272</t>
  </si>
  <si>
    <t>XSFAR056</t>
  </si>
  <si>
    <t>FEHSR387</t>
  </si>
  <si>
    <t>PBQJI125</t>
  </si>
  <si>
    <t>GTUUZ828</t>
  </si>
  <si>
    <t>SVKWJ988</t>
  </si>
  <si>
    <t>OROXS139</t>
  </si>
  <si>
    <t>GOAUK965</t>
  </si>
  <si>
    <t>JFNAQ297</t>
  </si>
  <si>
    <t>RUTMA147</t>
  </si>
  <si>
    <t>QALWX639</t>
  </si>
  <si>
    <t>VGEJT519</t>
  </si>
  <si>
    <t>FFFKB855</t>
  </si>
  <si>
    <t>NHNHX040</t>
  </si>
  <si>
    <t>SDGQE907</t>
  </si>
  <si>
    <t>SCSET309</t>
  </si>
  <si>
    <t>QRQWM198</t>
  </si>
  <si>
    <t>QJJCR975</t>
  </si>
  <si>
    <t>HQNKR106</t>
  </si>
  <si>
    <t>VDMRH647</t>
  </si>
  <si>
    <t>HJRHZ133</t>
  </si>
  <si>
    <t>DUUXT488</t>
  </si>
  <si>
    <t>ORTJS413</t>
  </si>
  <si>
    <t>GRNBH897</t>
  </si>
  <si>
    <t>OEQGI393</t>
  </si>
  <si>
    <t>OHMGQ994</t>
  </si>
  <si>
    <t>MGOTE228</t>
  </si>
  <si>
    <t>LFLIA985</t>
  </si>
  <si>
    <t>NAWJB102</t>
  </si>
  <si>
    <t>MCUVJ000</t>
  </si>
  <si>
    <t>BCCEC678</t>
  </si>
  <si>
    <t>NXUUT497</t>
  </si>
  <si>
    <t>OMPME045</t>
  </si>
  <si>
    <t>SDHBZ773</t>
  </si>
  <si>
    <t>EURAE052</t>
  </si>
  <si>
    <t>JMQVS429</t>
  </si>
  <si>
    <t>RYDZJ989</t>
  </si>
  <si>
    <t>OXDCT117</t>
  </si>
  <si>
    <t>DEBVL613</t>
  </si>
  <si>
    <t>DJHOI129</t>
  </si>
  <si>
    <t>MMWGP800</t>
  </si>
  <si>
    <t>UZQQC116</t>
  </si>
  <si>
    <t>BMQLR884</t>
  </si>
  <si>
    <t>RXLSC035</t>
  </si>
  <si>
    <t>IGPIS441</t>
  </si>
  <si>
    <t>IOJPB464</t>
  </si>
  <si>
    <t>SGCDK638</t>
  </si>
  <si>
    <t>JDKBY559</t>
  </si>
  <si>
    <t>MZWTZ982</t>
  </si>
  <si>
    <t>FVERW989</t>
  </si>
  <si>
    <t>ZJMCS717</t>
  </si>
  <si>
    <t>VYREC190</t>
  </si>
  <si>
    <t>KSHJW855</t>
  </si>
  <si>
    <t>HFALM848</t>
  </si>
  <si>
    <t>SDZAP329</t>
  </si>
  <si>
    <t>LVYKA913</t>
  </si>
  <si>
    <t>YYRIV364</t>
  </si>
  <si>
    <t>UVJYL902</t>
  </si>
  <si>
    <t>ADPBA513</t>
  </si>
  <si>
    <t>XCCCN086</t>
  </si>
  <si>
    <t>ALFDX113</t>
  </si>
  <si>
    <t>ZGROB783</t>
  </si>
  <si>
    <t>PAPYC480</t>
  </si>
  <si>
    <t>GXTXR073</t>
  </si>
  <si>
    <t>YKPVW341</t>
  </si>
  <si>
    <t>PNYKM562</t>
  </si>
  <si>
    <t>WHVAW931</t>
  </si>
  <si>
    <t>HEILY541</t>
  </si>
  <si>
    <t>WAUHY594</t>
  </si>
  <si>
    <t>SGXAG053</t>
  </si>
  <si>
    <t>KJZMM021</t>
  </si>
  <si>
    <t>QQVKY383</t>
  </si>
  <si>
    <t>JVJCJ686</t>
  </si>
  <si>
    <t>JLHUE469</t>
  </si>
  <si>
    <t>ORTQF688</t>
  </si>
  <si>
    <t>DYOBW915</t>
  </si>
  <si>
    <t>PKXTF811</t>
  </si>
  <si>
    <t>GCTPY128</t>
  </si>
  <si>
    <t>VOZOR859</t>
  </si>
  <si>
    <t>NVMSP505</t>
  </si>
  <si>
    <t>SZXSZ937</t>
  </si>
  <si>
    <t>EARWC656</t>
  </si>
  <si>
    <t>FPYIL833</t>
  </si>
  <si>
    <t>EQWVZ426</t>
  </si>
  <si>
    <t>TEVSD451</t>
  </si>
  <si>
    <t>WVWHM755</t>
  </si>
  <si>
    <t>FAWLQ310</t>
  </si>
  <si>
    <t>NFTZY842</t>
  </si>
  <si>
    <t>HJVPU225</t>
  </si>
  <si>
    <t>TVWOY679</t>
  </si>
  <si>
    <t>SCNAB315</t>
  </si>
  <si>
    <t>LCVSL323</t>
  </si>
  <si>
    <t>BNVFU801</t>
  </si>
  <si>
    <t>XABVQ616</t>
  </si>
  <si>
    <t>FHNLW346</t>
  </si>
  <si>
    <t>UMMWD363</t>
  </si>
  <si>
    <t>OSLTH510</t>
  </si>
  <si>
    <t>WWWKG999</t>
  </si>
  <si>
    <t>WHXFD836</t>
  </si>
  <si>
    <t>CBYPA974</t>
  </si>
  <si>
    <t>MQUPA634</t>
  </si>
  <si>
    <t>RNFHL196</t>
  </si>
  <si>
    <t>TXFKU879</t>
  </si>
  <si>
    <t>AWXFG108</t>
  </si>
  <si>
    <t>RUKVO355</t>
  </si>
  <si>
    <t>EUZHG568</t>
  </si>
  <si>
    <t>DHUWB465</t>
  </si>
  <si>
    <t>RTCIE848</t>
  </si>
  <si>
    <t>GUROC511</t>
  </si>
  <si>
    <t>SVUDA600</t>
  </si>
  <si>
    <t>ZAZYX342</t>
  </si>
  <si>
    <t>UNVJZ234</t>
  </si>
  <si>
    <t>DKGLW215</t>
  </si>
  <si>
    <t>CWNMF346</t>
  </si>
  <si>
    <t>PFVKE464</t>
  </si>
  <si>
    <t>CWSZG664</t>
  </si>
  <si>
    <t>MWFNN721</t>
  </si>
  <si>
    <t>JSVKN127</t>
  </si>
  <si>
    <t>QBDJE643</t>
  </si>
  <si>
    <t>AEMXI826</t>
  </si>
  <si>
    <t>AGYLW841</t>
  </si>
  <si>
    <t>FDGLT878</t>
  </si>
  <si>
    <t>OWEIS832</t>
  </si>
  <si>
    <t>SIULD302</t>
  </si>
  <si>
    <t>INIMJ646</t>
  </si>
  <si>
    <t>QUKGV139</t>
  </si>
  <si>
    <t>OLUDV650</t>
  </si>
  <si>
    <t>SMIIY826</t>
  </si>
  <si>
    <t>AUFKS353</t>
  </si>
  <si>
    <t>MEOHD276</t>
  </si>
  <si>
    <t>MNNXN625</t>
  </si>
  <si>
    <t>PXYXZ036</t>
  </si>
  <si>
    <t>XELPU468</t>
  </si>
  <si>
    <t>YBDQC216</t>
  </si>
  <si>
    <t>FNUNT387</t>
  </si>
  <si>
    <t>EDZZZ173</t>
  </si>
  <si>
    <t>FWNAP195</t>
  </si>
  <si>
    <t>IKLPH176</t>
  </si>
  <si>
    <t>KQEYC776</t>
  </si>
  <si>
    <t>HWGYD890</t>
  </si>
  <si>
    <t>HXTBJ204</t>
  </si>
  <si>
    <t>KLNQM425</t>
  </si>
  <si>
    <t>NFTLC915</t>
  </si>
  <si>
    <t>EZMRH707</t>
  </si>
  <si>
    <t>HHZWO597</t>
  </si>
  <si>
    <t>MEBHS332</t>
  </si>
  <si>
    <t>SNKHM613</t>
  </si>
  <si>
    <t>IUJMA511</t>
  </si>
  <si>
    <t>USFQQ615</t>
  </si>
  <si>
    <t>VUIPO914</t>
  </si>
  <si>
    <t>HBZAV593</t>
  </si>
  <si>
    <t>NHNGR651</t>
  </si>
  <si>
    <t>LHOTX492</t>
  </si>
  <si>
    <t>LWTSV451</t>
  </si>
  <si>
    <t>BITFH709</t>
  </si>
  <si>
    <t>HQCQU020</t>
  </si>
  <si>
    <t>DGRAT764</t>
  </si>
  <si>
    <t>NIRBL281</t>
  </si>
  <si>
    <t>DITYU692</t>
  </si>
  <si>
    <t>AUVPS395</t>
  </si>
  <si>
    <t>YJLOV803</t>
  </si>
  <si>
    <t>KPLNQ245</t>
  </si>
  <si>
    <t>CVRXB216</t>
  </si>
  <si>
    <t>AVZRC505</t>
  </si>
  <si>
    <t>BLBHU681</t>
  </si>
  <si>
    <t>UTHTE055</t>
  </si>
  <si>
    <t>NQGYG289</t>
  </si>
  <si>
    <t>XBZVR326</t>
  </si>
  <si>
    <t>LQYHW474</t>
  </si>
  <si>
    <t>EYDFI800</t>
  </si>
  <si>
    <t>VMYGN758</t>
  </si>
  <si>
    <t>RSVEF729</t>
  </si>
  <si>
    <t>IWOVV809</t>
  </si>
  <si>
    <t>FBLQR968</t>
  </si>
  <si>
    <t>LKWOW121</t>
  </si>
  <si>
    <t>BARUQ399</t>
  </si>
  <si>
    <t>FZGNY465</t>
  </si>
  <si>
    <t>DPEJD759</t>
  </si>
  <si>
    <t>LADXO762</t>
  </si>
  <si>
    <t>BRNNP568</t>
  </si>
  <si>
    <t>RUVTG367</t>
  </si>
  <si>
    <t>CYHPU609</t>
  </si>
  <si>
    <t>XYZAN841</t>
  </si>
  <si>
    <t>NHBHC736</t>
  </si>
  <si>
    <t>FRXPH620</t>
  </si>
  <si>
    <t>SCZUL709</t>
  </si>
  <si>
    <t>ZGLWV800</t>
  </si>
  <si>
    <t>BVNKZ129</t>
  </si>
  <si>
    <t>WASDT221</t>
  </si>
  <si>
    <t>FHLHE289</t>
  </si>
  <si>
    <t>MNLVE874</t>
  </si>
  <si>
    <t>XKYRN569</t>
  </si>
  <si>
    <t>IGUKE379</t>
  </si>
  <si>
    <t>DYOVR712</t>
  </si>
  <si>
    <t>KEKZN954</t>
  </si>
  <si>
    <t>YQZIP097</t>
  </si>
  <si>
    <t>XPWCN892</t>
  </si>
  <si>
    <t>WDNEM601</t>
  </si>
  <si>
    <t>AYSNR279</t>
  </si>
  <si>
    <t>BVBTQ732</t>
  </si>
  <si>
    <t>VFBJO635</t>
  </si>
  <si>
    <t>IHKUI696</t>
  </si>
  <si>
    <t>XGKWY412</t>
  </si>
  <si>
    <t>EHQLU731</t>
  </si>
  <si>
    <t>RVJWO678</t>
  </si>
  <si>
    <t>GAIZK084</t>
  </si>
  <si>
    <t>BNCGD922</t>
  </si>
  <si>
    <t>BDOLJ613</t>
  </si>
  <si>
    <t>VINMB855</t>
  </si>
  <si>
    <t>MXXEW978</t>
  </si>
  <si>
    <t>AAGYR866</t>
  </si>
  <si>
    <t>CALET703</t>
  </si>
  <si>
    <t>RXGYQ511</t>
  </si>
  <si>
    <t>XZXQC530</t>
  </si>
  <si>
    <t>QCKMF214</t>
  </si>
  <si>
    <t>FKJME560</t>
  </si>
  <si>
    <t>KBOFC595</t>
  </si>
  <si>
    <t>YCJLR709</t>
  </si>
  <si>
    <t>YMGZZ052</t>
  </si>
  <si>
    <t>EJPMA441</t>
  </si>
  <si>
    <t>KFJLN993</t>
  </si>
  <si>
    <t>TNBBL994</t>
  </si>
  <si>
    <t>ZOJDY710</t>
  </si>
  <si>
    <t>HEQDH853</t>
  </si>
  <si>
    <t>OIXSR291</t>
  </si>
  <si>
    <t>IWQHO987</t>
  </si>
  <si>
    <t>ROKLY020</t>
  </si>
  <si>
    <t>ZENDD146</t>
  </si>
  <si>
    <t>DOXUJ817</t>
  </si>
  <si>
    <t>IJTXM080</t>
  </si>
  <si>
    <t>CORRU840</t>
  </si>
  <si>
    <t>OGDYF377</t>
  </si>
  <si>
    <t>XXJBN298</t>
  </si>
  <si>
    <t>ACWBC774</t>
  </si>
  <si>
    <t>FVMKR641</t>
  </si>
  <si>
    <t>LGCLN509</t>
  </si>
  <si>
    <t>DGPVC252</t>
  </si>
  <si>
    <t>NLFFT868</t>
  </si>
  <si>
    <t>AUJTW275</t>
  </si>
  <si>
    <t>ZZGOT618</t>
  </si>
  <si>
    <t>HQUBC029</t>
  </si>
  <si>
    <t>XUNTA270</t>
  </si>
  <si>
    <t>IVWZW953</t>
  </si>
  <si>
    <t>VNPFX353</t>
  </si>
  <si>
    <t>PVNVR555</t>
  </si>
  <si>
    <t>XZLJM290</t>
  </si>
  <si>
    <t>OWZQN102</t>
  </si>
  <si>
    <t>LRODA236</t>
  </si>
  <si>
    <t>FLMHN038</t>
  </si>
  <si>
    <t>TPSNV959</t>
  </si>
  <si>
    <t>IRZTT512</t>
  </si>
  <si>
    <t>QBLCG814</t>
  </si>
  <si>
    <t>YAING179</t>
  </si>
  <si>
    <t>SDFQB279</t>
  </si>
  <si>
    <t>KUREN620</t>
  </si>
  <si>
    <t>KDGCJ256</t>
  </si>
  <si>
    <t>RMGYA617</t>
  </si>
  <si>
    <t>IJKYA488</t>
  </si>
  <si>
    <t>NSUVN290</t>
  </si>
  <si>
    <t>EYUWX967</t>
  </si>
  <si>
    <t>YRZHR597</t>
  </si>
  <si>
    <t>CHDPQ652</t>
  </si>
  <si>
    <t>ODWSU376</t>
  </si>
  <si>
    <t>GFIKV164</t>
  </si>
  <si>
    <t>JLKAN757</t>
  </si>
  <si>
    <t>OQKCE938</t>
  </si>
  <si>
    <t>PEVLH859</t>
  </si>
  <si>
    <t>CHWIR422</t>
  </si>
  <si>
    <t>OCYUL934</t>
  </si>
  <si>
    <t>DIWQR122</t>
  </si>
  <si>
    <t>Номер респондента</t>
  </si>
  <si>
    <t>Возраст</t>
  </si>
  <si>
    <t>Оцените, насколько вы довольны своим мобильным оператором?</t>
  </si>
  <si>
    <t>Сколько минут в неделю вы тратите на звонки?</t>
  </si>
  <si>
    <t>Сколько интернет трафика вы тратите в месяц с вашего мобильного устройства?</t>
  </si>
  <si>
    <t>Сколько вы готовы заплатить за оптимальный тариф?</t>
  </si>
  <si>
    <t>Полностью удовлетворен</t>
  </si>
  <si>
    <t>&lt;35</t>
  </si>
  <si>
    <t>&lt;10 Гб</t>
  </si>
  <si>
    <t>451-550</t>
  </si>
  <si>
    <t>Затрудняюсь ответить</t>
  </si>
  <si>
    <t>Скорее удовлетворен</t>
  </si>
  <si>
    <t>21-30 Гб</t>
  </si>
  <si>
    <t>550+ рублей</t>
  </si>
  <si>
    <t>40+ Гб</t>
  </si>
  <si>
    <t>до 250 рублей</t>
  </si>
  <si>
    <t>Скорее не удовлетворен</t>
  </si>
  <si>
    <t>31-40 Гб</t>
  </si>
  <si>
    <t>250-350</t>
  </si>
  <si>
    <t>10-20 Гб</t>
  </si>
  <si>
    <t>91-120</t>
  </si>
  <si>
    <t>61-90</t>
  </si>
  <si>
    <t>35-60</t>
  </si>
  <si>
    <t>351-450</t>
  </si>
  <si>
    <t>120+</t>
  </si>
  <si>
    <t>Абсолютно не удовлетворен</t>
  </si>
  <si>
    <t>Count of Сколько вы готовы заплатить за оптимальный тариф?</t>
  </si>
  <si>
    <t>Row Labels</t>
  </si>
  <si>
    <t>Grand Total</t>
  </si>
  <si>
    <t>&lt;35 минут</t>
  </si>
  <si>
    <t>35-60 минут</t>
  </si>
  <si>
    <t>61-90 минут</t>
  </si>
  <si>
    <t>91-120 минут</t>
  </si>
  <si>
    <t>120+ минут</t>
  </si>
  <si>
    <t>Лучший набор</t>
  </si>
  <si>
    <t>&lt;35 минут + 31-40 ГБ</t>
  </si>
  <si>
    <t>Лучший набор интернета</t>
  </si>
  <si>
    <t>21-30 ГБ</t>
  </si>
  <si>
    <t>Лучший набор минут</t>
  </si>
  <si>
    <t>Сумма, которую готовы платить</t>
  </si>
  <si>
    <t>Готов ли платить за онлайн?</t>
  </si>
  <si>
    <t>Не абонент</t>
  </si>
  <si>
    <t>Абонент</t>
  </si>
  <si>
    <t>Count of ID</t>
  </si>
  <si>
    <t>Вопросы анкеты</t>
  </si>
  <si>
    <t>1. Оцените, насколько вы удолетворены своим сотовым оператором.</t>
  </si>
  <si>
    <t>2. Сколько минут в неделю вы тратите на звонки?</t>
  </si>
  <si>
    <t>до 35 минут</t>
  </si>
  <si>
    <t>более 120 минут</t>
  </si>
  <si>
    <t>3. Сколько интернет-трафика вы тратите в месяц с вашего мобильного устройства?</t>
  </si>
  <si>
    <t>&gt;40 Гб</t>
  </si>
  <si>
    <t>4. Сколько вы готовы заплатить за оптимальный тариф?</t>
  </si>
  <si>
    <t>250-350 рублей</t>
  </si>
  <si>
    <t>351-450 рублей</t>
  </si>
  <si>
    <t>451-550 рублей</t>
  </si>
  <si>
    <t>более 550 рублей</t>
  </si>
  <si>
    <t>(Multiple Items)</t>
  </si>
  <si>
    <t>Нужные ГБ</t>
  </si>
  <si>
    <t>Нужные минуты</t>
  </si>
  <si>
    <t>Принадлежность</t>
  </si>
  <si>
    <t>Количество</t>
  </si>
  <si>
    <t>Сколько минут в неделю/Гб в месяц вы тратите?</t>
  </si>
  <si>
    <t>Доп услуги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</si>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</sst>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7" x14ac:knownFonts="1">
    <font>
      <sz val="12"/>
      <color theme="1"/>
      <name val="Calibri"/>
      <scheme val="minor"/>
    </font>
    <font>
      <sz val="10"/>
      <color theme="0"/>
      <name val="Arial"/>
    </font>
    <font>
      <sz val="12"/>
      <color theme="1"/>
      <name val="Calibri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0"/>
      <name val="Arial"/>
    </font>
    <font>
      <sz val="11"/>
      <color rgb="FFFFFFFF"/>
      <name val="Arial"/>
    </font>
    <font>
      <sz val="10"/>
      <color rgb="FFFFFFFF"/>
      <name val="Arial"/>
    </font>
    <font>
      <sz val="11"/>
      <color theme="1"/>
      <name val="Arial"/>
    </font>
    <font>
      <sz val="12"/>
      <name val="Calibri"/>
    </font>
    <font>
      <b/>
      <sz val="11"/>
      <color rgb="FFC00000"/>
      <name val="Arial"/>
    </font>
    <font>
      <b/>
      <sz val="11"/>
      <color theme="1"/>
      <name val="Arial"/>
    </font>
    <font>
      <sz val="10"/>
      <color rgb="FF000000"/>
      <name val="Arial"/>
    </font>
    <font>
      <b/>
      <sz val="12"/>
      <color theme="1"/>
      <name val="Calibri"/>
    </font>
    <font>
      <sz val="12"/>
      <color theme="1"/>
      <name val="Calibri"/>
      <scheme val="minor"/>
    </font>
    <font>
      <b/>
      <sz val="12"/>
      <color theme="0"/>
      <name val="Arial"/>
    </font>
    <font>
      <sz val="10"/>
      <color theme="1"/>
      <name val="Calibri"/>
    </font>
    <font>
      <sz val="12"/>
      <color theme="0"/>
      <name val="Calibri"/>
    </font>
    <font>
      <b/>
      <sz val="13"/>
      <color theme="1"/>
      <name val="Calibri"/>
    </font>
    <font>
      <sz val="13"/>
      <color theme="1"/>
      <name val="Calibri"/>
    </font>
    <font>
      <sz val="12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rgb="FFFFFFFF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b/>
      <sz val="12"/>
      <color rgb="FFFFFFFF"/>
      <name val="Calibri"/>
      <family val="2"/>
      <charset val="204"/>
    </font>
    <font>
      <b/>
      <sz val="12"/>
      <color rgb="FFFFFFFF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BD0C1E"/>
        <bgColor rgb="FFBD0C1E"/>
      </patternFill>
    </fill>
    <fill>
      <patternFill patternType="solid">
        <fgColor rgb="FFBD3020"/>
        <bgColor rgb="FFBD302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3F3F3F"/>
        <bgColor rgb="FF3F3F3F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rgb="FFE7E6E6"/>
      </patternFill>
    </fill>
    <fill>
      <patternFill patternType="solid">
        <fgColor theme="5" tint="0.59999389629810485"/>
        <bgColor rgb="FFE7E6E6"/>
      </patternFill>
    </fill>
    <fill>
      <patternFill patternType="solid">
        <fgColor theme="4" tint="0.59999389629810485"/>
        <bgColor rgb="FFE7E6E6"/>
      </patternFill>
    </fill>
    <fill>
      <patternFill patternType="solid">
        <fgColor theme="4" tint="0.39997558519241921"/>
        <bgColor rgb="FFE7E6E6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8EAADB"/>
      </bottom>
      <diagonal/>
    </border>
    <border>
      <left/>
      <right/>
      <top style="thin">
        <color rgb="FF8EAADB"/>
      </top>
      <bottom/>
      <diagonal/>
    </border>
    <border>
      <left/>
      <right/>
      <top/>
      <bottom style="thick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14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/>
    <xf numFmtId="0" fontId="2" fillId="5" borderId="1" xfId="0" applyFont="1" applyFill="1" applyBorder="1"/>
    <xf numFmtId="0" fontId="4" fillId="6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2" fillId="7" borderId="1" xfId="0" applyFont="1" applyFill="1" applyBorder="1"/>
    <xf numFmtId="0" fontId="3" fillId="4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9" fillId="4" borderId="12" xfId="0" applyFont="1" applyFill="1" applyBorder="1" applyAlignment="1">
      <alignment horizontal="center"/>
    </xf>
    <xf numFmtId="0" fontId="9" fillId="4" borderId="12" xfId="0" applyFont="1" applyFill="1" applyBorder="1"/>
    <xf numFmtId="0" fontId="3" fillId="4" borderId="12" xfId="0" applyFont="1" applyFill="1" applyBorder="1"/>
    <xf numFmtId="0" fontId="2" fillId="5" borderId="12" xfId="0" applyFont="1" applyFill="1" applyBorder="1"/>
    <xf numFmtId="0" fontId="8" fillId="7" borderId="1" xfId="0" applyFont="1" applyFill="1" applyBorder="1" applyAlignment="1">
      <alignment horizontal="left" vertical="center"/>
    </xf>
    <xf numFmtId="0" fontId="3" fillId="7" borderId="1" xfId="0" applyFont="1" applyFill="1" applyBorder="1"/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/>
    <xf numFmtId="0" fontId="2" fillId="6" borderId="1" xfId="0" applyFont="1" applyFill="1" applyBorder="1"/>
    <xf numFmtId="0" fontId="13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6" fillId="2" borderId="1" xfId="0" applyFont="1" applyFill="1" applyBorder="1" applyAlignment="1">
      <alignment vertical="center"/>
    </xf>
    <xf numFmtId="0" fontId="14" fillId="6" borderId="1" xfId="0" applyFont="1" applyFill="1" applyBorder="1"/>
    <xf numFmtId="14" fontId="2" fillId="6" borderId="1" xfId="0" applyNumberFormat="1" applyFont="1" applyFill="1" applyBorder="1"/>
    <xf numFmtId="14" fontId="2" fillId="0" borderId="0" xfId="0" applyNumberFormat="1" applyFont="1"/>
    <xf numFmtId="0" fontId="14" fillId="0" borderId="0" xfId="0" applyFont="1"/>
    <xf numFmtId="164" fontId="2" fillId="0" borderId="0" xfId="0" applyNumberFormat="1" applyFont="1"/>
    <xf numFmtId="0" fontId="14" fillId="8" borderId="1" xfId="0" applyFont="1" applyFill="1" applyBorder="1"/>
    <xf numFmtId="14" fontId="14" fillId="8" borderId="1" xfId="0" applyNumberFormat="1" applyFont="1" applyFill="1" applyBorder="1"/>
    <xf numFmtId="0" fontId="14" fillId="9" borderId="1" xfId="0" applyFont="1" applyFill="1" applyBorder="1"/>
    <xf numFmtId="0" fontId="15" fillId="0" borderId="0" xfId="0" applyFont="1"/>
    <xf numFmtId="0" fontId="2" fillId="10" borderId="1" xfId="0" applyFont="1" applyFill="1" applyBorder="1"/>
    <xf numFmtId="1" fontId="2" fillId="10" borderId="1" xfId="0" applyNumberFormat="1" applyFont="1" applyFill="1" applyBorder="1"/>
    <xf numFmtId="0" fontId="5" fillId="6" borderId="2" xfId="0" applyFont="1" applyFill="1" applyBorder="1"/>
    <xf numFmtId="0" fontId="17" fillId="0" borderId="2" xfId="0" applyFont="1" applyBorder="1"/>
    <xf numFmtId="0" fontId="3" fillId="5" borderId="19" xfId="0" applyFont="1" applyFill="1" applyBorder="1"/>
    <xf numFmtId="0" fontId="3" fillId="5" borderId="20" xfId="0" applyFont="1" applyFill="1" applyBorder="1"/>
    <xf numFmtId="0" fontId="3" fillId="5" borderId="21" xfId="0" applyFont="1" applyFill="1" applyBorder="1"/>
    <xf numFmtId="0" fontId="2" fillId="0" borderId="0" xfId="0" applyFont="1"/>
    <xf numFmtId="0" fontId="14" fillId="10" borderId="22" xfId="0" applyFont="1" applyFill="1" applyBorder="1"/>
    <xf numFmtId="0" fontId="2" fillId="0" borderId="0" xfId="0" applyFont="1" applyAlignment="1">
      <alignment horizontal="left"/>
    </xf>
    <xf numFmtId="0" fontId="14" fillId="10" borderId="23" xfId="0" applyFont="1" applyFill="1" applyBorder="1" applyAlignment="1">
      <alignment horizontal="left"/>
    </xf>
    <xf numFmtId="0" fontId="14" fillId="10" borderId="23" xfId="0" applyFont="1" applyFill="1" applyBorder="1"/>
    <xf numFmtId="165" fontId="2" fillId="0" borderId="0" xfId="0" applyNumberFormat="1" applyFont="1"/>
    <xf numFmtId="9" fontId="14" fillId="12" borderId="23" xfId="0" applyNumberFormat="1" applyFont="1" applyFill="1" applyBorder="1"/>
    <xf numFmtId="9" fontId="14" fillId="10" borderId="23" xfId="0" applyNumberFormat="1" applyFont="1" applyFill="1" applyBorder="1"/>
    <xf numFmtId="9" fontId="14" fillId="0" borderId="0" xfId="0" applyNumberFormat="1" applyFont="1"/>
    <xf numFmtId="0" fontId="14" fillId="10" borderId="1" xfId="0" applyFont="1" applyFill="1" applyBorder="1"/>
    <xf numFmtId="0" fontId="2" fillId="0" borderId="24" xfId="0" applyFont="1" applyBorder="1"/>
    <xf numFmtId="1" fontId="2" fillId="0" borderId="0" xfId="0" applyNumberFormat="1" applyFont="1"/>
    <xf numFmtId="1" fontId="15" fillId="0" borderId="0" xfId="0" applyNumberFormat="1" applyFont="1"/>
    <xf numFmtId="0" fontId="16" fillId="5" borderId="1" xfId="0" applyFont="1" applyFill="1" applyBorder="1" applyAlignment="1">
      <alignment horizontal="center"/>
    </xf>
    <xf numFmtId="0" fontId="18" fillId="5" borderId="1" xfId="0" applyFont="1" applyFill="1" applyBorder="1"/>
    <xf numFmtId="0" fontId="19" fillId="5" borderId="1" xfId="0" applyFont="1" applyFill="1" applyBorder="1"/>
    <xf numFmtId="0" fontId="20" fillId="5" borderId="1" xfId="0" applyFont="1" applyFill="1" applyBorder="1"/>
    <xf numFmtId="17" fontId="20" fillId="5" borderId="1" xfId="0" applyNumberFormat="1" applyFont="1" applyFill="1" applyBorder="1"/>
    <xf numFmtId="0" fontId="0" fillId="0" borderId="25" xfId="0" pivotButton="1" applyBorder="1"/>
    <xf numFmtId="0" fontId="0" fillId="0" borderId="26" xfId="0" applyBorder="1"/>
    <xf numFmtId="0" fontId="0" fillId="0" borderId="27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10" fontId="0" fillId="0" borderId="25" xfId="0" applyNumberFormat="1" applyBorder="1"/>
    <xf numFmtId="10" fontId="0" fillId="0" borderId="28" xfId="0" applyNumberFormat="1" applyBorder="1"/>
    <xf numFmtId="10" fontId="0" fillId="0" borderId="29" xfId="0" applyNumberFormat="1" applyBorder="1"/>
    <xf numFmtId="0" fontId="0" fillId="0" borderId="30" xfId="0" applyBorder="1"/>
    <xf numFmtId="10" fontId="0" fillId="0" borderId="30" xfId="0" applyNumberFormat="1" applyBorder="1"/>
    <xf numFmtId="10" fontId="0" fillId="0" borderId="15" xfId="0" applyNumberFormat="1" applyBorder="1"/>
    <xf numFmtId="10" fontId="0" fillId="0" borderId="31" xfId="0" applyNumberFormat="1" applyBorder="1"/>
    <xf numFmtId="0" fontId="0" fillId="0" borderId="32" xfId="0" applyBorder="1"/>
    <xf numFmtId="10" fontId="0" fillId="0" borderId="32" xfId="0" applyNumberFormat="1" applyBorder="1"/>
    <xf numFmtId="10" fontId="0" fillId="0" borderId="33" xfId="0" applyNumberFormat="1" applyBorder="1"/>
    <xf numFmtId="10" fontId="0" fillId="0" borderId="34" xfId="0" applyNumberFormat="1" applyBorder="1"/>
    <xf numFmtId="0" fontId="0" fillId="0" borderId="34" xfId="0" pivotButton="1" applyBorder="1"/>
    <xf numFmtId="0" fontId="0" fillId="0" borderId="34" xfId="0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3" fillId="0" borderId="0" xfId="0" applyFont="1" applyAlignment="1">
      <alignment horizontal="left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0" fillId="0" borderId="25" xfId="0" pivotButton="1" applyBorder="1" applyAlignment="1">
      <alignment wrapText="1"/>
    </xf>
    <xf numFmtId="0" fontId="22" fillId="0" borderId="0" xfId="0" quotePrefix="1" applyFont="1"/>
    <xf numFmtId="0" fontId="24" fillId="8" borderId="1" xfId="0" applyFont="1" applyFill="1" applyBorder="1"/>
    <xf numFmtId="0" fontId="24" fillId="14" borderId="35" xfId="0" applyFont="1" applyFill="1" applyBorder="1"/>
    <xf numFmtId="9" fontId="24" fillId="15" borderId="35" xfId="1" applyFont="1" applyFill="1" applyBorder="1"/>
    <xf numFmtId="9" fontId="24" fillId="16" borderId="35" xfId="1" applyFont="1" applyFill="1" applyBorder="1"/>
    <xf numFmtId="165" fontId="21" fillId="13" borderId="35" xfId="1" applyNumberFormat="1" applyFont="1" applyFill="1" applyBorder="1"/>
    <xf numFmtId="0" fontId="9" fillId="4" borderId="6" xfId="0" applyFont="1" applyFill="1" applyBorder="1" applyAlignment="1">
      <alignment horizontal="left" vertical="center" wrapText="1"/>
    </xf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0" fillId="0" borderId="11" xfId="0" applyFont="1" applyBorder="1"/>
    <xf numFmtId="0" fontId="3" fillId="5" borderId="16" xfId="0" applyFont="1" applyFill="1" applyBorder="1"/>
    <xf numFmtId="0" fontId="10" fillId="0" borderId="17" xfId="0" applyFont="1" applyBorder="1"/>
    <xf numFmtId="0" fontId="10" fillId="0" borderId="18" xfId="0" applyFont="1" applyBorder="1"/>
    <xf numFmtId="0" fontId="16" fillId="11" borderId="13" xfId="0" applyFont="1" applyFill="1" applyBorder="1" applyAlignment="1">
      <alignment horizontal="center"/>
    </xf>
    <xf numFmtId="0" fontId="10" fillId="0" borderId="14" xfId="0" applyFont="1" applyBorder="1"/>
    <xf numFmtId="0" fontId="10" fillId="0" borderId="15" xfId="0" applyFont="1" applyBorder="1"/>
    <xf numFmtId="0" fontId="0" fillId="0" borderId="25" xfId="0" applyNumberFormat="1" applyBorder="1"/>
    <xf numFmtId="0" fontId="0" fillId="0" borderId="28" xfId="0" applyNumberFormat="1" applyBorder="1"/>
    <xf numFmtId="0" fontId="0" fillId="0" borderId="29" xfId="0" applyNumberFormat="1" applyBorder="1"/>
    <xf numFmtId="0" fontId="0" fillId="0" borderId="30" xfId="0" applyNumberFormat="1" applyBorder="1"/>
    <xf numFmtId="0" fontId="0" fillId="0" borderId="15" xfId="0" applyNumberFormat="1" applyBorder="1"/>
    <xf numFmtId="0" fontId="0" fillId="0" borderId="31" xfId="0" applyNumberFormat="1" applyBorder="1"/>
    <xf numFmtId="0" fontId="0" fillId="0" borderId="32" xfId="0" applyNumberFormat="1" applyBorder="1"/>
    <xf numFmtId="0" fontId="0" fillId="0" borderId="33" xfId="0" applyNumberFormat="1" applyBorder="1"/>
    <xf numFmtId="0" fontId="0" fillId="0" borderId="34" xfId="0" applyNumberFormat="1" applyBorder="1"/>
  </cellXfs>
  <cellStyles count="2">
    <cellStyle name="Normal" xfId="0" builtinId="0"/>
    <cellStyle name="Percent" xfId="1" builtinId="5"/>
  </cellStyles>
  <dxfs count="5">
    <dxf>
      <alignment wrapText="1"/>
    </dxf>
    <dxf>
      <alignment vertical="bottom"/>
    </dxf>
    <dxf>
      <font>
        <color rgb="FF9C0006"/>
      </font>
      <fill>
        <patternFill>
          <bgColor rgb="FFFFC7CE"/>
        </patternFill>
      </fill>
    </dxf>
    <dxf>
      <alignment vertical="bottom"/>
    </dxf>
    <dxf>
      <alignment wrapText="1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ru-RU" sz="1400" b="0" i="0">
                <a:solidFill>
                  <a:srgbClr val="757575"/>
                </a:solidFill>
                <a:latin typeface="+mn-lt"/>
              </a:rPr>
              <a:t>Комбинация минут + ГБ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&lt;35 минут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 (Рез. опр.)'!$K$12:$O$12</c:f>
              <c:strCache>
                <c:ptCount val="5"/>
                <c:pt idx="0">
                  <c:v>&lt;10 Гб</c:v>
                </c:pt>
                <c:pt idx="1">
                  <c:v>10-20 Гб</c:v>
                </c:pt>
                <c:pt idx="2">
                  <c:v>21-30 Гб</c:v>
                </c:pt>
                <c:pt idx="3">
                  <c:v>31-40 Гб</c:v>
                </c:pt>
                <c:pt idx="4">
                  <c:v>40+ Гб</c:v>
                </c:pt>
              </c:strCache>
            </c:strRef>
          </c:cat>
          <c:val>
            <c:numRef>
              <c:f>'Свод (Рез. опр.)'!$K$13:$O$13</c:f>
              <c:numCache>
                <c:formatCode>0.0%</c:formatCode>
                <c:ptCount val="5"/>
                <c:pt idx="0">
                  <c:v>2.7586206896551724E-2</c:v>
                </c:pt>
                <c:pt idx="1">
                  <c:v>8.2758620689655171E-2</c:v>
                </c:pt>
                <c:pt idx="2">
                  <c:v>0.16551724137931034</c:v>
                </c:pt>
                <c:pt idx="3">
                  <c:v>0.22068965517241379</c:v>
                </c:pt>
                <c:pt idx="4">
                  <c:v>5.5172413793103448E-2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644-4D24-83C0-B5F1FE7BD05E}"/>
            </c:ext>
          </c:extLst>
        </c:ser>
        <c:ser>
          <c:idx val="1"/>
          <c:order val="1"/>
          <c:tx>
            <c:v>35-60 минут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 (Рез. опр.)'!$K$12:$O$12</c:f>
              <c:strCache>
                <c:ptCount val="5"/>
                <c:pt idx="0">
                  <c:v>&lt;10 Гб</c:v>
                </c:pt>
                <c:pt idx="1">
                  <c:v>10-20 Гб</c:v>
                </c:pt>
                <c:pt idx="2">
                  <c:v>21-30 Гб</c:v>
                </c:pt>
                <c:pt idx="3">
                  <c:v>31-40 Гб</c:v>
                </c:pt>
                <c:pt idx="4">
                  <c:v>40+ Гб</c:v>
                </c:pt>
              </c:strCache>
            </c:strRef>
          </c:cat>
          <c:val>
            <c:numRef>
              <c:f>'Свод (Рез. опр.)'!$K$14:$O$14</c:f>
              <c:numCache>
                <c:formatCode>0.0%</c:formatCode>
                <c:ptCount val="5"/>
                <c:pt idx="0">
                  <c:v>6.8965517241379309E-3</c:v>
                </c:pt>
                <c:pt idx="1">
                  <c:v>2.0689655172413793E-2</c:v>
                </c:pt>
                <c:pt idx="2">
                  <c:v>2.7586206896551724E-2</c:v>
                </c:pt>
                <c:pt idx="3">
                  <c:v>1.3793103448275862E-2</c:v>
                </c:pt>
                <c:pt idx="4">
                  <c:v>4.1379310344827586E-2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644-4D24-83C0-B5F1FE7BD05E}"/>
            </c:ext>
          </c:extLst>
        </c:ser>
        <c:ser>
          <c:idx val="2"/>
          <c:order val="2"/>
          <c:tx>
            <c:v>61-90 минут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 (Рез. опр.)'!$K$12:$O$12</c:f>
              <c:strCache>
                <c:ptCount val="5"/>
                <c:pt idx="0">
                  <c:v>&lt;10 Гб</c:v>
                </c:pt>
                <c:pt idx="1">
                  <c:v>10-20 Гб</c:v>
                </c:pt>
                <c:pt idx="2">
                  <c:v>21-30 Гб</c:v>
                </c:pt>
                <c:pt idx="3">
                  <c:v>31-40 Гб</c:v>
                </c:pt>
                <c:pt idx="4">
                  <c:v>40+ Гб</c:v>
                </c:pt>
              </c:strCache>
            </c:strRef>
          </c:cat>
          <c:val>
            <c:numRef>
              <c:f>'Свод (Рез. опр.)'!$K$15:$O$15</c:f>
              <c:numCache>
                <c:formatCode>0.0%</c:formatCode>
                <c:ptCount val="5"/>
                <c:pt idx="0">
                  <c:v>1.3793103448275862E-2</c:v>
                </c:pt>
                <c:pt idx="1">
                  <c:v>6.8965517241379309E-3</c:v>
                </c:pt>
                <c:pt idx="2">
                  <c:v>6.2068965517241378E-2</c:v>
                </c:pt>
                <c:pt idx="3">
                  <c:v>3.4482758620689655E-2</c:v>
                </c:pt>
                <c:pt idx="4">
                  <c:v>2.0689655172413793E-2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644-4D24-83C0-B5F1FE7BD05E}"/>
            </c:ext>
          </c:extLst>
        </c:ser>
        <c:ser>
          <c:idx val="3"/>
          <c:order val="3"/>
          <c:tx>
            <c:v>91-120 минут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 (Рез. опр.)'!$K$12:$O$12</c:f>
              <c:strCache>
                <c:ptCount val="5"/>
                <c:pt idx="0">
                  <c:v>&lt;10 Гб</c:v>
                </c:pt>
                <c:pt idx="1">
                  <c:v>10-20 Гб</c:v>
                </c:pt>
                <c:pt idx="2">
                  <c:v>21-30 Гб</c:v>
                </c:pt>
                <c:pt idx="3">
                  <c:v>31-40 Гб</c:v>
                </c:pt>
                <c:pt idx="4">
                  <c:v>40+ Гб</c:v>
                </c:pt>
              </c:strCache>
            </c:strRef>
          </c:cat>
          <c:val>
            <c:numRef>
              <c:f>'Свод (Рез. опр.)'!$K$16:$O$16</c:f>
              <c:numCache>
                <c:formatCode>0.0%</c:formatCode>
                <c:ptCount val="5"/>
                <c:pt idx="0">
                  <c:v>2.7586206896551724E-2</c:v>
                </c:pt>
                <c:pt idx="1">
                  <c:v>2.0689655172413793E-2</c:v>
                </c:pt>
                <c:pt idx="2">
                  <c:v>4.1379310344827586E-2</c:v>
                </c:pt>
                <c:pt idx="3">
                  <c:v>1.3793103448275862E-2</c:v>
                </c:pt>
                <c:pt idx="4">
                  <c:v>2.0689655172413793E-2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644-4D24-83C0-B5F1FE7BD05E}"/>
            </c:ext>
          </c:extLst>
        </c:ser>
        <c:ser>
          <c:idx val="4"/>
          <c:order val="4"/>
          <c:tx>
            <c:v>120+ минут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 (Рез. опр.)'!$K$12:$O$12</c:f>
              <c:strCache>
                <c:ptCount val="5"/>
                <c:pt idx="0">
                  <c:v>&lt;10 Гб</c:v>
                </c:pt>
                <c:pt idx="1">
                  <c:v>10-20 Гб</c:v>
                </c:pt>
                <c:pt idx="2">
                  <c:v>21-30 Гб</c:v>
                </c:pt>
                <c:pt idx="3">
                  <c:v>31-40 Гб</c:v>
                </c:pt>
                <c:pt idx="4">
                  <c:v>40+ Гб</c:v>
                </c:pt>
              </c:strCache>
            </c:strRef>
          </c:cat>
          <c:val>
            <c:numRef>
              <c:f>'Свод (Рез. опр.)'!$K$17:$O$17</c:f>
              <c:numCache>
                <c:formatCode>0.0%</c:formatCode>
                <c:ptCount val="5"/>
                <c:pt idx="0">
                  <c:v>1.3793103448275862E-2</c:v>
                </c:pt>
                <c:pt idx="1">
                  <c:v>0</c:v>
                </c:pt>
                <c:pt idx="2">
                  <c:v>3.4482758620689655E-2</c:v>
                </c:pt>
                <c:pt idx="3">
                  <c:v>1.3793103448275862E-2</c:v>
                </c:pt>
                <c:pt idx="4">
                  <c:v>1.3793103448275862E-2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644-4D24-83C0-B5F1FE7BD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6268698"/>
        <c:axId val="1723707026"/>
      </c:barChart>
      <c:catAx>
        <c:axId val="1216268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3707026"/>
        <c:crosses val="autoZero"/>
        <c:auto val="1"/>
        <c:lblAlgn val="ctr"/>
        <c:lblOffset val="100"/>
        <c:noMultiLvlLbl val="1"/>
      </c:catAx>
      <c:valAx>
        <c:axId val="1723707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626869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Сколько АБОНЕНТЫ готовы заплатить за оптимальный тариф?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'Свод (Тариф)'!$H$3</c:f>
              <c:strCache>
                <c:ptCount val="1"/>
                <c:pt idx="0">
                  <c:v>Сколько вы готовы заплатить за оптимальный тариф?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2A-4E86-B466-14A4CAFD0F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2A-4E86-B466-14A4CAFD0F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2A-4E86-B466-14A4CAFD0F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C2A-4E86-B466-14A4CAFD0F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C2A-4E86-B466-14A4CAFD0FA4}"/>
              </c:ext>
            </c:extLst>
          </c:dPt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'Свод (Тариф)'!$H$4:$H$8</c:f>
              <c:numCache>
                <c:formatCode>General</c:formatCode>
                <c:ptCount val="5"/>
                <c:pt idx="0">
                  <c:v>220</c:v>
                </c:pt>
                <c:pt idx="1">
                  <c:v>330</c:v>
                </c:pt>
                <c:pt idx="2">
                  <c:v>440</c:v>
                </c:pt>
                <c:pt idx="3">
                  <c:v>550</c:v>
                </c:pt>
                <c:pt idx="4">
                  <c:v>770</c:v>
                </c:pt>
              </c:numCache>
            </c:numRef>
          </c:cat>
          <c:val>
            <c:numRef>
              <c:f>'Свод (Тариф)'!$I$4:$I$8</c:f>
              <c:numCache>
                <c:formatCode>General</c:formatCode>
                <c:ptCount val="5"/>
                <c:pt idx="0">
                  <c:v>81</c:v>
                </c:pt>
                <c:pt idx="1">
                  <c:v>413</c:v>
                </c:pt>
                <c:pt idx="2">
                  <c:v>369</c:v>
                </c:pt>
                <c:pt idx="3">
                  <c:v>219</c:v>
                </c:pt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CC-4F7B-A025-1A68001B0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Сколько НЕАБОНЕНТЫ</a:t>
            </a:r>
            <a:r>
              <a:rPr lang="ru-RU" baseline="0"/>
              <a:t> готовы </a:t>
            </a:r>
            <a:r>
              <a:rPr lang="ru-RU"/>
              <a:t>заплатить за оптимальный тариф?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'Свод (Тариф)'!$H$10</c:f>
              <c:strCache>
                <c:ptCount val="1"/>
                <c:pt idx="0">
                  <c:v>Сколько вы готовы заплатить за оптимальный тариф?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D8-4C07-A1F3-203CBB333D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D8-4C07-A1F3-203CBB333D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D8-4C07-A1F3-203CBB333D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D8-4C07-A1F3-203CBB333D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D8-4C07-A1F3-203CBB333DFF}"/>
              </c:ext>
            </c:extLst>
          </c:dPt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'Свод (Тариф)'!$H$11:$H$15</c:f>
              <c:strCache>
                <c:ptCount val="5"/>
                <c:pt idx="0">
                  <c:v>250-350</c:v>
                </c:pt>
                <c:pt idx="1">
                  <c:v>351-450</c:v>
                </c:pt>
                <c:pt idx="2">
                  <c:v>451-550</c:v>
                </c:pt>
                <c:pt idx="3">
                  <c:v>550+ рублей</c:v>
                </c:pt>
                <c:pt idx="4">
                  <c:v>до 250 рублей</c:v>
                </c:pt>
              </c:strCache>
            </c:strRef>
          </c:cat>
          <c:val>
            <c:numRef>
              <c:f>'Свод (Тариф)'!$I$11:$I$15</c:f>
              <c:numCache>
                <c:formatCode>General</c:formatCode>
                <c:ptCount val="5"/>
                <c:pt idx="0">
                  <c:v>104</c:v>
                </c:pt>
                <c:pt idx="1">
                  <c:v>45</c:v>
                </c:pt>
                <c:pt idx="2">
                  <c:v>31</c:v>
                </c:pt>
                <c:pt idx="3">
                  <c:v>36</c:v>
                </c:pt>
                <c:pt idx="4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4-4C38-8DC5-715463651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600075</xdr:colOff>
      <xdr:row>18</xdr:row>
      <xdr:rowOff>161925</xdr:rowOff>
    </xdr:from>
    <xdr:ext cx="6153150" cy="3314700"/>
    <xdr:graphicFrame macro="">
      <xdr:nvGraphicFramePr>
        <xdr:cNvPr id="16465944" name="Chart 1">
          <a:extLst>
            <a:ext uri="{FF2B5EF4-FFF2-40B4-BE49-F238E27FC236}">
              <a16:creationId xmlns:a16="http://schemas.microsoft.com/office/drawing/2014/main" id="{00000000-0008-0000-0400-00001840F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</xdr:colOff>
      <xdr:row>0</xdr:row>
      <xdr:rowOff>71437</xdr:rowOff>
    </xdr:from>
    <xdr:to>
      <xdr:col>12</xdr:col>
      <xdr:colOff>180976</xdr:colOff>
      <xdr:row>20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3D69E4-34E2-A0EE-30F6-69CA49B41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33337</xdr:colOff>
      <xdr:row>20</xdr:row>
      <xdr:rowOff>133350</xdr:rowOff>
    </xdr:from>
    <xdr:to>
      <xdr:col>12</xdr:col>
      <xdr:colOff>152401</xdr:colOff>
      <xdr:row>41</xdr:row>
      <xdr:rowOff>180974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A5DCED-913F-1841-3AD5-8DC3B3BC5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Янов Георгий Тимофеевич" refreshedDate="45999.622326504628" createdVersion="8" refreshedVersion="8" minRefreshableVersion="3" recordCount="1436" xr:uid="{811ACE18-1D11-432E-9878-706F70DFAF43}">
  <cacheSource type="worksheet">
    <worksheetSource ref="A2:K1438" sheet="Сгруппированные данные"/>
  </cacheSource>
  <cacheFields count="11">
    <cacheField name="ID" numFmtId="0">
      <sharedItems containsMixedTypes="1" containsNumber="1" containsInteger="1" minValue="1" maxValue="304"/>
    </cacheField>
    <cacheField name="Возраст" numFmtId="0">
      <sharedItems containsSemiMixedTypes="0" containsString="0" containsNumber="1" containsInteger="1" minValue="18" maxValue="25"/>
    </cacheField>
    <cacheField name="Принадлежность" numFmtId="0">
      <sharedItems count="2">
        <s v="Не абонент"/>
        <s v="Абонент"/>
      </sharedItems>
    </cacheField>
    <cacheField name="Сколько минут в неделю вы тратите на звонки?" numFmtId="0">
      <sharedItems count="5">
        <s v="&lt;35"/>
        <s v="91-120"/>
        <s v="61-90"/>
        <s v="35-60"/>
        <s v="120+"/>
      </sharedItems>
    </cacheField>
    <cacheField name="Сколько интернет трафика вы тратите в месяц с вашего мобильного устройства?" numFmtId="0">
      <sharedItems count="5">
        <s v="&lt;10 Гб"/>
        <s v="21-30 Гб"/>
        <s v="40+ Гб"/>
        <s v="31-40 Гб"/>
        <s v="10-20 Гб"/>
      </sharedItems>
    </cacheField>
    <cacheField name="Сколько вы готовы заплатить за оптимальный тариф?" numFmtId="0">
      <sharedItems containsMixedTypes="1" containsNumber="1" containsInteger="1" minValue="220" maxValue="770" count="10">
        <s v="451-550"/>
        <s v="550+ рублей"/>
        <s v="до 250 рублей"/>
        <s v="250-350"/>
        <s v="351-450"/>
        <n v="770"/>
        <n v="330"/>
        <n v="220"/>
        <n v="440"/>
        <n v="550"/>
      </sharedItems>
    </cacheField>
    <cacheField name="Сумма, которую готовы платить" numFmtId="0">
      <sharedItems containsString="0" containsBlank="1" containsNumber="1" containsInteger="1" minValue="250" maxValue="550"/>
    </cacheField>
    <cacheField name="Нужные ГБ" numFmtId="0">
      <sharedItems containsString="0" containsBlank="1" containsNumber="1" containsInteger="1" minValue="10" maxValue="41"/>
    </cacheField>
    <cacheField name="Нужные минуты" numFmtId="0">
      <sharedItems containsString="0" containsBlank="1" containsNumber="1" containsInteger="1" minValue="35" maxValue="121"/>
    </cacheField>
    <cacheField name="Готов ли платить за онлайн?" numFmtId="0">
      <sharedItems containsBlank="1"/>
    </cacheField>
    <cacheField name="Оцените, насколько вы довольны своим мобильным оператором?" numFmtId="0">
      <sharedItems containsBlank="1" count="6">
        <s v="Полностью удовлетворен"/>
        <s v="Затрудняюсь ответить"/>
        <s v="Скорее удовлетворен"/>
        <s v="Скорее не удовлетворен"/>
        <s v="Абсолютно не удовлетворен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Янов Георгий Тимофеевич" refreshedDate="45999.62232696759" refreshedVersion="8" recordCount="1436" xr:uid="{00000000-000A-0000-FFFF-FFFF01000000}">
  <cacheSource type="worksheet">
    <worksheetSource ref="A2:F1438" sheet="Сгруппированные данные"/>
  </cacheSource>
  <cacheFields count="6">
    <cacheField name="ID" numFmtId="0">
      <sharedItems containsMixedTypes="1" containsNumber="1" containsInteger="1" minValue="1" maxValue="304"/>
    </cacheField>
    <cacheField name="Возраст" numFmtId="0">
      <sharedItems containsSemiMixedTypes="0" containsString="0" containsNumber="1" containsInteger="1" minValue="18" maxValue="25"/>
    </cacheField>
    <cacheField name="Принадлежность" numFmtId="0">
      <sharedItems/>
    </cacheField>
    <cacheField name="Сколько минут в неделю вы тратите на звонки?" numFmtId="0">
      <sharedItems count="5">
        <s v="&lt;35"/>
        <s v="91-120"/>
        <s v="61-90"/>
        <s v="35-60"/>
        <s v="120+"/>
      </sharedItems>
    </cacheField>
    <cacheField name="Сколько интернет трафика вы тратите в месяц с вашего мобильного устройства?" numFmtId="0">
      <sharedItems count="5">
        <s v="&lt;10 Гб"/>
        <s v="21-30 Гб"/>
        <s v="40+ Гб"/>
        <s v="31-40 Гб"/>
        <s v="10-20 Гб"/>
      </sharedItems>
    </cacheField>
    <cacheField name="Сколько вы готовы заплатить за оптимальный тариф?" numFmtId="0">
      <sharedItems containsMixedTypes="1" containsNumber="1" containsInteger="1" minValue="220" maxValue="7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Янов Георгий Тимофеевич" refreshedDate="45999.622327430552" refreshedVersion="8" recordCount="297" xr:uid="{00000000-000A-0000-FFFF-FFFF00000000}">
  <cacheSource type="worksheet">
    <worksheetSource ref="A2:F299" sheet="Результаты опроса"/>
  </cacheSource>
  <cacheFields count="6">
    <cacheField name="Номер респондента" numFmtId="0">
      <sharedItems containsSemiMixedTypes="0" containsString="0" containsNumber="1" containsInteger="1" minValue="1" maxValue="304"/>
    </cacheField>
    <cacheField name="Возраст" numFmtId="0">
      <sharedItems containsSemiMixedTypes="0" containsString="0" containsNumber="1" containsInteger="1" minValue="18" maxValue="25"/>
    </cacheField>
    <cacheField name="Оцените, насколько вы довольны своим мобильным оператором?" numFmtId="0">
      <sharedItems count="5">
        <s v="Полностью удовлетворен"/>
        <s v="Затрудняюсь ответить"/>
        <s v="Скорее удовлетворен"/>
        <s v="Скорее не удовлетворен"/>
        <s v="Абсолютно не удовлетворен"/>
      </sharedItems>
    </cacheField>
    <cacheField name="Сколько минут в неделю вы тратите на звонки?" numFmtId="0">
      <sharedItems count="5">
        <s v="&lt;35"/>
        <s v="91-120"/>
        <s v="61-90"/>
        <s v="35-60"/>
        <s v="120+"/>
      </sharedItems>
    </cacheField>
    <cacheField name="Сколько интернет трафика вы тратите в месяц с вашего мобильного устройства?" numFmtId="0">
      <sharedItems count="5">
        <s v="&lt;10 Гб"/>
        <s v="21-30 Гб"/>
        <s v="40+ Гб"/>
        <s v="31-40 Гб"/>
        <s v="10-20 Гб"/>
      </sharedItems>
    </cacheField>
    <cacheField name="Сколько вы готовы заплатить за оптимальный тариф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6">
  <r>
    <n v="1"/>
    <n v="24"/>
    <s v="Не абонент"/>
    <x v="0"/>
    <x v="0"/>
    <s v="451-550"/>
  </r>
  <r>
    <n v="2"/>
    <n v="21"/>
    <s v="Не абонент"/>
    <x v="0"/>
    <x v="0"/>
    <s v="451-550"/>
  </r>
  <r>
    <n v="3"/>
    <n v="25"/>
    <s v="Не абонент"/>
    <x v="0"/>
    <x v="1"/>
    <s v="550+ рублей"/>
  </r>
  <r>
    <n v="4"/>
    <n v="23"/>
    <s v="Не абонент"/>
    <x v="0"/>
    <x v="2"/>
    <s v="550+ рублей"/>
  </r>
  <r>
    <n v="5"/>
    <n v="18"/>
    <s v="Не абонент"/>
    <x v="0"/>
    <x v="0"/>
    <s v="451-550"/>
  </r>
  <r>
    <n v="6"/>
    <n v="19"/>
    <s v="Не абонент"/>
    <x v="0"/>
    <x v="2"/>
    <s v="до 250 рублей"/>
  </r>
  <r>
    <n v="7"/>
    <n v="21"/>
    <s v="Не абонент"/>
    <x v="0"/>
    <x v="1"/>
    <s v="451-550"/>
  </r>
  <r>
    <n v="8"/>
    <n v="24"/>
    <s v="Не абонент"/>
    <x v="0"/>
    <x v="3"/>
    <s v="250-350"/>
  </r>
  <r>
    <n v="9"/>
    <n v="21"/>
    <s v="Не абонент"/>
    <x v="0"/>
    <x v="4"/>
    <s v="250-350"/>
  </r>
  <r>
    <n v="10"/>
    <n v="22"/>
    <s v="Не абонент"/>
    <x v="0"/>
    <x v="4"/>
    <s v="250-350"/>
  </r>
  <r>
    <n v="11"/>
    <n v="18"/>
    <s v="Не абонент"/>
    <x v="1"/>
    <x v="1"/>
    <s v="550+ рублей"/>
  </r>
  <r>
    <n v="12"/>
    <n v="18"/>
    <s v="Не абонент"/>
    <x v="2"/>
    <x v="1"/>
    <s v="до 250 рублей"/>
  </r>
  <r>
    <n v="13"/>
    <n v="25"/>
    <s v="Не абонент"/>
    <x v="0"/>
    <x v="0"/>
    <s v="550+ рублей"/>
  </r>
  <r>
    <n v="14"/>
    <n v="21"/>
    <s v="Не абонент"/>
    <x v="0"/>
    <x v="2"/>
    <s v="250-350"/>
  </r>
  <r>
    <n v="15"/>
    <n v="20"/>
    <s v="Не абонент"/>
    <x v="0"/>
    <x v="3"/>
    <s v="до 250 рублей"/>
  </r>
  <r>
    <n v="16"/>
    <n v="21"/>
    <s v="Не абонент"/>
    <x v="0"/>
    <x v="1"/>
    <s v="250-350"/>
  </r>
  <r>
    <n v="17"/>
    <n v="24"/>
    <s v="Не абонент"/>
    <x v="0"/>
    <x v="1"/>
    <s v="451-550"/>
  </r>
  <r>
    <n v="18"/>
    <n v="22"/>
    <s v="Не абонент"/>
    <x v="0"/>
    <x v="3"/>
    <s v="451-550"/>
  </r>
  <r>
    <n v="19"/>
    <n v="25"/>
    <s v="Не абонент"/>
    <x v="1"/>
    <x v="2"/>
    <s v="250-350"/>
  </r>
  <r>
    <n v="20"/>
    <n v="23"/>
    <s v="Не абонент"/>
    <x v="0"/>
    <x v="1"/>
    <s v="451-550"/>
  </r>
  <r>
    <n v="21"/>
    <n v="20"/>
    <s v="Не абонент"/>
    <x v="0"/>
    <x v="2"/>
    <s v="550+ рублей"/>
  </r>
  <r>
    <n v="22"/>
    <n v="19"/>
    <s v="Не абонент"/>
    <x v="0"/>
    <x v="1"/>
    <s v="250-350"/>
  </r>
  <r>
    <n v="23"/>
    <n v="18"/>
    <s v="Не абонент"/>
    <x v="3"/>
    <x v="2"/>
    <s v="351-450"/>
  </r>
  <r>
    <n v="24"/>
    <n v="23"/>
    <s v="Не абонент"/>
    <x v="4"/>
    <x v="1"/>
    <s v="250-350"/>
  </r>
  <r>
    <n v="25"/>
    <n v="18"/>
    <s v="Не абонент"/>
    <x v="2"/>
    <x v="0"/>
    <s v="451-550"/>
  </r>
  <r>
    <n v="26"/>
    <n v="20"/>
    <s v="Не абонент"/>
    <x v="0"/>
    <x v="3"/>
    <s v="250-350"/>
  </r>
  <r>
    <n v="27"/>
    <n v="18"/>
    <s v="Не абонент"/>
    <x v="0"/>
    <x v="3"/>
    <s v="351-450"/>
  </r>
  <r>
    <n v="28"/>
    <n v="18"/>
    <s v="Не абонент"/>
    <x v="0"/>
    <x v="4"/>
    <s v="451-550"/>
  </r>
  <r>
    <n v="29"/>
    <n v="24"/>
    <s v="Не абонент"/>
    <x v="4"/>
    <x v="1"/>
    <s v="250-350"/>
  </r>
  <r>
    <n v="30"/>
    <n v="19"/>
    <s v="Не абонент"/>
    <x v="4"/>
    <x v="1"/>
    <s v="до 250 рублей"/>
  </r>
  <r>
    <n v="31"/>
    <n v="25"/>
    <s v="Не абонент"/>
    <x v="1"/>
    <x v="1"/>
    <s v="351-450"/>
  </r>
  <r>
    <n v="32"/>
    <n v="18"/>
    <s v="Не абонент"/>
    <x v="0"/>
    <x v="3"/>
    <s v="250-350"/>
  </r>
  <r>
    <n v="33"/>
    <n v="21"/>
    <s v="Не абонент"/>
    <x v="1"/>
    <x v="1"/>
    <s v="250-350"/>
  </r>
  <r>
    <n v="34"/>
    <n v="18"/>
    <s v="Не абонент"/>
    <x v="0"/>
    <x v="3"/>
    <s v="250-350"/>
  </r>
  <r>
    <n v="35"/>
    <n v="21"/>
    <s v="Не абонент"/>
    <x v="0"/>
    <x v="3"/>
    <s v="250-350"/>
  </r>
  <r>
    <n v="36"/>
    <n v="21"/>
    <s v="Не абонент"/>
    <x v="3"/>
    <x v="1"/>
    <s v="до 250 рублей"/>
  </r>
  <r>
    <n v="37"/>
    <n v="18"/>
    <s v="Не абонент"/>
    <x v="2"/>
    <x v="1"/>
    <s v="до 250 рублей"/>
  </r>
  <r>
    <n v="38"/>
    <n v="21"/>
    <s v="Не абонент"/>
    <x v="0"/>
    <x v="2"/>
    <s v="до 250 рублей"/>
  </r>
  <r>
    <n v="39"/>
    <n v="19"/>
    <s v="Не абонент"/>
    <x v="0"/>
    <x v="1"/>
    <s v="до 250 рублей"/>
  </r>
  <r>
    <n v="40"/>
    <n v="19"/>
    <s v="Не абонент"/>
    <x v="4"/>
    <x v="2"/>
    <s v="250-350"/>
  </r>
  <r>
    <n v="41"/>
    <n v="19"/>
    <s v="Не абонент"/>
    <x v="0"/>
    <x v="3"/>
    <s v="351-450"/>
  </r>
  <r>
    <n v="42"/>
    <n v="25"/>
    <s v="Не абонент"/>
    <x v="0"/>
    <x v="3"/>
    <s v="250-350"/>
  </r>
  <r>
    <n v="43"/>
    <n v="19"/>
    <s v="Не абонент"/>
    <x v="1"/>
    <x v="4"/>
    <s v="до 250 рублей"/>
  </r>
  <r>
    <n v="44"/>
    <n v="19"/>
    <s v="Не абонент"/>
    <x v="0"/>
    <x v="1"/>
    <s v="351-450"/>
  </r>
  <r>
    <n v="45"/>
    <n v="23"/>
    <s v="Не абонент"/>
    <x v="4"/>
    <x v="3"/>
    <s v="351-450"/>
  </r>
  <r>
    <n v="46"/>
    <n v="24"/>
    <s v="Не абонент"/>
    <x v="2"/>
    <x v="1"/>
    <s v="351-450"/>
  </r>
  <r>
    <n v="47"/>
    <n v="22"/>
    <s v="Не абонент"/>
    <x v="0"/>
    <x v="3"/>
    <s v="до 250 рублей"/>
  </r>
  <r>
    <n v="48"/>
    <n v="25"/>
    <s v="Не абонент"/>
    <x v="0"/>
    <x v="3"/>
    <s v="451-550"/>
  </r>
  <r>
    <n v="49"/>
    <n v="22"/>
    <s v="Не абонент"/>
    <x v="2"/>
    <x v="1"/>
    <s v="до 250 рублей"/>
  </r>
  <r>
    <n v="50"/>
    <n v="25"/>
    <s v="Не абонент"/>
    <x v="0"/>
    <x v="4"/>
    <s v="до 250 рублей"/>
  </r>
  <r>
    <n v="51"/>
    <n v="20"/>
    <s v="Не абонент"/>
    <x v="0"/>
    <x v="1"/>
    <s v="351-450"/>
  </r>
  <r>
    <n v="52"/>
    <n v="25"/>
    <s v="Не абонент"/>
    <x v="0"/>
    <x v="4"/>
    <s v="451-550"/>
  </r>
  <r>
    <n v="53"/>
    <n v="24"/>
    <s v="Не абонент"/>
    <x v="3"/>
    <x v="3"/>
    <s v="до 250 рублей"/>
  </r>
  <r>
    <n v="54"/>
    <n v="22"/>
    <s v="Не абонент"/>
    <x v="3"/>
    <x v="2"/>
    <s v="250-350"/>
  </r>
  <r>
    <n v="55"/>
    <n v="21"/>
    <s v="Не абонент"/>
    <x v="0"/>
    <x v="3"/>
    <s v="250-350"/>
  </r>
  <r>
    <n v="56"/>
    <n v="21"/>
    <s v="Не абонент"/>
    <x v="1"/>
    <x v="2"/>
    <s v="351-450"/>
  </r>
  <r>
    <n v="57"/>
    <n v="18"/>
    <s v="Не абонент"/>
    <x v="0"/>
    <x v="0"/>
    <s v="до 250 рублей"/>
  </r>
  <r>
    <n v="58"/>
    <n v="21"/>
    <s v="Не абонент"/>
    <x v="0"/>
    <x v="3"/>
    <s v="250-350"/>
  </r>
  <r>
    <n v="59"/>
    <n v="25"/>
    <s v="Не абонент"/>
    <x v="0"/>
    <x v="3"/>
    <s v="451-550"/>
  </r>
  <r>
    <n v="60"/>
    <n v="23"/>
    <s v="Не абонент"/>
    <x v="0"/>
    <x v="2"/>
    <s v="550+ рублей"/>
  </r>
  <r>
    <n v="61"/>
    <n v="24"/>
    <s v="Не абонент"/>
    <x v="0"/>
    <x v="3"/>
    <s v="451-550"/>
  </r>
  <r>
    <n v="62"/>
    <n v="21"/>
    <s v="Не абонент"/>
    <x v="0"/>
    <x v="0"/>
    <s v="до 250 рублей"/>
  </r>
  <r>
    <n v="63"/>
    <n v="23"/>
    <s v="Не абонент"/>
    <x v="0"/>
    <x v="3"/>
    <s v="250-350"/>
  </r>
  <r>
    <n v="64"/>
    <n v="25"/>
    <s v="Не абонент"/>
    <x v="0"/>
    <x v="1"/>
    <s v="до 250 рублей"/>
  </r>
  <r>
    <n v="65"/>
    <n v="19"/>
    <s v="Не абонент"/>
    <x v="4"/>
    <x v="0"/>
    <s v="451-550"/>
  </r>
  <r>
    <n v="66"/>
    <n v="21"/>
    <s v="Не абонент"/>
    <x v="0"/>
    <x v="3"/>
    <s v="550+ рублей"/>
  </r>
  <r>
    <n v="67"/>
    <n v="18"/>
    <s v="Не абонент"/>
    <x v="4"/>
    <x v="4"/>
    <s v="до 250 рублей"/>
  </r>
  <r>
    <n v="68"/>
    <n v="21"/>
    <s v="Не абонент"/>
    <x v="0"/>
    <x v="3"/>
    <s v="250-350"/>
  </r>
  <r>
    <n v="69"/>
    <n v="18"/>
    <s v="Не абонент"/>
    <x v="3"/>
    <x v="0"/>
    <s v="до 250 рублей"/>
  </r>
  <r>
    <n v="70"/>
    <n v="20"/>
    <s v="Не абонент"/>
    <x v="0"/>
    <x v="1"/>
    <s v="до 250 рублей"/>
  </r>
  <r>
    <n v="71"/>
    <n v="19"/>
    <s v="Не абонент"/>
    <x v="3"/>
    <x v="2"/>
    <s v="до 250 рублей"/>
  </r>
  <r>
    <n v="72"/>
    <n v="22"/>
    <s v="Не абонент"/>
    <x v="0"/>
    <x v="3"/>
    <s v="250-350"/>
  </r>
  <r>
    <n v="73"/>
    <n v="22"/>
    <s v="Не абонент"/>
    <x v="0"/>
    <x v="3"/>
    <s v="250-350"/>
  </r>
  <r>
    <n v="74"/>
    <n v="21"/>
    <s v="Не абонент"/>
    <x v="4"/>
    <x v="1"/>
    <s v="550+ рублей"/>
  </r>
  <r>
    <n v="75"/>
    <n v="23"/>
    <s v="Не абонент"/>
    <x v="0"/>
    <x v="1"/>
    <s v="до 250 рублей"/>
  </r>
  <r>
    <n v="76"/>
    <n v="18"/>
    <s v="Не абонент"/>
    <x v="0"/>
    <x v="2"/>
    <s v="250-350"/>
  </r>
  <r>
    <n v="77"/>
    <n v="19"/>
    <s v="Не абонент"/>
    <x v="0"/>
    <x v="3"/>
    <s v="250-350"/>
  </r>
  <r>
    <n v="78"/>
    <n v="19"/>
    <s v="Не абонент"/>
    <x v="2"/>
    <x v="1"/>
    <s v="351-450"/>
  </r>
  <r>
    <n v="80"/>
    <n v="25"/>
    <s v="Не абонент"/>
    <x v="1"/>
    <x v="2"/>
    <s v="550+ рублей"/>
  </r>
  <r>
    <n v="81"/>
    <n v="21"/>
    <s v="Не абонент"/>
    <x v="4"/>
    <x v="1"/>
    <s v="250-350"/>
  </r>
  <r>
    <n v="82"/>
    <n v="21"/>
    <s v="Не абонент"/>
    <x v="3"/>
    <x v="1"/>
    <s v="до 250 рублей"/>
  </r>
  <r>
    <n v="83"/>
    <n v="21"/>
    <s v="Не абонент"/>
    <x v="0"/>
    <x v="2"/>
    <s v="550+ рублей"/>
  </r>
  <r>
    <n v="84"/>
    <n v="24"/>
    <s v="Не абонент"/>
    <x v="0"/>
    <x v="1"/>
    <s v="550+ рублей"/>
  </r>
  <r>
    <n v="86"/>
    <n v="22"/>
    <s v="Не абонент"/>
    <x v="0"/>
    <x v="1"/>
    <s v="351-450"/>
  </r>
  <r>
    <n v="87"/>
    <n v="19"/>
    <s v="Не абонент"/>
    <x v="0"/>
    <x v="2"/>
    <s v="550+ рублей"/>
  </r>
  <r>
    <n v="88"/>
    <n v="21"/>
    <s v="Не абонент"/>
    <x v="4"/>
    <x v="1"/>
    <s v="250-350"/>
  </r>
  <r>
    <n v="89"/>
    <n v="24"/>
    <s v="Не абонент"/>
    <x v="2"/>
    <x v="3"/>
    <s v="550+ рублей"/>
  </r>
  <r>
    <n v="90"/>
    <n v="21"/>
    <s v="Не абонент"/>
    <x v="0"/>
    <x v="2"/>
    <s v="550+ рублей"/>
  </r>
  <r>
    <n v="91"/>
    <n v="18"/>
    <s v="Не абонент"/>
    <x v="0"/>
    <x v="1"/>
    <s v="250-350"/>
  </r>
  <r>
    <n v="92"/>
    <n v="23"/>
    <s v="Не абонент"/>
    <x v="3"/>
    <x v="4"/>
    <s v="250-350"/>
  </r>
  <r>
    <n v="93"/>
    <n v="22"/>
    <s v="Не абонент"/>
    <x v="0"/>
    <x v="4"/>
    <s v="250-350"/>
  </r>
  <r>
    <n v="94"/>
    <n v="21"/>
    <s v="Не абонент"/>
    <x v="0"/>
    <x v="4"/>
    <s v="451-550"/>
  </r>
  <r>
    <n v="95"/>
    <n v="19"/>
    <s v="Не абонент"/>
    <x v="0"/>
    <x v="0"/>
    <s v="250-350"/>
  </r>
  <r>
    <n v="96"/>
    <n v="19"/>
    <s v="Не абонент"/>
    <x v="0"/>
    <x v="1"/>
    <s v="351-450"/>
  </r>
  <r>
    <n v="97"/>
    <n v="19"/>
    <s v="Не абонент"/>
    <x v="0"/>
    <x v="3"/>
    <s v="451-550"/>
  </r>
  <r>
    <n v="98"/>
    <n v="25"/>
    <s v="Не абонент"/>
    <x v="0"/>
    <x v="1"/>
    <s v="351-450"/>
  </r>
  <r>
    <n v="99"/>
    <n v="23"/>
    <s v="Не абонент"/>
    <x v="0"/>
    <x v="3"/>
    <s v="550+ рублей"/>
  </r>
  <r>
    <n v="100"/>
    <n v="22"/>
    <s v="Не абонент"/>
    <x v="4"/>
    <x v="1"/>
    <s v="250-350"/>
  </r>
  <r>
    <n v="101"/>
    <n v="18"/>
    <s v="Не абонент"/>
    <x v="1"/>
    <x v="4"/>
    <s v="250-350"/>
  </r>
  <r>
    <n v="102"/>
    <n v="23"/>
    <s v="Не абонент"/>
    <x v="0"/>
    <x v="2"/>
    <s v="до 250 рублей"/>
  </r>
  <r>
    <n v="104"/>
    <n v="21"/>
    <s v="Не абонент"/>
    <x v="0"/>
    <x v="1"/>
    <s v="250-350"/>
  </r>
  <r>
    <n v="105"/>
    <n v="22"/>
    <s v="Не абонент"/>
    <x v="0"/>
    <x v="1"/>
    <s v="250-350"/>
  </r>
  <r>
    <n v="106"/>
    <n v="19"/>
    <s v="Не абонент"/>
    <x v="0"/>
    <x v="3"/>
    <s v="351-450"/>
  </r>
  <r>
    <n v="107"/>
    <n v="19"/>
    <s v="Не абонент"/>
    <x v="4"/>
    <x v="3"/>
    <s v="до 250 рублей"/>
  </r>
  <r>
    <n v="108"/>
    <n v="24"/>
    <s v="Не абонент"/>
    <x v="2"/>
    <x v="2"/>
    <s v="250-350"/>
  </r>
  <r>
    <n v="110"/>
    <n v="23"/>
    <s v="Не абонент"/>
    <x v="3"/>
    <x v="1"/>
    <s v="до 250 рублей"/>
  </r>
  <r>
    <n v="111"/>
    <n v="24"/>
    <s v="Не абонент"/>
    <x v="0"/>
    <x v="1"/>
    <s v="до 250 рублей"/>
  </r>
  <r>
    <n v="112"/>
    <n v="22"/>
    <s v="Не абонент"/>
    <x v="0"/>
    <x v="1"/>
    <s v="до 250 рублей"/>
  </r>
  <r>
    <n v="113"/>
    <n v="25"/>
    <s v="Не абонент"/>
    <x v="1"/>
    <x v="4"/>
    <s v="до 250 рублей"/>
  </r>
  <r>
    <n v="114"/>
    <n v="25"/>
    <s v="Не абонент"/>
    <x v="3"/>
    <x v="2"/>
    <s v="250-350"/>
  </r>
  <r>
    <n v="115"/>
    <n v="21"/>
    <s v="Не абонент"/>
    <x v="0"/>
    <x v="1"/>
    <s v="550+ рублей"/>
  </r>
  <r>
    <n v="116"/>
    <n v="21"/>
    <s v="Не абонент"/>
    <x v="0"/>
    <x v="1"/>
    <s v="550+ рублей"/>
  </r>
  <r>
    <n v="117"/>
    <n v="20"/>
    <s v="Не абонент"/>
    <x v="3"/>
    <x v="1"/>
    <s v="250-350"/>
  </r>
  <r>
    <n v="118"/>
    <n v="24"/>
    <s v="Не абонент"/>
    <x v="2"/>
    <x v="3"/>
    <s v="351-450"/>
  </r>
  <r>
    <n v="119"/>
    <n v="22"/>
    <s v="Не абонент"/>
    <x v="0"/>
    <x v="4"/>
    <s v="до 250 рублей"/>
  </r>
  <r>
    <n v="120"/>
    <n v="18"/>
    <s v="Не абонент"/>
    <x v="0"/>
    <x v="1"/>
    <s v="до 250 рублей"/>
  </r>
  <r>
    <n v="121"/>
    <n v="21"/>
    <s v="Не абонент"/>
    <x v="2"/>
    <x v="3"/>
    <s v="451-550"/>
  </r>
  <r>
    <n v="122"/>
    <n v="20"/>
    <s v="Не абонент"/>
    <x v="2"/>
    <x v="2"/>
    <s v="451-550"/>
  </r>
  <r>
    <n v="123"/>
    <n v="19"/>
    <s v="Не абонент"/>
    <x v="4"/>
    <x v="1"/>
    <s v="451-550"/>
  </r>
  <r>
    <n v="124"/>
    <n v="19"/>
    <s v="Не абонент"/>
    <x v="3"/>
    <x v="2"/>
    <s v="250-350"/>
  </r>
  <r>
    <n v="125"/>
    <n v="18"/>
    <s v="Не абонент"/>
    <x v="4"/>
    <x v="1"/>
    <s v="351-450"/>
  </r>
  <r>
    <n v="126"/>
    <n v="18"/>
    <s v="Не абонент"/>
    <x v="4"/>
    <x v="3"/>
    <s v="351-450"/>
  </r>
  <r>
    <n v="127"/>
    <n v="20"/>
    <s v="Не абонент"/>
    <x v="0"/>
    <x v="1"/>
    <s v="250-350"/>
  </r>
  <r>
    <n v="128"/>
    <n v="22"/>
    <s v="Не абонент"/>
    <x v="0"/>
    <x v="3"/>
    <s v="до 250 рублей"/>
  </r>
  <r>
    <n v="129"/>
    <n v="21"/>
    <s v="Не абонент"/>
    <x v="0"/>
    <x v="2"/>
    <s v="351-450"/>
  </r>
  <r>
    <n v="130"/>
    <n v="21"/>
    <s v="Не абонент"/>
    <x v="2"/>
    <x v="3"/>
    <s v="до 250 рублей"/>
  </r>
  <r>
    <n v="131"/>
    <n v="24"/>
    <s v="Не абонент"/>
    <x v="3"/>
    <x v="1"/>
    <s v="до 250 рублей"/>
  </r>
  <r>
    <n v="132"/>
    <n v="21"/>
    <s v="Не абонент"/>
    <x v="2"/>
    <x v="0"/>
    <s v="до 250 рублей"/>
  </r>
  <r>
    <n v="133"/>
    <n v="23"/>
    <s v="Не абонент"/>
    <x v="4"/>
    <x v="0"/>
    <s v="351-450"/>
  </r>
  <r>
    <n v="134"/>
    <n v="19"/>
    <s v="Не абонент"/>
    <x v="2"/>
    <x v="3"/>
    <s v="250-350"/>
  </r>
  <r>
    <n v="135"/>
    <n v="25"/>
    <s v="Не абонент"/>
    <x v="3"/>
    <x v="3"/>
    <s v="до 250 рублей"/>
  </r>
  <r>
    <n v="136"/>
    <n v="19"/>
    <s v="Не абонент"/>
    <x v="0"/>
    <x v="2"/>
    <s v="до 250 рублей"/>
  </r>
  <r>
    <n v="137"/>
    <n v="22"/>
    <s v="Не абонент"/>
    <x v="4"/>
    <x v="4"/>
    <s v="до 250 рублей"/>
  </r>
  <r>
    <n v="138"/>
    <n v="25"/>
    <s v="Не абонент"/>
    <x v="4"/>
    <x v="1"/>
    <s v="550+ рублей"/>
  </r>
  <r>
    <n v="139"/>
    <n v="22"/>
    <s v="Не абонент"/>
    <x v="0"/>
    <x v="3"/>
    <s v="до 250 рублей"/>
  </r>
  <r>
    <n v="140"/>
    <n v="25"/>
    <s v="Не абонент"/>
    <x v="0"/>
    <x v="4"/>
    <s v="250-350"/>
  </r>
  <r>
    <n v="141"/>
    <n v="19"/>
    <s v="Не абонент"/>
    <x v="1"/>
    <x v="0"/>
    <s v="250-350"/>
  </r>
  <r>
    <n v="142"/>
    <n v="21"/>
    <s v="Не абонент"/>
    <x v="2"/>
    <x v="3"/>
    <s v="250-350"/>
  </r>
  <r>
    <n v="143"/>
    <n v="19"/>
    <s v="Не абонент"/>
    <x v="0"/>
    <x v="1"/>
    <s v="до 250 рублей"/>
  </r>
  <r>
    <n v="144"/>
    <n v="23"/>
    <s v="Не абонент"/>
    <x v="0"/>
    <x v="3"/>
    <s v="351-450"/>
  </r>
  <r>
    <n v="145"/>
    <n v="22"/>
    <s v="Не абонент"/>
    <x v="0"/>
    <x v="3"/>
    <s v="250-350"/>
  </r>
  <r>
    <n v="146"/>
    <n v="22"/>
    <s v="Не абонент"/>
    <x v="0"/>
    <x v="2"/>
    <s v="351-450"/>
  </r>
  <r>
    <n v="147"/>
    <n v="21"/>
    <s v="Не абонент"/>
    <x v="0"/>
    <x v="3"/>
    <s v="до 250 рублей"/>
  </r>
  <r>
    <n v="148"/>
    <n v="24"/>
    <s v="Не абонент"/>
    <x v="0"/>
    <x v="4"/>
    <s v="до 250 рублей"/>
  </r>
  <r>
    <n v="149"/>
    <n v="19"/>
    <s v="Не абонент"/>
    <x v="4"/>
    <x v="0"/>
    <s v="351-450"/>
  </r>
  <r>
    <n v="150"/>
    <n v="23"/>
    <s v="Не абонент"/>
    <x v="0"/>
    <x v="3"/>
    <s v="250-350"/>
  </r>
  <r>
    <n v="151"/>
    <n v="21"/>
    <s v="Не абонент"/>
    <x v="0"/>
    <x v="2"/>
    <s v="до 250 рублей"/>
  </r>
  <r>
    <n v="152"/>
    <n v="20"/>
    <s v="Не абонент"/>
    <x v="1"/>
    <x v="1"/>
    <s v="до 250 рублей"/>
  </r>
  <r>
    <n v="153"/>
    <n v="18"/>
    <s v="Не абонент"/>
    <x v="2"/>
    <x v="1"/>
    <s v="до 250 рублей"/>
  </r>
  <r>
    <n v="154"/>
    <n v="21"/>
    <s v="Не абонент"/>
    <x v="0"/>
    <x v="1"/>
    <s v="250-350"/>
  </r>
  <r>
    <n v="155"/>
    <n v="25"/>
    <s v="Не абонент"/>
    <x v="4"/>
    <x v="2"/>
    <s v="351-450"/>
  </r>
  <r>
    <n v="156"/>
    <n v="21"/>
    <s v="Не абонент"/>
    <x v="0"/>
    <x v="0"/>
    <s v="250-350"/>
  </r>
  <r>
    <n v="157"/>
    <n v="19"/>
    <s v="Не абонент"/>
    <x v="2"/>
    <x v="3"/>
    <s v="351-450"/>
  </r>
  <r>
    <n v="158"/>
    <n v="20"/>
    <s v="Не абонент"/>
    <x v="0"/>
    <x v="1"/>
    <s v="451-550"/>
  </r>
  <r>
    <n v="159"/>
    <n v="21"/>
    <s v="Не абонент"/>
    <x v="0"/>
    <x v="3"/>
    <s v="250-350"/>
  </r>
  <r>
    <n v="160"/>
    <n v="19"/>
    <s v="Не абонент"/>
    <x v="0"/>
    <x v="4"/>
    <s v="250-350"/>
  </r>
  <r>
    <n v="161"/>
    <n v="25"/>
    <s v="Не абонент"/>
    <x v="0"/>
    <x v="3"/>
    <s v="до 250 рублей"/>
  </r>
  <r>
    <n v="162"/>
    <n v="21"/>
    <s v="Не абонент"/>
    <x v="2"/>
    <x v="2"/>
    <s v="до 250 рублей"/>
  </r>
  <r>
    <n v="164"/>
    <n v="25"/>
    <s v="Не абонент"/>
    <x v="1"/>
    <x v="3"/>
    <s v="351-450"/>
  </r>
  <r>
    <n v="165"/>
    <n v="21"/>
    <s v="Не абонент"/>
    <x v="0"/>
    <x v="1"/>
    <s v="250-350"/>
  </r>
  <r>
    <n v="166"/>
    <n v="25"/>
    <s v="Не абонент"/>
    <x v="0"/>
    <x v="3"/>
    <s v="351-450"/>
  </r>
  <r>
    <n v="167"/>
    <n v="25"/>
    <s v="Не абонент"/>
    <x v="2"/>
    <x v="1"/>
    <s v="250-350"/>
  </r>
  <r>
    <n v="168"/>
    <n v="22"/>
    <s v="Не абонент"/>
    <x v="3"/>
    <x v="1"/>
    <s v="250-350"/>
  </r>
  <r>
    <n v="169"/>
    <n v="21"/>
    <s v="Не абонент"/>
    <x v="1"/>
    <x v="4"/>
    <s v="250-350"/>
  </r>
  <r>
    <n v="103"/>
    <n v="19"/>
    <s v="Не абонент"/>
    <x v="0"/>
    <x v="1"/>
    <s v="351-450"/>
  </r>
  <r>
    <n v="170"/>
    <n v="19"/>
    <s v="Не абонент"/>
    <x v="0"/>
    <x v="3"/>
    <s v="351-450"/>
  </r>
  <r>
    <n v="171"/>
    <n v="25"/>
    <s v="Не абонент"/>
    <x v="2"/>
    <x v="1"/>
    <s v="до 250 рублей"/>
  </r>
  <r>
    <n v="172"/>
    <n v="18"/>
    <s v="Не абонент"/>
    <x v="0"/>
    <x v="3"/>
    <s v="351-450"/>
  </r>
  <r>
    <n v="173"/>
    <n v="25"/>
    <s v="Не абонент"/>
    <x v="0"/>
    <x v="1"/>
    <s v="550+ рублей"/>
  </r>
  <r>
    <n v="174"/>
    <n v="25"/>
    <s v="Не абонент"/>
    <x v="2"/>
    <x v="1"/>
    <s v="250-350"/>
  </r>
  <r>
    <n v="175"/>
    <n v="22"/>
    <s v="Не абонент"/>
    <x v="3"/>
    <x v="1"/>
    <s v="до 250 рублей"/>
  </r>
  <r>
    <n v="176"/>
    <n v="21"/>
    <s v="Не абонент"/>
    <x v="4"/>
    <x v="3"/>
    <s v="до 250 рублей"/>
  </r>
  <r>
    <n v="177"/>
    <n v="21"/>
    <s v="Не абонент"/>
    <x v="0"/>
    <x v="3"/>
    <s v="250-350"/>
  </r>
  <r>
    <n v="178"/>
    <n v="22"/>
    <s v="Не абонент"/>
    <x v="0"/>
    <x v="4"/>
    <s v="250-350"/>
  </r>
  <r>
    <n v="179"/>
    <n v="21"/>
    <s v="Не абонент"/>
    <x v="0"/>
    <x v="3"/>
    <s v="250-350"/>
  </r>
  <r>
    <n v="180"/>
    <n v="25"/>
    <s v="Не абонент"/>
    <x v="0"/>
    <x v="0"/>
    <s v="250-350"/>
  </r>
  <r>
    <n v="181"/>
    <n v="21"/>
    <s v="Не абонент"/>
    <x v="3"/>
    <x v="0"/>
    <s v="550+ рублей"/>
  </r>
  <r>
    <n v="182"/>
    <n v="25"/>
    <s v="Не абонент"/>
    <x v="3"/>
    <x v="2"/>
    <s v="351-450"/>
  </r>
  <r>
    <n v="183"/>
    <n v="21"/>
    <s v="Не абонент"/>
    <x v="3"/>
    <x v="2"/>
    <s v="250-350"/>
  </r>
  <r>
    <n v="184"/>
    <n v="23"/>
    <s v="Не абонент"/>
    <x v="0"/>
    <x v="1"/>
    <s v="451-550"/>
  </r>
  <r>
    <n v="185"/>
    <n v="24"/>
    <s v="Не абонент"/>
    <x v="0"/>
    <x v="3"/>
    <s v="351-450"/>
  </r>
  <r>
    <n v="186"/>
    <n v="22"/>
    <s v="Не абонент"/>
    <x v="0"/>
    <x v="3"/>
    <s v="250-350"/>
  </r>
  <r>
    <n v="187"/>
    <n v="20"/>
    <s v="Не абонент"/>
    <x v="0"/>
    <x v="1"/>
    <s v="250-350"/>
  </r>
  <r>
    <n v="188"/>
    <n v="18"/>
    <s v="Не абонент"/>
    <x v="0"/>
    <x v="1"/>
    <s v="до 250 рублей"/>
  </r>
  <r>
    <n v="189"/>
    <n v="20"/>
    <s v="Не абонент"/>
    <x v="0"/>
    <x v="1"/>
    <s v="до 250 рублей"/>
  </r>
  <r>
    <n v="190"/>
    <n v="22"/>
    <s v="Не абонент"/>
    <x v="0"/>
    <x v="4"/>
    <s v="до 250 рублей"/>
  </r>
  <r>
    <n v="191"/>
    <n v="20"/>
    <s v="Не абонент"/>
    <x v="2"/>
    <x v="3"/>
    <s v="451-550"/>
  </r>
  <r>
    <n v="192"/>
    <n v="18"/>
    <s v="Не абонент"/>
    <x v="0"/>
    <x v="3"/>
    <s v="250-350"/>
  </r>
  <r>
    <n v="193"/>
    <n v="18"/>
    <s v="Не абонент"/>
    <x v="1"/>
    <x v="3"/>
    <s v="до 250 рублей"/>
  </r>
  <r>
    <n v="194"/>
    <n v="19"/>
    <s v="Не абонент"/>
    <x v="4"/>
    <x v="4"/>
    <s v="351-450"/>
  </r>
  <r>
    <n v="195"/>
    <n v="20"/>
    <s v="Не абонент"/>
    <x v="2"/>
    <x v="1"/>
    <s v="351-450"/>
  </r>
  <r>
    <n v="196"/>
    <n v="24"/>
    <s v="Не абонент"/>
    <x v="0"/>
    <x v="1"/>
    <s v="250-350"/>
  </r>
  <r>
    <n v="197"/>
    <n v="21"/>
    <s v="Не абонент"/>
    <x v="2"/>
    <x v="3"/>
    <s v="351-450"/>
  </r>
  <r>
    <n v="198"/>
    <n v="24"/>
    <s v="Не абонент"/>
    <x v="0"/>
    <x v="3"/>
    <s v="250-350"/>
  </r>
  <r>
    <n v="199"/>
    <n v="21"/>
    <s v="Не абонент"/>
    <x v="3"/>
    <x v="4"/>
    <s v="550+ рублей"/>
  </r>
  <r>
    <n v="200"/>
    <n v="25"/>
    <s v="Не абонент"/>
    <x v="4"/>
    <x v="2"/>
    <s v="250-350"/>
  </r>
  <r>
    <n v="201"/>
    <n v="25"/>
    <s v="Не абонент"/>
    <x v="2"/>
    <x v="1"/>
    <s v="351-450"/>
  </r>
  <r>
    <n v="202"/>
    <n v="21"/>
    <s v="Не абонент"/>
    <x v="0"/>
    <x v="2"/>
    <s v="351-450"/>
  </r>
  <r>
    <n v="203"/>
    <n v="24"/>
    <s v="Не абонент"/>
    <x v="0"/>
    <x v="0"/>
    <s v="250-350"/>
  </r>
  <r>
    <n v="204"/>
    <n v="18"/>
    <s v="Не абонент"/>
    <x v="0"/>
    <x v="3"/>
    <s v="451-550"/>
  </r>
  <r>
    <n v="205"/>
    <n v="20"/>
    <s v="Не абонент"/>
    <x v="0"/>
    <x v="3"/>
    <s v="250-350"/>
  </r>
  <r>
    <n v="206"/>
    <n v="25"/>
    <s v="Не абонент"/>
    <x v="1"/>
    <x v="0"/>
    <s v="451-550"/>
  </r>
  <r>
    <n v="207"/>
    <n v="20"/>
    <s v="Не абонент"/>
    <x v="1"/>
    <x v="0"/>
    <s v="451-550"/>
  </r>
  <r>
    <n v="208"/>
    <n v="21"/>
    <s v="Не абонент"/>
    <x v="2"/>
    <x v="1"/>
    <s v="550+ рублей"/>
  </r>
  <r>
    <n v="209"/>
    <n v="23"/>
    <s v="Не абонент"/>
    <x v="4"/>
    <x v="1"/>
    <s v="до 250 рублей"/>
  </r>
  <r>
    <n v="210"/>
    <n v="24"/>
    <s v="Не абонент"/>
    <x v="0"/>
    <x v="3"/>
    <s v="до 250 рублей"/>
  </r>
  <r>
    <n v="211"/>
    <n v="24"/>
    <s v="Не абонент"/>
    <x v="0"/>
    <x v="4"/>
    <s v="250-350"/>
  </r>
  <r>
    <n v="212"/>
    <n v="20"/>
    <s v="Не абонент"/>
    <x v="0"/>
    <x v="1"/>
    <s v="351-450"/>
  </r>
  <r>
    <n v="213"/>
    <n v="21"/>
    <s v="Не абонент"/>
    <x v="0"/>
    <x v="3"/>
    <s v="до 250 рублей"/>
  </r>
  <r>
    <n v="214"/>
    <n v="19"/>
    <s v="Не абонент"/>
    <x v="0"/>
    <x v="3"/>
    <s v="250-350"/>
  </r>
  <r>
    <n v="215"/>
    <n v="20"/>
    <s v="Не абонент"/>
    <x v="0"/>
    <x v="1"/>
    <s v="250-350"/>
  </r>
  <r>
    <n v="216"/>
    <n v="21"/>
    <s v="Не абонент"/>
    <x v="0"/>
    <x v="3"/>
    <s v="550+ рублей"/>
  </r>
  <r>
    <n v="217"/>
    <n v="19"/>
    <s v="Не абонент"/>
    <x v="2"/>
    <x v="4"/>
    <s v="до 250 рублей"/>
  </r>
  <r>
    <n v="218"/>
    <n v="21"/>
    <s v="Не абонент"/>
    <x v="1"/>
    <x v="2"/>
    <s v="250-350"/>
  </r>
  <r>
    <n v="219"/>
    <n v="24"/>
    <s v="Не абонент"/>
    <x v="0"/>
    <x v="3"/>
    <s v="250-350"/>
  </r>
  <r>
    <n v="221"/>
    <n v="21"/>
    <s v="Не абонент"/>
    <x v="3"/>
    <x v="2"/>
    <s v="550+ рублей"/>
  </r>
  <r>
    <n v="222"/>
    <n v="21"/>
    <s v="Не абонент"/>
    <x v="4"/>
    <x v="2"/>
    <s v="до 250 рублей"/>
  </r>
  <r>
    <n v="223"/>
    <n v="21"/>
    <s v="Не абонент"/>
    <x v="1"/>
    <x v="1"/>
    <s v="351-450"/>
  </r>
  <r>
    <n v="224"/>
    <n v="23"/>
    <s v="Не абонент"/>
    <x v="0"/>
    <x v="3"/>
    <s v="до 250 рублей"/>
  </r>
  <r>
    <n v="225"/>
    <n v="25"/>
    <s v="Не абонент"/>
    <x v="2"/>
    <x v="4"/>
    <s v="351-450"/>
  </r>
  <r>
    <n v="226"/>
    <n v="21"/>
    <s v="Не абонент"/>
    <x v="0"/>
    <x v="0"/>
    <s v="351-450"/>
  </r>
  <r>
    <n v="227"/>
    <n v="21"/>
    <s v="Не абонент"/>
    <x v="0"/>
    <x v="0"/>
    <s v="351-450"/>
  </r>
  <r>
    <n v="228"/>
    <n v="19"/>
    <s v="Не абонент"/>
    <x v="0"/>
    <x v="4"/>
    <s v="550+ рублей"/>
  </r>
  <r>
    <n v="229"/>
    <n v="18"/>
    <s v="Не абонент"/>
    <x v="3"/>
    <x v="2"/>
    <s v="550+ рублей"/>
  </r>
  <r>
    <n v="230"/>
    <n v="19"/>
    <s v="Не абонент"/>
    <x v="1"/>
    <x v="1"/>
    <s v="250-350"/>
  </r>
  <r>
    <n v="231"/>
    <n v="19"/>
    <s v="Не абонент"/>
    <x v="0"/>
    <x v="2"/>
    <s v="250-350"/>
  </r>
  <r>
    <n v="232"/>
    <n v="18"/>
    <s v="Не абонент"/>
    <x v="2"/>
    <x v="2"/>
    <s v="250-350"/>
  </r>
  <r>
    <n v="233"/>
    <n v="25"/>
    <s v="Не абонент"/>
    <x v="1"/>
    <x v="3"/>
    <s v="до 250 рублей"/>
  </r>
  <r>
    <n v="234"/>
    <n v="18"/>
    <s v="Не абонент"/>
    <x v="3"/>
    <x v="2"/>
    <s v="550+ рублей"/>
  </r>
  <r>
    <n v="235"/>
    <n v="18"/>
    <s v="Не абонент"/>
    <x v="3"/>
    <x v="1"/>
    <s v="до 250 рублей"/>
  </r>
  <r>
    <n v="236"/>
    <n v="21"/>
    <s v="Не абонент"/>
    <x v="0"/>
    <x v="4"/>
    <s v="451-550"/>
  </r>
  <r>
    <n v="237"/>
    <n v="21"/>
    <s v="Не абонент"/>
    <x v="3"/>
    <x v="1"/>
    <s v="250-350"/>
  </r>
  <r>
    <n v="238"/>
    <n v="20"/>
    <s v="Не абонент"/>
    <x v="0"/>
    <x v="3"/>
    <s v="550+ рублей"/>
  </r>
  <r>
    <n v="239"/>
    <n v="22"/>
    <s v="Не абонент"/>
    <x v="0"/>
    <x v="1"/>
    <s v="до 250 рублей"/>
  </r>
  <r>
    <n v="240"/>
    <n v="19"/>
    <s v="Не абонент"/>
    <x v="0"/>
    <x v="1"/>
    <s v="до 250 рублей"/>
  </r>
  <r>
    <n v="241"/>
    <n v="19"/>
    <s v="Не абонент"/>
    <x v="0"/>
    <x v="3"/>
    <s v="250-350"/>
  </r>
  <r>
    <n v="242"/>
    <n v="19"/>
    <s v="Не абонент"/>
    <x v="3"/>
    <x v="4"/>
    <s v="250-350"/>
  </r>
  <r>
    <n v="243"/>
    <n v="24"/>
    <s v="Не абонент"/>
    <x v="0"/>
    <x v="2"/>
    <s v="250-350"/>
  </r>
  <r>
    <n v="245"/>
    <n v="22"/>
    <s v="Не абонент"/>
    <x v="0"/>
    <x v="1"/>
    <s v="550+ рублей"/>
  </r>
  <r>
    <n v="246"/>
    <n v="22"/>
    <s v="Не абонент"/>
    <x v="0"/>
    <x v="0"/>
    <s v="351-450"/>
  </r>
  <r>
    <n v="247"/>
    <n v="20"/>
    <s v="Не абонент"/>
    <x v="1"/>
    <x v="0"/>
    <s v="до 250 рублей"/>
  </r>
  <r>
    <n v="248"/>
    <n v="23"/>
    <s v="Не абонент"/>
    <x v="0"/>
    <x v="3"/>
    <s v="250-350"/>
  </r>
  <r>
    <n v="249"/>
    <n v="19"/>
    <s v="Не абонент"/>
    <x v="0"/>
    <x v="3"/>
    <s v="250-350"/>
  </r>
  <r>
    <n v="250"/>
    <n v="21"/>
    <s v="Не абонент"/>
    <x v="3"/>
    <x v="1"/>
    <s v="250-350"/>
  </r>
  <r>
    <n v="251"/>
    <n v="21"/>
    <s v="Не абонент"/>
    <x v="2"/>
    <x v="4"/>
    <s v="до 250 рублей"/>
  </r>
  <r>
    <n v="252"/>
    <n v="19"/>
    <s v="Не абонент"/>
    <x v="2"/>
    <x v="4"/>
    <s v="250-350"/>
  </r>
  <r>
    <n v="253"/>
    <n v="18"/>
    <s v="Не абонент"/>
    <x v="2"/>
    <x v="1"/>
    <s v="250-350"/>
  </r>
  <r>
    <n v="254"/>
    <n v="20"/>
    <s v="Не абонент"/>
    <x v="1"/>
    <x v="1"/>
    <s v="до 250 рублей"/>
  </r>
  <r>
    <n v="255"/>
    <n v="24"/>
    <s v="Не абонент"/>
    <x v="0"/>
    <x v="3"/>
    <s v="351-450"/>
  </r>
  <r>
    <n v="256"/>
    <n v="21"/>
    <s v="Не абонент"/>
    <x v="2"/>
    <x v="3"/>
    <s v="250-350"/>
  </r>
  <r>
    <n v="257"/>
    <n v="21"/>
    <s v="Не абонент"/>
    <x v="0"/>
    <x v="0"/>
    <s v="250-350"/>
  </r>
  <r>
    <n v="258"/>
    <n v="19"/>
    <s v="Не абонент"/>
    <x v="1"/>
    <x v="4"/>
    <s v="250-350"/>
  </r>
  <r>
    <n v="259"/>
    <n v="21"/>
    <s v="Не абонент"/>
    <x v="0"/>
    <x v="1"/>
    <s v="до 250 рублей"/>
  </r>
  <r>
    <n v="260"/>
    <n v="19"/>
    <s v="Не абонент"/>
    <x v="0"/>
    <x v="4"/>
    <s v="до 250 рублей"/>
  </r>
  <r>
    <n v="261"/>
    <n v="18"/>
    <s v="Не абонент"/>
    <x v="3"/>
    <x v="4"/>
    <s v="250-350"/>
  </r>
  <r>
    <n v="262"/>
    <n v="21"/>
    <s v="Не абонент"/>
    <x v="0"/>
    <x v="3"/>
    <s v="250-350"/>
  </r>
  <r>
    <n v="263"/>
    <n v="22"/>
    <s v="Не абонент"/>
    <x v="2"/>
    <x v="0"/>
    <s v="250-350"/>
  </r>
  <r>
    <n v="265"/>
    <n v="23"/>
    <s v="Не абонент"/>
    <x v="2"/>
    <x v="1"/>
    <s v="550+ рублей"/>
  </r>
  <r>
    <n v="220"/>
    <n v="24"/>
    <s v="Не абонент"/>
    <x v="0"/>
    <x v="1"/>
    <s v="250-350"/>
  </r>
  <r>
    <n v="266"/>
    <n v="24"/>
    <s v="Не абонент"/>
    <x v="0"/>
    <x v="3"/>
    <s v="250-350"/>
  </r>
  <r>
    <n v="267"/>
    <n v="22"/>
    <s v="Не абонент"/>
    <x v="0"/>
    <x v="3"/>
    <s v="451-550"/>
  </r>
  <r>
    <n v="268"/>
    <n v="20"/>
    <s v="Не абонент"/>
    <x v="0"/>
    <x v="1"/>
    <s v="550+ рублей"/>
  </r>
  <r>
    <n v="269"/>
    <n v="21"/>
    <s v="Не абонент"/>
    <x v="0"/>
    <x v="1"/>
    <s v="до 250 рублей"/>
  </r>
  <r>
    <n v="270"/>
    <n v="19"/>
    <s v="Не абонент"/>
    <x v="2"/>
    <x v="3"/>
    <s v="250-350"/>
  </r>
  <r>
    <n v="271"/>
    <n v="21"/>
    <s v="Не абонент"/>
    <x v="1"/>
    <x v="1"/>
    <s v="451-550"/>
  </r>
  <r>
    <n v="272"/>
    <n v="25"/>
    <s v="Не абонент"/>
    <x v="1"/>
    <x v="1"/>
    <s v="451-550"/>
  </r>
  <r>
    <n v="273"/>
    <n v="21"/>
    <s v="Не абонент"/>
    <x v="0"/>
    <x v="3"/>
    <s v="550+ рублей"/>
  </r>
  <r>
    <n v="274"/>
    <n v="21"/>
    <s v="Не абонент"/>
    <x v="0"/>
    <x v="2"/>
    <s v="451-550"/>
  </r>
  <r>
    <n v="275"/>
    <n v="21"/>
    <s v="Не абонент"/>
    <x v="0"/>
    <x v="3"/>
    <s v="250-350"/>
  </r>
  <r>
    <n v="276"/>
    <n v="21"/>
    <s v="Не абонент"/>
    <x v="0"/>
    <x v="3"/>
    <s v="451-550"/>
  </r>
  <r>
    <n v="277"/>
    <n v="21"/>
    <s v="Не абонент"/>
    <x v="0"/>
    <x v="3"/>
    <s v="до 250 рублей"/>
  </r>
  <r>
    <n v="278"/>
    <n v="25"/>
    <s v="Не абонент"/>
    <x v="0"/>
    <x v="3"/>
    <s v="550+ рублей"/>
  </r>
  <r>
    <n v="279"/>
    <n v="18"/>
    <s v="Не абонент"/>
    <x v="0"/>
    <x v="4"/>
    <s v="до 250 рублей"/>
  </r>
  <r>
    <n v="280"/>
    <n v="19"/>
    <s v="Не абонент"/>
    <x v="1"/>
    <x v="1"/>
    <s v="250-350"/>
  </r>
  <r>
    <n v="281"/>
    <n v="19"/>
    <s v="Не абонент"/>
    <x v="0"/>
    <x v="1"/>
    <s v="351-450"/>
  </r>
  <r>
    <n v="282"/>
    <n v="20"/>
    <s v="Не абонент"/>
    <x v="0"/>
    <x v="3"/>
    <s v="до 250 рублей"/>
  </r>
  <r>
    <n v="283"/>
    <n v="23"/>
    <s v="Не абонент"/>
    <x v="0"/>
    <x v="2"/>
    <s v="до 250 рублей"/>
  </r>
  <r>
    <n v="284"/>
    <n v="18"/>
    <s v="Не абонент"/>
    <x v="1"/>
    <x v="0"/>
    <s v="250-350"/>
  </r>
  <r>
    <n v="286"/>
    <n v="19"/>
    <s v="Не абонент"/>
    <x v="0"/>
    <x v="3"/>
    <s v="550+ рублей"/>
  </r>
  <r>
    <n v="287"/>
    <n v="18"/>
    <s v="Не абонент"/>
    <x v="0"/>
    <x v="2"/>
    <s v="550+ рублей"/>
  </r>
  <r>
    <n v="288"/>
    <n v="21"/>
    <s v="Не абонент"/>
    <x v="0"/>
    <x v="1"/>
    <s v="до 250 рублей"/>
  </r>
  <r>
    <n v="289"/>
    <n v="24"/>
    <s v="Не абонент"/>
    <x v="1"/>
    <x v="1"/>
    <s v="550+ рублей"/>
  </r>
  <r>
    <n v="290"/>
    <n v="25"/>
    <s v="Не абонент"/>
    <x v="0"/>
    <x v="0"/>
    <s v="250-350"/>
  </r>
  <r>
    <n v="291"/>
    <n v="19"/>
    <s v="Не абонент"/>
    <x v="0"/>
    <x v="2"/>
    <s v="250-350"/>
  </r>
  <r>
    <n v="292"/>
    <n v="19"/>
    <s v="Не абонент"/>
    <x v="0"/>
    <x v="3"/>
    <s v="250-350"/>
  </r>
  <r>
    <n v="293"/>
    <n v="21"/>
    <s v="Не абонент"/>
    <x v="4"/>
    <x v="3"/>
    <s v="до 250 рублей"/>
  </r>
  <r>
    <n v="294"/>
    <n v="22"/>
    <s v="Не абонент"/>
    <x v="4"/>
    <x v="3"/>
    <s v="до 250 рублей"/>
  </r>
  <r>
    <n v="295"/>
    <n v="24"/>
    <s v="Не абонент"/>
    <x v="0"/>
    <x v="2"/>
    <s v="250-350"/>
  </r>
  <r>
    <n v="296"/>
    <n v="19"/>
    <s v="Не абонент"/>
    <x v="0"/>
    <x v="1"/>
    <s v="до 250 рублей"/>
  </r>
  <r>
    <n v="297"/>
    <n v="24"/>
    <s v="Не абонент"/>
    <x v="0"/>
    <x v="2"/>
    <s v="до 250 рублей"/>
  </r>
  <r>
    <n v="298"/>
    <n v="19"/>
    <s v="Не абонент"/>
    <x v="0"/>
    <x v="3"/>
    <s v="351-450"/>
  </r>
  <r>
    <n v="299"/>
    <n v="23"/>
    <s v="Не абонент"/>
    <x v="0"/>
    <x v="1"/>
    <s v="до 250 рублей"/>
  </r>
  <r>
    <n v="300"/>
    <n v="20"/>
    <s v="Не абонент"/>
    <x v="0"/>
    <x v="3"/>
    <s v="250-350"/>
  </r>
  <r>
    <n v="301"/>
    <n v="18"/>
    <s v="Не абонент"/>
    <x v="2"/>
    <x v="1"/>
    <s v="до 250 рублей"/>
  </r>
  <r>
    <n v="302"/>
    <n v="25"/>
    <s v="Не абонент"/>
    <x v="4"/>
    <x v="1"/>
    <s v="250-350"/>
  </r>
  <r>
    <n v="303"/>
    <n v="18"/>
    <s v="Не абонент"/>
    <x v="4"/>
    <x v="1"/>
    <s v="до 250 рублей"/>
  </r>
  <r>
    <n v="304"/>
    <n v="20"/>
    <s v="Не абонент"/>
    <x v="3"/>
    <x v="1"/>
    <s v="250-350"/>
  </r>
  <r>
    <s v="AXOBV991"/>
    <n v="18"/>
    <s v="Абонент"/>
    <x v="1"/>
    <x v="2"/>
    <n v="770"/>
  </r>
  <r>
    <s v="YIWQU824"/>
    <n v="18"/>
    <s v="Абонент"/>
    <x v="0"/>
    <x v="3"/>
    <n v="330"/>
  </r>
  <r>
    <s v="TVVXJ702"/>
    <n v="18"/>
    <s v="Абонент"/>
    <x v="0"/>
    <x v="3"/>
    <n v="330"/>
  </r>
  <r>
    <s v="YIZKW418"/>
    <n v="18"/>
    <s v="Абонент"/>
    <x v="0"/>
    <x v="0"/>
    <n v="220"/>
  </r>
  <r>
    <s v="MXYOM801"/>
    <n v="18"/>
    <s v="Абонент"/>
    <x v="0"/>
    <x v="3"/>
    <n v="330"/>
  </r>
  <r>
    <s v="GVTCR352"/>
    <n v="18"/>
    <s v="Абонент"/>
    <x v="2"/>
    <x v="1"/>
    <n v="440"/>
  </r>
  <r>
    <s v="LAXMN110"/>
    <n v="18"/>
    <s v="Абонент"/>
    <x v="0"/>
    <x v="3"/>
    <n v="330"/>
  </r>
  <r>
    <s v="PUAAG520"/>
    <n v="18"/>
    <s v="Абонент"/>
    <x v="0"/>
    <x v="1"/>
    <n v="440"/>
  </r>
  <r>
    <s v="FBCVN966"/>
    <n v="18"/>
    <s v="Абонент"/>
    <x v="1"/>
    <x v="3"/>
    <n v="550"/>
  </r>
  <r>
    <s v="EMVOF074"/>
    <n v="18"/>
    <s v="Абонент"/>
    <x v="1"/>
    <x v="1"/>
    <n v="550"/>
  </r>
  <r>
    <s v="FRRVI702"/>
    <n v="18"/>
    <s v="Абонент"/>
    <x v="0"/>
    <x v="3"/>
    <n v="550"/>
  </r>
  <r>
    <s v="NRQRT304"/>
    <n v="18"/>
    <s v="Абонент"/>
    <x v="0"/>
    <x v="3"/>
    <n v="330"/>
  </r>
  <r>
    <s v="TPTOR701"/>
    <n v="18"/>
    <s v="Абонент"/>
    <x v="0"/>
    <x v="3"/>
    <n v="330"/>
  </r>
  <r>
    <s v="RRYYM097"/>
    <n v="18"/>
    <s v="Абонент"/>
    <x v="0"/>
    <x v="3"/>
    <n v="330"/>
  </r>
  <r>
    <s v="IGOYU966"/>
    <n v="18"/>
    <s v="Абонент"/>
    <x v="2"/>
    <x v="0"/>
    <n v="440"/>
  </r>
  <r>
    <s v="ZQZTD201"/>
    <n v="18"/>
    <s v="Абонент"/>
    <x v="0"/>
    <x v="0"/>
    <n v="220"/>
  </r>
  <r>
    <s v="SHJYU629"/>
    <n v="18"/>
    <s v="Абонент"/>
    <x v="0"/>
    <x v="4"/>
    <n v="330"/>
  </r>
  <r>
    <s v="FVWTK713"/>
    <n v="18"/>
    <s v="Абонент"/>
    <x v="1"/>
    <x v="4"/>
    <n v="550"/>
  </r>
  <r>
    <s v="VUMJS954"/>
    <n v="18"/>
    <s v="Абонент"/>
    <x v="0"/>
    <x v="3"/>
    <n v="330"/>
  </r>
  <r>
    <s v="TGNME740"/>
    <n v="18"/>
    <s v="Абонент"/>
    <x v="0"/>
    <x v="3"/>
    <n v="330"/>
  </r>
  <r>
    <s v="JSVAN850"/>
    <n v="18"/>
    <s v="Абонент"/>
    <x v="0"/>
    <x v="3"/>
    <n v="330"/>
  </r>
  <r>
    <s v="SJZLW931"/>
    <n v="18"/>
    <s v="Абонент"/>
    <x v="0"/>
    <x v="3"/>
    <n v="330"/>
  </r>
  <r>
    <s v="IPMUO011"/>
    <n v="18"/>
    <s v="Абонент"/>
    <x v="0"/>
    <x v="3"/>
    <n v="330"/>
  </r>
  <r>
    <s v="PTZQU800"/>
    <n v="18"/>
    <s v="Абонент"/>
    <x v="2"/>
    <x v="1"/>
    <n v="440"/>
  </r>
  <r>
    <s v="PMOYT654"/>
    <n v="18"/>
    <s v="Абонент"/>
    <x v="0"/>
    <x v="3"/>
    <n v="330"/>
  </r>
  <r>
    <s v="HDBHD377"/>
    <n v="18"/>
    <s v="Абонент"/>
    <x v="0"/>
    <x v="4"/>
    <n v="440"/>
  </r>
  <r>
    <s v="FZDJJ453"/>
    <n v="18"/>
    <s v="Абонент"/>
    <x v="1"/>
    <x v="3"/>
    <n v="550"/>
  </r>
  <r>
    <s v="ZMVFL343"/>
    <n v="18"/>
    <s v="Абонент"/>
    <x v="3"/>
    <x v="0"/>
    <n v="220"/>
  </r>
  <r>
    <s v="RBMKX235"/>
    <n v="18"/>
    <s v="Абонент"/>
    <x v="0"/>
    <x v="3"/>
    <n v="330"/>
  </r>
  <r>
    <s v="NECUE148"/>
    <n v="18"/>
    <s v="Абонент"/>
    <x v="0"/>
    <x v="3"/>
    <n v="330"/>
  </r>
  <r>
    <s v="YTPJR660"/>
    <n v="18"/>
    <s v="Абонент"/>
    <x v="0"/>
    <x v="0"/>
    <n v="220"/>
  </r>
  <r>
    <s v="URMMH384"/>
    <n v="18"/>
    <s v="Абонент"/>
    <x v="0"/>
    <x v="3"/>
    <n v="330"/>
  </r>
  <r>
    <s v="QMHJL247"/>
    <n v="18"/>
    <s v="Абонент"/>
    <x v="0"/>
    <x v="3"/>
    <n v="330"/>
  </r>
  <r>
    <s v="FZJPC224"/>
    <n v="18"/>
    <s v="Абонент"/>
    <x v="3"/>
    <x v="1"/>
    <n v="550"/>
  </r>
  <r>
    <s v="PZSOJ921"/>
    <n v="18"/>
    <s v="Абонент"/>
    <x v="0"/>
    <x v="3"/>
    <n v="330"/>
  </r>
  <r>
    <s v="BOVIU389"/>
    <n v="18"/>
    <s v="Абонент"/>
    <x v="2"/>
    <x v="1"/>
    <n v="550"/>
  </r>
  <r>
    <s v="EGYFH038"/>
    <n v="18"/>
    <s v="Абонент"/>
    <x v="1"/>
    <x v="1"/>
    <n v="550"/>
  </r>
  <r>
    <s v="IOSSO326"/>
    <n v="18"/>
    <s v="Абонент"/>
    <x v="2"/>
    <x v="1"/>
    <n v="440"/>
  </r>
  <r>
    <s v="JACIM924"/>
    <n v="18"/>
    <s v="Абонент"/>
    <x v="2"/>
    <x v="0"/>
    <n v="440"/>
  </r>
  <r>
    <s v="VEDYI674"/>
    <n v="18"/>
    <s v="Абонент"/>
    <x v="0"/>
    <x v="1"/>
    <n v="330"/>
  </r>
  <r>
    <s v="IEBXH936"/>
    <n v="18"/>
    <s v="Абонент"/>
    <x v="2"/>
    <x v="4"/>
    <n v="440"/>
  </r>
  <r>
    <s v="PTNKC925"/>
    <n v="18"/>
    <s v="Абонент"/>
    <x v="0"/>
    <x v="1"/>
    <n v="440"/>
  </r>
  <r>
    <s v="KYDXL935"/>
    <n v="18"/>
    <s v="Абонент"/>
    <x v="2"/>
    <x v="1"/>
    <n v="440"/>
  </r>
  <r>
    <s v="PIMVN715"/>
    <n v="18"/>
    <s v="Абонент"/>
    <x v="0"/>
    <x v="0"/>
    <n v="440"/>
  </r>
  <r>
    <s v="GOUOF785"/>
    <n v="18"/>
    <s v="Абонент"/>
    <x v="2"/>
    <x v="1"/>
    <n v="550"/>
  </r>
  <r>
    <s v="GQOUP534"/>
    <n v="18"/>
    <s v="Абонент"/>
    <x v="3"/>
    <x v="0"/>
    <n v="550"/>
  </r>
  <r>
    <s v="MMHHC347"/>
    <n v="18"/>
    <s v="Абонент"/>
    <x v="2"/>
    <x v="4"/>
    <n v="440"/>
  </r>
  <r>
    <s v="VQVIS240"/>
    <n v="18"/>
    <s v="Абонент"/>
    <x v="0"/>
    <x v="3"/>
    <n v="330"/>
  </r>
  <r>
    <s v="HDBLI646"/>
    <n v="18"/>
    <s v="Абонент"/>
    <x v="0"/>
    <x v="4"/>
    <n v="440"/>
  </r>
  <r>
    <s v="TZJQT490"/>
    <n v="18"/>
    <s v="Абонент"/>
    <x v="0"/>
    <x v="3"/>
    <n v="330"/>
  </r>
  <r>
    <s v="IEGGD858"/>
    <n v="18"/>
    <s v="Абонент"/>
    <x v="2"/>
    <x v="0"/>
    <n v="440"/>
  </r>
  <r>
    <s v="RBXIR480"/>
    <n v="18"/>
    <s v="Абонент"/>
    <x v="0"/>
    <x v="3"/>
    <n v="330"/>
  </r>
  <r>
    <s v="NFLJR990"/>
    <n v="18"/>
    <s v="Абонент"/>
    <x v="0"/>
    <x v="4"/>
    <n v="440"/>
  </r>
  <r>
    <s v="FVLGG345"/>
    <n v="18"/>
    <s v="Абонент"/>
    <x v="1"/>
    <x v="4"/>
    <n v="550"/>
  </r>
  <r>
    <s v="KLCQU151"/>
    <n v="18"/>
    <s v="Абонент"/>
    <x v="2"/>
    <x v="0"/>
    <n v="440"/>
  </r>
  <r>
    <s v="EJMKZ012"/>
    <n v="18"/>
    <s v="Абонент"/>
    <x v="3"/>
    <x v="3"/>
    <n v="550"/>
  </r>
  <r>
    <s v="TTKKY674"/>
    <n v="18"/>
    <s v="Абонент"/>
    <x v="0"/>
    <x v="3"/>
    <n v="330"/>
  </r>
  <r>
    <s v="NEYAE565"/>
    <n v="18"/>
    <s v="Абонент"/>
    <x v="0"/>
    <x v="1"/>
    <n v="440"/>
  </r>
  <r>
    <s v="UJBHG100"/>
    <n v="18"/>
    <s v="Абонент"/>
    <x v="0"/>
    <x v="3"/>
    <n v="330"/>
  </r>
  <r>
    <s v="DHBTY221"/>
    <n v="18"/>
    <s v="Абонент"/>
    <x v="2"/>
    <x v="1"/>
    <n v="550"/>
  </r>
  <r>
    <s v="RMGFC991"/>
    <n v="18"/>
    <s v="Абонент"/>
    <x v="0"/>
    <x v="4"/>
    <n v="330"/>
  </r>
  <r>
    <s v="YOWRC851"/>
    <n v="18"/>
    <s v="Абонент"/>
    <x v="3"/>
    <x v="0"/>
    <n v="220"/>
  </r>
  <r>
    <s v="YKKBN126"/>
    <n v="18"/>
    <s v="Абонент"/>
    <x v="0"/>
    <x v="0"/>
    <n v="220"/>
  </r>
  <r>
    <s v="YMARB668"/>
    <n v="18"/>
    <s v="Абонент"/>
    <x v="0"/>
    <x v="0"/>
    <n v="220"/>
  </r>
  <r>
    <s v="ZLDMD722"/>
    <n v="18"/>
    <s v="Абонент"/>
    <x v="3"/>
    <x v="0"/>
    <n v="220"/>
  </r>
  <r>
    <s v="UBFUL455"/>
    <n v="18"/>
    <s v="Абонент"/>
    <x v="0"/>
    <x v="3"/>
    <n v="330"/>
  </r>
  <r>
    <s v="PWNWP932"/>
    <n v="18"/>
    <s v="Абонент"/>
    <x v="0"/>
    <x v="3"/>
    <n v="330"/>
  </r>
  <r>
    <s v="PKTXX788"/>
    <n v="18"/>
    <s v="Абонент"/>
    <x v="0"/>
    <x v="1"/>
    <n v="440"/>
  </r>
  <r>
    <s v="QBSQA163"/>
    <n v="18"/>
    <s v="Абонент"/>
    <x v="0"/>
    <x v="1"/>
    <n v="330"/>
  </r>
  <r>
    <s v="UYKWD395"/>
    <n v="18"/>
    <s v="Абонент"/>
    <x v="0"/>
    <x v="1"/>
    <n v="330"/>
  </r>
  <r>
    <s v="VFFFI920"/>
    <n v="18"/>
    <s v="Абонент"/>
    <x v="0"/>
    <x v="1"/>
    <n v="330"/>
  </r>
  <r>
    <s v="USETY757"/>
    <n v="18"/>
    <s v="Абонент"/>
    <x v="0"/>
    <x v="3"/>
    <n v="330"/>
  </r>
  <r>
    <s v="SMPPV971"/>
    <n v="18"/>
    <s v="Абонент"/>
    <x v="0"/>
    <x v="0"/>
    <n v="330"/>
  </r>
  <r>
    <s v="JJKCE344"/>
    <n v="18"/>
    <s v="Абонент"/>
    <x v="2"/>
    <x v="1"/>
    <n v="440"/>
  </r>
  <r>
    <s v="JQHKP483"/>
    <n v="18"/>
    <s v="Абонент"/>
    <x v="2"/>
    <x v="1"/>
    <n v="440"/>
  </r>
  <r>
    <s v="QQXJM516"/>
    <n v="18"/>
    <s v="Абонент"/>
    <x v="0"/>
    <x v="3"/>
    <n v="330"/>
  </r>
  <r>
    <s v="YGOSP005"/>
    <n v="18"/>
    <s v="Абонент"/>
    <x v="3"/>
    <x v="0"/>
    <n v="220"/>
  </r>
  <r>
    <s v="TVPIN002"/>
    <n v="18"/>
    <s v="Абонент"/>
    <x v="0"/>
    <x v="3"/>
    <n v="330"/>
  </r>
  <r>
    <s v="KGNCA896"/>
    <n v="18"/>
    <s v="Абонент"/>
    <x v="2"/>
    <x v="1"/>
    <n v="440"/>
  </r>
  <r>
    <s v="LQHTZ771"/>
    <n v="18"/>
    <s v="Абонент"/>
    <x v="0"/>
    <x v="1"/>
    <n v="440"/>
  </r>
  <r>
    <s v="SFYXJ970"/>
    <n v="18"/>
    <s v="Абонент"/>
    <x v="0"/>
    <x v="1"/>
    <n v="330"/>
  </r>
  <r>
    <s v="AYZTL391"/>
    <n v="18"/>
    <s v="Абонент"/>
    <x v="4"/>
    <x v="2"/>
    <n v="770"/>
  </r>
  <r>
    <s v="ALDCJ504"/>
    <n v="18"/>
    <s v="Абонент"/>
    <x v="2"/>
    <x v="2"/>
    <n v="770"/>
  </r>
  <r>
    <s v="XGHDE064"/>
    <n v="18"/>
    <s v="Абонент"/>
    <x v="0"/>
    <x v="3"/>
    <n v="330"/>
  </r>
  <r>
    <s v="FOPWQ678"/>
    <n v="18"/>
    <s v="Абонент"/>
    <x v="0"/>
    <x v="3"/>
    <n v="550"/>
  </r>
  <r>
    <s v="GDVFK555"/>
    <n v="18"/>
    <s v="Абонент"/>
    <x v="1"/>
    <x v="1"/>
    <n v="550"/>
  </r>
  <r>
    <s v="HBLGZ660"/>
    <n v="18"/>
    <s v="Абонент"/>
    <x v="0"/>
    <x v="1"/>
    <n v="440"/>
  </r>
  <r>
    <s v="INBWM285"/>
    <n v="18"/>
    <s v="Абонент"/>
    <x v="3"/>
    <x v="1"/>
    <n v="440"/>
  </r>
  <r>
    <s v="EYSMM151"/>
    <n v="18"/>
    <s v="Абонент"/>
    <x v="3"/>
    <x v="3"/>
    <n v="550"/>
  </r>
  <r>
    <s v="UXWYV589"/>
    <n v="18"/>
    <s v="Абонент"/>
    <x v="0"/>
    <x v="3"/>
    <n v="330"/>
  </r>
  <r>
    <s v="SFNVR683"/>
    <n v="18"/>
    <s v="Абонент"/>
    <x v="0"/>
    <x v="1"/>
    <n v="330"/>
  </r>
  <r>
    <s v="OAAFN516"/>
    <n v="18"/>
    <s v="Абонент"/>
    <x v="0"/>
    <x v="4"/>
    <n v="440"/>
  </r>
  <r>
    <s v="JSCFY345"/>
    <n v="18"/>
    <s v="Абонент"/>
    <x v="3"/>
    <x v="0"/>
    <n v="440"/>
  </r>
  <r>
    <s v="QKDGB784"/>
    <n v="18"/>
    <s v="Абонент"/>
    <x v="0"/>
    <x v="3"/>
    <n v="330"/>
  </r>
  <r>
    <s v="KCHOU287"/>
    <n v="18"/>
    <s v="Абонент"/>
    <x v="0"/>
    <x v="1"/>
    <n v="440"/>
  </r>
  <r>
    <s v="VNGAJ106"/>
    <n v="18"/>
    <s v="Абонент"/>
    <x v="0"/>
    <x v="1"/>
    <n v="330"/>
  </r>
  <r>
    <s v="DSNDT618"/>
    <n v="19"/>
    <s v="Абонент"/>
    <x v="1"/>
    <x v="3"/>
    <n v="550"/>
  </r>
  <r>
    <s v="FCZGV753"/>
    <n v="19"/>
    <s v="Абонент"/>
    <x v="0"/>
    <x v="3"/>
    <n v="550"/>
  </r>
  <r>
    <s v="PXBHX507"/>
    <n v="19"/>
    <s v="Абонент"/>
    <x v="0"/>
    <x v="3"/>
    <n v="330"/>
  </r>
  <r>
    <s v="JNHEP291"/>
    <n v="19"/>
    <s v="Абонент"/>
    <x v="0"/>
    <x v="1"/>
    <n v="440"/>
  </r>
  <r>
    <s v="ATIDW415"/>
    <n v="19"/>
    <s v="Абонент"/>
    <x v="4"/>
    <x v="4"/>
    <n v="770"/>
  </r>
  <r>
    <s v="WRNVS238"/>
    <n v="19"/>
    <s v="Абонент"/>
    <x v="0"/>
    <x v="0"/>
    <n v="330"/>
  </r>
  <r>
    <s v="PFOMN980"/>
    <n v="19"/>
    <s v="Абонент"/>
    <x v="2"/>
    <x v="1"/>
    <n v="440"/>
  </r>
  <r>
    <s v="PZWWM566"/>
    <n v="19"/>
    <s v="Абонент"/>
    <x v="0"/>
    <x v="3"/>
    <n v="330"/>
  </r>
  <r>
    <s v="QRYZE299"/>
    <n v="19"/>
    <s v="Абонент"/>
    <x v="0"/>
    <x v="1"/>
    <n v="330"/>
  </r>
  <r>
    <s v="GSFAO265"/>
    <n v="19"/>
    <s v="Абонент"/>
    <x v="1"/>
    <x v="4"/>
    <n v="550"/>
  </r>
  <r>
    <s v="XMCLO271"/>
    <n v="19"/>
    <s v="Абонент"/>
    <x v="0"/>
    <x v="0"/>
    <n v="220"/>
  </r>
  <r>
    <s v="TICRG753"/>
    <n v="19"/>
    <s v="Абонент"/>
    <x v="0"/>
    <x v="3"/>
    <n v="330"/>
  </r>
  <r>
    <s v="HDIPI156"/>
    <n v="19"/>
    <s v="Абонент"/>
    <x v="2"/>
    <x v="4"/>
    <n v="440"/>
  </r>
  <r>
    <s v="TELUJ520"/>
    <n v="19"/>
    <s v="Абонент"/>
    <x v="0"/>
    <x v="3"/>
    <n v="330"/>
  </r>
  <r>
    <s v="JSRJV069"/>
    <n v="19"/>
    <s v="Абонент"/>
    <x v="2"/>
    <x v="1"/>
    <n v="440"/>
  </r>
  <r>
    <s v="SZMCX684"/>
    <n v="19"/>
    <s v="Абонент"/>
    <x v="0"/>
    <x v="3"/>
    <n v="330"/>
  </r>
  <r>
    <s v="MGLHZ725"/>
    <n v="19"/>
    <s v="Абонент"/>
    <x v="2"/>
    <x v="1"/>
    <n v="440"/>
  </r>
  <r>
    <s v="HIRDP415"/>
    <n v="19"/>
    <s v="Абонент"/>
    <x v="3"/>
    <x v="0"/>
    <n v="440"/>
  </r>
  <r>
    <s v="KKPST594"/>
    <n v="19"/>
    <s v="Абонент"/>
    <x v="0"/>
    <x v="0"/>
    <n v="440"/>
  </r>
  <r>
    <s v="MUANJ436"/>
    <n v="19"/>
    <s v="Абонент"/>
    <x v="2"/>
    <x v="1"/>
    <n v="440"/>
  </r>
  <r>
    <s v="THILU070"/>
    <n v="19"/>
    <s v="Абонент"/>
    <x v="0"/>
    <x v="3"/>
    <n v="330"/>
  </r>
  <r>
    <s v="ZWLQX145"/>
    <n v="19"/>
    <s v="Абонент"/>
    <x v="3"/>
    <x v="0"/>
    <n v="220"/>
  </r>
  <r>
    <s v="FUYSN220"/>
    <n v="19"/>
    <s v="Абонент"/>
    <x v="2"/>
    <x v="4"/>
    <n v="550"/>
  </r>
  <r>
    <s v="XRLCI973"/>
    <n v="19"/>
    <s v="Абонент"/>
    <x v="3"/>
    <x v="0"/>
    <n v="220"/>
  </r>
  <r>
    <s v="SNGGI477"/>
    <n v="19"/>
    <s v="Абонент"/>
    <x v="0"/>
    <x v="4"/>
    <n v="330"/>
  </r>
  <r>
    <s v="TOQEP520"/>
    <n v="19"/>
    <s v="Абонент"/>
    <x v="0"/>
    <x v="3"/>
    <n v="330"/>
  </r>
  <r>
    <s v="KNLEK806"/>
    <n v="19"/>
    <s v="Абонент"/>
    <x v="0"/>
    <x v="1"/>
    <n v="440"/>
  </r>
  <r>
    <s v="MSJZL467"/>
    <n v="19"/>
    <s v="Абонент"/>
    <x v="3"/>
    <x v="1"/>
    <n v="440"/>
  </r>
  <r>
    <s v="RWAAC859"/>
    <n v="19"/>
    <s v="Абонент"/>
    <x v="0"/>
    <x v="3"/>
    <n v="330"/>
  </r>
  <r>
    <s v="PBUSP405"/>
    <n v="19"/>
    <s v="Абонент"/>
    <x v="2"/>
    <x v="0"/>
    <n v="440"/>
  </r>
  <r>
    <s v="RVKKJ559"/>
    <n v="19"/>
    <s v="Абонент"/>
    <x v="0"/>
    <x v="0"/>
    <n v="330"/>
  </r>
  <r>
    <s v="ICHHW652"/>
    <n v="19"/>
    <s v="Абонент"/>
    <x v="3"/>
    <x v="1"/>
    <n v="440"/>
  </r>
  <r>
    <s v="OQUEX618"/>
    <n v="19"/>
    <s v="Абонент"/>
    <x v="1"/>
    <x v="1"/>
    <n v="440"/>
  </r>
  <r>
    <s v="MHFXK165"/>
    <n v="19"/>
    <s v="Абонент"/>
    <x v="0"/>
    <x v="1"/>
    <n v="440"/>
  </r>
  <r>
    <s v="JGZCT904"/>
    <n v="19"/>
    <s v="Абонент"/>
    <x v="3"/>
    <x v="4"/>
    <n v="440"/>
  </r>
  <r>
    <s v="DADDV778"/>
    <n v="19"/>
    <s v="Абонент"/>
    <x v="3"/>
    <x v="1"/>
    <n v="550"/>
  </r>
  <r>
    <s v="KSFAF369"/>
    <n v="19"/>
    <s v="Абонент"/>
    <x v="2"/>
    <x v="1"/>
    <n v="440"/>
  </r>
  <r>
    <s v="LINNV430"/>
    <n v="19"/>
    <s v="Абонент"/>
    <x v="2"/>
    <x v="4"/>
    <n v="440"/>
  </r>
  <r>
    <s v="EGMIV831"/>
    <n v="19"/>
    <s v="Абонент"/>
    <x v="1"/>
    <x v="1"/>
    <n v="550"/>
  </r>
  <r>
    <s v="ITIWE433"/>
    <n v="19"/>
    <s v="Абонент"/>
    <x v="2"/>
    <x v="1"/>
    <n v="440"/>
  </r>
  <r>
    <s v="HHVAM674"/>
    <n v="19"/>
    <s v="Абонент"/>
    <x v="0"/>
    <x v="4"/>
    <n v="440"/>
  </r>
  <r>
    <s v="DISTN462"/>
    <n v="19"/>
    <s v="Абонент"/>
    <x v="3"/>
    <x v="1"/>
    <n v="550"/>
  </r>
  <r>
    <s v="GUISI205"/>
    <n v="19"/>
    <s v="Абонент"/>
    <x v="2"/>
    <x v="0"/>
    <n v="440"/>
  </r>
  <r>
    <s v="AKMKT444"/>
    <n v="19"/>
    <s v="Абонент"/>
    <x v="4"/>
    <x v="0"/>
    <n v="770"/>
  </r>
  <r>
    <s v="QICOZ415"/>
    <n v="19"/>
    <s v="Абонент"/>
    <x v="0"/>
    <x v="3"/>
    <n v="330"/>
  </r>
  <r>
    <s v="CPPQZ624"/>
    <n v="19"/>
    <s v="Абонент"/>
    <x v="1"/>
    <x v="1"/>
    <n v="550"/>
  </r>
  <r>
    <s v="OQKDN513"/>
    <n v="19"/>
    <s v="Абонент"/>
    <x v="0"/>
    <x v="4"/>
    <n v="440"/>
  </r>
  <r>
    <s v="CZQCE560"/>
    <n v="19"/>
    <s v="Абонент"/>
    <x v="2"/>
    <x v="3"/>
    <n v="550"/>
  </r>
  <r>
    <s v="BUCEQ181"/>
    <n v="19"/>
    <s v="Абонент"/>
    <x v="1"/>
    <x v="0"/>
    <n v="550"/>
  </r>
  <r>
    <s v="LQFRC033"/>
    <n v="19"/>
    <s v="Абонент"/>
    <x v="0"/>
    <x v="1"/>
    <n v="440"/>
  </r>
  <r>
    <s v="ZZPQV582"/>
    <n v="19"/>
    <s v="Абонент"/>
    <x v="0"/>
    <x v="3"/>
    <n v="330"/>
  </r>
  <r>
    <s v="PXKKL584"/>
    <n v="19"/>
    <s v="Абонент"/>
    <x v="3"/>
    <x v="1"/>
    <n v="440"/>
  </r>
  <r>
    <s v="EKKIM876"/>
    <n v="19"/>
    <s v="Абонент"/>
    <x v="1"/>
    <x v="1"/>
    <n v="550"/>
  </r>
  <r>
    <s v="DGSYQ148"/>
    <n v="19"/>
    <s v="Абонент"/>
    <x v="2"/>
    <x v="3"/>
    <n v="550"/>
  </r>
  <r>
    <s v="UMKTB834"/>
    <n v="19"/>
    <s v="Абонент"/>
    <x v="0"/>
    <x v="3"/>
    <n v="330"/>
  </r>
  <r>
    <s v="NNGNZ263"/>
    <n v="19"/>
    <s v="Абонент"/>
    <x v="0"/>
    <x v="4"/>
    <n v="440"/>
  </r>
  <r>
    <s v="ULWCM384"/>
    <n v="19"/>
    <s v="Абонент"/>
    <x v="0"/>
    <x v="1"/>
    <n v="330"/>
  </r>
  <r>
    <s v="YSAPZ145"/>
    <n v="19"/>
    <s v="Абонент"/>
    <x v="0"/>
    <x v="3"/>
    <n v="330"/>
  </r>
  <r>
    <s v="MVFEP234"/>
    <n v="19"/>
    <s v="Абонент"/>
    <x v="3"/>
    <x v="1"/>
    <n v="440"/>
  </r>
  <r>
    <s v="NTMAS076"/>
    <n v="19"/>
    <s v="Абонент"/>
    <x v="0"/>
    <x v="1"/>
    <n v="440"/>
  </r>
  <r>
    <s v="IPLZQ058"/>
    <n v="19"/>
    <s v="Абонент"/>
    <x v="3"/>
    <x v="1"/>
    <n v="440"/>
  </r>
  <r>
    <s v="YRQNX002"/>
    <n v="19"/>
    <s v="Абонент"/>
    <x v="0"/>
    <x v="0"/>
    <n v="220"/>
  </r>
  <r>
    <s v="RCUYF467"/>
    <n v="19"/>
    <s v="Абонент"/>
    <x v="0"/>
    <x v="3"/>
    <n v="330"/>
  </r>
  <r>
    <s v="YMOGY992"/>
    <n v="19"/>
    <s v="Абонент"/>
    <x v="3"/>
    <x v="0"/>
    <n v="220"/>
  </r>
  <r>
    <s v="GPRRY188"/>
    <n v="19"/>
    <s v="Абонент"/>
    <x v="3"/>
    <x v="1"/>
    <n v="550"/>
  </r>
  <r>
    <s v="WAGFF004"/>
    <n v="19"/>
    <s v="Абонент"/>
    <x v="0"/>
    <x v="4"/>
    <n v="330"/>
  </r>
  <r>
    <s v="OLCPI268"/>
    <n v="19"/>
    <s v="Абонент"/>
    <x v="3"/>
    <x v="4"/>
    <n v="440"/>
  </r>
  <r>
    <s v="WAIUD477"/>
    <n v="19"/>
    <s v="Абонент"/>
    <x v="0"/>
    <x v="4"/>
    <n v="330"/>
  </r>
  <r>
    <s v="IAIOW301"/>
    <n v="19"/>
    <s v="Абонент"/>
    <x v="0"/>
    <x v="4"/>
    <n v="440"/>
  </r>
  <r>
    <s v="OWKRP825"/>
    <n v="19"/>
    <s v="Абонент"/>
    <x v="2"/>
    <x v="0"/>
    <n v="440"/>
  </r>
  <r>
    <s v="WXLZO926"/>
    <n v="19"/>
    <s v="Абонент"/>
    <x v="0"/>
    <x v="3"/>
    <n v="330"/>
  </r>
  <r>
    <s v="SFCNH265"/>
    <n v="19"/>
    <s v="Абонент"/>
    <x v="0"/>
    <x v="4"/>
    <n v="330"/>
  </r>
  <r>
    <s v="YOMHZ909"/>
    <n v="19"/>
    <s v="Абонент"/>
    <x v="0"/>
    <x v="0"/>
    <n v="220"/>
  </r>
  <r>
    <s v="ERXDA073"/>
    <n v="19"/>
    <s v="Абонент"/>
    <x v="0"/>
    <x v="1"/>
    <n v="550"/>
  </r>
  <r>
    <s v="MRHCP062"/>
    <n v="19"/>
    <s v="Абонент"/>
    <x v="2"/>
    <x v="1"/>
    <n v="440"/>
  </r>
  <r>
    <s v="EKSRY956"/>
    <n v="19"/>
    <s v="Абонент"/>
    <x v="2"/>
    <x v="1"/>
    <n v="550"/>
  </r>
  <r>
    <s v="SZLTP487"/>
    <n v="19"/>
    <s v="Абонент"/>
    <x v="0"/>
    <x v="3"/>
    <n v="330"/>
  </r>
  <r>
    <s v="GVKFT024"/>
    <n v="19"/>
    <s v="Абонент"/>
    <x v="3"/>
    <x v="1"/>
    <n v="440"/>
  </r>
  <r>
    <s v="TXIFX516"/>
    <n v="19"/>
    <s v="Абонент"/>
    <x v="0"/>
    <x v="3"/>
    <n v="330"/>
  </r>
  <r>
    <s v="XWNHQ351"/>
    <n v="19"/>
    <s v="Абонент"/>
    <x v="3"/>
    <x v="0"/>
    <n v="220"/>
  </r>
  <r>
    <s v="IQIKW240"/>
    <n v="19"/>
    <s v="Абонент"/>
    <x v="0"/>
    <x v="1"/>
    <n v="440"/>
  </r>
  <r>
    <s v="VYUKQ976"/>
    <n v="19"/>
    <s v="Абонент"/>
    <x v="0"/>
    <x v="3"/>
    <n v="330"/>
  </r>
  <r>
    <s v="YAFHS464"/>
    <n v="19"/>
    <s v="Абонент"/>
    <x v="0"/>
    <x v="0"/>
    <n v="220"/>
  </r>
  <r>
    <s v="GVRFK909"/>
    <n v="19"/>
    <s v="Абонент"/>
    <x v="3"/>
    <x v="0"/>
    <n v="440"/>
  </r>
  <r>
    <s v="WXDVJ468"/>
    <n v="19"/>
    <s v="Абонент"/>
    <x v="0"/>
    <x v="1"/>
    <n v="330"/>
  </r>
  <r>
    <s v="YUVBT903"/>
    <n v="19"/>
    <s v="Абонент"/>
    <x v="0"/>
    <x v="3"/>
    <n v="330"/>
  </r>
  <r>
    <s v="IHGJB494"/>
    <n v="19"/>
    <s v="Абонент"/>
    <x v="1"/>
    <x v="1"/>
    <n v="440"/>
  </r>
  <r>
    <s v="ACDMF101"/>
    <n v="19"/>
    <s v="Абонент"/>
    <x v="4"/>
    <x v="1"/>
    <n v="770"/>
  </r>
  <r>
    <s v="IZOHO374"/>
    <n v="19"/>
    <s v="Абонент"/>
    <x v="1"/>
    <x v="1"/>
    <n v="440"/>
  </r>
  <r>
    <s v="GQCYX781"/>
    <n v="19"/>
    <s v="Абонент"/>
    <x v="2"/>
    <x v="1"/>
    <n v="550"/>
  </r>
  <r>
    <s v="CFHEZ921"/>
    <n v="19"/>
    <s v="Абонент"/>
    <x v="3"/>
    <x v="1"/>
    <n v="550"/>
  </r>
  <r>
    <s v="FWINY235"/>
    <n v="19"/>
    <s v="Абонент"/>
    <x v="0"/>
    <x v="4"/>
    <n v="550"/>
  </r>
  <r>
    <s v="UBKCW126"/>
    <n v="19"/>
    <s v="Абонент"/>
    <x v="0"/>
    <x v="3"/>
    <n v="330"/>
  </r>
  <r>
    <s v="TIZJQ306"/>
    <n v="19"/>
    <s v="Абонент"/>
    <x v="0"/>
    <x v="3"/>
    <n v="330"/>
  </r>
  <r>
    <s v="VBLGV698"/>
    <n v="19"/>
    <s v="Абонент"/>
    <x v="0"/>
    <x v="3"/>
    <n v="330"/>
  </r>
  <r>
    <s v="ADLER875"/>
    <n v="19"/>
    <s v="Абонент"/>
    <x v="4"/>
    <x v="2"/>
    <n v="770"/>
  </r>
  <r>
    <s v="VNSDX088"/>
    <n v="19"/>
    <s v="Абонент"/>
    <x v="0"/>
    <x v="1"/>
    <n v="330"/>
  </r>
  <r>
    <s v="CCFLW070"/>
    <n v="19"/>
    <s v="Абонент"/>
    <x v="0"/>
    <x v="1"/>
    <n v="550"/>
  </r>
  <r>
    <s v="DRGYS813"/>
    <n v="19"/>
    <s v="Абонент"/>
    <x v="2"/>
    <x v="4"/>
    <n v="550"/>
  </r>
  <r>
    <s v="FCYKZ583"/>
    <n v="19"/>
    <s v="Абонент"/>
    <x v="1"/>
    <x v="3"/>
    <n v="550"/>
  </r>
  <r>
    <s v="JHNLG723"/>
    <n v="19"/>
    <s v="Абонент"/>
    <x v="0"/>
    <x v="1"/>
    <n v="440"/>
  </r>
  <r>
    <s v="ZBGIE949"/>
    <n v="19"/>
    <s v="Абонент"/>
    <x v="0"/>
    <x v="3"/>
    <n v="330"/>
  </r>
  <r>
    <s v="UKGJY948"/>
    <n v="19"/>
    <s v="Абонент"/>
    <x v="0"/>
    <x v="3"/>
    <n v="330"/>
  </r>
  <r>
    <s v="XKHYH141"/>
    <n v="19"/>
    <s v="Абонент"/>
    <x v="0"/>
    <x v="3"/>
    <n v="330"/>
  </r>
  <r>
    <s v="FIUAG396"/>
    <n v="19"/>
    <s v="Абонент"/>
    <x v="1"/>
    <x v="1"/>
    <n v="550"/>
  </r>
  <r>
    <s v="UMCNB407"/>
    <n v="19"/>
    <s v="Абонент"/>
    <x v="0"/>
    <x v="0"/>
    <n v="330"/>
  </r>
  <r>
    <s v="QSDJL761"/>
    <n v="19"/>
    <s v="Абонент"/>
    <x v="0"/>
    <x v="3"/>
    <n v="330"/>
  </r>
  <r>
    <s v="WVDWL737"/>
    <n v="20"/>
    <s v="Абонент"/>
    <x v="0"/>
    <x v="1"/>
    <n v="330"/>
  </r>
  <r>
    <s v="YTTAQ900"/>
    <n v="20"/>
    <s v="Абонент"/>
    <x v="0"/>
    <x v="3"/>
    <n v="330"/>
  </r>
  <r>
    <s v="AVUVM258"/>
    <n v="20"/>
    <s v="Абонент"/>
    <x v="1"/>
    <x v="4"/>
    <n v="770"/>
  </r>
  <r>
    <s v="WGFZY391"/>
    <n v="20"/>
    <s v="Абонент"/>
    <x v="0"/>
    <x v="4"/>
    <n v="330"/>
  </r>
  <r>
    <s v="SHOVA695"/>
    <n v="20"/>
    <s v="Абонент"/>
    <x v="0"/>
    <x v="0"/>
    <n v="330"/>
  </r>
  <r>
    <s v="OUXJC375"/>
    <n v="20"/>
    <s v="Абонент"/>
    <x v="2"/>
    <x v="1"/>
    <n v="440"/>
  </r>
  <r>
    <s v="SNXGR641"/>
    <n v="20"/>
    <s v="Абонент"/>
    <x v="0"/>
    <x v="4"/>
    <n v="330"/>
  </r>
  <r>
    <s v="XIEWO391"/>
    <n v="20"/>
    <s v="Абонент"/>
    <x v="0"/>
    <x v="1"/>
    <n v="330"/>
  </r>
  <r>
    <s v="CXCMI742"/>
    <n v="20"/>
    <s v="Абонент"/>
    <x v="1"/>
    <x v="3"/>
    <n v="550"/>
  </r>
  <r>
    <s v="SBIHL559"/>
    <n v="20"/>
    <s v="Абонент"/>
    <x v="0"/>
    <x v="0"/>
    <n v="330"/>
  </r>
  <r>
    <s v="UBLND282"/>
    <n v="20"/>
    <s v="Абонент"/>
    <x v="0"/>
    <x v="3"/>
    <n v="330"/>
  </r>
  <r>
    <s v="ROXTK731"/>
    <n v="20"/>
    <s v="Абонент"/>
    <x v="0"/>
    <x v="1"/>
    <n v="330"/>
  </r>
  <r>
    <s v="KSULN264"/>
    <n v="20"/>
    <s v="Абонент"/>
    <x v="1"/>
    <x v="1"/>
    <n v="440"/>
  </r>
  <r>
    <s v="QLOQI191"/>
    <n v="20"/>
    <s v="Абонент"/>
    <x v="0"/>
    <x v="3"/>
    <n v="330"/>
  </r>
  <r>
    <s v="JVVVG595"/>
    <n v="20"/>
    <s v="Абонент"/>
    <x v="3"/>
    <x v="4"/>
    <n v="440"/>
  </r>
  <r>
    <s v="CYFXC925"/>
    <n v="20"/>
    <s v="Абонент"/>
    <x v="2"/>
    <x v="3"/>
    <n v="550"/>
  </r>
  <r>
    <s v="ZDGGR542"/>
    <n v="20"/>
    <s v="Абонент"/>
    <x v="0"/>
    <x v="3"/>
    <n v="330"/>
  </r>
  <r>
    <s v="CJKLC154"/>
    <n v="20"/>
    <s v="Абонент"/>
    <x v="1"/>
    <x v="1"/>
    <n v="550"/>
  </r>
  <r>
    <s v="REAMI346"/>
    <n v="20"/>
    <s v="Абонент"/>
    <x v="0"/>
    <x v="4"/>
    <n v="330"/>
  </r>
  <r>
    <s v="FZYHE293"/>
    <n v="20"/>
    <s v="Абонент"/>
    <x v="1"/>
    <x v="0"/>
    <n v="550"/>
  </r>
  <r>
    <s v="RLZBR544"/>
    <n v="20"/>
    <s v="Абонент"/>
    <x v="0"/>
    <x v="3"/>
    <n v="330"/>
  </r>
  <r>
    <s v="OXHHP087"/>
    <n v="20"/>
    <s v="Абонент"/>
    <x v="3"/>
    <x v="4"/>
    <n v="440"/>
  </r>
  <r>
    <s v="ZBOIT251"/>
    <n v="20"/>
    <s v="Абонент"/>
    <x v="0"/>
    <x v="1"/>
    <n v="330"/>
  </r>
  <r>
    <s v="DFYAX776"/>
    <n v="20"/>
    <s v="Абонент"/>
    <x v="3"/>
    <x v="0"/>
    <n v="550"/>
  </r>
  <r>
    <s v="MRHCV388"/>
    <n v="20"/>
    <s v="Абонент"/>
    <x v="3"/>
    <x v="4"/>
    <n v="440"/>
  </r>
  <r>
    <s v="EPKWC871"/>
    <n v="20"/>
    <s v="Абонент"/>
    <x v="2"/>
    <x v="1"/>
    <n v="550"/>
  </r>
  <r>
    <s v="JQLLZ435"/>
    <n v="20"/>
    <s v="Абонент"/>
    <x v="3"/>
    <x v="4"/>
    <n v="440"/>
  </r>
  <r>
    <s v="MABNL298"/>
    <n v="20"/>
    <s v="Абонент"/>
    <x v="3"/>
    <x v="1"/>
    <n v="440"/>
  </r>
  <r>
    <s v="SXWZU923"/>
    <n v="20"/>
    <s v="Абонент"/>
    <x v="0"/>
    <x v="3"/>
    <n v="330"/>
  </r>
  <r>
    <s v="MXDIU505"/>
    <n v="20"/>
    <s v="Абонент"/>
    <x v="0"/>
    <x v="4"/>
    <n v="440"/>
  </r>
  <r>
    <s v="IAYUZ841"/>
    <n v="20"/>
    <s v="Абонент"/>
    <x v="2"/>
    <x v="1"/>
    <n v="440"/>
  </r>
  <r>
    <s v="MVTIS736"/>
    <n v="20"/>
    <s v="Абонент"/>
    <x v="2"/>
    <x v="1"/>
    <n v="440"/>
  </r>
  <r>
    <s v="RJFTK460"/>
    <n v="20"/>
    <s v="Абонент"/>
    <x v="0"/>
    <x v="0"/>
    <n v="330"/>
  </r>
  <r>
    <s v="BHRFO853"/>
    <n v="20"/>
    <s v="Абонент"/>
    <x v="2"/>
    <x v="1"/>
    <n v="770"/>
  </r>
  <r>
    <s v="OXVNT219"/>
    <n v="20"/>
    <s v="Абонент"/>
    <x v="0"/>
    <x v="1"/>
    <n v="440"/>
  </r>
  <r>
    <s v="RLFQQ803"/>
    <n v="20"/>
    <s v="Абонент"/>
    <x v="0"/>
    <x v="3"/>
    <n v="330"/>
  </r>
  <r>
    <s v="TITWY457"/>
    <n v="20"/>
    <s v="Абонент"/>
    <x v="0"/>
    <x v="3"/>
    <n v="330"/>
  </r>
  <r>
    <s v="CXURX432"/>
    <n v="20"/>
    <s v="Абонент"/>
    <x v="1"/>
    <x v="3"/>
    <n v="550"/>
  </r>
  <r>
    <s v="SRMUG693"/>
    <n v="20"/>
    <s v="Абонент"/>
    <x v="0"/>
    <x v="1"/>
    <n v="330"/>
  </r>
  <r>
    <s v="BGGNR973"/>
    <n v="20"/>
    <s v="Абонент"/>
    <x v="4"/>
    <x v="2"/>
    <n v="770"/>
  </r>
  <r>
    <s v="DQIEU099"/>
    <n v="20"/>
    <s v="Абонент"/>
    <x v="2"/>
    <x v="3"/>
    <n v="550"/>
  </r>
  <r>
    <s v="TVKKW864"/>
    <n v="20"/>
    <s v="Абонент"/>
    <x v="0"/>
    <x v="3"/>
    <n v="330"/>
  </r>
  <r>
    <s v="CASWZ949"/>
    <n v="20"/>
    <s v="Абонент"/>
    <x v="1"/>
    <x v="3"/>
    <n v="550"/>
  </r>
  <r>
    <s v="GZHLO126"/>
    <n v="20"/>
    <s v="Абонент"/>
    <x v="0"/>
    <x v="4"/>
    <n v="440"/>
  </r>
  <r>
    <s v="TOBKL270"/>
    <n v="20"/>
    <s v="Абонент"/>
    <x v="0"/>
    <x v="3"/>
    <n v="330"/>
  </r>
  <r>
    <s v="NXHCU156"/>
    <n v="20"/>
    <s v="Абонент"/>
    <x v="1"/>
    <x v="0"/>
    <n v="440"/>
  </r>
  <r>
    <s v="MFVSA799"/>
    <n v="20"/>
    <s v="Абонент"/>
    <x v="3"/>
    <x v="0"/>
    <n v="440"/>
  </r>
  <r>
    <s v="QPAUT941"/>
    <n v="20"/>
    <s v="Абонент"/>
    <x v="0"/>
    <x v="1"/>
    <n v="330"/>
  </r>
  <r>
    <s v="WQOEK465"/>
    <n v="20"/>
    <s v="Абонент"/>
    <x v="0"/>
    <x v="3"/>
    <n v="330"/>
  </r>
  <r>
    <s v="IZGDJ190"/>
    <n v="20"/>
    <s v="Абонент"/>
    <x v="3"/>
    <x v="1"/>
    <n v="440"/>
  </r>
  <r>
    <s v="XZIXK132"/>
    <n v="20"/>
    <s v="Абонент"/>
    <x v="0"/>
    <x v="0"/>
    <n v="220"/>
  </r>
  <r>
    <s v="KXOYC999"/>
    <n v="20"/>
    <s v="Абонент"/>
    <x v="0"/>
    <x v="1"/>
    <n v="440"/>
  </r>
  <r>
    <s v="SGCWQ644"/>
    <n v="20"/>
    <s v="Абонент"/>
    <x v="0"/>
    <x v="4"/>
    <n v="330"/>
  </r>
  <r>
    <s v="JNUMB465"/>
    <n v="20"/>
    <s v="Абонент"/>
    <x v="2"/>
    <x v="4"/>
    <n v="440"/>
  </r>
  <r>
    <s v="QXXHQ023"/>
    <n v="20"/>
    <s v="Абонент"/>
    <x v="0"/>
    <x v="3"/>
    <n v="330"/>
  </r>
  <r>
    <s v="WNOUN848"/>
    <n v="20"/>
    <s v="Абонент"/>
    <x v="0"/>
    <x v="4"/>
    <n v="330"/>
  </r>
  <r>
    <s v="RJNUX688"/>
    <n v="20"/>
    <s v="Абонент"/>
    <x v="0"/>
    <x v="1"/>
    <n v="330"/>
  </r>
  <r>
    <s v="QNRPW833"/>
    <n v="20"/>
    <s v="Абонент"/>
    <x v="0"/>
    <x v="3"/>
    <n v="330"/>
  </r>
  <r>
    <s v="GMJJX699"/>
    <n v="20"/>
    <s v="Абонент"/>
    <x v="1"/>
    <x v="1"/>
    <n v="550"/>
  </r>
  <r>
    <s v="UOIPB247"/>
    <n v="20"/>
    <s v="Абонент"/>
    <x v="0"/>
    <x v="3"/>
    <n v="330"/>
  </r>
  <r>
    <s v="AAGIN644"/>
    <n v="20"/>
    <s v="Абонент"/>
    <x v="4"/>
    <x v="2"/>
    <n v="770"/>
  </r>
  <r>
    <s v="LVUNT083"/>
    <n v="20"/>
    <s v="Абонент"/>
    <x v="2"/>
    <x v="1"/>
    <n v="440"/>
  </r>
  <r>
    <s v="UWTFZ545"/>
    <n v="20"/>
    <s v="Абонент"/>
    <x v="0"/>
    <x v="3"/>
    <n v="330"/>
  </r>
  <r>
    <s v="CORFW191"/>
    <n v="20"/>
    <s v="Абонент"/>
    <x v="1"/>
    <x v="1"/>
    <n v="550"/>
  </r>
  <r>
    <s v="DFKOB146"/>
    <n v="20"/>
    <s v="Абонент"/>
    <x v="3"/>
    <x v="4"/>
    <n v="550"/>
  </r>
  <r>
    <s v="NBELC966"/>
    <n v="20"/>
    <s v="Абонент"/>
    <x v="1"/>
    <x v="1"/>
    <n v="440"/>
  </r>
  <r>
    <s v="NYLSA567"/>
    <n v="20"/>
    <s v="Абонент"/>
    <x v="1"/>
    <x v="0"/>
    <n v="440"/>
  </r>
  <r>
    <s v="RJTZK817"/>
    <n v="20"/>
    <s v="Абонент"/>
    <x v="0"/>
    <x v="3"/>
    <n v="330"/>
  </r>
  <r>
    <s v="XZXDA252"/>
    <n v="20"/>
    <s v="Абонент"/>
    <x v="0"/>
    <x v="0"/>
    <n v="220"/>
  </r>
  <r>
    <s v="YYHUW265"/>
    <n v="20"/>
    <s v="Абонент"/>
    <x v="0"/>
    <x v="0"/>
    <n v="220"/>
  </r>
  <r>
    <s v="EFYAF837"/>
    <n v="20"/>
    <s v="Абонент"/>
    <x v="1"/>
    <x v="1"/>
    <n v="550"/>
  </r>
  <r>
    <s v="WJKLX816"/>
    <n v="20"/>
    <s v="Абонент"/>
    <x v="0"/>
    <x v="3"/>
    <n v="330"/>
  </r>
  <r>
    <s v="QQAKT194"/>
    <n v="20"/>
    <s v="Абонент"/>
    <x v="0"/>
    <x v="3"/>
    <n v="330"/>
  </r>
  <r>
    <s v="TTHOA129"/>
    <n v="20"/>
    <s v="Абонент"/>
    <x v="0"/>
    <x v="3"/>
    <n v="330"/>
  </r>
  <r>
    <s v="WIUYW419"/>
    <n v="20"/>
    <s v="Абонент"/>
    <x v="0"/>
    <x v="3"/>
    <n v="330"/>
  </r>
  <r>
    <s v="ATMBI289"/>
    <n v="20"/>
    <s v="Абонент"/>
    <x v="4"/>
    <x v="4"/>
    <n v="770"/>
  </r>
  <r>
    <s v="AHVLY731"/>
    <n v="20"/>
    <s v="Абонент"/>
    <x v="0"/>
    <x v="2"/>
    <n v="770"/>
  </r>
  <r>
    <s v="ESMTH011"/>
    <n v="20"/>
    <s v="Абонент"/>
    <x v="2"/>
    <x v="3"/>
    <n v="550"/>
  </r>
  <r>
    <s v="JYCXD277"/>
    <n v="20"/>
    <s v="Абонент"/>
    <x v="2"/>
    <x v="4"/>
    <n v="440"/>
  </r>
  <r>
    <s v="OUUFW128"/>
    <n v="20"/>
    <s v="Абонент"/>
    <x v="3"/>
    <x v="0"/>
    <n v="440"/>
  </r>
  <r>
    <s v="ZHWMA613"/>
    <n v="20"/>
    <s v="Абонент"/>
    <x v="0"/>
    <x v="1"/>
    <n v="330"/>
  </r>
  <r>
    <s v="SAYWC512"/>
    <n v="20"/>
    <s v="Абонент"/>
    <x v="0"/>
    <x v="3"/>
    <n v="330"/>
  </r>
  <r>
    <s v="MYMVQ237"/>
    <n v="20"/>
    <s v="Абонент"/>
    <x v="0"/>
    <x v="1"/>
    <n v="440"/>
  </r>
  <r>
    <s v="NLDLP691"/>
    <n v="20"/>
    <s v="Абонент"/>
    <x v="2"/>
    <x v="0"/>
    <n v="440"/>
  </r>
  <r>
    <s v="AIOCV053"/>
    <n v="20"/>
    <s v="Абонент"/>
    <x v="1"/>
    <x v="3"/>
    <n v="770"/>
  </r>
  <r>
    <s v="DQOTK104"/>
    <n v="20"/>
    <s v="Абонент"/>
    <x v="1"/>
    <x v="1"/>
    <n v="550"/>
  </r>
  <r>
    <s v="CJMTG449"/>
    <n v="20"/>
    <s v="Абонент"/>
    <x v="0"/>
    <x v="1"/>
    <n v="550"/>
  </r>
  <r>
    <s v="ELBCP735"/>
    <n v="20"/>
    <s v="Абонент"/>
    <x v="2"/>
    <x v="1"/>
    <n v="550"/>
  </r>
  <r>
    <s v="BRICK300"/>
    <n v="20"/>
    <s v="Абонент"/>
    <x v="0"/>
    <x v="1"/>
    <n v="440"/>
  </r>
  <r>
    <s v="MESAC365"/>
    <n v="20"/>
    <s v="Абонент"/>
    <x v="2"/>
    <x v="1"/>
    <n v="440"/>
  </r>
  <r>
    <s v="DODSK789"/>
    <n v="20"/>
    <s v="Абонент"/>
    <x v="1"/>
    <x v="3"/>
    <n v="550"/>
  </r>
  <r>
    <s v="HALPV291"/>
    <n v="20"/>
    <s v="Абонент"/>
    <x v="0"/>
    <x v="3"/>
    <n v="330"/>
  </r>
  <r>
    <s v="TPNAK785"/>
    <n v="20"/>
    <s v="Абонент"/>
    <x v="0"/>
    <x v="3"/>
    <n v="330"/>
  </r>
  <r>
    <s v="BLFHU823"/>
    <n v="20"/>
    <s v="Абонент"/>
    <x v="2"/>
    <x v="3"/>
    <n v="550"/>
  </r>
  <r>
    <s v="DEMFS927"/>
    <n v="20"/>
    <s v="Абонент"/>
    <x v="2"/>
    <x v="1"/>
    <n v="550"/>
  </r>
  <r>
    <s v="OGTPF392"/>
    <n v="20"/>
    <s v="Абонент"/>
    <x v="0"/>
    <x v="0"/>
    <n v="440"/>
  </r>
  <r>
    <s v="TKJWY232"/>
    <n v="20"/>
    <s v="Абонент"/>
    <x v="0"/>
    <x v="3"/>
    <n v="330"/>
  </r>
  <r>
    <s v="NOQOI447"/>
    <n v="20"/>
    <s v="Абонент"/>
    <x v="0"/>
    <x v="0"/>
    <n v="440"/>
  </r>
  <r>
    <s v="NAUEC412"/>
    <n v="20"/>
    <s v="Абонент"/>
    <x v="0"/>
    <x v="0"/>
    <n v="440"/>
  </r>
  <r>
    <s v="OQOUY965"/>
    <n v="20"/>
    <s v="Абонент"/>
    <x v="3"/>
    <x v="4"/>
    <n v="440"/>
  </r>
  <r>
    <s v="UCUSL986"/>
    <n v="20"/>
    <s v="Абонент"/>
    <x v="0"/>
    <x v="3"/>
    <n v="330"/>
  </r>
  <r>
    <s v="YWQQQ065"/>
    <n v="20"/>
    <s v="Абонент"/>
    <x v="0"/>
    <x v="0"/>
    <n v="220"/>
  </r>
  <r>
    <s v="DKNDT780"/>
    <n v="20"/>
    <s v="Абонент"/>
    <x v="3"/>
    <x v="4"/>
    <n v="550"/>
  </r>
  <r>
    <s v="ROIZZ460"/>
    <n v="20"/>
    <s v="Абонент"/>
    <x v="0"/>
    <x v="3"/>
    <n v="330"/>
  </r>
  <r>
    <s v="CBSXP220"/>
    <n v="20"/>
    <s v="Абонент"/>
    <x v="1"/>
    <x v="1"/>
    <n v="550"/>
  </r>
  <r>
    <s v="CRPZP936"/>
    <n v="20"/>
    <s v="Абонент"/>
    <x v="0"/>
    <x v="3"/>
    <n v="550"/>
  </r>
  <r>
    <s v="NFUTD512"/>
    <n v="20"/>
    <s v="Абонент"/>
    <x v="0"/>
    <x v="0"/>
    <n v="440"/>
  </r>
  <r>
    <s v="SZGIA139"/>
    <n v="20"/>
    <s v="Абонент"/>
    <x v="0"/>
    <x v="3"/>
    <n v="330"/>
  </r>
  <r>
    <s v="JOUJU466"/>
    <n v="20"/>
    <s v="Абонент"/>
    <x v="2"/>
    <x v="4"/>
    <n v="440"/>
  </r>
  <r>
    <s v="GCNLF751"/>
    <n v="20"/>
    <s v="Абонент"/>
    <x v="1"/>
    <x v="3"/>
    <n v="550"/>
  </r>
  <r>
    <s v="JIQBX523"/>
    <n v="20"/>
    <s v="Абонент"/>
    <x v="0"/>
    <x v="1"/>
    <n v="330"/>
  </r>
  <r>
    <s v="CRZXQ148"/>
    <n v="20"/>
    <s v="Абонент"/>
    <x v="0"/>
    <x v="0"/>
    <n v="550"/>
  </r>
  <r>
    <s v="DWYUU328"/>
    <n v="20"/>
    <s v="Абонент"/>
    <x v="2"/>
    <x v="1"/>
    <n v="550"/>
  </r>
  <r>
    <s v="LMODL804"/>
    <n v="20"/>
    <s v="Абонент"/>
    <x v="0"/>
    <x v="0"/>
    <n v="440"/>
  </r>
  <r>
    <s v="TQYRW639"/>
    <n v="20"/>
    <s v="Абонент"/>
    <x v="0"/>
    <x v="3"/>
    <n v="330"/>
  </r>
  <r>
    <s v="FJZIA235"/>
    <n v="20"/>
    <s v="Абонент"/>
    <x v="2"/>
    <x v="3"/>
    <n v="550"/>
  </r>
  <r>
    <s v="RBFLJ076"/>
    <n v="20"/>
    <s v="Абонент"/>
    <x v="0"/>
    <x v="3"/>
    <n v="330"/>
  </r>
  <r>
    <s v="FVYKO550"/>
    <n v="20"/>
    <s v="Абонент"/>
    <x v="1"/>
    <x v="1"/>
    <n v="550"/>
  </r>
  <r>
    <s v="BAZPL108"/>
    <n v="20"/>
    <s v="Абонент"/>
    <x v="4"/>
    <x v="0"/>
    <n v="770"/>
  </r>
  <r>
    <s v="JUEME099"/>
    <n v="20"/>
    <s v="Абонент"/>
    <x v="3"/>
    <x v="0"/>
    <n v="440"/>
  </r>
  <r>
    <s v="PGATX805"/>
    <n v="20"/>
    <s v="Абонент"/>
    <x v="2"/>
    <x v="1"/>
    <n v="440"/>
  </r>
  <r>
    <s v="XFXMU819"/>
    <n v="20"/>
    <s v="Абонент"/>
    <x v="0"/>
    <x v="3"/>
    <n v="330"/>
  </r>
  <r>
    <s v="IURER909"/>
    <n v="20"/>
    <s v="Абонент"/>
    <x v="0"/>
    <x v="4"/>
    <n v="330"/>
  </r>
  <r>
    <s v="TSGHS017"/>
    <n v="20"/>
    <s v="Абонент"/>
    <x v="0"/>
    <x v="3"/>
    <n v="330"/>
  </r>
  <r>
    <s v="QJGMZ119"/>
    <n v="20"/>
    <s v="Абонент"/>
    <x v="0"/>
    <x v="3"/>
    <n v="330"/>
  </r>
  <r>
    <s v="NTULR678"/>
    <n v="20"/>
    <s v="Абонент"/>
    <x v="3"/>
    <x v="1"/>
    <n v="440"/>
  </r>
  <r>
    <s v="PFVPA459"/>
    <n v="20"/>
    <s v="Абонент"/>
    <x v="0"/>
    <x v="1"/>
    <n v="440"/>
  </r>
  <r>
    <s v="UHGGF290"/>
    <n v="20"/>
    <s v="Абонент"/>
    <x v="0"/>
    <x v="3"/>
    <n v="330"/>
  </r>
  <r>
    <s v="CDTLL528"/>
    <n v="20"/>
    <s v="Абонент"/>
    <x v="0"/>
    <x v="3"/>
    <n v="550"/>
  </r>
  <r>
    <s v="USAIZ221"/>
    <n v="20"/>
    <s v="Абонент"/>
    <x v="0"/>
    <x v="1"/>
    <n v="330"/>
  </r>
  <r>
    <s v="VKSKS700"/>
    <n v="20"/>
    <s v="Абонент"/>
    <x v="0"/>
    <x v="3"/>
    <n v="330"/>
  </r>
  <r>
    <s v="IQZXR021"/>
    <n v="20"/>
    <s v="Абонент"/>
    <x v="0"/>
    <x v="3"/>
    <n v="330"/>
  </r>
  <r>
    <s v="TGTVI776"/>
    <n v="20"/>
    <s v="Абонент"/>
    <x v="0"/>
    <x v="3"/>
    <n v="330"/>
  </r>
  <r>
    <s v="KJMWS217"/>
    <n v="20"/>
    <s v="Абонент"/>
    <x v="3"/>
    <x v="1"/>
    <n v="440"/>
  </r>
  <r>
    <s v="UZJBN251"/>
    <n v="20"/>
    <s v="Абонент"/>
    <x v="0"/>
    <x v="3"/>
    <n v="330"/>
  </r>
  <r>
    <s v="JJQHK326"/>
    <n v="20"/>
    <s v="Абонент"/>
    <x v="0"/>
    <x v="3"/>
    <n v="330"/>
  </r>
  <r>
    <s v="YKFSZ454"/>
    <n v="20"/>
    <s v="Абонент"/>
    <x v="0"/>
    <x v="0"/>
    <n v="220"/>
  </r>
  <r>
    <s v="QXRQM793"/>
    <n v="20"/>
    <s v="Абонент"/>
    <x v="0"/>
    <x v="3"/>
    <n v="330"/>
  </r>
  <r>
    <s v="MGGIZ639"/>
    <n v="20"/>
    <s v="Абонент"/>
    <x v="0"/>
    <x v="4"/>
    <n v="440"/>
  </r>
  <r>
    <s v="UPRZS896"/>
    <n v="20"/>
    <s v="Абонент"/>
    <x v="0"/>
    <x v="1"/>
    <n v="330"/>
  </r>
  <r>
    <s v="JMJVE294"/>
    <n v="20"/>
    <s v="Абонент"/>
    <x v="3"/>
    <x v="1"/>
    <n v="440"/>
  </r>
  <r>
    <s v="IECWZ600"/>
    <n v="20"/>
    <s v="Абонент"/>
    <x v="0"/>
    <x v="3"/>
    <n v="330"/>
  </r>
  <r>
    <s v="TJOQI204"/>
    <n v="20"/>
    <s v="Абонент"/>
    <x v="0"/>
    <x v="3"/>
    <n v="330"/>
  </r>
  <r>
    <s v="EUVLH642"/>
    <n v="20"/>
    <s v="Абонент"/>
    <x v="0"/>
    <x v="1"/>
    <n v="550"/>
  </r>
  <r>
    <s v="JETUP671"/>
    <n v="20"/>
    <s v="Абонент"/>
    <x v="0"/>
    <x v="4"/>
    <n v="330"/>
  </r>
  <r>
    <s v="GNPXL798"/>
    <n v="20"/>
    <s v="Абонент"/>
    <x v="2"/>
    <x v="1"/>
    <n v="550"/>
  </r>
  <r>
    <s v="RVPJA891"/>
    <n v="20"/>
    <s v="Абонент"/>
    <x v="0"/>
    <x v="3"/>
    <n v="330"/>
  </r>
  <r>
    <s v="MRUSL435"/>
    <n v="20"/>
    <s v="Абонент"/>
    <x v="3"/>
    <x v="4"/>
    <n v="440"/>
  </r>
  <r>
    <s v="EYTEC329"/>
    <n v="20"/>
    <s v="Абонент"/>
    <x v="3"/>
    <x v="3"/>
    <n v="550"/>
  </r>
  <r>
    <s v="YOYKY514"/>
    <n v="20"/>
    <s v="Абонент"/>
    <x v="0"/>
    <x v="0"/>
    <n v="220"/>
  </r>
  <r>
    <s v="BMGLA260"/>
    <n v="20"/>
    <s v="Абонент"/>
    <x v="2"/>
    <x v="0"/>
    <n v="550"/>
  </r>
  <r>
    <s v="XAXRG771"/>
    <n v="20"/>
    <s v="Абонент"/>
    <x v="0"/>
    <x v="3"/>
    <n v="330"/>
  </r>
  <r>
    <s v="JUYSG925"/>
    <n v="20"/>
    <s v="Абонент"/>
    <x v="0"/>
    <x v="1"/>
    <n v="440"/>
  </r>
  <r>
    <s v="ZPXYR466"/>
    <n v="20"/>
    <s v="Абонент"/>
    <x v="0"/>
    <x v="1"/>
    <n v="330"/>
  </r>
  <r>
    <s v="RLSYF704"/>
    <n v="20"/>
    <s v="Абонент"/>
    <x v="0"/>
    <x v="4"/>
    <n v="330"/>
  </r>
  <r>
    <s v="XEPGL257"/>
    <n v="20"/>
    <s v="Абонент"/>
    <x v="0"/>
    <x v="3"/>
    <n v="330"/>
  </r>
  <r>
    <s v="NNMJZ088"/>
    <n v="20"/>
    <s v="Абонент"/>
    <x v="2"/>
    <x v="0"/>
    <n v="440"/>
  </r>
  <r>
    <s v="DISLO682"/>
    <n v="21"/>
    <s v="Абонент"/>
    <x v="2"/>
    <x v="1"/>
    <n v="550"/>
  </r>
  <r>
    <s v="GTJHZ328"/>
    <n v="21"/>
    <s v="Абонент"/>
    <x v="0"/>
    <x v="3"/>
    <n v="330"/>
  </r>
  <r>
    <s v="HYLPU031"/>
    <n v="21"/>
    <s v="Абонент"/>
    <x v="0"/>
    <x v="3"/>
    <n v="330"/>
  </r>
  <r>
    <s v="EFXUF094"/>
    <n v="21"/>
    <s v="Абонент"/>
    <x v="0"/>
    <x v="1"/>
    <n v="550"/>
  </r>
  <r>
    <s v="SYQWR833"/>
    <n v="21"/>
    <s v="Абонент"/>
    <x v="0"/>
    <x v="3"/>
    <n v="330"/>
  </r>
  <r>
    <s v="XNRIX567"/>
    <n v="21"/>
    <s v="Абонент"/>
    <x v="0"/>
    <x v="0"/>
    <n v="220"/>
  </r>
  <r>
    <s v="HYHUB634"/>
    <n v="21"/>
    <s v="Абонент"/>
    <x v="0"/>
    <x v="3"/>
    <n v="330"/>
  </r>
  <r>
    <s v="LHOZW943"/>
    <n v="21"/>
    <s v="Абонент"/>
    <x v="2"/>
    <x v="1"/>
    <n v="440"/>
  </r>
  <r>
    <s v="QGVYI659"/>
    <n v="21"/>
    <s v="Абонент"/>
    <x v="2"/>
    <x v="4"/>
    <n v="440"/>
  </r>
  <r>
    <s v="OOBLV398"/>
    <n v="21"/>
    <s v="Абонент"/>
    <x v="1"/>
    <x v="0"/>
    <n v="440"/>
  </r>
  <r>
    <s v="QZWWV627"/>
    <n v="21"/>
    <s v="Абонент"/>
    <x v="0"/>
    <x v="4"/>
    <n v="330"/>
  </r>
  <r>
    <s v="ZXTEB808"/>
    <n v="21"/>
    <s v="Абонент"/>
    <x v="0"/>
    <x v="1"/>
    <n v="330"/>
  </r>
  <r>
    <s v="QYUVU090"/>
    <n v="21"/>
    <s v="Абонент"/>
    <x v="0"/>
    <x v="1"/>
    <n v="330"/>
  </r>
  <r>
    <s v="EONFL103"/>
    <n v="21"/>
    <s v="Абонент"/>
    <x v="1"/>
    <x v="1"/>
    <n v="550"/>
  </r>
  <r>
    <s v="MHFDS221"/>
    <n v="21"/>
    <s v="Абонент"/>
    <x v="3"/>
    <x v="4"/>
    <n v="440"/>
  </r>
  <r>
    <s v="ZQRGK689"/>
    <n v="21"/>
    <s v="Абонент"/>
    <x v="0"/>
    <x v="3"/>
    <n v="330"/>
  </r>
  <r>
    <s v="AVTFX703"/>
    <n v="21"/>
    <s v="Абонент"/>
    <x v="4"/>
    <x v="4"/>
    <n v="770"/>
  </r>
  <r>
    <s v="HLWVM236"/>
    <n v="21"/>
    <s v="Абонент"/>
    <x v="0"/>
    <x v="3"/>
    <n v="330"/>
  </r>
  <r>
    <s v="FLKDL727"/>
    <n v="21"/>
    <s v="Абонент"/>
    <x v="0"/>
    <x v="1"/>
    <n v="550"/>
  </r>
  <r>
    <s v="QGZOT453"/>
    <n v="21"/>
    <s v="Абонент"/>
    <x v="0"/>
    <x v="3"/>
    <n v="330"/>
  </r>
  <r>
    <s v="LDCGO516"/>
    <n v="21"/>
    <s v="Абонент"/>
    <x v="0"/>
    <x v="1"/>
    <n v="440"/>
  </r>
  <r>
    <s v="JHYJH196"/>
    <n v="21"/>
    <s v="Абонент"/>
    <x v="0"/>
    <x v="4"/>
    <n v="330"/>
  </r>
  <r>
    <s v="BSZYJ139"/>
    <n v="21"/>
    <s v="Абонент"/>
    <x v="2"/>
    <x v="4"/>
    <n v="550"/>
  </r>
  <r>
    <s v="EILJB603"/>
    <n v="21"/>
    <s v="Абонент"/>
    <x v="3"/>
    <x v="1"/>
    <n v="550"/>
  </r>
  <r>
    <s v="SPKXM631"/>
    <n v="21"/>
    <s v="Абонент"/>
    <x v="0"/>
    <x v="3"/>
    <n v="330"/>
  </r>
  <r>
    <s v="JHGZK471"/>
    <n v="21"/>
    <s v="Абонент"/>
    <x v="0"/>
    <x v="3"/>
    <n v="330"/>
  </r>
  <r>
    <s v="XOJVY555"/>
    <n v="21"/>
    <s v="Абонент"/>
    <x v="0"/>
    <x v="0"/>
    <n v="220"/>
  </r>
  <r>
    <s v="NFCGY425"/>
    <n v="21"/>
    <s v="Абонент"/>
    <x v="0"/>
    <x v="1"/>
    <n v="440"/>
  </r>
  <r>
    <s v="SIEPE881"/>
    <n v="21"/>
    <s v="Абонент"/>
    <x v="0"/>
    <x v="1"/>
    <n v="330"/>
  </r>
  <r>
    <s v="FNKIZ168"/>
    <n v="21"/>
    <s v="Абонент"/>
    <x v="1"/>
    <x v="1"/>
    <n v="550"/>
  </r>
  <r>
    <s v="BCTTM728"/>
    <n v="21"/>
    <s v="Абонент"/>
    <x v="4"/>
    <x v="2"/>
    <n v="770"/>
  </r>
  <r>
    <s v="RQECK962"/>
    <n v="21"/>
    <s v="Абонент"/>
    <x v="0"/>
    <x v="1"/>
    <n v="330"/>
  </r>
  <r>
    <s v="TNBVA901"/>
    <n v="21"/>
    <s v="Абонент"/>
    <x v="0"/>
    <x v="3"/>
    <n v="330"/>
  </r>
  <r>
    <s v="DPCTC973"/>
    <n v="21"/>
    <s v="Абонент"/>
    <x v="1"/>
    <x v="1"/>
    <n v="550"/>
  </r>
  <r>
    <s v="LPEHU230"/>
    <n v="21"/>
    <s v="Абонент"/>
    <x v="0"/>
    <x v="0"/>
    <n v="440"/>
  </r>
  <r>
    <s v="ORRCS821"/>
    <n v="21"/>
    <s v="Абонент"/>
    <x v="2"/>
    <x v="1"/>
    <n v="440"/>
  </r>
  <r>
    <s v="LSCKC526"/>
    <n v="21"/>
    <s v="Абонент"/>
    <x v="0"/>
    <x v="1"/>
    <n v="440"/>
  </r>
  <r>
    <s v="UUAYL326"/>
    <n v="21"/>
    <s v="Абонент"/>
    <x v="0"/>
    <x v="3"/>
    <n v="330"/>
  </r>
  <r>
    <s v="NHWLT352"/>
    <n v="21"/>
    <s v="Абонент"/>
    <x v="0"/>
    <x v="4"/>
    <n v="440"/>
  </r>
  <r>
    <s v="PKUVN359"/>
    <n v="21"/>
    <s v="Абонент"/>
    <x v="3"/>
    <x v="1"/>
    <n v="440"/>
  </r>
  <r>
    <s v="IIVUR490"/>
    <n v="21"/>
    <s v="Абонент"/>
    <x v="0"/>
    <x v="3"/>
    <n v="330"/>
  </r>
  <r>
    <s v="ZRSXY237"/>
    <n v="21"/>
    <s v="Абонент"/>
    <x v="0"/>
    <x v="1"/>
    <n v="330"/>
  </r>
  <r>
    <s v="DSOPO369"/>
    <n v="21"/>
    <s v="Абонент"/>
    <x v="0"/>
    <x v="4"/>
    <n v="550"/>
  </r>
  <r>
    <s v="TQCDD249"/>
    <n v="21"/>
    <s v="Абонент"/>
    <x v="0"/>
    <x v="3"/>
    <n v="330"/>
  </r>
  <r>
    <s v="CIVXB799"/>
    <n v="21"/>
    <s v="Абонент"/>
    <x v="1"/>
    <x v="1"/>
    <n v="550"/>
  </r>
  <r>
    <s v="PLAEZ810"/>
    <n v="21"/>
    <s v="Абонент"/>
    <x v="2"/>
    <x v="1"/>
    <n v="440"/>
  </r>
  <r>
    <s v="QEWKW893"/>
    <n v="21"/>
    <s v="Абонент"/>
    <x v="2"/>
    <x v="1"/>
    <n v="440"/>
  </r>
  <r>
    <s v="ZUXCO869"/>
    <n v="21"/>
    <s v="Абонент"/>
    <x v="0"/>
    <x v="1"/>
    <n v="330"/>
  </r>
  <r>
    <s v="GQOUL736"/>
    <n v="21"/>
    <s v="Абонент"/>
    <x v="2"/>
    <x v="1"/>
    <n v="550"/>
  </r>
  <r>
    <s v="LKDZU416"/>
    <n v="21"/>
    <s v="Абонент"/>
    <x v="3"/>
    <x v="4"/>
    <n v="440"/>
  </r>
  <r>
    <s v="FURDL120"/>
    <n v="21"/>
    <s v="Абонент"/>
    <x v="3"/>
    <x v="1"/>
    <n v="550"/>
  </r>
  <r>
    <s v="EKYZE441"/>
    <n v="21"/>
    <s v="Абонент"/>
    <x v="1"/>
    <x v="1"/>
    <n v="550"/>
  </r>
  <r>
    <s v="EALJO658"/>
    <n v="21"/>
    <s v="Абонент"/>
    <x v="1"/>
    <x v="4"/>
    <n v="550"/>
  </r>
  <r>
    <s v="OJRBO291"/>
    <n v="21"/>
    <s v="Абонент"/>
    <x v="0"/>
    <x v="3"/>
    <n v="330"/>
  </r>
  <r>
    <s v="WKEWE932"/>
    <n v="21"/>
    <s v="Абонент"/>
    <x v="0"/>
    <x v="4"/>
    <n v="330"/>
  </r>
  <r>
    <s v="XBVBH959"/>
    <n v="21"/>
    <s v="Абонент"/>
    <x v="0"/>
    <x v="3"/>
    <n v="330"/>
  </r>
  <r>
    <s v="PADSF860"/>
    <n v="21"/>
    <s v="Абонент"/>
    <x v="0"/>
    <x v="3"/>
    <n v="330"/>
  </r>
  <r>
    <s v="YNTYZ363"/>
    <n v="21"/>
    <s v="Абонент"/>
    <x v="0"/>
    <x v="0"/>
    <n v="220"/>
  </r>
  <r>
    <s v="JGWUF955"/>
    <n v="21"/>
    <s v="Абонент"/>
    <x v="0"/>
    <x v="0"/>
    <n v="440"/>
  </r>
  <r>
    <s v="AJVWS553"/>
    <n v="21"/>
    <s v="Абонент"/>
    <x v="1"/>
    <x v="4"/>
    <n v="770"/>
  </r>
  <r>
    <s v="TSUAC691"/>
    <n v="21"/>
    <s v="Абонент"/>
    <x v="0"/>
    <x v="3"/>
    <n v="330"/>
  </r>
  <r>
    <s v="MONYQ657"/>
    <n v="21"/>
    <s v="Абонент"/>
    <x v="2"/>
    <x v="4"/>
    <n v="440"/>
  </r>
  <r>
    <s v="TFIZP919"/>
    <n v="21"/>
    <s v="Абонент"/>
    <x v="0"/>
    <x v="3"/>
    <n v="330"/>
  </r>
  <r>
    <s v="IUITK321"/>
    <n v="21"/>
    <s v="Абонент"/>
    <x v="2"/>
    <x v="1"/>
    <n v="440"/>
  </r>
  <r>
    <s v="WWGDQ377"/>
    <n v="21"/>
    <s v="Абонент"/>
    <x v="0"/>
    <x v="0"/>
    <n v="440"/>
  </r>
  <r>
    <s v="WVNYO346"/>
    <n v="21"/>
    <s v="Абонент"/>
    <x v="0"/>
    <x v="3"/>
    <n v="330"/>
  </r>
  <r>
    <s v="RJTFE152"/>
    <n v="21"/>
    <s v="Абонент"/>
    <x v="0"/>
    <x v="1"/>
    <n v="330"/>
  </r>
  <r>
    <s v="QZTMS464"/>
    <n v="21"/>
    <s v="Абонент"/>
    <x v="0"/>
    <x v="1"/>
    <n v="330"/>
  </r>
  <r>
    <s v="SIFQR280"/>
    <n v="21"/>
    <s v="Абонент"/>
    <x v="0"/>
    <x v="3"/>
    <n v="330"/>
  </r>
  <r>
    <s v="DSHQH303"/>
    <n v="21"/>
    <s v="Абонент"/>
    <x v="1"/>
    <x v="1"/>
    <n v="550"/>
  </r>
  <r>
    <s v="ULFFK642"/>
    <n v="21"/>
    <s v="Абонент"/>
    <x v="0"/>
    <x v="1"/>
    <n v="330"/>
  </r>
  <r>
    <s v="SVSNS271"/>
    <n v="21"/>
    <s v="Абонент"/>
    <x v="0"/>
    <x v="1"/>
    <n v="330"/>
  </r>
  <r>
    <s v="HRGLG135"/>
    <n v="21"/>
    <s v="Абонент"/>
    <x v="1"/>
    <x v="0"/>
    <n v="440"/>
  </r>
  <r>
    <s v="JUIRA674"/>
    <n v="21"/>
    <s v="Абонент"/>
    <x v="0"/>
    <x v="1"/>
    <n v="440"/>
  </r>
  <r>
    <s v="LYMFS351"/>
    <n v="21"/>
    <s v="Абонент"/>
    <x v="0"/>
    <x v="1"/>
    <n v="440"/>
  </r>
  <r>
    <s v="DYBVE492"/>
    <n v="21"/>
    <s v="Абонент"/>
    <x v="3"/>
    <x v="1"/>
    <n v="550"/>
  </r>
  <r>
    <s v="SVNXK824"/>
    <n v="21"/>
    <s v="Абонент"/>
    <x v="0"/>
    <x v="3"/>
    <n v="330"/>
  </r>
  <r>
    <s v="CQJKQ566"/>
    <n v="21"/>
    <s v="Абонент"/>
    <x v="1"/>
    <x v="3"/>
    <n v="550"/>
  </r>
  <r>
    <s v="TZKVV014"/>
    <n v="21"/>
    <s v="Абонент"/>
    <x v="0"/>
    <x v="3"/>
    <n v="330"/>
  </r>
  <r>
    <s v="OROHG900"/>
    <n v="21"/>
    <s v="Абонент"/>
    <x v="0"/>
    <x v="3"/>
    <n v="330"/>
  </r>
  <r>
    <s v="SWUNJ016"/>
    <n v="21"/>
    <s v="Абонент"/>
    <x v="0"/>
    <x v="4"/>
    <n v="330"/>
  </r>
  <r>
    <s v="VGIBN794"/>
    <n v="21"/>
    <s v="Абонент"/>
    <x v="0"/>
    <x v="3"/>
    <n v="330"/>
  </r>
  <r>
    <s v="FVZAX328"/>
    <n v="21"/>
    <s v="Абонент"/>
    <x v="3"/>
    <x v="1"/>
    <n v="550"/>
  </r>
  <r>
    <s v="FEDIQ240"/>
    <n v="21"/>
    <s v="Абонент"/>
    <x v="0"/>
    <x v="1"/>
    <n v="550"/>
  </r>
  <r>
    <s v="SMRRR352"/>
    <n v="21"/>
    <s v="Абонент"/>
    <x v="0"/>
    <x v="4"/>
    <n v="330"/>
  </r>
  <r>
    <s v="JVPTY742"/>
    <n v="21"/>
    <s v="Абонент"/>
    <x v="0"/>
    <x v="0"/>
    <n v="440"/>
  </r>
  <r>
    <s v="JCSDX534"/>
    <n v="21"/>
    <s v="Абонент"/>
    <x v="3"/>
    <x v="4"/>
    <n v="440"/>
  </r>
  <r>
    <s v="FQCLS078"/>
    <n v="21"/>
    <s v="Абонент"/>
    <x v="3"/>
    <x v="3"/>
    <n v="550"/>
  </r>
  <r>
    <s v="KOEVO656"/>
    <n v="21"/>
    <s v="Абонент"/>
    <x v="3"/>
    <x v="1"/>
    <n v="440"/>
  </r>
  <r>
    <s v="URRCR802"/>
    <n v="21"/>
    <s v="Абонент"/>
    <x v="0"/>
    <x v="3"/>
    <n v="330"/>
  </r>
  <r>
    <s v="WSKJX024"/>
    <n v="21"/>
    <s v="Абонент"/>
    <x v="0"/>
    <x v="1"/>
    <n v="440"/>
  </r>
  <r>
    <s v="JCXEO477"/>
    <n v="21"/>
    <s v="Абонент"/>
    <x v="0"/>
    <x v="1"/>
    <n v="440"/>
  </r>
  <r>
    <s v="WNGPC995"/>
    <n v="21"/>
    <s v="Абонент"/>
    <x v="0"/>
    <x v="1"/>
    <n v="330"/>
  </r>
  <r>
    <s v="RGZXG313"/>
    <n v="21"/>
    <s v="Абонент"/>
    <x v="0"/>
    <x v="3"/>
    <n v="330"/>
  </r>
  <r>
    <s v="EKRPL661"/>
    <n v="21"/>
    <s v="Абонент"/>
    <x v="0"/>
    <x v="3"/>
    <n v="550"/>
  </r>
  <r>
    <s v="OFFCA788"/>
    <n v="21"/>
    <s v="Абонент"/>
    <x v="0"/>
    <x v="3"/>
    <n v="330"/>
  </r>
  <r>
    <s v="TGNSK482"/>
    <n v="21"/>
    <s v="Абонент"/>
    <x v="0"/>
    <x v="3"/>
    <n v="330"/>
  </r>
  <r>
    <s v="RWNLQ765"/>
    <n v="21"/>
    <s v="Абонент"/>
    <x v="0"/>
    <x v="3"/>
    <n v="330"/>
  </r>
  <r>
    <s v="MCBMA425"/>
    <n v="21"/>
    <s v="Абонент"/>
    <x v="3"/>
    <x v="0"/>
    <n v="440"/>
  </r>
  <r>
    <s v="CPJZW436"/>
    <n v="21"/>
    <s v="Абонент"/>
    <x v="2"/>
    <x v="3"/>
    <n v="550"/>
  </r>
  <r>
    <s v="ZFTOP521"/>
    <n v="21"/>
    <s v="Абонент"/>
    <x v="0"/>
    <x v="0"/>
    <n v="220"/>
  </r>
  <r>
    <s v="ODGIF253"/>
    <n v="21"/>
    <s v="Абонент"/>
    <x v="0"/>
    <x v="3"/>
    <n v="330"/>
  </r>
  <r>
    <s v="ZMIEI393"/>
    <n v="21"/>
    <s v="Абонент"/>
    <x v="0"/>
    <x v="0"/>
    <n v="220"/>
  </r>
  <r>
    <s v="WJHOF596"/>
    <n v="21"/>
    <s v="Абонент"/>
    <x v="0"/>
    <x v="3"/>
    <n v="330"/>
  </r>
  <r>
    <s v="PWXTC497"/>
    <n v="21"/>
    <s v="Абонент"/>
    <x v="2"/>
    <x v="1"/>
    <n v="440"/>
  </r>
  <r>
    <s v="OEHBB964"/>
    <n v="21"/>
    <s v="Абонент"/>
    <x v="0"/>
    <x v="3"/>
    <n v="330"/>
  </r>
  <r>
    <s v="OENMM482"/>
    <n v="21"/>
    <s v="Абонент"/>
    <x v="0"/>
    <x v="3"/>
    <n v="330"/>
  </r>
  <r>
    <s v="PWHLR636"/>
    <n v="21"/>
    <s v="Абонент"/>
    <x v="0"/>
    <x v="4"/>
    <n v="440"/>
  </r>
  <r>
    <s v="QFQNM599"/>
    <n v="21"/>
    <s v="Абонент"/>
    <x v="0"/>
    <x v="0"/>
    <n v="440"/>
  </r>
  <r>
    <s v="FBGQT890"/>
    <n v="21"/>
    <s v="Абонент"/>
    <x v="3"/>
    <x v="3"/>
    <n v="550"/>
  </r>
  <r>
    <s v="TZUYN962"/>
    <n v="21"/>
    <s v="Абонент"/>
    <x v="0"/>
    <x v="3"/>
    <n v="330"/>
  </r>
  <r>
    <s v="UAXVW706"/>
    <n v="21"/>
    <s v="Абонент"/>
    <x v="0"/>
    <x v="3"/>
    <n v="330"/>
  </r>
  <r>
    <s v="QTWRY658"/>
    <n v="21"/>
    <s v="Абонент"/>
    <x v="0"/>
    <x v="1"/>
    <n v="330"/>
  </r>
  <r>
    <s v="TUACG813"/>
    <n v="21"/>
    <s v="Абонент"/>
    <x v="0"/>
    <x v="3"/>
    <n v="330"/>
  </r>
  <r>
    <s v="UCEMT890"/>
    <n v="21"/>
    <s v="Абонент"/>
    <x v="0"/>
    <x v="3"/>
    <n v="330"/>
  </r>
  <r>
    <s v="ZIKUW936"/>
    <n v="21"/>
    <s v="Абонент"/>
    <x v="0"/>
    <x v="0"/>
    <n v="220"/>
  </r>
  <r>
    <s v="FHOLZ380"/>
    <n v="21"/>
    <s v="Абонент"/>
    <x v="3"/>
    <x v="3"/>
    <n v="550"/>
  </r>
  <r>
    <s v="XUCNJ316"/>
    <n v="21"/>
    <s v="Абонент"/>
    <x v="0"/>
    <x v="0"/>
    <n v="220"/>
  </r>
  <r>
    <s v="QAKSU146"/>
    <n v="21"/>
    <s v="Абонент"/>
    <x v="3"/>
    <x v="1"/>
    <n v="440"/>
  </r>
  <r>
    <s v="WHEXW864"/>
    <n v="21"/>
    <s v="Абонент"/>
    <x v="0"/>
    <x v="3"/>
    <n v="330"/>
  </r>
  <r>
    <s v="SUQWM907"/>
    <n v="21"/>
    <s v="Абонент"/>
    <x v="0"/>
    <x v="0"/>
    <n v="330"/>
  </r>
  <r>
    <s v="ICRZS007"/>
    <n v="21"/>
    <s v="Абонент"/>
    <x v="3"/>
    <x v="4"/>
    <n v="440"/>
  </r>
  <r>
    <s v="BMALT668"/>
    <n v="21"/>
    <s v="Абонент"/>
    <x v="1"/>
    <x v="1"/>
    <n v="550"/>
  </r>
  <r>
    <s v="EZKUJ739"/>
    <n v="21"/>
    <s v="Абонент"/>
    <x v="1"/>
    <x v="3"/>
    <n v="550"/>
  </r>
  <r>
    <s v="LGKPV470"/>
    <n v="21"/>
    <s v="Абонент"/>
    <x v="3"/>
    <x v="1"/>
    <n v="440"/>
  </r>
  <r>
    <s v="HMUTP717"/>
    <n v="21"/>
    <s v="Абонент"/>
    <x v="0"/>
    <x v="4"/>
    <n v="440"/>
  </r>
  <r>
    <s v="FLHHA902"/>
    <n v="21"/>
    <s v="Абонент"/>
    <x v="2"/>
    <x v="3"/>
    <n v="550"/>
  </r>
  <r>
    <s v="PRKBD095"/>
    <n v="21"/>
    <s v="Абонент"/>
    <x v="3"/>
    <x v="1"/>
    <n v="440"/>
  </r>
  <r>
    <s v="GLZQH903"/>
    <n v="21"/>
    <s v="Абонент"/>
    <x v="2"/>
    <x v="3"/>
    <n v="550"/>
  </r>
  <r>
    <s v="MFTZD280"/>
    <n v="21"/>
    <s v="Абонент"/>
    <x v="3"/>
    <x v="1"/>
    <n v="440"/>
  </r>
  <r>
    <s v="UICIR908"/>
    <n v="21"/>
    <s v="Абонент"/>
    <x v="0"/>
    <x v="3"/>
    <n v="330"/>
  </r>
  <r>
    <s v="OPAXT050"/>
    <n v="21"/>
    <s v="Абонент"/>
    <x v="0"/>
    <x v="3"/>
    <n v="330"/>
  </r>
  <r>
    <s v="LUUAB532"/>
    <n v="21"/>
    <s v="Абонент"/>
    <x v="0"/>
    <x v="0"/>
    <n v="440"/>
  </r>
  <r>
    <s v="OMWFB516"/>
    <n v="21"/>
    <s v="Абонент"/>
    <x v="0"/>
    <x v="3"/>
    <n v="330"/>
  </r>
  <r>
    <s v="BTGEU819"/>
    <n v="21"/>
    <s v="Абонент"/>
    <x v="0"/>
    <x v="1"/>
    <n v="550"/>
  </r>
  <r>
    <s v="ENDDU763"/>
    <n v="21"/>
    <s v="Абонент"/>
    <x v="1"/>
    <x v="3"/>
    <n v="550"/>
  </r>
  <r>
    <s v="QCPMV336"/>
    <n v="21"/>
    <s v="Абонент"/>
    <x v="0"/>
    <x v="0"/>
    <n v="440"/>
  </r>
  <r>
    <s v="UZXAW127"/>
    <n v="21"/>
    <s v="Абонент"/>
    <x v="0"/>
    <x v="1"/>
    <n v="330"/>
  </r>
  <r>
    <s v="CFCMY210"/>
    <n v="21"/>
    <s v="Абонент"/>
    <x v="3"/>
    <x v="3"/>
    <n v="550"/>
  </r>
  <r>
    <s v="POXZP734"/>
    <n v="21"/>
    <s v="Абонент"/>
    <x v="2"/>
    <x v="4"/>
    <n v="440"/>
  </r>
  <r>
    <s v="LAMJT496"/>
    <n v="21"/>
    <s v="Абонент"/>
    <x v="0"/>
    <x v="0"/>
    <n v="440"/>
  </r>
  <r>
    <s v="EYXOV590"/>
    <n v="21"/>
    <s v="Абонент"/>
    <x v="1"/>
    <x v="3"/>
    <n v="550"/>
  </r>
  <r>
    <s v="LBNXT214"/>
    <n v="21"/>
    <s v="Абонент"/>
    <x v="2"/>
    <x v="1"/>
    <n v="440"/>
  </r>
  <r>
    <s v="SKKLG660"/>
    <n v="21"/>
    <s v="Абонент"/>
    <x v="0"/>
    <x v="3"/>
    <n v="330"/>
  </r>
  <r>
    <s v="HXLJE621"/>
    <n v="21"/>
    <s v="Абонент"/>
    <x v="2"/>
    <x v="4"/>
    <n v="440"/>
  </r>
  <r>
    <s v="HYKMF754"/>
    <n v="21"/>
    <s v="Абонент"/>
    <x v="3"/>
    <x v="4"/>
    <n v="440"/>
  </r>
  <r>
    <s v="WHCXL388"/>
    <n v="21"/>
    <s v="Абонент"/>
    <x v="0"/>
    <x v="3"/>
    <n v="330"/>
  </r>
  <r>
    <s v="TOTDA061"/>
    <n v="21"/>
    <s v="Абонент"/>
    <x v="0"/>
    <x v="3"/>
    <n v="330"/>
  </r>
  <r>
    <s v="IBFPT804"/>
    <n v="21"/>
    <s v="Абонент"/>
    <x v="1"/>
    <x v="1"/>
    <n v="440"/>
  </r>
  <r>
    <s v="OJBEZ718"/>
    <n v="21"/>
    <s v="Абонент"/>
    <x v="0"/>
    <x v="3"/>
    <n v="330"/>
  </r>
  <r>
    <s v="POKFI611"/>
    <n v="21"/>
    <s v="Абонент"/>
    <x v="2"/>
    <x v="1"/>
    <n v="440"/>
  </r>
  <r>
    <s v="TBULR028"/>
    <n v="21"/>
    <s v="Абонент"/>
    <x v="0"/>
    <x v="3"/>
    <n v="330"/>
  </r>
  <r>
    <s v="LWHMH322"/>
    <n v="21"/>
    <s v="Абонент"/>
    <x v="0"/>
    <x v="0"/>
    <n v="440"/>
  </r>
  <r>
    <s v="LIMIP750"/>
    <n v="21"/>
    <s v="Абонент"/>
    <x v="3"/>
    <x v="1"/>
    <n v="440"/>
  </r>
  <r>
    <s v="BLNKX189"/>
    <n v="21"/>
    <s v="Абонент"/>
    <x v="0"/>
    <x v="0"/>
    <n v="550"/>
  </r>
  <r>
    <s v="RXFKP750"/>
    <n v="21"/>
    <s v="Абонент"/>
    <x v="0"/>
    <x v="0"/>
    <n v="330"/>
  </r>
  <r>
    <s v="GTXSY819"/>
    <n v="21"/>
    <s v="Абонент"/>
    <x v="2"/>
    <x v="1"/>
    <n v="440"/>
  </r>
  <r>
    <s v="ZUQOP294"/>
    <n v="21"/>
    <s v="Абонент"/>
    <x v="0"/>
    <x v="0"/>
    <n v="220"/>
  </r>
  <r>
    <s v="PIGXC972"/>
    <n v="21"/>
    <s v="Абонент"/>
    <x v="0"/>
    <x v="3"/>
    <n v="330"/>
  </r>
  <r>
    <s v="MFTMX622"/>
    <n v="21"/>
    <s v="Абонент"/>
    <x v="2"/>
    <x v="1"/>
    <n v="440"/>
  </r>
  <r>
    <s v="QALXY843"/>
    <n v="21"/>
    <s v="Абонент"/>
    <x v="2"/>
    <x v="1"/>
    <n v="440"/>
  </r>
  <r>
    <s v="DDOSG151"/>
    <n v="22"/>
    <s v="Абонент"/>
    <x v="1"/>
    <x v="0"/>
    <n v="550"/>
  </r>
  <r>
    <s v="VARBR822"/>
    <n v="22"/>
    <s v="Абонент"/>
    <x v="0"/>
    <x v="3"/>
    <n v="330"/>
  </r>
  <r>
    <s v="XJULK368"/>
    <n v="22"/>
    <s v="Абонент"/>
    <x v="0"/>
    <x v="1"/>
    <n v="330"/>
  </r>
  <r>
    <s v="XEJHU965"/>
    <n v="22"/>
    <s v="Абонент"/>
    <x v="0"/>
    <x v="3"/>
    <n v="330"/>
  </r>
  <r>
    <s v="GQEMO540"/>
    <n v="22"/>
    <s v="Абонент"/>
    <x v="3"/>
    <x v="0"/>
    <n v="550"/>
  </r>
  <r>
    <s v="GLRKB877"/>
    <n v="22"/>
    <s v="Абонент"/>
    <x v="1"/>
    <x v="4"/>
    <n v="550"/>
  </r>
  <r>
    <s v="PQIHQ825"/>
    <n v="22"/>
    <s v="Абонент"/>
    <x v="3"/>
    <x v="1"/>
    <n v="440"/>
  </r>
  <r>
    <s v="TAASA894"/>
    <n v="22"/>
    <s v="Абонент"/>
    <x v="0"/>
    <x v="3"/>
    <n v="330"/>
  </r>
  <r>
    <s v="JMEFC890"/>
    <n v="22"/>
    <s v="Абонент"/>
    <x v="2"/>
    <x v="1"/>
    <n v="440"/>
  </r>
  <r>
    <s v="AKPTX689"/>
    <n v="22"/>
    <s v="Абонент"/>
    <x v="4"/>
    <x v="4"/>
    <n v="770"/>
  </r>
  <r>
    <s v="LXZYA607"/>
    <n v="22"/>
    <s v="Абонент"/>
    <x v="2"/>
    <x v="1"/>
    <n v="440"/>
  </r>
  <r>
    <s v="CILYA739"/>
    <n v="22"/>
    <s v="Абонент"/>
    <x v="2"/>
    <x v="3"/>
    <n v="550"/>
  </r>
  <r>
    <s v="PMLNA609"/>
    <n v="22"/>
    <s v="Абонент"/>
    <x v="2"/>
    <x v="1"/>
    <n v="440"/>
  </r>
  <r>
    <s v="XZYQY132"/>
    <n v="22"/>
    <s v="Абонент"/>
    <x v="0"/>
    <x v="0"/>
    <n v="220"/>
  </r>
  <r>
    <s v="DGPXY904"/>
    <n v="22"/>
    <s v="Абонент"/>
    <x v="2"/>
    <x v="1"/>
    <n v="550"/>
  </r>
  <r>
    <s v="RYDJM336"/>
    <n v="22"/>
    <s v="Абонент"/>
    <x v="0"/>
    <x v="3"/>
    <n v="330"/>
  </r>
  <r>
    <s v="UGKAK583"/>
    <n v="22"/>
    <s v="Абонент"/>
    <x v="0"/>
    <x v="3"/>
    <n v="330"/>
  </r>
  <r>
    <s v="WWRGC016"/>
    <n v="22"/>
    <s v="Абонент"/>
    <x v="0"/>
    <x v="3"/>
    <n v="330"/>
  </r>
  <r>
    <s v="TYCAC438"/>
    <n v="22"/>
    <s v="Абонент"/>
    <x v="0"/>
    <x v="3"/>
    <n v="330"/>
  </r>
  <r>
    <s v="RJTLU681"/>
    <n v="22"/>
    <s v="Абонент"/>
    <x v="0"/>
    <x v="4"/>
    <n v="330"/>
  </r>
  <r>
    <s v="SWCIR604"/>
    <n v="22"/>
    <s v="Абонент"/>
    <x v="0"/>
    <x v="3"/>
    <n v="330"/>
  </r>
  <r>
    <s v="LNBTG154"/>
    <n v="22"/>
    <s v="Абонент"/>
    <x v="0"/>
    <x v="0"/>
    <n v="440"/>
  </r>
  <r>
    <s v="FJDIZ908"/>
    <n v="22"/>
    <s v="Абонент"/>
    <x v="1"/>
    <x v="1"/>
    <n v="550"/>
  </r>
  <r>
    <s v="LZHAF913"/>
    <n v="22"/>
    <s v="Абонент"/>
    <x v="1"/>
    <x v="1"/>
    <n v="440"/>
  </r>
  <r>
    <s v="QBGLD433"/>
    <n v="22"/>
    <s v="Абонент"/>
    <x v="3"/>
    <x v="1"/>
    <n v="440"/>
  </r>
  <r>
    <s v="QVMQD615"/>
    <n v="22"/>
    <s v="Абонент"/>
    <x v="0"/>
    <x v="1"/>
    <n v="330"/>
  </r>
  <r>
    <s v="HQWZQ565"/>
    <n v="22"/>
    <s v="Абонент"/>
    <x v="2"/>
    <x v="1"/>
    <n v="440"/>
  </r>
  <r>
    <s v="WWOEP382"/>
    <n v="22"/>
    <s v="Абонент"/>
    <x v="0"/>
    <x v="3"/>
    <n v="330"/>
  </r>
  <r>
    <s v="PAYRP633"/>
    <n v="22"/>
    <s v="Абонент"/>
    <x v="0"/>
    <x v="3"/>
    <n v="330"/>
  </r>
  <r>
    <s v="WWVNG117"/>
    <n v="22"/>
    <s v="Абонент"/>
    <x v="0"/>
    <x v="0"/>
    <n v="330"/>
  </r>
  <r>
    <s v="UISKE667"/>
    <n v="22"/>
    <s v="Абонент"/>
    <x v="0"/>
    <x v="3"/>
    <n v="330"/>
  </r>
  <r>
    <s v="WTUJU128"/>
    <n v="22"/>
    <s v="Абонент"/>
    <x v="0"/>
    <x v="3"/>
    <n v="330"/>
  </r>
  <r>
    <s v="ZTLYW029"/>
    <n v="22"/>
    <s v="Абонент"/>
    <x v="0"/>
    <x v="0"/>
    <n v="220"/>
  </r>
  <r>
    <s v="OIYMR777"/>
    <n v="22"/>
    <s v="Абонент"/>
    <x v="0"/>
    <x v="3"/>
    <n v="330"/>
  </r>
  <r>
    <s v="ECDMY367"/>
    <n v="22"/>
    <s v="Абонент"/>
    <x v="1"/>
    <x v="3"/>
    <n v="550"/>
  </r>
  <r>
    <s v="OBZYP189"/>
    <n v="22"/>
    <s v="Абонент"/>
    <x v="0"/>
    <x v="3"/>
    <n v="330"/>
  </r>
  <r>
    <s v="XMFLT123"/>
    <n v="22"/>
    <s v="Абонент"/>
    <x v="3"/>
    <x v="0"/>
    <n v="220"/>
  </r>
  <r>
    <s v="HOKTO272"/>
    <n v="22"/>
    <s v="Абонент"/>
    <x v="2"/>
    <x v="4"/>
    <n v="440"/>
  </r>
  <r>
    <s v="SKWLK283"/>
    <n v="22"/>
    <s v="Абонент"/>
    <x v="0"/>
    <x v="3"/>
    <n v="330"/>
  </r>
  <r>
    <s v="LWERY396"/>
    <n v="22"/>
    <s v="Абонент"/>
    <x v="0"/>
    <x v="0"/>
    <n v="440"/>
  </r>
  <r>
    <s v="EBNLL641"/>
    <n v="22"/>
    <s v="Абонент"/>
    <x v="2"/>
    <x v="0"/>
    <n v="550"/>
  </r>
  <r>
    <s v="YPMXJ580"/>
    <n v="22"/>
    <s v="Абонент"/>
    <x v="0"/>
    <x v="0"/>
    <n v="220"/>
  </r>
  <r>
    <s v="ABOJI528"/>
    <n v="22"/>
    <s v="Абонент"/>
    <x v="4"/>
    <x v="3"/>
    <n v="770"/>
  </r>
  <r>
    <s v="GDOFJ743"/>
    <n v="22"/>
    <s v="Абонент"/>
    <x v="1"/>
    <x v="1"/>
    <n v="550"/>
  </r>
  <r>
    <s v="WCOQM992"/>
    <n v="22"/>
    <s v="Абонент"/>
    <x v="0"/>
    <x v="3"/>
    <n v="330"/>
  </r>
  <r>
    <s v="FOKJN828"/>
    <n v="22"/>
    <s v="Абонент"/>
    <x v="2"/>
    <x v="4"/>
    <n v="550"/>
  </r>
  <r>
    <s v="JZGZM198"/>
    <n v="22"/>
    <s v="Абонент"/>
    <x v="0"/>
    <x v="1"/>
    <n v="440"/>
  </r>
  <r>
    <s v="DESLX403"/>
    <n v="22"/>
    <s v="Абонент"/>
    <x v="1"/>
    <x v="1"/>
    <n v="550"/>
  </r>
  <r>
    <s v="QVNXW035"/>
    <n v="22"/>
    <s v="Абонент"/>
    <x v="0"/>
    <x v="3"/>
    <n v="330"/>
  </r>
  <r>
    <s v="ZGCIC855"/>
    <n v="22"/>
    <s v="Абонент"/>
    <x v="0"/>
    <x v="0"/>
    <n v="220"/>
  </r>
  <r>
    <s v="DWXVS867"/>
    <n v="22"/>
    <s v="Абонент"/>
    <x v="0"/>
    <x v="0"/>
    <n v="330"/>
  </r>
  <r>
    <s v="FNBCB399"/>
    <n v="22"/>
    <s v="Абонент"/>
    <x v="1"/>
    <x v="1"/>
    <n v="550"/>
  </r>
  <r>
    <s v="LSQBZ026"/>
    <n v="22"/>
    <s v="Абонент"/>
    <x v="3"/>
    <x v="1"/>
    <n v="440"/>
  </r>
  <r>
    <s v="ZHPXF549"/>
    <n v="22"/>
    <s v="Абонент"/>
    <x v="3"/>
    <x v="0"/>
    <n v="220"/>
  </r>
  <r>
    <s v="AJGOU308"/>
    <n v="22"/>
    <s v="Абонент"/>
    <x v="4"/>
    <x v="2"/>
    <n v="770"/>
  </r>
  <r>
    <s v="YLLTD572"/>
    <n v="22"/>
    <s v="Абонент"/>
    <x v="3"/>
    <x v="0"/>
    <n v="220"/>
  </r>
  <r>
    <s v="QTVJS012"/>
    <n v="22"/>
    <s v="Абонент"/>
    <x v="0"/>
    <x v="1"/>
    <n v="330"/>
  </r>
  <r>
    <s v="DKZOP557"/>
    <n v="22"/>
    <s v="Абонент"/>
    <x v="0"/>
    <x v="1"/>
    <n v="330"/>
  </r>
  <r>
    <s v="GJVFO664"/>
    <n v="22"/>
    <s v="Абонент"/>
    <x v="2"/>
    <x v="4"/>
    <n v="550"/>
  </r>
  <r>
    <s v="SIWXE396"/>
    <n v="22"/>
    <s v="Абонент"/>
    <x v="0"/>
    <x v="3"/>
    <n v="330"/>
  </r>
  <r>
    <s v="QDCQP088"/>
    <n v="22"/>
    <s v="Абонент"/>
    <x v="1"/>
    <x v="1"/>
    <n v="440"/>
  </r>
  <r>
    <s v="MYUFG599"/>
    <n v="22"/>
    <s v="Абонент"/>
    <x v="0"/>
    <x v="3"/>
    <n v="330"/>
  </r>
  <r>
    <s v="VAMGL196"/>
    <n v="22"/>
    <s v="Абонент"/>
    <x v="0"/>
    <x v="3"/>
    <n v="330"/>
  </r>
  <r>
    <s v="XKOHF218"/>
    <n v="22"/>
    <s v="Абонент"/>
    <x v="0"/>
    <x v="4"/>
    <n v="330"/>
  </r>
  <r>
    <s v="FWWKU744"/>
    <n v="22"/>
    <s v="Абонент"/>
    <x v="2"/>
    <x v="4"/>
    <n v="550"/>
  </r>
  <r>
    <s v="PEKIK721"/>
    <n v="22"/>
    <s v="Абонент"/>
    <x v="0"/>
    <x v="3"/>
    <n v="330"/>
  </r>
  <r>
    <s v="VOUGG003"/>
    <n v="22"/>
    <s v="Абонент"/>
    <x v="0"/>
    <x v="3"/>
    <n v="330"/>
  </r>
  <r>
    <s v="GZDAK943"/>
    <n v="22"/>
    <s v="Абонент"/>
    <x v="2"/>
    <x v="1"/>
    <n v="440"/>
  </r>
  <r>
    <s v="IURSU195"/>
    <n v="22"/>
    <s v="Абонент"/>
    <x v="0"/>
    <x v="1"/>
    <n v="440"/>
  </r>
  <r>
    <s v="KCMTQ006"/>
    <n v="22"/>
    <s v="Абонент"/>
    <x v="2"/>
    <x v="4"/>
    <n v="440"/>
  </r>
  <r>
    <s v="ZQZJR354"/>
    <n v="22"/>
    <s v="Абонент"/>
    <x v="0"/>
    <x v="0"/>
    <n v="220"/>
  </r>
  <r>
    <s v="ANJXW186"/>
    <n v="22"/>
    <s v="Абонент"/>
    <x v="4"/>
    <x v="2"/>
    <n v="770"/>
  </r>
  <r>
    <s v="UUXAQ080"/>
    <n v="22"/>
    <s v="Абонент"/>
    <x v="0"/>
    <x v="3"/>
    <n v="330"/>
  </r>
  <r>
    <s v="GMVWO237"/>
    <n v="22"/>
    <s v="Абонент"/>
    <x v="1"/>
    <x v="1"/>
    <n v="550"/>
  </r>
  <r>
    <s v="ZOSLW286"/>
    <n v="22"/>
    <s v="Абонент"/>
    <x v="0"/>
    <x v="0"/>
    <n v="220"/>
  </r>
  <r>
    <s v="IROTI885"/>
    <n v="22"/>
    <s v="Абонент"/>
    <x v="2"/>
    <x v="1"/>
    <n v="440"/>
  </r>
  <r>
    <s v="KWCIN839"/>
    <n v="22"/>
    <s v="Абонент"/>
    <x v="0"/>
    <x v="1"/>
    <n v="440"/>
  </r>
  <r>
    <s v="BDFCL864"/>
    <n v="22"/>
    <s v="Абонент"/>
    <x v="4"/>
    <x v="2"/>
    <n v="770"/>
  </r>
  <r>
    <s v="CYWRN222"/>
    <n v="22"/>
    <s v="Абонент"/>
    <x v="0"/>
    <x v="0"/>
    <n v="330"/>
  </r>
  <r>
    <s v="LXPNS293"/>
    <n v="22"/>
    <s v="Абонент"/>
    <x v="3"/>
    <x v="1"/>
    <n v="440"/>
  </r>
  <r>
    <s v="CFUEQ576"/>
    <n v="22"/>
    <s v="Абонент"/>
    <x v="3"/>
    <x v="4"/>
    <n v="550"/>
  </r>
  <r>
    <s v="XNQDT138"/>
    <n v="22"/>
    <s v="Абонент"/>
    <x v="0"/>
    <x v="0"/>
    <n v="220"/>
  </r>
  <r>
    <s v="UQEUN515"/>
    <n v="22"/>
    <s v="Абонент"/>
    <x v="0"/>
    <x v="3"/>
    <n v="330"/>
  </r>
  <r>
    <s v="HKREU588"/>
    <n v="22"/>
    <s v="Абонент"/>
    <x v="2"/>
    <x v="1"/>
    <n v="440"/>
  </r>
  <r>
    <s v="YZJAT122"/>
    <n v="22"/>
    <s v="Абонент"/>
    <x v="0"/>
    <x v="0"/>
    <n v="220"/>
  </r>
  <r>
    <s v="IXHHB027"/>
    <n v="22"/>
    <s v="Абонент"/>
    <x v="1"/>
    <x v="0"/>
    <n v="440"/>
  </r>
  <r>
    <s v="PSJQM360"/>
    <n v="22"/>
    <s v="Абонент"/>
    <x v="0"/>
    <x v="3"/>
    <n v="330"/>
  </r>
  <r>
    <s v="GDGTH925"/>
    <n v="22"/>
    <s v="Абонент"/>
    <x v="1"/>
    <x v="0"/>
    <n v="550"/>
  </r>
  <r>
    <s v="JBQGX835"/>
    <n v="22"/>
    <s v="Абонент"/>
    <x v="0"/>
    <x v="1"/>
    <n v="440"/>
  </r>
  <r>
    <s v="NLPXO352"/>
    <n v="22"/>
    <s v="Абонент"/>
    <x v="0"/>
    <x v="3"/>
    <n v="330"/>
  </r>
  <r>
    <s v="CEYNZ979"/>
    <n v="22"/>
    <s v="Абонент"/>
    <x v="2"/>
    <x v="1"/>
    <n v="550"/>
  </r>
  <r>
    <s v="EYRZO846"/>
    <n v="22"/>
    <s v="Абонент"/>
    <x v="1"/>
    <x v="1"/>
    <n v="550"/>
  </r>
  <r>
    <s v="PGOBU846"/>
    <n v="22"/>
    <s v="Абонент"/>
    <x v="0"/>
    <x v="3"/>
    <n v="330"/>
  </r>
  <r>
    <s v="ULWVN765"/>
    <n v="22"/>
    <s v="Абонент"/>
    <x v="0"/>
    <x v="3"/>
    <n v="330"/>
  </r>
  <r>
    <s v="OZCPZ929"/>
    <n v="22"/>
    <s v="Абонент"/>
    <x v="0"/>
    <x v="3"/>
    <n v="330"/>
  </r>
  <r>
    <s v="DDEUU081"/>
    <n v="22"/>
    <s v="Абонент"/>
    <x v="0"/>
    <x v="3"/>
    <n v="330"/>
  </r>
  <r>
    <s v="TJXGG896"/>
    <n v="22"/>
    <s v="Абонент"/>
    <x v="0"/>
    <x v="3"/>
    <n v="330"/>
  </r>
  <r>
    <s v="YTXCR157"/>
    <n v="22"/>
    <s v="Абонент"/>
    <x v="0"/>
    <x v="0"/>
    <n v="220"/>
  </r>
  <r>
    <s v="KEFPK052"/>
    <n v="22"/>
    <s v="Абонент"/>
    <x v="2"/>
    <x v="1"/>
    <n v="440"/>
  </r>
  <r>
    <s v="CYYEI328"/>
    <n v="22"/>
    <s v="Абонент"/>
    <x v="0"/>
    <x v="3"/>
    <n v="330"/>
  </r>
  <r>
    <s v="XOYVE467"/>
    <n v="22"/>
    <s v="Абонент"/>
    <x v="3"/>
    <x v="0"/>
    <n v="220"/>
  </r>
  <r>
    <s v="HGKRU036"/>
    <n v="22"/>
    <s v="Абонент"/>
    <x v="1"/>
    <x v="4"/>
    <n v="440"/>
  </r>
  <r>
    <s v="ZNURP586"/>
    <n v="22"/>
    <s v="Абонент"/>
    <x v="0"/>
    <x v="0"/>
    <n v="220"/>
  </r>
  <r>
    <s v="NTBYG367"/>
    <n v="22"/>
    <s v="Абонент"/>
    <x v="3"/>
    <x v="3"/>
    <n v="330"/>
  </r>
  <r>
    <s v="OTIML470"/>
    <n v="22"/>
    <s v="Абонент"/>
    <x v="0"/>
    <x v="3"/>
    <n v="330"/>
  </r>
  <r>
    <s v="KZPTS826"/>
    <n v="22"/>
    <s v="Абонент"/>
    <x v="3"/>
    <x v="1"/>
    <n v="440"/>
  </r>
  <r>
    <s v="PPXAY009"/>
    <n v="22"/>
    <s v="Абонент"/>
    <x v="0"/>
    <x v="3"/>
    <n v="330"/>
  </r>
  <r>
    <s v="VLKKY906"/>
    <n v="22"/>
    <s v="Абонент"/>
    <x v="0"/>
    <x v="3"/>
    <n v="330"/>
  </r>
  <r>
    <s v="TIQTW725"/>
    <n v="22"/>
    <s v="Абонент"/>
    <x v="0"/>
    <x v="3"/>
    <n v="330"/>
  </r>
  <r>
    <s v="PIUXK896"/>
    <n v="22"/>
    <s v="Абонент"/>
    <x v="0"/>
    <x v="3"/>
    <n v="330"/>
  </r>
  <r>
    <s v="CHABB965"/>
    <n v="22"/>
    <s v="Абонент"/>
    <x v="0"/>
    <x v="3"/>
    <n v="550"/>
  </r>
  <r>
    <s v="AJJXH748"/>
    <n v="22"/>
    <s v="Абонент"/>
    <x v="4"/>
    <x v="3"/>
    <n v="770"/>
  </r>
  <r>
    <s v="TSEIF261"/>
    <n v="22"/>
    <s v="Абонент"/>
    <x v="0"/>
    <x v="3"/>
    <n v="330"/>
  </r>
  <r>
    <s v="LJWXO987"/>
    <n v="22"/>
    <s v="Абонент"/>
    <x v="3"/>
    <x v="1"/>
    <n v="440"/>
  </r>
  <r>
    <s v="NYSDV793"/>
    <n v="22"/>
    <s v="Абонент"/>
    <x v="0"/>
    <x v="3"/>
    <n v="330"/>
  </r>
  <r>
    <s v="PCNCQ596"/>
    <n v="22"/>
    <s v="Абонент"/>
    <x v="0"/>
    <x v="3"/>
    <n v="330"/>
  </r>
  <r>
    <s v="FBAJW491"/>
    <n v="22"/>
    <s v="Абонент"/>
    <x v="1"/>
    <x v="3"/>
    <n v="550"/>
  </r>
  <r>
    <s v="JZNUM670"/>
    <n v="22"/>
    <s v="Абонент"/>
    <x v="2"/>
    <x v="0"/>
    <n v="440"/>
  </r>
  <r>
    <s v="VZEPX988"/>
    <n v="22"/>
    <s v="Абонент"/>
    <x v="0"/>
    <x v="0"/>
    <n v="330"/>
  </r>
  <r>
    <s v="IGYHP956"/>
    <n v="22"/>
    <s v="Абонент"/>
    <x v="2"/>
    <x v="1"/>
    <n v="440"/>
  </r>
  <r>
    <s v="OVGGC199"/>
    <n v="22"/>
    <s v="Абонент"/>
    <x v="0"/>
    <x v="3"/>
    <n v="330"/>
  </r>
  <r>
    <s v="LQFUX426"/>
    <n v="22"/>
    <s v="Абонент"/>
    <x v="0"/>
    <x v="1"/>
    <n v="440"/>
  </r>
  <r>
    <s v="AFEUD360"/>
    <n v="22"/>
    <s v="Абонент"/>
    <x v="4"/>
    <x v="2"/>
    <n v="770"/>
  </r>
  <r>
    <s v="MPDXO314"/>
    <n v="22"/>
    <s v="Абонент"/>
    <x v="0"/>
    <x v="4"/>
    <n v="440"/>
  </r>
  <r>
    <s v="ZAGHP041"/>
    <n v="22"/>
    <s v="Абонент"/>
    <x v="0"/>
    <x v="0"/>
    <n v="220"/>
  </r>
  <r>
    <s v="HDNSO250"/>
    <n v="22"/>
    <s v="Абонент"/>
    <x v="0"/>
    <x v="1"/>
    <n v="440"/>
  </r>
  <r>
    <s v="SHLJG121"/>
    <n v="22"/>
    <s v="Абонент"/>
    <x v="0"/>
    <x v="0"/>
    <n v="330"/>
  </r>
  <r>
    <s v="ZVRQI834"/>
    <n v="22"/>
    <s v="Абонент"/>
    <x v="0"/>
    <x v="0"/>
    <n v="220"/>
  </r>
  <r>
    <s v="MWMRL844"/>
    <n v="22"/>
    <s v="Абонент"/>
    <x v="3"/>
    <x v="0"/>
    <n v="440"/>
  </r>
  <r>
    <s v="DGHXT934"/>
    <n v="22"/>
    <s v="Абонент"/>
    <x v="3"/>
    <x v="0"/>
    <n v="330"/>
  </r>
  <r>
    <s v="OWQXB880"/>
    <n v="22"/>
    <s v="Абонент"/>
    <x v="0"/>
    <x v="3"/>
    <n v="330"/>
  </r>
  <r>
    <s v="CHBVB524"/>
    <n v="22"/>
    <s v="Абонент"/>
    <x v="1"/>
    <x v="1"/>
    <n v="550"/>
  </r>
  <r>
    <s v="NZTUE463"/>
    <n v="22"/>
    <s v="Абонент"/>
    <x v="0"/>
    <x v="3"/>
    <n v="330"/>
  </r>
  <r>
    <s v="UUXOA188"/>
    <n v="22"/>
    <s v="Абонент"/>
    <x v="0"/>
    <x v="3"/>
    <n v="330"/>
  </r>
  <r>
    <s v="QXRKB943"/>
    <n v="22"/>
    <s v="Абонент"/>
    <x v="0"/>
    <x v="1"/>
    <n v="330"/>
  </r>
  <r>
    <s v="ROAZJ677"/>
    <n v="22"/>
    <s v="Абонент"/>
    <x v="0"/>
    <x v="3"/>
    <n v="330"/>
  </r>
  <r>
    <s v="NIDMA535"/>
    <n v="22"/>
    <s v="Абонент"/>
    <x v="0"/>
    <x v="3"/>
    <n v="330"/>
  </r>
  <r>
    <s v="ELSJO056"/>
    <n v="22"/>
    <s v="Абонент"/>
    <x v="0"/>
    <x v="3"/>
    <n v="330"/>
  </r>
  <r>
    <s v="KHTEW310"/>
    <n v="22"/>
    <s v="Абонент"/>
    <x v="0"/>
    <x v="0"/>
    <n v="440"/>
  </r>
  <r>
    <s v="CHWVJ778"/>
    <n v="22"/>
    <s v="Абонент"/>
    <x v="1"/>
    <x v="4"/>
    <n v="550"/>
  </r>
  <r>
    <s v="ONQTL892"/>
    <n v="22"/>
    <s v="Абонент"/>
    <x v="0"/>
    <x v="3"/>
    <n v="330"/>
  </r>
  <r>
    <s v="TLWXU600"/>
    <n v="23"/>
    <s v="Абонент"/>
    <x v="0"/>
    <x v="3"/>
    <n v="330"/>
  </r>
  <r>
    <s v="ATLRB413"/>
    <n v="23"/>
    <s v="Абонент"/>
    <x v="3"/>
    <x v="2"/>
    <n v="770"/>
  </r>
  <r>
    <s v="YXXFV716"/>
    <n v="23"/>
    <s v="Абонент"/>
    <x v="3"/>
    <x v="0"/>
    <n v="220"/>
  </r>
  <r>
    <s v="NOCRY115"/>
    <n v="23"/>
    <s v="Абонент"/>
    <x v="0"/>
    <x v="3"/>
    <n v="330"/>
  </r>
  <r>
    <s v="RTQUU258"/>
    <n v="23"/>
    <s v="Абонент"/>
    <x v="0"/>
    <x v="1"/>
    <n v="330"/>
  </r>
  <r>
    <s v="HFPFC275"/>
    <n v="23"/>
    <s v="Абонент"/>
    <x v="2"/>
    <x v="1"/>
    <n v="440"/>
  </r>
  <r>
    <s v="AFUTM422"/>
    <n v="23"/>
    <s v="Абонент"/>
    <x v="4"/>
    <x v="4"/>
    <n v="770"/>
  </r>
  <r>
    <s v="PTFRI551"/>
    <n v="23"/>
    <s v="Абонент"/>
    <x v="3"/>
    <x v="4"/>
    <n v="440"/>
  </r>
  <r>
    <s v="AWZZB338"/>
    <n v="23"/>
    <s v="Абонент"/>
    <x v="4"/>
    <x v="2"/>
    <n v="770"/>
  </r>
  <r>
    <s v="GNVGJ042"/>
    <n v="23"/>
    <s v="Абонент"/>
    <x v="1"/>
    <x v="0"/>
    <n v="550"/>
  </r>
  <r>
    <s v="WIZEX088"/>
    <n v="23"/>
    <s v="Абонент"/>
    <x v="0"/>
    <x v="3"/>
    <n v="330"/>
  </r>
  <r>
    <s v="IVMBB524"/>
    <n v="23"/>
    <s v="Абонент"/>
    <x v="0"/>
    <x v="0"/>
    <n v="440"/>
  </r>
  <r>
    <s v="ESLZH011"/>
    <n v="23"/>
    <s v="Абонент"/>
    <x v="0"/>
    <x v="0"/>
    <n v="330"/>
  </r>
  <r>
    <s v="AAGZN621"/>
    <n v="23"/>
    <s v="Абонент"/>
    <x v="4"/>
    <x v="0"/>
    <n v="770"/>
  </r>
  <r>
    <s v="APXRT042"/>
    <n v="23"/>
    <s v="Абонент"/>
    <x v="4"/>
    <x v="0"/>
    <n v="770"/>
  </r>
  <r>
    <s v="HWMQN616"/>
    <n v="23"/>
    <s v="Абонент"/>
    <x v="3"/>
    <x v="1"/>
    <n v="440"/>
  </r>
  <r>
    <s v="TKAZF107"/>
    <n v="23"/>
    <s v="Абонент"/>
    <x v="0"/>
    <x v="3"/>
    <n v="330"/>
  </r>
  <r>
    <s v="PBRKE012"/>
    <n v="23"/>
    <s v="Абонент"/>
    <x v="0"/>
    <x v="3"/>
    <n v="330"/>
  </r>
  <r>
    <s v="QICPF524"/>
    <n v="23"/>
    <s v="Абонент"/>
    <x v="0"/>
    <x v="3"/>
    <n v="330"/>
  </r>
  <r>
    <s v="JPEWK164"/>
    <n v="23"/>
    <s v="Абонент"/>
    <x v="0"/>
    <x v="4"/>
    <n v="440"/>
  </r>
  <r>
    <s v="RUDVX633"/>
    <n v="23"/>
    <s v="Абонент"/>
    <x v="0"/>
    <x v="3"/>
    <n v="330"/>
  </r>
  <r>
    <s v="ZMDIS131"/>
    <n v="23"/>
    <s v="Абонент"/>
    <x v="0"/>
    <x v="0"/>
    <n v="220"/>
  </r>
  <r>
    <s v="NHDIU145"/>
    <n v="23"/>
    <s v="Абонент"/>
    <x v="0"/>
    <x v="3"/>
    <n v="330"/>
  </r>
  <r>
    <s v="BXYWO556"/>
    <n v="23"/>
    <s v="Абонент"/>
    <x v="1"/>
    <x v="3"/>
    <n v="550"/>
  </r>
  <r>
    <s v="OQWUH675"/>
    <n v="23"/>
    <s v="Абонент"/>
    <x v="0"/>
    <x v="3"/>
    <n v="330"/>
  </r>
  <r>
    <s v="FETSD241"/>
    <n v="23"/>
    <s v="Абонент"/>
    <x v="1"/>
    <x v="1"/>
    <n v="550"/>
  </r>
  <r>
    <s v="LGTCW816"/>
    <n v="23"/>
    <s v="Абонент"/>
    <x v="0"/>
    <x v="1"/>
    <n v="440"/>
  </r>
  <r>
    <s v="NRNZG719"/>
    <n v="23"/>
    <s v="Абонент"/>
    <x v="0"/>
    <x v="3"/>
    <n v="330"/>
  </r>
  <r>
    <s v="KKVQU036"/>
    <n v="23"/>
    <s v="Абонент"/>
    <x v="0"/>
    <x v="4"/>
    <n v="440"/>
  </r>
  <r>
    <s v="NHOMU487"/>
    <n v="23"/>
    <s v="Абонент"/>
    <x v="0"/>
    <x v="3"/>
    <n v="330"/>
  </r>
  <r>
    <s v="NYYSC495"/>
    <n v="23"/>
    <s v="Абонент"/>
    <x v="0"/>
    <x v="3"/>
    <n v="330"/>
  </r>
  <r>
    <s v="RMYMY393"/>
    <n v="23"/>
    <s v="Абонент"/>
    <x v="0"/>
    <x v="4"/>
    <n v="330"/>
  </r>
  <r>
    <s v="MHCDC139"/>
    <n v="23"/>
    <s v="Абонент"/>
    <x v="0"/>
    <x v="3"/>
    <n v="440"/>
  </r>
  <r>
    <s v="PWKXT626"/>
    <n v="23"/>
    <s v="Абонент"/>
    <x v="2"/>
    <x v="0"/>
    <n v="440"/>
  </r>
  <r>
    <s v="ZAPUF689"/>
    <n v="23"/>
    <s v="Абонент"/>
    <x v="3"/>
    <x v="0"/>
    <n v="220"/>
  </r>
  <r>
    <s v="BPHZI693"/>
    <n v="23"/>
    <s v="Абонент"/>
    <x v="1"/>
    <x v="4"/>
    <n v="550"/>
  </r>
  <r>
    <s v="DMVAY785"/>
    <n v="23"/>
    <s v="Абонент"/>
    <x v="0"/>
    <x v="0"/>
    <n v="330"/>
  </r>
  <r>
    <s v="TOLBE820"/>
    <n v="23"/>
    <s v="Абонент"/>
    <x v="0"/>
    <x v="3"/>
    <n v="330"/>
  </r>
  <r>
    <s v="HCPNM086"/>
    <n v="23"/>
    <s v="Абонент"/>
    <x v="2"/>
    <x v="1"/>
    <n v="440"/>
  </r>
  <r>
    <s v="QXLIZ465"/>
    <n v="23"/>
    <s v="Абонент"/>
    <x v="0"/>
    <x v="1"/>
    <n v="330"/>
  </r>
  <r>
    <s v="YJFGW187"/>
    <n v="23"/>
    <s v="Абонент"/>
    <x v="3"/>
    <x v="0"/>
    <n v="220"/>
  </r>
  <r>
    <s v="JPLMY797"/>
    <n v="23"/>
    <s v="Абонент"/>
    <x v="3"/>
    <x v="1"/>
    <n v="440"/>
  </r>
  <r>
    <s v="MXJFX750"/>
    <n v="23"/>
    <s v="Абонент"/>
    <x v="2"/>
    <x v="4"/>
    <n v="440"/>
  </r>
  <r>
    <s v="BPNMQ316"/>
    <n v="23"/>
    <s v="Абонент"/>
    <x v="2"/>
    <x v="1"/>
    <n v="550"/>
  </r>
  <r>
    <s v="IAKYA575"/>
    <n v="23"/>
    <s v="Абонент"/>
    <x v="0"/>
    <x v="4"/>
    <n v="440"/>
  </r>
  <r>
    <s v="XJAAF209"/>
    <n v="23"/>
    <s v="Абонент"/>
    <x v="0"/>
    <x v="3"/>
    <n v="330"/>
  </r>
  <r>
    <s v="UDFMS370"/>
    <n v="23"/>
    <s v="Абонент"/>
    <x v="0"/>
    <x v="3"/>
    <n v="330"/>
  </r>
  <r>
    <s v="TWBEU422"/>
    <n v="23"/>
    <s v="Абонент"/>
    <x v="0"/>
    <x v="3"/>
    <n v="330"/>
  </r>
  <r>
    <s v="QYWVH445"/>
    <n v="23"/>
    <s v="Абонент"/>
    <x v="0"/>
    <x v="1"/>
    <n v="330"/>
  </r>
  <r>
    <s v="ILEUQ564"/>
    <n v="23"/>
    <s v="Абонент"/>
    <x v="2"/>
    <x v="1"/>
    <n v="440"/>
  </r>
  <r>
    <s v="APJPK475"/>
    <n v="23"/>
    <s v="Абонент"/>
    <x v="4"/>
    <x v="2"/>
    <n v="770"/>
  </r>
  <r>
    <s v="TIGDT529"/>
    <n v="23"/>
    <s v="Абонент"/>
    <x v="0"/>
    <x v="3"/>
    <n v="330"/>
  </r>
  <r>
    <s v="QBMFY333"/>
    <n v="23"/>
    <s v="Абонент"/>
    <x v="3"/>
    <x v="4"/>
    <n v="440"/>
  </r>
  <r>
    <s v="ZEXVQ652"/>
    <n v="23"/>
    <s v="Абонент"/>
    <x v="0"/>
    <x v="0"/>
    <n v="220"/>
  </r>
  <r>
    <s v="BPASY757"/>
    <n v="23"/>
    <s v="Абонент"/>
    <x v="0"/>
    <x v="1"/>
    <n v="550"/>
  </r>
  <r>
    <s v="GYVIW841"/>
    <n v="23"/>
    <s v="Абонент"/>
    <x v="2"/>
    <x v="4"/>
    <n v="440"/>
  </r>
  <r>
    <s v="MXUOB840"/>
    <n v="23"/>
    <s v="Абонент"/>
    <x v="2"/>
    <x v="1"/>
    <n v="440"/>
  </r>
  <r>
    <s v="TMVFA513"/>
    <n v="23"/>
    <s v="Абонент"/>
    <x v="0"/>
    <x v="3"/>
    <n v="330"/>
  </r>
  <r>
    <s v="CQMBK783"/>
    <n v="23"/>
    <s v="Абонент"/>
    <x v="1"/>
    <x v="1"/>
    <n v="550"/>
  </r>
  <r>
    <s v="CQYHD986"/>
    <n v="23"/>
    <s v="Абонент"/>
    <x v="0"/>
    <x v="3"/>
    <n v="330"/>
  </r>
  <r>
    <s v="DFMVZ237"/>
    <n v="23"/>
    <s v="Абонент"/>
    <x v="2"/>
    <x v="3"/>
    <n v="550"/>
  </r>
  <r>
    <s v="FGBYC975"/>
    <n v="23"/>
    <s v="Абонент"/>
    <x v="1"/>
    <x v="3"/>
    <n v="550"/>
  </r>
  <r>
    <s v="NOLVO164"/>
    <n v="23"/>
    <s v="Абонент"/>
    <x v="2"/>
    <x v="4"/>
    <n v="440"/>
  </r>
  <r>
    <s v="CIJVC974"/>
    <n v="23"/>
    <s v="Абонент"/>
    <x v="3"/>
    <x v="3"/>
    <n v="550"/>
  </r>
  <r>
    <s v="IAKVV015"/>
    <n v="23"/>
    <s v="Абонент"/>
    <x v="1"/>
    <x v="1"/>
    <n v="440"/>
  </r>
  <r>
    <s v="AFGLH776"/>
    <n v="23"/>
    <s v="Абонент"/>
    <x v="1"/>
    <x v="3"/>
    <n v="770"/>
  </r>
  <r>
    <s v="TPOGC571"/>
    <n v="23"/>
    <s v="Абонент"/>
    <x v="1"/>
    <x v="0"/>
    <n v="330"/>
  </r>
  <r>
    <s v="BXVJI671"/>
    <n v="23"/>
    <s v="Абонент"/>
    <x v="0"/>
    <x v="3"/>
    <n v="550"/>
  </r>
  <r>
    <s v="NJBXD126"/>
    <n v="23"/>
    <s v="Абонент"/>
    <x v="3"/>
    <x v="1"/>
    <n v="440"/>
  </r>
  <r>
    <s v="AZVPL448"/>
    <n v="23"/>
    <s v="Абонент"/>
    <x v="4"/>
    <x v="1"/>
    <n v="770"/>
  </r>
  <r>
    <s v="OXQNV345"/>
    <n v="23"/>
    <s v="Абонент"/>
    <x v="1"/>
    <x v="0"/>
    <n v="440"/>
  </r>
  <r>
    <s v="OJKDC905"/>
    <n v="23"/>
    <s v="Абонент"/>
    <x v="2"/>
    <x v="1"/>
    <n v="440"/>
  </r>
  <r>
    <s v="XSCES231"/>
    <n v="23"/>
    <s v="Абонент"/>
    <x v="0"/>
    <x v="0"/>
    <n v="220"/>
  </r>
  <r>
    <s v="ZNVGM826"/>
    <n v="23"/>
    <s v="Абонент"/>
    <x v="0"/>
    <x v="0"/>
    <n v="220"/>
  </r>
  <r>
    <s v="ZJBUE172"/>
    <n v="23"/>
    <s v="Абонент"/>
    <x v="3"/>
    <x v="0"/>
    <n v="220"/>
  </r>
  <r>
    <s v="QPJUD134"/>
    <n v="23"/>
    <s v="Абонент"/>
    <x v="0"/>
    <x v="3"/>
    <n v="330"/>
  </r>
  <r>
    <s v="XLRHD658"/>
    <n v="23"/>
    <s v="Абонент"/>
    <x v="0"/>
    <x v="0"/>
    <n v="330"/>
  </r>
  <r>
    <s v="RLIHK926"/>
    <n v="23"/>
    <s v="Абонент"/>
    <x v="0"/>
    <x v="3"/>
    <n v="330"/>
  </r>
  <r>
    <s v="OIIMG565"/>
    <n v="23"/>
    <s v="Абонент"/>
    <x v="0"/>
    <x v="1"/>
    <n v="440"/>
  </r>
  <r>
    <s v="BWLIM275"/>
    <n v="23"/>
    <s v="Абонент"/>
    <x v="2"/>
    <x v="1"/>
    <n v="550"/>
  </r>
  <r>
    <s v="PIMZQ488"/>
    <n v="23"/>
    <s v="Абонент"/>
    <x v="0"/>
    <x v="3"/>
    <n v="330"/>
  </r>
  <r>
    <s v="DVUBO891"/>
    <n v="23"/>
    <s v="Абонент"/>
    <x v="1"/>
    <x v="1"/>
    <n v="550"/>
  </r>
  <r>
    <s v="IHJJI639"/>
    <n v="23"/>
    <s v="Абонент"/>
    <x v="3"/>
    <x v="0"/>
    <n v="440"/>
  </r>
  <r>
    <s v="PHGYR942"/>
    <n v="23"/>
    <s v="Абонент"/>
    <x v="0"/>
    <x v="3"/>
    <n v="330"/>
  </r>
  <r>
    <s v="HKGON806"/>
    <n v="23"/>
    <s v="Абонент"/>
    <x v="2"/>
    <x v="1"/>
    <n v="440"/>
  </r>
  <r>
    <s v="LYWKO314"/>
    <n v="23"/>
    <s v="Абонент"/>
    <x v="3"/>
    <x v="0"/>
    <n v="440"/>
  </r>
  <r>
    <s v="ONRZQ066"/>
    <n v="23"/>
    <s v="Абонент"/>
    <x v="3"/>
    <x v="1"/>
    <n v="440"/>
  </r>
  <r>
    <s v="JOGYP644"/>
    <n v="23"/>
    <s v="Абонент"/>
    <x v="2"/>
    <x v="0"/>
    <n v="440"/>
  </r>
  <r>
    <s v="NGFRR350"/>
    <n v="23"/>
    <s v="Абонент"/>
    <x v="2"/>
    <x v="4"/>
    <n v="440"/>
  </r>
  <r>
    <s v="HLGJH584"/>
    <n v="23"/>
    <s v="Абонент"/>
    <x v="3"/>
    <x v="1"/>
    <n v="440"/>
  </r>
  <r>
    <s v="HMITY946"/>
    <n v="23"/>
    <s v="Абонент"/>
    <x v="3"/>
    <x v="0"/>
    <n v="440"/>
  </r>
  <r>
    <s v="HKWJM849"/>
    <n v="23"/>
    <s v="Абонент"/>
    <x v="3"/>
    <x v="0"/>
    <n v="440"/>
  </r>
  <r>
    <s v="RCPAS323"/>
    <n v="23"/>
    <s v="Абонент"/>
    <x v="0"/>
    <x v="1"/>
    <n v="330"/>
  </r>
  <r>
    <s v="DDOWK789"/>
    <n v="23"/>
    <s v="Абонент"/>
    <x v="1"/>
    <x v="0"/>
    <n v="550"/>
  </r>
  <r>
    <s v="ATLFX326"/>
    <n v="23"/>
    <s v="Абонент"/>
    <x v="2"/>
    <x v="3"/>
    <n v="770"/>
  </r>
  <r>
    <s v="GEFVV131"/>
    <n v="23"/>
    <s v="Абонент"/>
    <x v="2"/>
    <x v="1"/>
    <n v="550"/>
  </r>
  <r>
    <s v="JDTDW522"/>
    <n v="23"/>
    <s v="Абонент"/>
    <x v="3"/>
    <x v="1"/>
    <n v="440"/>
  </r>
  <r>
    <s v="VYZAW487"/>
    <n v="23"/>
    <s v="Абонент"/>
    <x v="0"/>
    <x v="3"/>
    <n v="330"/>
  </r>
  <r>
    <s v="OZZWZ912"/>
    <n v="23"/>
    <s v="Абонент"/>
    <x v="0"/>
    <x v="1"/>
    <n v="440"/>
  </r>
  <r>
    <s v="EIJTV101"/>
    <n v="23"/>
    <s v="Абонент"/>
    <x v="0"/>
    <x v="3"/>
    <n v="550"/>
  </r>
  <r>
    <s v="QDIMX551"/>
    <n v="23"/>
    <s v="Абонент"/>
    <x v="0"/>
    <x v="3"/>
    <n v="330"/>
  </r>
  <r>
    <s v="YBNBL298"/>
    <n v="23"/>
    <s v="Абонент"/>
    <x v="3"/>
    <x v="0"/>
    <n v="220"/>
  </r>
  <r>
    <s v="BIPHF520"/>
    <n v="23"/>
    <s v="Абонент"/>
    <x v="4"/>
    <x v="2"/>
    <n v="770"/>
  </r>
  <r>
    <s v="WUFRK495"/>
    <n v="23"/>
    <s v="Абонент"/>
    <x v="0"/>
    <x v="1"/>
    <n v="330"/>
  </r>
  <r>
    <s v="QFMFV830"/>
    <n v="23"/>
    <s v="Абонент"/>
    <x v="3"/>
    <x v="1"/>
    <n v="440"/>
  </r>
  <r>
    <s v="DAEZY763"/>
    <n v="23"/>
    <s v="Абонент"/>
    <x v="1"/>
    <x v="0"/>
    <n v="550"/>
  </r>
  <r>
    <s v="VBDGR917"/>
    <n v="23"/>
    <s v="Абонент"/>
    <x v="0"/>
    <x v="3"/>
    <n v="330"/>
  </r>
  <r>
    <s v="YZQCO301"/>
    <n v="23"/>
    <s v="Абонент"/>
    <x v="0"/>
    <x v="0"/>
    <n v="220"/>
  </r>
  <r>
    <s v="HESKN724"/>
    <n v="23"/>
    <s v="Абонент"/>
    <x v="3"/>
    <x v="1"/>
    <n v="440"/>
  </r>
  <r>
    <s v="DSKVP962"/>
    <n v="23"/>
    <s v="Абонент"/>
    <x v="2"/>
    <x v="0"/>
    <n v="550"/>
  </r>
  <r>
    <s v="VFBBA628"/>
    <n v="23"/>
    <s v="Абонент"/>
    <x v="0"/>
    <x v="3"/>
    <n v="330"/>
  </r>
  <r>
    <s v="QCZME776"/>
    <n v="23"/>
    <s v="Абонент"/>
    <x v="3"/>
    <x v="3"/>
    <n v="330"/>
  </r>
  <r>
    <s v="ANZAE039"/>
    <n v="23"/>
    <s v="Абонент"/>
    <x v="4"/>
    <x v="2"/>
    <n v="770"/>
  </r>
  <r>
    <s v="EIFHC961"/>
    <n v="23"/>
    <s v="Абонент"/>
    <x v="0"/>
    <x v="1"/>
    <n v="550"/>
  </r>
  <r>
    <s v="QFQNC760"/>
    <n v="23"/>
    <s v="Абонент"/>
    <x v="0"/>
    <x v="0"/>
    <n v="440"/>
  </r>
  <r>
    <s v="UADKS911"/>
    <n v="23"/>
    <s v="Абонент"/>
    <x v="0"/>
    <x v="3"/>
    <n v="330"/>
  </r>
  <r>
    <s v="EAJVZ439"/>
    <n v="23"/>
    <s v="Абонент"/>
    <x v="2"/>
    <x v="3"/>
    <n v="550"/>
  </r>
  <r>
    <s v="VLOZL951"/>
    <n v="23"/>
    <s v="Абонент"/>
    <x v="0"/>
    <x v="3"/>
    <n v="330"/>
  </r>
  <r>
    <s v="ATPEL891"/>
    <n v="23"/>
    <s v="Абонент"/>
    <x v="4"/>
    <x v="2"/>
    <n v="770"/>
  </r>
  <r>
    <s v="URFJO620"/>
    <n v="23"/>
    <s v="Абонент"/>
    <x v="0"/>
    <x v="3"/>
    <n v="330"/>
  </r>
  <r>
    <s v="QPHQZ282"/>
    <n v="23"/>
    <s v="Абонент"/>
    <x v="0"/>
    <x v="0"/>
    <n v="330"/>
  </r>
  <r>
    <s v="FWHUU203"/>
    <n v="23"/>
    <s v="Абонент"/>
    <x v="3"/>
    <x v="1"/>
    <n v="550"/>
  </r>
  <r>
    <s v="GZGCB247"/>
    <n v="23"/>
    <s v="Абонент"/>
    <x v="0"/>
    <x v="1"/>
    <n v="440"/>
  </r>
  <r>
    <s v="ARNFH791"/>
    <n v="23"/>
    <s v="Абонент"/>
    <x v="4"/>
    <x v="2"/>
    <n v="770"/>
  </r>
  <r>
    <s v="JNHDK024"/>
    <n v="23"/>
    <s v="Абонент"/>
    <x v="2"/>
    <x v="1"/>
    <n v="440"/>
  </r>
  <r>
    <s v="DPKCF705"/>
    <n v="23"/>
    <s v="Абонент"/>
    <x v="3"/>
    <x v="1"/>
    <n v="550"/>
  </r>
  <r>
    <s v="WFEED418"/>
    <n v="23"/>
    <s v="Абонент"/>
    <x v="0"/>
    <x v="1"/>
    <n v="330"/>
  </r>
  <r>
    <s v="XENXC321"/>
    <n v="23"/>
    <s v="Абонент"/>
    <x v="0"/>
    <x v="1"/>
    <n v="330"/>
  </r>
  <r>
    <s v="XWLRY971"/>
    <n v="23"/>
    <s v="Абонент"/>
    <x v="0"/>
    <x v="0"/>
    <n v="220"/>
  </r>
  <r>
    <s v="MKGXY478"/>
    <n v="23"/>
    <s v="Абонент"/>
    <x v="1"/>
    <x v="1"/>
    <n v="440"/>
  </r>
  <r>
    <s v="PYYAS746"/>
    <n v="23"/>
    <s v="Абонент"/>
    <x v="0"/>
    <x v="3"/>
    <n v="330"/>
  </r>
  <r>
    <s v="XDMHZ297"/>
    <n v="23"/>
    <s v="Абонент"/>
    <x v="0"/>
    <x v="0"/>
    <n v="330"/>
  </r>
  <r>
    <s v="CNNFJ341"/>
    <n v="23"/>
    <s v="Абонент"/>
    <x v="1"/>
    <x v="1"/>
    <n v="550"/>
  </r>
  <r>
    <s v="DWADB953"/>
    <n v="23"/>
    <s v="Абонент"/>
    <x v="2"/>
    <x v="4"/>
    <n v="550"/>
  </r>
  <r>
    <s v="KOHXH943"/>
    <n v="23"/>
    <s v="Абонент"/>
    <x v="2"/>
    <x v="4"/>
    <n v="440"/>
  </r>
  <r>
    <s v="NNNGE787"/>
    <n v="23"/>
    <s v="Абонент"/>
    <x v="2"/>
    <x v="4"/>
    <n v="440"/>
  </r>
  <r>
    <s v="UCGEB363"/>
    <n v="23"/>
    <s v="Абонент"/>
    <x v="0"/>
    <x v="3"/>
    <n v="330"/>
  </r>
  <r>
    <s v="OYBDX721"/>
    <n v="23"/>
    <s v="Абонент"/>
    <x v="2"/>
    <x v="1"/>
    <n v="440"/>
  </r>
  <r>
    <s v="ZUBSK353"/>
    <n v="23"/>
    <s v="Абонент"/>
    <x v="3"/>
    <x v="0"/>
    <n v="220"/>
  </r>
  <r>
    <s v="PAIFP591"/>
    <n v="23"/>
    <s v="Абонент"/>
    <x v="2"/>
    <x v="4"/>
    <n v="440"/>
  </r>
  <r>
    <s v="YJIEP710"/>
    <n v="23"/>
    <s v="Абонент"/>
    <x v="0"/>
    <x v="0"/>
    <n v="220"/>
  </r>
  <r>
    <s v="WANHU318"/>
    <n v="23"/>
    <s v="Абонент"/>
    <x v="0"/>
    <x v="0"/>
    <n v="330"/>
  </r>
  <r>
    <s v="VIQRX547"/>
    <n v="23"/>
    <s v="Абонент"/>
    <x v="0"/>
    <x v="3"/>
    <n v="330"/>
  </r>
  <r>
    <s v="IRQWP763"/>
    <n v="23"/>
    <s v="Абонент"/>
    <x v="0"/>
    <x v="1"/>
    <n v="440"/>
  </r>
  <r>
    <s v="RSBDM241"/>
    <n v="23"/>
    <s v="Абонент"/>
    <x v="0"/>
    <x v="1"/>
    <n v="330"/>
  </r>
  <r>
    <s v="TDBNE695"/>
    <n v="23"/>
    <s v="Абонент"/>
    <x v="0"/>
    <x v="3"/>
    <n v="330"/>
  </r>
  <r>
    <s v="EHGZD317"/>
    <n v="23"/>
    <s v="Абонент"/>
    <x v="1"/>
    <x v="1"/>
    <n v="550"/>
  </r>
  <r>
    <s v="ILRMB075"/>
    <n v="23"/>
    <s v="Абонент"/>
    <x v="3"/>
    <x v="4"/>
    <n v="440"/>
  </r>
  <r>
    <s v="VZUHZ883"/>
    <n v="23"/>
    <s v="Абонент"/>
    <x v="0"/>
    <x v="4"/>
    <n v="330"/>
  </r>
  <r>
    <s v="ITNMT334"/>
    <n v="23"/>
    <s v="Абонент"/>
    <x v="2"/>
    <x v="4"/>
    <n v="440"/>
  </r>
  <r>
    <s v="HBAJK899"/>
    <n v="23"/>
    <s v="Абонент"/>
    <x v="1"/>
    <x v="1"/>
    <n v="440"/>
  </r>
  <r>
    <s v="XNMCX072"/>
    <n v="23"/>
    <s v="Абонент"/>
    <x v="0"/>
    <x v="0"/>
    <n v="220"/>
  </r>
  <r>
    <s v="RNYIV849"/>
    <n v="23"/>
    <s v="Абонент"/>
    <x v="0"/>
    <x v="1"/>
    <n v="330"/>
  </r>
  <r>
    <s v="IDUDX804"/>
    <n v="23"/>
    <s v="Абонент"/>
    <x v="2"/>
    <x v="4"/>
    <n v="440"/>
  </r>
  <r>
    <s v="HENXA387"/>
    <n v="23"/>
    <s v="Абонент"/>
    <x v="3"/>
    <x v="1"/>
    <n v="440"/>
  </r>
  <r>
    <s v="TXMMZ673"/>
    <n v="23"/>
    <s v="Абонент"/>
    <x v="0"/>
    <x v="3"/>
    <n v="330"/>
  </r>
  <r>
    <s v="BVKVV642"/>
    <n v="23"/>
    <s v="Абонент"/>
    <x v="2"/>
    <x v="1"/>
    <n v="440"/>
  </r>
  <r>
    <s v="SQNSZ952"/>
    <n v="23"/>
    <s v="Абонент"/>
    <x v="0"/>
    <x v="3"/>
    <n v="330"/>
  </r>
  <r>
    <s v="AJMGM712"/>
    <n v="23"/>
    <s v="Абонент"/>
    <x v="2"/>
    <x v="2"/>
    <n v="770"/>
  </r>
  <r>
    <s v="CTQXN831"/>
    <n v="24"/>
    <s v="Абонент"/>
    <x v="2"/>
    <x v="0"/>
    <n v="550"/>
  </r>
  <r>
    <s v="OFHNG821"/>
    <n v="24"/>
    <s v="Абонент"/>
    <x v="3"/>
    <x v="1"/>
    <n v="440"/>
  </r>
  <r>
    <s v="MDDLW982"/>
    <n v="24"/>
    <s v="Абонент"/>
    <x v="2"/>
    <x v="0"/>
    <n v="440"/>
  </r>
  <r>
    <s v="PQKCK030"/>
    <n v="24"/>
    <s v="Абонент"/>
    <x v="0"/>
    <x v="3"/>
    <n v="330"/>
  </r>
  <r>
    <s v="IWSXU617"/>
    <n v="24"/>
    <s v="Абонент"/>
    <x v="3"/>
    <x v="1"/>
    <n v="440"/>
  </r>
  <r>
    <s v="ASLML130"/>
    <n v="24"/>
    <s v="Абонент"/>
    <x v="4"/>
    <x v="2"/>
    <n v="770"/>
  </r>
  <r>
    <s v="URACX508"/>
    <n v="24"/>
    <s v="Абонент"/>
    <x v="0"/>
    <x v="0"/>
    <n v="330"/>
  </r>
  <r>
    <s v="HDTTX285"/>
    <n v="24"/>
    <s v="Абонент"/>
    <x v="2"/>
    <x v="1"/>
    <n v="440"/>
  </r>
  <r>
    <s v="TVDUM907"/>
    <n v="24"/>
    <s v="Абонент"/>
    <x v="0"/>
    <x v="3"/>
    <n v="330"/>
  </r>
  <r>
    <s v="IJYZH199"/>
    <n v="24"/>
    <s v="Абонент"/>
    <x v="3"/>
    <x v="1"/>
    <n v="440"/>
  </r>
  <r>
    <s v="NZNQZ845"/>
    <n v="24"/>
    <s v="Абонент"/>
    <x v="1"/>
    <x v="1"/>
    <n v="440"/>
  </r>
  <r>
    <s v="QZBQM890"/>
    <n v="24"/>
    <s v="Абонент"/>
    <x v="0"/>
    <x v="4"/>
    <n v="330"/>
  </r>
  <r>
    <s v="UCESD158"/>
    <n v="24"/>
    <s v="Абонент"/>
    <x v="0"/>
    <x v="3"/>
    <n v="330"/>
  </r>
  <r>
    <s v="CAAYW201"/>
    <n v="24"/>
    <s v="Абонент"/>
    <x v="0"/>
    <x v="4"/>
    <n v="550"/>
  </r>
  <r>
    <s v="PUSPQ812"/>
    <n v="24"/>
    <s v="Абонент"/>
    <x v="0"/>
    <x v="3"/>
    <n v="330"/>
  </r>
  <r>
    <s v="LUVNU742"/>
    <n v="24"/>
    <s v="Абонент"/>
    <x v="0"/>
    <x v="1"/>
    <n v="440"/>
  </r>
  <r>
    <s v="OHLSH131"/>
    <n v="24"/>
    <s v="Абонент"/>
    <x v="3"/>
    <x v="1"/>
    <n v="440"/>
  </r>
  <r>
    <s v="KJEZD671"/>
    <n v="24"/>
    <s v="Абонент"/>
    <x v="3"/>
    <x v="1"/>
    <n v="440"/>
  </r>
  <r>
    <s v="WMWUW459"/>
    <n v="24"/>
    <s v="Абонент"/>
    <x v="2"/>
    <x v="4"/>
    <n v="440"/>
  </r>
  <r>
    <s v="MBGQI926"/>
    <n v="24"/>
    <s v="Абонент"/>
    <x v="0"/>
    <x v="1"/>
    <n v="440"/>
  </r>
  <r>
    <s v="EXQBQ840"/>
    <n v="24"/>
    <s v="Абонент"/>
    <x v="3"/>
    <x v="1"/>
    <n v="550"/>
  </r>
  <r>
    <s v="ZGACD935"/>
    <n v="24"/>
    <s v="Абонент"/>
    <x v="3"/>
    <x v="0"/>
    <n v="220"/>
  </r>
  <r>
    <s v="EKJGM926"/>
    <n v="24"/>
    <s v="Абонент"/>
    <x v="1"/>
    <x v="1"/>
    <n v="550"/>
  </r>
  <r>
    <s v="UPVLT722"/>
    <n v="24"/>
    <s v="Абонент"/>
    <x v="0"/>
    <x v="3"/>
    <n v="330"/>
  </r>
  <r>
    <s v="XARUS608"/>
    <n v="24"/>
    <s v="Абонент"/>
    <x v="0"/>
    <x v="0"/>
    <n v="330"/>
  </r>
  <r>
    <s v="IFTGX633"/>
    <n v="24"/>
    <s v="Абонент"/>
    <x v="2"/>
    <x v="1"/>
    <n v="440"/>
  </r>
  <r>
    <s v="LYUHI269"/>
    <n v="24"/>
    <s v="Абонент"/>
    <x v="0"/>
    <x v="1"/>
    <n v="440"/>
  </r>
  <r>
    <s v="EDSMG394"/>
    <n v="24"/>
    <s v="Абонент"/>
    <x v="2"/>
    <x v="1"/>
    <n v="550"/>
  </r>
  <r>
    <s v="VPJWC678"/>
    <n v="24"/>
    <s v="Абонент"/>
    <x v="0"/>
    <x v="3"/>
    <n v="330"/>
  </r>
  <r>
    <s v="WHBEQ911"/>
    <n v="24"/>
    <s v="Абонент"/>
    <x v="0"/>
    <x v="0"/>
    <n v="330"/>
  </r>
  <r>
    <s v="ORSYC922"/>
    <n v="24"/>
    <s v="Абонент"/>
    <x v="3"/>
    <x v="1"/>
    <n v="440"/>
  </r>
  <r>
    <s v="ROMYB789"/>
    <n v="24"/>
    <s v="Абонент"/>
    <x v="0"/>
    <x v="4"/>
    <n v="330"/>
  </r>
  <r>
    <s v="VNXEV874"/>
    <n v="24"/>
    <s v="Абонент"/>
    <x v="0"/>
    <x v="1"/>
    <n v="330"/>
  </r>
  <r>
    <s v="EGKGR184"/>
    <n v="24"/>
    <s v="Абонент"/>
    <x v="1"/>
    <x v="1"/>
    <n v="550"/>
  </r>
  <r>
    <s v="CYRQL108"/>
    <n v="24"/>
    <s v="Абонент"/>
    <x v="3"/>
    <x v="0"/>
    <n v="550"/>
  </r>
  <r>
    <s v="RPMGM666"/>
    <n v="24"/>
    <s v="Абонент"/>
    <x v="0"/>
    <x v="3"/>
    <n v="330"/>
  </r>
  <r>
    <s v="SXEMG375"/>
    <n v="24"/>
    <s v="Абонент"/>
    <x v="0"/>
    <x v="3"/>
    <n v="330"/>
  </r>
  <r>
    <s v="XPLGR764"/>
    <n v="24"/>
    <s v="Абонент"/>
    <x v="0"/>
    <x v="0"/>
    <n v="220"/>
  </r>
  <r>
    <s v="QPVIB669"/>
    <n v="24"/>
    <s v="Абонент"/>
    <x v="0"/>
    <x v="1"/>
    <n v="330"/>
  </r>
  <r>
    <s v="IQCSE645"/>
    <n v="24"/>
    <s v="Абонент"/>
    <x v="1"/>
    <x v="4"/>
    <n v="440"/>
  </r>
  <r>
    <s v="JQRBD591"/>
    <n v="24"/>
    <s v="Абонент"/>
    <x v="2"/>
    <x v="0"/>
    <n v="440"/>
  </r>
  <r>
    <s v="RWJHH645"/>
    <n v="24"/>
    <s v="Абонент"/>
    <x v="0"/>
    <x v="1"/>
    <n v="330"/>
  </r>
  <r>
    <s v="LLNDT500"/>
    <n v="24"/>
    <s v="Абонент"/>
    <x v="3"/>
    <x v="1"/>
    <n v="440"/>
  </r>
  <r>
    <s v="ZMEHA722"/>
    <n v="24"/>
    <s v="Абонент"/>
    <x v="0"/>
    <x v="0"/>
    <n v="220"/>
  </r>
  <r>
    <s v="DRTGW180"/>
    <n v="24"/>
    <s v="Абонент"/>
    <x v="1"/>
    <x v="1"/>
    <n v="550"/>
  </r>
  <r>
    <s v="VFBFH300"/>
    <n v="24"/>
    <s v="Абонент"/>
    <x v="0"/>
    <x v="3"/>
    <n v="330"/>
  </r>
  <r>
    <s v="GNKCQ969"/>
    <n v="24"/>
    <s v="Абонент"/>
    <x v="3"/>
    <x v="3"/>
    <n v="550"/>
  </r>
  <r>
    <s v="AOOQZ019"/>
    <n v="24"/>
    <s v="Абонент"/>
    <x v="4"/>
    <x v="2"/>
    <n v="770"/>
  </r>
  <r>
    <s v="CDLXK272"/>
    <n v="24"/>
    <s v="Абонент"/>
    <x v="1"/>
    <x v="0"/>
    <n v="550"/>
  </r>
  <r>
    <s v="XSFAR056"/>
    <n v="24"/>
    <s v="Абонент"/>
    <x v="0"/>
    <x v="0"/>
    <n v="220"/>
  </r>
  <r>
    <s v="FEHSR387"/>
    <n v="24"/>
    <s v="Абонент"/>
    <x v="1"/>
    <x v="1"/>
    <n v="550"/>
  </r>
  <r>
    <s v="PBQJI125"/>
    <n v="24"/>
    <s v="Абонент"/>
    <x v="2"/>
    <x v="1"/>
    <n v="440"/>
  </r>
  <r>
    <s v="GTUUZ828"/>
    <n v="24"/>
    <s v="Абонент"/>
    <x v="0"/>
    <x v="4"/>
    <n v="440"/>
  </r>
  <r>
    <s v="SVKWJ988"/>
    <n v="24"/>
    <s v="Абонент"/>
    <x v="0"/>
    <x v="4"/>
    <n v="330"/>
  </r>
  <r>
    <s v="OROXS139"/>
    <n v="24"/>
    <s v="Абонент"/>
    <x v="3"/>
    <x v="1"/>
    <n v="440"/>
  </r>
  <r>
    <s v="GOAUK965"/>
    <n v="24"/>
    <s v="Абонент"/>
    <x v="1"/>
    <x v="1"/>
    <n v="550"/>
  </r>
  <r>
    <s v="JFNAQ297"/>
    <n v="24"/>
    <s v="Абонент"/>
    <x v="2"/>
    <x v="4"/>
    <n v="440"/>
  </r>
  <r>
    <s v="RUTMA147"/>
    <n v="24"/>
    <s v="Абонент"/>
    <x v="0"/>
    <x v="3"/>
    <n v="330"/>
  </r>
  <r>
    <s v="QALWX639"/>
    <n v="24"/>
    <s v="Абонент"/>
    <x v="2"/>
    <x v="1"/>
    <n v="440"/>
  </r>
  <r>
    <s v="VGEJT519"/>
    <n v="24"/>
    <s v="Абонент"/>
    <x v="0"/>
    <x v="3"/>
    <n v="330"/>
  </r>
  <r>
    <s v="FFFKB855"/>
    <n v="24"/>
    <s v="Абонент"/>
    <x v="2"/>
    <x v="1"/>
    <n v="550"/>
  </r>
  <r>
    <s v="NHNHX040"/>
    <n v="24"/>
    <s v="Абонент"/>
    <x v="0"/>
    <x v="0"/>
    <n v="440"/>
  </r>
  <r>
    <s v="SDGQE907"/>
    <n v="24"/>
    <s v="Абонент"/>
    <x v="0"/>
    <x v="1"/>
    <n v="330"/>
  </r>
  <r>
    <s v="SCSET309"/>
    <n v="24"/>
    <s v="Абонент"/>
    <x v="0"/>
    <x v="3"/>
    <n v="330"/>
  </r>
  <r>
    <s v="QRQWM198"/>
    <n v="24"/>
    <s v="Абонент"/>
    <x v="0"/>
    <x v="3"/>
    <n v="330"/>
  </r>
  <r>
    <s v="QJJCR975"/>
    <n v="24"/>
    <s v="Абонент"/>
    <x v="0"/>
    <x v="3"/>
    <n v="330"/>
  </r>
  <r>
    <s v="HQNKR106"/>
    <n v="24"/>
    <s v="Абонент"/>
    <x v="0"/>
    <x v="1"/>
    <n v="440"/>
  </r>
  <r>
    <s v="VDMRH647"/>
    <n v="24"/>
    <s v="Абонент"/>
    <x v="0"/>
    <x v="1"/>
    <n v="330"/>
  </r>
  <r>
    <s v="HJRHZ133"/>
    <n v="24"/>
    <s v="Абонент"/>
    <x v="3"/>
    <x v="1"/>
    <n v="440"/>
  </r>
  <r>
    <s v="DUUXT488"/>
    <n v="24"/>
    <s v="Абонент"/>
    <x v="0"/>
    <x v="4"/>
    <n v="550"/>
  </r>
  <r>
    <s v="ORTJS413"/>
    <n v="24"/>
    <s v="Абонент"/>
    <x v="3"/>
    <x v="0"/>
    <n v="440"/>
  </r>
  <r>
    <s v="GRNBH897"/>
    <n v="24"/>
    <s v="Абонент"/>
    <x v="2"/>
    <x v="3"/>
    <n v="550"/>
  </r>
  <r>
    <s v="OEQGI393"/>
    <n v="24"/>
    <s v="Абонент"/>
    <x v="3"/>
    <x v="1"/>
    <n v="440"/>
  </r>
  <r>
    <s v="OHMGQ994"/>
    <n v="24"/>
    <s v="Абонент"/>
    <x v="3"/>
    <x v="1"/>
    <n v="440"/>
  </r>
  <r>
    <s v="MGOTE228"/>
    <n v="24"/>
    <s v="Абонент"/>
    <x v="3"/>
    <x v="1"/>
    <n v="440"/>
  </r>
  <r>
    <s v="LFLIA985"/>
    <n v="24"/>
    <s v="Абонент"/>
    <x v="2"/>
    <x v="4"/>
    <n v="440"/>
  </r>
  <r>
    <s v="NAWJB102"/>
    <n v="24"/>
    <s v="Абонент"/>
    <x v="0"/>
    <x v="0"/>
    <n v="440"/>
  </r>
  <r>
    <s v="MCUVJ000"/>
    <n v="24"/>
    <s v="Абонент"/>
    <x v="0"/>
    <x v="4"/>
    <n v="440"/>
  </r>
  <r>
    <s v="BCCEC678"/>
    <n v="24"/>
    <s v="Абонент"/>
    <x v="2"/>
    <x v="0"/>
    <n v="770"/>
  </r>
  <r>
    <s v="NXUUT497"/>
    <n v="24"/>
    <s v="Абонент"/>
    <x v="3"/>
    <x v="0"/>
    <n v="440"/>
  </r>
  <r>
    <s v="OMPME045"/>
    <n v="24"/>
    <s v="Абонент"/>
    <x v="3"/>
    <x v="1"/>
    <n v="440"/>
  </r>
  <r>
    <s v="SDHBZ773"/>
    <n v="24"/>
    <s v="Абонент"/>
    <x v="0"/>
    <x v="3"/>
    <n v="330"/>
  </r>
  <r>
    <s v="EURAE052"/>
    <n v="24"/>
    <s v="Абонент"/>
    <x v="1"/>
    <x v="1"/>
    <n v="550"/>
  </r>
  <r>
    <s v="JMQVS429"/>
    <n v="24"/>
    <s v="Абонент"/>
    <x v="0"/>
    <x v="0"/>
    <n v="440"/>
  </r>
  <r>
    <s v="RYDZJ989"/>
    <n v="24"/>
    <s v="Абонент"/>
    <x v="0"/>
    <x v="1"/>
    <n v="330"/>
  </r>
  <r>
    <s v="OXDCT117"/>
    <n v="24"/>
    <s v="Абонент"/>
    <x v="0"/>
    <x v="4"/>
    <n v="440"/>
  </r>
  <r>
    <s v="DEBVL613"/>
    <n v="24"/>
    <s v="Абонент"/>
    <x v="1"/>
    <x v="3"/>
    <n v="550"/>
  </r>
  <r>
    <s v="DJHOI129"/>
    <n v="24"/>
    <s v="Абонент"/>
    <x v="2"/>
    <x v="1"/>
    <n v="550"/>
  </r>
  <r>
    <s v="MMWGP800"/>
    <n v="24"/>
    <s v="Абонент"/>
    <x v="0"/>
    <x v="0"/>
    <n v="440"/>
  </r>
  <r>
    <s v="UZQQC116"/>
    <n v="24"/>
    <s v="Абонент"/>
    <x v="0"/>
    <x v="3"/>
    <n v="330"/>
  </r>
  <r>
    <s v="BMQLR884"/>
    <n v="24"/>
    <s v="Абонент"/>
    <x v="1"/>
    <x v="4"/>
    <n v="550"/>
  </r>
  <r>
    <s v="RXLSC035"/>
    <n v="24"/>
    <s v="Абонент"/>
    <x v="0"/>
    <x v="4"/>
    <n v="330"/>
  </r>
  <r>
    <s v="IGPIS441"/>
    <n v="24"/>
    <s v="Абонент"/>
    <x v="0"/>
    <x v="0"/>
    <n v="440"/>
  </r>
  <r>
    <s v="IOJPB464"/>
    <n v="24"/>
    <s v="Абонент"/>
    <x v="2"/>
    <x v="0"/>
    <n v="440"/>
  </r>
  <r>
    <s v="SGCDK638"/>
    <n v="24"/>
    <s v="Абонент"/>
    <x v="0"/>
    <x v="3"/>
    <n v="330"/>
  </r>
  <r>
    <s v="JDKBY559"/>
    <n v="24"/>
    <s v="Абонент"/>
    <x v="0"/>
    <x v="1"/>
    <n v="440"/>
  </r>
  <r>
    <s v="MZWTZ982"/>
    <n v="24"/>
    <s v="Абонент"/>
    <x v="0"/>
    <x v="1"/>
    <n v="440"/>
  </r>
  <r>
    <s v="FVERW989"/>
    <n v="24"/>
    <s v="Абонент"/>
    <x v="1"/>
    <x v="3"/>
    <n v="550"/>
  </r>
  <r>
    <s v="ZJMCS717"/>
    <n v="24"/>
    <s v="Абонент"/>
    <x v="0"/>
    <x v="0"/>
    <n v="220"/>
  </r>
  <r>
    <s v="VYREC190"/>
    <n v="24"/>
    <s v="Абонент"/>
    <x v="0"/>
    <x v="0"/>
    <n v="330"/>
  </r>
  <r>
    <s v="KSHJW855"/>
    <n v="24"/>
    <s v="Абонент"/>
    <x v="3"/>
    <x v="1"/>
    <n v="440"/>
  </r>
  <r>
    <s v="HFALM848"/>
    <n v="24"/>
    <s v="Абонент"/>
    <x v="3"/>
    <x v="4"/>
    <n v="440"/>
  </r>
  <r>
    <s v="SDZAP329"/>
    <n v="24"/>
    <s v="Абонент"/>
    <x v="0"/>
    <x v="0"/>
    <n v="330"/>
  </r>
  <r>
    <s v="LVYKA913"/>
    <n v="24"/>
    <s v="Абонент"/>
    <x v="0"/>
    <x v="0"/>
    <n v="440"/>
  </r>
  <r>
    <s v="YYRIV364"/>
    <n v="24"/>
    <s v="Абонент"/>
    <x v="0"/>
    <x v="0"/>
    <n v="220"/>
  </r>
  <r>
    <s v="UVJYL902"/>
    <n v="24"/>
    <s v="Абонент"/>
    <x v="0"/>
    <x v="3"/>
    <n v="330"/>
  </r>
  <r>
    <s v="ADPBA513"/>
    <n v="24"/>
    <s v="Абонент"/>
    <x v="1"/>
    <x v="2"/>
    <n v="770"/>
  </r>
  <r>
    <s v="XCCCN086"/>
    <n v="24"/>
    <s v="Абонент"/>
    <x v="0"/>
    <x v="3"/>
    <n v="330"/>
  </r>
  <r>
    <s v="ALFDX113"/>
    <n v="24"/>
    <s v="Абонент"/>
    <x v="4"/>
    <x v="2"/>
    <n v="770"/>
  </r>
  <r>
    <s v="ZGROB783"/>
    <n v="24"/>
    <s v="Абонент"/>
    <x v="3"/>
    <x v="0"/>
    <n v="220"/>
  </r>
  <r>
    <s v="PAPYC480"/>
    <n v="24"/>
    <s v="Абонент"/>
    <x v="3"/>
    <x v="0"/>
    <n v="440"/>
  </r>
  <r>
    <s v="GXTXR073"/>
    <n v="24"/>
    <s v="Абонент"/>
    <x v="3"/>
    <x v="1"/>
    <n v="440"/>
  </r>
  <r>
    <s v="YKPVW341"/>
    <n v="24"/>
    <s v="Абонент"/>
    <x v="0"/>
    <x v="0"/>
    <n v="220"/>
  </r>
  <r>
    <s v="PNYKM562"/>
    <n v="24"/>
    <s v="Абонент"/>
    <x v="0"/>
    <x v="1"/>
    <n v="440"/>
  </r>
  <r>
    <s v="WHVAW931"/>
    <n v="24"/>
    <s v="Абонент"/>
    <x v="0"/>
    <x v="3"/>
    <n v="330"/>
  </r>
  <r>
    <s v="HEILY541"/>
    <n v="24"/>
    <s v="Абонент"/>
    <x v="0"/>
    <x v="1"/>
    <n v="440"/>
  </r>
  <r>
    <s v="WAUHY594"/>
    <n v="24"/>
    <s v="Абонент"/>
    <x v="0"/>
    <x v="3"/>
    <n v="330"/>
  </r>
  <r>
    <s v="SGXAG053"/>
    <n v="24"/>
    <s v="Абонент"/>
    <x v="0"/>
    <x v="4"/>
    <n v="330"/>
  </r>
  <r>
    <s v="KJZMM021"/>
    <n v="24"/>
    <s v="Абонент"/>
    <x v="0"/>
    <x v="1"/>
    <n v="440"/>
  </r>
  <r>
    <s v="QQVKY383"/>
    <n v="24"/>
    <s v="Абонент"/>
    <x v="0"/>
    <x v="3"/>
    <n v="330"/>
  </r>
  <r>
    <s v="JVJCJ686"/>
    <n v="24"/>
    <s v="Абонент"/>
    <x v="3"/>
    <x v="4"/>
    <n v="440"/>
  </r>
  <r>
    <s v="JLHUE469"/>
    <n v="24"/>
    <s v="Абонент"/>
    <x v="0"/>
    <x v="1"/>
    <n v="440"/>
  </r>
  <r>
    <s v="ORTQF688"/>
    <n v="24"/>
    <s v="Абонент"/>
    <x v="3"/>
    <x v="0"/>
    <n v="440"/>
  </r>
  <r>
    <s v="DYOBW915"/>
    <n v="24"/>
    <s v="Абонент"/>
    <x v="1"/>
    <x v="4"/>
    <n v="550"/>
  </r>
  <r>
    <s v="PKXTF811"/>
    <n v="24"/>
    <s v="Абонент"/>
    <x v="0"/>
    <x v="1"/>
    <n v="440"/>
  </r>
  <r>
    <s v="GCTPY128"/>
    <n v="24"/>
    <s v="Абонент"/>
    <x v="2"/>
    <x v="0"/>
    <n v="550"/>
  </r>
  <r>
    <s v="VOZOR859"/>
    <n v="24"/>
    <s v="Абонент"/>
    <x v="0"/>
    <x v="3"/>
    <n v="330"/>
  </r>
  <r>
    <s v="NVMSP505"/>
    <n v="24"/>
    <s v="Абонент"/>
    <x v="2"/>
    <x v="1"/>
    <n v="440"/>
  </r>
  <r>
    <s v="SZXSZ937"/>
    <n v="24"/>
    <s v="Абонент"/>
    <x v="0"/>
    <x v="3"/>
    <n v="330"/>
  </r>
  <r>
    <s v="EARWC656"/>
    <n v="24"/>
    <s v="Абонент"/>
    <x v="1"/>
    <x v="3"/>
    <n v="550"/>
  </r>
  <r>
    <s v="FPYIL833"/>
    <n v="24"/>
    <s v="Абонент"/>
    <x v="2"/>
    <x v="0"/>
    <n v="550"/>
  </r>
  <r>
    <s v="EQWVZ426"/>
    <n v="24"/>
    <s v="Абонент"/>
    <x v="2"/>
    <x v="1"/>
    <n v="550"/>
  </r>
  <r>
    <s v="TEVSD451"/>
    <n v="24"/>
    <s v="Абонент"/>
    <x v="0"/>
    <x v="3"/>
    <n v="330"/>
  </r>
  <r>
    <s v="WVWHM755"/>
    <n v="24"/>
    <s v="Абонент"/>
    <x v="0"/>
    <x v="1"/>
    <n v="440"/>
  </r>
  <r>
    <s v="FAWLQ310"/>
    <n v="24"/>
    <s v="Абонент"/>
    <x v="3"/>
    <x v="1"/>
    <n v="550"/>
  </r>
  <r>
    <s v="NFTZY842"/>
    <n v="24"/>
    <s v="Абонент"/>
    <x v="0"/>
    <x v="0"/>
    <n v="440"/>
  </r>
  <r>
    <s v="HJVPU225"/>
    <n v="24"/>
    <s v="Абонент"/>
    <x v="0"/>
    <x v="1"/>
    <n v="440"/>
  </r>
  <r>
    <s v="TVWOY679"/>
    <n v="24"/>
    <s v="Абонент"/>
    <x v="0"/>
    <x v="3"/>
    <n v="330"/>
  </r>
  <r>
    <s v="SCNAB315"/>
    <n v="24"/>
    <s v="Абонент"/>
    <x v="0"/>
    <x v="4"/>
    <n v="330"/>
  </r>
  <r>
    <s v="LCVSL323"/>
    <n v="24"/>
    <s v="Абонент"/>
    <x v="3"/>
    <x v="1"/>
    <n v="440"/>
  </r>
  <r>
    <s v="BNVFU801"/>
    <n v="24"/>
    <s v="Абонент"/>
    <x v="0"/>
    <x v="1"/>
    <n v="550"/>
  </r>
  <r>
    <s v="XABVQ616"/>
    <n v="24"/>
    <s v="Абонент"/>
    <x v="0"/>
    <x v="3"/>
    <n v="330"/>
  </r>
  <r>
    <s v="FHNLW346"/>
    <n v="24"/>
    <s v="Абонент"/>
    <x v="0"/>
    <x v="4"/>
    <n v="550"/>
  </r>
  <r>
    <s v="UMMWD363"/>
    <n v="24"/>
    <s v="Абонент"/>
    <x v="0"/>
    <x v="3"/>
    <n v="330"/>
  </r>
  <r>
    <s v="OSLTH510"/>
    <n v="24"/>
    <s v="Абонент"/>
    <x v="3"/>
    <x v="1"/>
    <n v="440"/>
  </r>
  <r>
    <s v="WWWKG999"/>
    <n v="24"/>
    <s v="Абонент"/>
    <x v="3"/>
    <x v="1"/>
    <n v="330"/>
  </r>
  <r>
    <s v="WHXFD836"/>
    <n v="24"/>
    <s v="Абонент"/>
    <x v="0"/>
    <x v="3"/>
    <n v="330"/>
  </r>
  <r>
    <s v="CBYPA974"/>
    <n v="24"/>
    <s v="Абонент"/>
    <x v="4"/>
    <x v="4"/>
    <n v="550"/>
  </r>
  <r>
    <s v="MQUPA634"/>
    <n v="24"/>
    <s v="Абонент"/>
    <x v="2"/>
    <x v="1"/>
    <n v="440"/>
  </r>
  <r>
    <s v="RNFHL196"/>
    <n v="24"/>
    <s v="Абонент"/>
    <x v="0"/>
    <x v="1"/>
    <n v="330"/>
  </r>
  <r>
    <s v="TXFKU879"/>
    <n v="25"/>
    <s v="Абонент"/>
    <x v="0"/>
    <x v="2"/>
    <n v="330"/>
  </r>
  <r>
    <s v="AWXFG108"/>
    <n v="25"/>
    <s v="Абонент"/>
    <x v="4"/>
    <x v="0"/>
    <n v="770"/>
  </r>
  <r>
    <s v="RUKVO355"/>
    <n v="25"/>
    <s v="Абонент"/>
    <x v="0"/>
    <x v="2"/>
    <n v="330"/>
  </r>
  <r>
    <s v="EUZHG568"/>
    <n v="25"/>
    <s v="Абонент"/>
    <x v="3"/>
    <x v="3"/>
    <n v="550"/>
  </r>
  <r>
    <s v="DHUWB465"/>
    <n v="25"/>
    <s v="Абонент"/>
    <x v="0"/>
    <x v="3"/>
    <n v="550"/>
  </r>
  <r>
    <s v="RTCIE848"/>
    <n v="25"/>
    <s v="Абонент"/>
    <x v="0"/>
    <x v="3"/>
    <n v="330"/>
  </r>
  <r>
    <s v="GUROC511"/>
    <n v="25"/>
    <s v="Абонент"/>
    <x v="0"/>
    <x v="3"/>
    <n v="440"/>
  </r>
  <r>
    <s v="SVUDA600"/>
    <n v="25"/>
    <s v="Абонент"/>
    <x v="0"/>
    <x v="4"/>
    <n v="330"/>
  </r>
  <r>
    <s v="ZAZYX342"/>
    <n v="25"/>
    <s v="Абонент"/>
    <x v="3"/>
    <x v="0"/>
    <n v="220"/>
  </r>
  <r>
    <s v="UNVJZ234"/>
    <n v="25"/>
    <s v="Абонент"/>
    <x v="0"/>
    <x v="1"/>
    <n v="330"/>
  </r>
  <r>
    <s v="DKGLW215"/>
    <n v="25"/>
    <s v="Абонент"/>
    <x v="1"/>
    <x v="3"/>
    <n v="550"/>
  </r>
  <r>
    <s v="CWNMF346"/>
    <n v="25"/>
    <s v="Абонент"/>
    <x v="1"/>
    <x v="3"/>
    <n v="550"/>
  </r>
  <r>
    <s v="PFVKE464"/>
    <n v="25"/>
    <s v="Абонент"/>
    <x v="2"/>
    <x v="3"/>
    <n v="440"/>
  </r>
  <r>
    <s v="CWSZG664"/>
    <n v="25"/>
    <s v="Абонент"/>
    <x v="1"/>
    <x v="4"/>
    <n v="550"/>
  </r>
  <r>
    <s v="MWFNN721"/>
    <n v="25"/>
    <s v="Абонент"/>
    <x v="0"/>
    <x v="1"/>
    <n v="440"/>
  </r>
  <r>
    <s v="JSVKN127"/>
    <n v="25"/>
    <s v="Абонент"/>
    <x v="3"/>
    <x v="1"/>
    <n v="440"/>
  </r>
  <r>
    <s v="QBDJE643"/>
    <n v="25"/>
    <s v="Абонент"/>
    <x v="0"/>
    <x v="3"/>
    <n v="440"/>
  </r>
  <r>
    <s v="AEMXI826"/>
    <n v="25"/>
    <s v="Абонент"/>
    <x v="4"/>
    <x v="2"/>
    <n v="770"/>
  </r>
  <r>
    <s v="AGYLW841"/>
    <n v="25"/>
    <s v="Абонент"/>
    <x v="1"/>
    <x v="2"/>
    <n v="770"/>
  </r>
  <r>
    <s v="FDGLT878"/>
    <n v="25"/>
    <s v="Абонент"/>
    <x v="4"/>
    <x v="3"/>
    <n v="550"/>
  </r>
  <r>
    <s v="OWEIS832"/>
    <n v="25"/>
    <s v="Абонент"/>
    <x v="3"/>
    <x v="3"/>
    <n v="440"/>
  </r>
  <r>
    <s v="SIULD302"/>
    <n v="25"/>
    <s v="Абонент"/>
    <x v="0"/>
    <x v="2"/>
    <n v="330"/>
  </r>
  <r>
    <s v="INIMJ646"/>
    <n v="25"/>
    <s v="Абонент"/>
    <x v="2"/>
    <x v="4"/>
    <n v="440"/>
  </r>
  <r>
    <s v="QUKGV139"/>
    <n v="25"/>
    <s v="Абонент"/>
    <x v="0"/>
    <x v="3"/>
    <n v="330"/>
  </r>
  <r>
    <s v="OLUDV650"/>
    <n v="25"/>
    <s v="Абонент"/>
    <x v="3"/>
    <x v="3"/>
    <n v="440"/>
  </r>
  <r>
    <s v="SMIIY826"/>
    <n v="25"/>
    <s v="Абонент"/>
    <x v="0"/>
    <x v="3"/>
    <n v="330"/>
  </r>
  <r>
    <s v="AUFKS353"/>
    <n v="25"/>
    <s v="Абонент"/>
    <x v="4"/>
    <x v="3"/>
    <n v="770"/>
  </r>
  <r>
    <s v="MEOHD276"/>
    <n v="25"/>
    <s v="Абонент"/>
    <x v="2"/>
    <x v="4"/>
    <n v="440"/>
  </r>
  <r>
    <s v="MNNXN625"/>
    <n v="25"/>
    <s v="Абонент"/>
    <x v="2"/>
    <x v="1"/>
    <n v="440"/>
  </r>
  <r>
    <s v="PXYXZ036"/>
    <n v="25"/>
    <s v="Абонент"/>
    <x v="0"/>
    <x v="1"/>
    <n v="440"/>
  </r>
  <r>
    <s v="XELPU468"/>
    <n v="25"/>
    <s v="Абонент"/>
    <x v="0"/>
    <x v="1"/>
    <n v="330"/>
  </r>
  <r>
    <s v="YBDQC216"/>
    <n v="25"/>
    <s v="Абонент"/>
    <x v="3"/>
    <x v="0"/>
    <n v="220"/>
  </r>
  <r>
    <s v="FNUNT387"/>
    <n v="25"/>
    <s v="Абонент"/>
    <x v="1"/>
    <x v="3"/>
    <n v="550"/>
  </r>
  <r>
    <s v="EDZZZ173"/>
    <n v="25"/>
    <s v="Абонент"/>
    <x v="4"/>
    <x v="3"/>
    <n v="550"/>
  </r>
  <r>
    <s v="FWNAP195"/>
    <n v="25"/>
    <s v="Абонент"/>
    <x v="1"/>
    <x v="1"/>
    <n v="550"/>
  </r>
  <r>
    <s v="IKLPH176"/>
    <n v="25"/>
    <s v="Абонент"/>
    <x v="3"/>
    <x v="4"/>
    <n v="440"/>
  </r>
  <r>
    <s v="KQEYC776"/>
    <n v="25"/>
    <s v="Абонент"/>
    <x v="0"/>
    <x v="0"/>
    <n v="440"/>
  </r>
  <r>
    <s v="HWGYD890"/>
    <n v="25"/>
    <s v="Абонент"/>
    <x v="4"/>
    <x v="2"/>
    <n v="440"/>
  </r>
  <r>
    <s v="HXTBJ204"/>
    <n v="25"/>
    <s v="Абонент"/>
    <x v="1"/>
    <x v="3"/>
    <n v="440"/>
  </r>
  <r>
    <s v="KLNQM425"/>
    <n v="25"/>
    <s v="Абонент"/>
    <x v="0"/>
    <x v="3"/>
    <n v="440"/>
  </r>
  <r>
    <s v="NFTLC915"/>
    <n v="25"/>
    <s v="Абонент"/>
    <x v="2"/>
    <x v="1"/>
    <n v="440"/>
  </r>
  <r>
    <s v="EZMRH707"/>
    <n v="25"/>
    <s v="Абонент"/>
    <x v="4"/>
    <x v="3"/>
    <n v="550"/>
  </r>
  <r>
    <s v="HHZWO597"/>
    <n v="25"/>
    <s v="Абонент"/>
    <x v="3"/>
    <x v="3"/>
    <n v="440"/>
  </r>
  <r>
    <s v="MEBHS332"/>
    <n v="25"/>
    <s v="Абонент"/>
    <x v="3"/>
    <x v="1"/>
    <n v="440"/>
  </r>
  <r>
    <s v="SNKHM613"/>
    <n v="25"/>
    <s v="Абонент"/>
    <x v="0"/>
    <x v="1"/>
    <n v="330"/>
  </r>
  <r>
    <s v="IUJMA511"/>
    <n v="25"/>
    <s v="Абонент"/>
    <x v="1"/>
    <x v="1"/>
    <n v="440"/>
  </r>
  <r>
    <s v="USFQQ615"/>
    <n v="25"/>
    <s v="Абонент"/>
    <x v="0"/>
    <x v="2"/>
    <n v="330"/>
  </r>
  <r>
    <s v="VUIPO914"/>
    <n v="25"/>
    <s v="Абонент"/>
    <x v="0"/>
    <x v="4"/>
    <n v="330"/>
  </r>
  <r>
    <s v="HBZAV593"/>
    <n v="25"/>
    <s v="Абонент"/>
    <x v="2"/>
    <x v="0"/>
    <n v="440"/>
  </r>
  <r>
    <s v="NHNGR651"/>
    <n v="25"/>
    <s v="Абонент"/>
    <x v="3"/>
    <x v="3"/>
    <n v="440"/>
  </r>
  <r>
    <s v="LHOTX492"/>
    <n v="25"/>
    <s v="Абонент"/>
    <x v="1"/>
    <x v="3"/>
    <n v="440"/>
  </r>
  <r>
    <s v="LWTSV451"/>
    <n v="25"/>
    <s v="Абонент"/>
    <x v="0"/>
    <x v="1"/>
    <n v="440"/>
  </r>
  <r>
    <s v="BITFH709"/>
    <n v="25"/>
    <s v="Абонент"/>
    <x v="0"/>
    <x v="2"/>
    <n v="770"/>
  </r>
  <r>
    <s v="HQCQU020"/>
    <n v="25"/>
    <s v="Абонент"/>
    <x v="0"/>
    <x v="3"/>
    <n v="440"/>
  </r>
  <r>
    <s v="DGRAT764"/>
    <n v="25"/>
    <s v="Абонент"/>
    <x v="1"/>
    <x v="3"/>
    <n v="550"/>
  </r>
  <r>
    <s v="NIRBL281"/>
    <n v="25"/>
    <s v="Абонент"/>
    <x v="0"/>
    <x v="1"/>
    <n v="440"/>
  </r>
  <r>
    <s v="DITYU692"/>
    <n v="25"/>
    <s v="Абонент"/>
    <x v="1"/>
    <x v="2"/>
    <n v="550"/>
  </r>
  <r>
    <s v="AUVPS395"/>
    <n v="25"/>
    <s v="Абонент"/>
    <x v="4"/>
    <x v="2"/>
    <n v="770"/>
  </r>
  <r>
    <s v="YJLOV803"/>
    <n v="25"/>
    <s v="Абонент"/>
    <x v="3"/>
    <x v="3"/>
    <n v="330"/>
  </r>
  <r>
    <s v="KPLNQ245"/>
    <n v="25"/>
    <s v="Абонент"/>
    <x v="3"/>
    <x v="3"/>
    <n v="440"/>
  </r>
  <r>
    <s v="CVRXB216"/>
    <n v="25"/>
    <s v="Абонент"/>
    <x v="3"/>
    <x v="1"/>
    <n v="550"/>
  </r>
  <r>
    <s v="AVZRC505"/>
    <n v="25"/>
    <s v="Абонент"/>
    <x v="4"/>
    <x v="1"/>
    <n v="770"/>
  </r>
  <r>
    <s v="BLBHU681"/>
    <n v="25"/>
    <s v="Абонент"/>
    <x v="1"/>
    <x v="3"/>
    <n v="550"/>
  </r>
  <r>
    <s v="UTHTE055"/>
    <n v="25"/>
    <s v="Абонент"/>
    <x v="0"/>
    <x v="3"/>
    <n v="330"/>
  </r>
  <r>
    <s v="NQGYG289"/>
    <n v="25"/>
    <s v="Абонент"/>
    <x v="2"/>
    <x v="1"/>
    <n v="440"/>
  </r>
  <r>
    <s v="XBZVR326"/>
    <n v="25"/>
    <s v="Абонент"/>
    <x v="0"/>
    <x v="2"/>
    <n v="330"/>
  </r>
  <r>
    <s v="LQYHW474"/>
    <n v="25"/>
    <s v="Абонент"/>
    <x v="0"/>
    <x v="1"/>
    <n v="440"/>
  </r>
  <r>
    <s v="EYDFI800"/>
    <n v="25"/>
    <s v="Абонент"/>
    <x v="1"/>
    <x v="3"/>
    <n v="550"/>
  </r>
  <r>
    <s v="VMYGN758"/>
    <n v="25"/>
    <s v="Абонент"/>
    <x v="0"/>
    <x v="3"/>
    <n v="330"/>
  </r>
  <r>
    <s v="RSVEF729"/>
    <n v="25"/>
    <s v="Абонент"/>
    <x v="0"/>
    <x v="3"/>
    <n v="330"/>
  </r>
  <r>
    <s v="IWOVV809"/>
    <n v="25"/>
    <s v="Абонент"/>
    <x v="0"/>
    <x v="1"/>
    <n v="440"/>
  </r>
  <r>
    <s v="FBLQR968"/>
    <n v="25"/>
    <s v="Абонент"/>
    <x v="2"/>
    <x v="3"/>
    <n v="550"/>
  </r>
  <r>
    <s v="LKWOW121"/>
    <n v="25"/>
    <s v="Абонент"/>
    <x v="1"/>
    <x v="1"/>
    <n v="440"/>
  </r>
  <r>
    <s v="BARUQ399"/>
    <n v="25"/>
    <s v="Абонент"/>
    <x v="4"/>
    <x v="2"/>
    <n v="770"/>
  </r>
  <r>
    <s v="FZGNY465"/>
    <n v="25"/>
    <s v="Абонент"/>
    <x v="4"/>
    <x v="3"/>
    <n v="550"/>
  </r>
  <r>
    <s v="DPEJD759"/>
    <n v="25"/>
    <s v="Абонент"/>
    <x v="0"/>
    <x v="3"/>
    <n v="550"/>
  </r>
  <r>
    <s v="LADXO762"/>
    <n v="25"/>
    <s v="Абонент"/>
    <x v="2"/>
    <x v="1"/>
    <n v="440"/>
  </r>
  <r>
    <s v="BRNNP568"/>
    <n v="25"/>
    <s v="Абонент"/>
    <x v="3"/>
    <x v="1"/>
    <n v="440"/>
  </r>
  <r>
    <s v="RUVTG367"/>
    <n v="25"/>
    <s v="Абонент"/>
    <x v="0"/>
    <x v="2"/>
    <n v="330"/>
  </r>
  <r>
    <s v="CYHPU609"/>
    <n v="25"/>
    <s v="Абонент"/>
    <x v="1"/>
    <x v="4"/>
    <n v="550"/>
  </r>
  <r>
    <s v="XYZAN841"/>
    <n v="25"/>
    <s v="Абонент"/>
    <x v="0"/>
    <x v="0"/>
    <n v="220"/>
  </r>
  <r>
    <s v="NHBHC736"/>
    <n v="25"/>
    <s v="Абонент"/>
    <x v="1"/>
    <x v="1"/>
    <n v="440"/>
  </r>
  <r>
    <s v="FRXPH620"/>
    <n v="25"/>
    <s v="Абонент"/>
    <x v="0"/>
    <x v="4"/>
    <n v="550"/>
  </r>
  <r>
    <s v="SCZUL709"/>
    <n v="25"/>
    <s v="Абонент"/>
    <x v="0"/>
    <x v="2"/>
    <n v="330"/>
  </r>
  <r>
    <s v="ZGLWV800"/>
    <n v="25"/>
    <s v="Абонент"/>
    <x v="0"/>
    <x v="1"/>
    <n v="440"/>
  </r>
  <r>
    <s v="BVNKZ129"/>
    <n v="25"/>
    <s v="Абонент"/>
    <x v="0"/>
    <x v="1"/>
    <n v="440"/>
  </r>
  <r>
    <s v="WASDT221"/>
    <n v="25"/>
    <s v="Абонент"/>
    <x v="0"/>
    <x v="3"/>
    <n v="330"/>
  </r>
  <r>
    <s v="FHLHE289"/>
    <n v="25"/>
    <s v="Абонент"/>
    <x v="4"/>
    <x v="3"/>
    <n v="550"/>
  </r>
  <r>
    <s v="MNLVE874"/>
    <n v="25"/>
    <s v="Абонент"/>
    <x v="3"/>
    <x v="3"/>
    <n v="440"/>
  </r>
  <r>
    <s v="XKYRN569"/>
    <n v="25"/>
    <s v="Абонент"/>
    <x v="0"/>
    <x v="2"/>
    <n v="330"/>
  </r>
  <r>
    <s v="IGUKE379"/>
    <n v="25"/>
    <s v="Абонент"/>
    <x v="2"/>
    <x v="0"/>
    <n v="440"/>
  </r>
  <r>
    <s v="DYOVR712"/>
    <n v="25"/>
    <s v="Абонент"/>
    <x v="1"/>
    <x v="3"/>
    <n v="550"/>
  </r>
  <r>
    <s v="KEKZN954"/>
    <n v="25"/>
    <s v="Абонент"/>
    <x v="2"/>
    <x v="0"/>
    <n v="440"/>
  </r>
  <r>
    <s v="YQZIP097"/>
    <n v="25"/>
    <s v="Абонент"/>
    <x v="0"/>
    <x v="1"/>
    <n v="330"/>
  </r>
  <r>
    <s v="XPWCN892"/>
    <n v="25"/>
    <s v="Абонент"/>
    <x v="0"/>
    <x v="0"/>
    <n v="220"/>
  </r>
  <r>
    <s v="WDNEM601"/>
    <n v="25"/>
    <s v="Абонент"/>
    <x v="3"/>
    <x v="2"/>
    <n v="330"/>
  </r>
  <r>
    <s v="AYSNR279"/>
    <n v="25"/>
    <s v="Абонент"/>
    <x v="4"/>
    <x v="2"/>
    <n v="770"/>
  </r>
  <r>
    <s v="BVBTQ732"/>
    <n v="25"/>
    <s v="Абонент"/>
    <x v="2"/>
    <x v="3"/>
    <n v="440"/>
  </r>
  <r>
    <s v="VFBJO635"/>
    <n v="25"/>
    <s v="Абонент"/>
    <x v="0"/>
    <x v="2"/>
    <n v="330"/>
  </r>
  <r>
    <s v="IHKUI696"/>
    <n v="25"/>
    <s v="Абонент"/>
    <x v="0"/>
    <x v="3"/>
    <n v="440"/>
  </r>
  <r>
    <s v="XGKWY412"/>
    <n v="25"/>
    <s v="Абонент"/>
    <x v="3"/>
    <x v="2"/>
    <n v="330"/>
  </r>
  <r>
    <s v="EHQLU731"/>
    <n v="25"/>
    <s v="Абонент"/>
    <x v="4"/>
    <x v="3"/>
    <n v="550"/>
  </r>
  <r>
    <s v="RVJWO678"/>
    <n v="25"/>
    <s v="Абонент"/>
    <x v="3"/>
    <x v="3"/>
    <n v="330"/>
  </r>
  <r>
    <s v="GAIZK084"/>
    <n v="25"/>
    <s v="Абонент"/>
    <x v="0"/>
    <x v="4"/>
    <n v="550"/>
  </r>
  <r>
    <s v="BNCGD922"/>
    <n v="25"/>
    <s v="Абонент"/>
    <x v="4"/>
    <x v="0"/>
    <n v="550"/>
  </r>
  <r>
    <s v="BDOLJ613"/>
    <n v="25"/>
    <s v="Абонент"/>
    <x v="4"/>
    <x v="4"/>
    <n v="770"/>
  </r>
  <r>
    <s v="VINMB855"/>
    <n v="25"/>
    <s v="Абонент"/>
    <x v="0"/>
    <x v="2"/>
    <n v="330"/>
  </r>
  <r>
    <s v="MXXEW978"/>
    <n v="25"/>
    <s v="Абонент"/>
    <x v="3"/>
    <x v="2"/>
    <n v="440"/>
  </r>
  <r>
    <s v="AAGYR866"/>
    <n v="25"/>
    <s v="Абонент"/>
    <x v="4"/>
    <x v="0"/>
    <n v="770"/>
  </r>
  <r>
    <s v="CALET703"/>
    <n v="25"/>
    <s v="Абонент"/>
    <x v="1"/>
    <x v="2"/>
    <n v="550"/>
  </r>
  <r>
    <s v="RXGYQ511"/>
    <n v="25"/>
    <s v="Абонент"/>
    <x v="0"/>
    <x v="3"/>
    <n v="330"/>
  </r>
  <r>
    <s v="XZXQC530"/>
    <n v="25"/>
    <s v="Абонент"/>
    <x v="0"/>
    <x v="0"/>
    <n v="220"/>
  </r>
  <r>
    <s v="QCKMF214"/>
    <n v="25"/>
    <s v="Абонент"/>
    <x v="2"/>
    <x v="4"/>
    <n v="440"/>
  </r>
  <r>
    <s v="FKJME560"/>
    <n v="25"/>
    <s v="Абонент"/>
    <x v="1"/>
    <x v="3"/>
    <n v="550"/>
  </r>
  <r>
    <s v="KBOFC595"/>
    <n v="25"/>
    <s v="Абонент"/>
    <x v="1"/>
    <x v="0"/>
    <n v="440"/>
  </r>
  <r>
    <s v="YCJLR709"/>
    <n v="25"/>
    <s v="Абонент"/>
    <x v="3"/>
    <x v="0"/>
    <n v="220"/>
  </r>
  <r>
    <s v="YMGZZ052"/>
    <n v="25"/>
    <s v="Абонент"/>
    <x v="0"/>
    <x v="3"/>
    <n v="330"/>
  </r>
  <r>
    <s v="EJPMA441"/>
    <n v="25"/>
    <s v="Абонент"/>
    <x v="2"/>
    <x v="3"/>
    <n v="550"/>
  </r>
  <r>
    <s v="KFJLN993"/>
    <n v="25"/>
    <s v="Абонент"/>
    <x v="1"/>
    <x v="0"/>
    <n v="440"/>
  </r>
  <r>
    <s v="TNBBL994"/>
    <n v="25"/>
    <s v="Абонент"/>
    <x v="3"/>
    <x v="2"/>
    <n v="330"/>
  </r>
  <r>
    <s v="ZOJDY710"/>
    <n v="25"/>
    <s v="Абонент"/>
    <x v="3"/>
    <x v="0"/>
    <n v="220"/>
  </r>
  <r>
    <s v="HEQDH853"/>
    <n v="25"/>
    <s v="Абонент"/>
    <x v="3"/>
    <x v="0"/>
    <n v="440"/>
  </r>
  <r>
    <s v="OIXSR291"/>
    <n v="25"/>
    <s v="Абонент"/>
    <x v="0"/>
    <x v="0"/>
    <n v="440"/>
  </r>
  <r>
    <s v="IWQHO987"/>
    <n v="25"/>
    <s v="Абонент"/>
    <x v="2"/>
    <x v="1"/>
    <n v="440"/>
  </r>
  <r>
    <s v="ROKLY020"/>
    <n v="25"/>
    <s v="Абонент"/>
    <x v="0"/>
    <x v="2"/>
    <n v="330"/>
  </r>
  <r>
    <s v="ZENDD146"/>
    <n v="25"/>
    <s v="Абонент"/>
    <x v="0"/>
    <x v="3"/>
    <n v="330"/>
  </r>
  <r>
    <s v="DOXUJ817"/>
    <n v="25"/>
    <s v="Абонент"/>
    <x v="3"/>
    <x v="3"/>
    <n v="550"/>
  </r>
  <r>
    <s v="IJTXM080"/>
    <n v="25"/>
    <s v="Абонент"/>
    <x v="0"/>
    <x v="3"/>
    <n v="440"/>
  </r>
  <r>
    <s v="CORRU840"/>
    <n v="25"/>
    <s v="Абонент"/>
    <x v="2"/>
    <x v="3"/>
    <n v="550"/>
  </r>
  <r>
    <s v="OGDYF377"/>
    <n v="25"/>
    <s v="Абонент"/>
    <x v="2"/>
    <x v="3"/>
    <n v="440"/>
  </r>
  <r>
    <s v="XXJBN298"/>
    <n v="25"/>
    <s v="Абонент"/>
    <x v="0"/>
    <x v="0"/>
    <n v="220"/>
  </r>
  <r>
    <s v="ACWBC774"/>
    <n v="25"/>
    <s v="Абонент"/>
    <x v="4"/>
    <x v="2"/>
    <n v="770"/>
  </r>
  <r>
    <s v="FVMKR641"/>
    <n v="25"/>
    <s v="Абонент"/>
    <x v="4"/>
    <x v="3"/>
    <n v="550"/>
  </r>
  <r>
    <s v="LGCLN509"/>
    <n v="25"/>
    <s v="Абонент"/>
    <x v="1"/>
    <x v="0"/>
    <n v="440"/>
  </r>
  <r>
    <s v="DGPVC252"/>
    <n v="25"/>
    <s v="Абонент"/>
    <x v="2"/>
    <x v="2"/>
    <n v="550"/>
  </r>
  <r>
    <s v="NLFFT868"/>
    <n v="25"/>
    <s v="Абонент"/>
    <x v="3"/>
    <x v="3"/>
    <n v="440"/>
  </r>
  <r>
    <s v="AUJTW275"/>
    <n v="25"/>
    <s v="Абонент"/>
    <x v="4"/>
    <x v="2"/>
    <n v="770"/>
  </r>
  <r>
    <s v="ZZGOT618"/>
    <n v="25"/>
    <s v="Абонент"/>
    <x v="3"/>
    <x v="0"/>
    <n v="220"/>
  </r>
  <r>
    <s v="HQUBC029"/>
    <n v="25"/>
    <s v="Абонент"/>
    <x v="0"/>
    <x v="1"/>
    <n v="440"/>
  </r>
  <r>
    <s v="XUNTA270"/>
    <n v="25"/>
    <s v="Абонент"/>
    <x v="3"/>
    <x v="0"/>
    <n v="220"/>
  </r>
  <r>
    <s v="IVWZW953"/>
    <n v="25"/>
    <s v="Абонент"/>
    <x v="1"/>
    <x v="1"/>
    <n v="440"/>
  </r>
  <r>
    <s v="VNPFX353"/>
    <n v="25"/>
    <s v="Абонент"/>
    <x v="0"/>
    <x v="3"/>
    <n v="330"/>
  </r>
  <r>
    <s v="PVNVR555"/>
    <n v="25"/>
    <s v="Абонент"/>
    <x v="0"/>
    <x v="1"/>
    <n v="440"/>
  </r>
  <r>
    <s v="XZLJM290"/>
    <n v="25"/>
    <s v="Абонент"/>
    <x v="0"/>
    <x v="0"/>
    <n v="220"/>
  </r>
  <r>
    <s v="OWZQN102"/>
    <n v="25"/>
    <s v="Абонент"/>
    <x v="2"/>
    <x v="3"/>
    <n v="440"/>
  </r>
  <r>
    <s v="LRODA236"/>
    <n v="25"/>
    <s v="Абонент"/>
    <x v="3"/>
    <x v="4"/>
    <n v="440"/>
  </r>
  <r>
    <s v="FLMHN038"/>
    <n v="25"/>
    <s v="Абонент"/>
    <x v="1"/>
    <x v="3"/>
    <n v="550"/>
  </r>
  <r>
    <s v="TPSNV959"/>
    <n v="25"/>
    <s v="Абонент"/>
    <x v="0"/>
    <x v="2"/>
    <n v="330"/>
  </r>
  <r>
    <s v="IRZTT512"/>
    <n v="25"/>
    <s v="Абонент"/>
    <x v="2"/>
    <x v="3"/>
    <n v="440"/>
  </r>
  <r>
    <s v="QBLCG814"/>
    <n v="25"/>
    <s v="Абонент"/>
    <x v="2"/>
    <x v="1"/>
    <n v="440"/>
  </r>
  <r>
    <s v="YAING179"/>
    <n v="25"/>
    <s v="Абонент"/>
    <x v="0"/>
    <x v="0"/>
    <n v="220"/>
  </r>
  <r>
    <s v="SDFQB279"/>
    <n v="25"/>
    <s v="Абонент"/>
    <x v="0"/>
    <x v="3"/>
    <n v="330"/>
  </r>
  <r>
    <s v="KUREN620"/>
    <n v="25"/>
    <s v="Абонент"/>
    <x v="1"/>
    <x v="0"/>
    <n v="440"/>
  </r>
  <r>
    <s v="KDGCJ256"/>
    <n v="25"/>
    <s v="Абонент"/>
    <x v="3"/>
    <x v="1"/>
    <n v="440"/>
  </r>
  <r>
    <s v="RMGYA617"/>
    <n v="25"/>
    <s v="Абонент"/>
    <x v="0"/>
    <x v="4"/>
    <n v="330"/>
  </r>
  <r>
    <s v="IJKYA488"/>
    <n v="25"/>
    <s v="Абонент"/>
    <x v="2"/>
    <x v="0"/>
    <n v="440"/>
  </r>
  <r>
    <s v="NSUVN290"/>
    <n v="25"/>
    <s v="Абонент"/>
    <x v="3"/>
    <x v="3"/>
    <n v="440"/>
  </r>
  <r>
    <s v="EYUWX967"/>
    <n v="25"/>
    <s v="Абонент"/>
    <x v="1"/>
    <x v="2"/>
    <n v="550"/>
  </r>
  <r>
    <s v="YRZHR597"/>
    <n v="25"/>
    <s v="Абонент"/>
    <x v="0"/>
    <x v="3"/>
    <n v="330"/>
  </r>
  <r>
    <s v="CHDPQ652"/>
    <n v="25"/>
    <s v="Абонент"/>
    <x v="1"/>
    <x v="4"/>
    <n v="550"/>
  </r>
  <r>
    <s v="ODWSU376"/>
    <n v="25"/>
    <s v="Абонент"/>
    <x v="2"/>
    <x v="0"/>
    <n v="440"/>
  </r>
  <r>
    <s v="GFIKV164"/>
    <n v="25"/>
    <s v="Абонент"/>
    <x v="1"/>
    <x v="0"/>
    <n v="550"/>
  </r>
  <r>
    <s v="JLKAN757"/>
    <n v="25"/>
    <s v="Абонент"/>
    <x v="2"/>
    <x v="3"/>
    <n v="440"/>
  </r>
  <r>
    <s v="OQKCE938"/>
    <n v="25"/>
    <s v="Абонент"/>
    <x v="1"/>
    <x v="3"/>
    <n v="440"/>
  </r>
  <r>
    <s v="PEVLH859"/>
    <n v="25"/>
    <s v="Абонент"/>
    <x v="0"/>
    <x v="3"/>
    <n v="440"/>
  </r>
  <r>
    <s v="CHWIR422"/>
    <n v="25"/>
    <s v="Абонент"/>
    <x v="4"/>
    <x v="1"/>
    <n v="550"/>
  </r>
  <r>
    <s v="OCYUL934"/>
    <n v="25"/>
    <s v="Абонент"/>
    <x v="2"/>
    <x v="0"/>
    <n v="440"/>
  </r>
  <r>
    <s v="DIWQR122"/>
    <n v="25"/>
    <s v="Абонент"/>
    <x v="1"/>
    <x v="4"/>
    <n v="5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n v="1"/>
    <n v="24"/>
    <x v="0"/>
    <x v="0"/>
    <x v="0"/>
    <s v="451-550"/>
  </r>
  <r>
    <n v="2"/>
    <n v="21"/>
    <x v="1"/>
    <x v="0"/>
    <x v="0"/>
    <s v="451-550"/>
  </r>
  <r>
    <n v="3"/>
    <n v="25"/>
    <x v="2"/>
    <x v="0"/>
    <x v="1"/>
    <s v="550+ рублей"/>
  </r>
  <r>
    <n v="4"/>
    <n v="23"/>
    <x v="2"/>
    <x v="0"/>
    <x v="2"/>
    <s v="550+ рублей"/>
  </r>
  <r>
    <n v="5"/>
    <n v="18"/>
    <x v="0"/>
    <x v="0"/>
    <x v="0"/>
    <s v="451-550"/>
  </r>
  <r>
    <n v="6"/>
    <n v="19"/>
    <x v="2"/>
    <x v="0"/>
    <x v="2"/>
    <s v="до 250 рублей"/>
  </r>
  <r>
    <n v="7"/>
    <n v="21"/>
    <x v="3"/>
    <x v="0"/>
    <x v="1"/>
    <s v="451-550"/>
  </r>
  <r>
    <n v="8"/>
    <n v="24"/>
    <x v="2"/>
    <x v="0"/>
    <x v="3"/>
    <s v="250-350"/>
  </r>
  <r>
    <n v="9"/>
    <n v="21"/>
    <x v="3"/>
    <x v="0"/>
    <x v="4"/>
    <s v="250-350"/>
  </r>
  <r>
    <n v="10"/>
    <n v="22"/>
    <x v="1"/>
    <x v="0"/>
    <x v="4"/>
    <s v="250-350"/>
  </r>
  <r>
    <n v="11"/>
    <n v="18"/>
    <x v="1"/>
    <x v="1"/>
    <x v="1"/>
    <s v="550+ рублей"/>
  </r>
  <r>
    <n v="12"/>
    <n v="18"/>
    <x v="1"/>
    <x v="2"/>
    <x v="1"/>
    <s v="до 250 рублей"/>
  </r>
  <r>
    <n v="13"/>
    <n v="25"/>
    <x v="1"/>
    <x v="0"/>
    <x v="0"/>
    <s v="550+ рублей"/>
  </r>
  <r>
    <n v="14"/>
    <n v="21"/>
    <x v="2"/>
    <x v="0"/>
    <x v="2"/>
    <s v="250-350"/>
  </r>
  <r>
    <n v="15"/>
    <n v="20"/>
    <x v="1"/>
    <x v="0"/>
    <x v="3"/>
    <s v="до 250 рублей"/>
  </r>
  <r>
    <n v="16"/>
    <n v="21"/>
    <x v="2"/>
    <x v="0"/>
    <x v="1"/>
    <s v="250-350"/>
  </r>
  <r>
    <n v="17"/>
    <n v="24"/>
    <x v="3"/>
    <x v="0"/>
    <x v="1"/>
    <s v="451-550"/>
  </r>
  <r>
    <n v="18"/>
    <n v="22"/>
    <x v="1"/>
    <x v="0"/>
    <x v="3"/>
    <s v="451-550"/>
  </r>
  <r>
    <n v="19"/>
    <n v="25"/>
    <x v="1"/>
    <x v="1"/>
    <x v="2"/>
    <s v="250-350"/>
  </r>
  <r>
    <n v="20"/>
    <n v="23"/>
    <x v="1"/>
    <x v="0"/>
    <x v="1"/>
    <s v="451-550"/>
  </r>
  <r>
    <n v="21"/>
    <n v="20"/>
    <x v="2"/>
    <x v="0"/>
    <x v="2"/>
    <s v="550+ рублей"/>
  </r>
  <r>
    <n v="22"/>
    <n v="19"/>
    <x v="2"/>
    <x v="0"/>
    <x v="1"/>
    <s v="250-350"/>
  </r>
  <r>
    <n v="23"/>
    <n v="18"/>
    <x v="2"/>
    <x v="3"/>
    <x v="2"/>
    <s v="351-450"/>
  </r>
  <r>
    <n v="24"/>
    <n v="23"/>
    <x v="2"/>
    <x v="4"/>
    <x v="1"/>
    <s v="250-350"/>
  </r>
  <r>
    <n v="25"/>
    <n v="18"/>
    <x v="2"/>
    <x v="2"/>
    <x v="0"/>
    <s v="451-550"/>
  </r>
  <r>
    <n v="26"/>
    <n v="20"/>
    <x v="1"/>
    <x v="0"/>
    <x v="3"/>
    <s v="250-350"/>
  </r>
  <r>
    <n v="27"/>
    <n v="18"/>
    <x v="0"/>
    <x v="0"/>
    <x v="3"/>
    <s v="351-450"/>
  </r>
  <r>
    <n v="28"/>
    <n v="18"/>
    <x v="3"/>
    <x v="0"/>
    <x v="4"/>
    <s v="451-550"/>
  </r>
  <r>
    <n v="29"/>
    <n v="24"/>
    <x v="2"/>
    <x v="4"/>
    <x v="1"/>
    <s v="250-350"/>
  </r>
  <r>
    <n v="30"/>
    <n v="19"/>
    <x v="1"/>
    <x v="4"/>
    <x v="1"/>
    <s v="до 250 рублей"/>
  </r>
  <r>
    <n v="31"/>
    <n v="25"/>
    <x v="3"/>
    <x v="1"/>
    <x v="1"/>
    <s v="351-450"/>
  </r>
  <r>
    <n v="32"/>
    <n v="18"/>
    <x v="2"/>
    <x v="0"/>
    <x v="3"/>
    <s v="250-350"/>
  </r>
  <r>
    <n v="33"/>
    <n v="21"/>
    <x v="2"/>
    <x v="1"/>
    <x v="1"/>
    <s v="250-350"/>
  </r>
  <r>
    <n v="34"/>
    <n v="18"/>
    <x v="1"/>
    <x v="0"/>
    <x v="3"/>
    <s v="250-350"/>
  </r>
  <r>
    <n v="35"/>
    <n v="21"/>
    <x v="2"/>
    <x v="0"/>
    <x v="3"/>
    <s v="250-350"/>
  </r>
  <r>
    <n v="36"/>
    <n v="21"/>
    <x v="2"/>
    <x v="3"/>
    <x v="1"/>
    <s v="до 250 рублей"/>
  </r>
  <r>
    <n v="37"/>
    <n v="18"/>
    <x v="1"/>
    <x v="2"/>
    <x v="1"/>
    <s v="до 250 рублей"/>
  </r>
  <r>
    <n v="38"/>
    <n v="21"/>
    <x v="4"/>
    <x v="0"/>
    <x v="2"/>
    <s v="до 250 рублей"/>
  </r>
  <r>
    <n v="39"/>
    <n v="19"/>
    <x v="3"/>
    <x v="0"/>
    <x v="1"/>
    <s v="до 250 рублей"/>
  </r>
  <r>
    <n v="40"/>
    <n v="19"/>
    <x v="0"/>
    <x v="4"/>
    <x v="2"/>
    <s v="250-350"/>
  </r>
  <r>
    <n v="41"/>
    <n v="19"/>
    <x v="2"/>
    <x v="0"/>
    <x v="3"/>
    <s v="351-450"/>
  </r>
  <r>
    <n v="42"/>
    <n v="25"/>
    <x v="1"/>
    <x v="0"/>
    <x v="3"/>
    <s v="250-350"/>
  </r>
  <r>
    <n v="43"/>
    <n v="19"/>
    <x v="1"/>
    <x v="1"/>
    <x v="4"/>
    <s v="до 250 рублей"/>
  </r>
  <r>
    <n v="44"/>
    <n v="19"/>
    <x v="3"/>
    <x v="0"/>
    <x v="1"/>
    <s v="351-450"/>
  </r>
  <r>
    <n v="45"/>
    <n v="23"/>
    <x v="2"/>
    <x v="4"/>
    <x v="3"/>
    <s v="351-450"/>
  </r>
  <r>
    <n v="46"/>
    <n v="24"/>
    <x v="1"/>
    <x v="2"/>
    <x v="1"/>
    <s v="351-450"/>
  </r>
  <r>
    <n v="47"/>
    <n v="22"/>
    <x v="3"/>
    <x v="0"/>
    <x v="3"/>
    <s v="до 250 рублей"/>
  </r>
  <r>
    <n v="48"/>
    <n v="25"/>
    <x v="3"/>
    <x v="0"/>
    <x v="3"/>
    <s v="451-550"/>
  </r>
  <r>
    <n v="49"/>
    <n v="22"/>
    <x v="1"/>
    <x v="2"/>
    <x v="1"/>
    <s v="до 250 рублей"/>
  </r>
  <r>
    <n v="50"/>
    <n v="25"/>
    <x v="0"/>
    <x v="0"/>
    <x v="4"/>
    <s v="до 250 рублей"/>
  </r>
  <r>
    <n v="51"/>
    <n v="20"/>
    <x v="4"/>
    <x v="0"/>
    <x v="1"/>
    <s v="351-450"/>
  </r>
  <r>
    <n v="52"/>
    <n v="25"/>
    <x v="4"/>
    <x v="0"/>
    <x v="4"/>
    <s v="451-550"/>
  </r>
  <r>
    <n v="53"/>
    <n v="24"/>
    <x v="3"/>
    <x v="3"/>
    <x v="3"/>
    <s v="до 250 рублей"/>
  </r>
  <r>
    <n v="54"/>
    <n v="22"/>
    <x v="2"/>
    <x v="3"/>
    <x v="2"/>
    <s v="250-350"/>
  </r>
  <r>
    <n v="55"/>
    <n v="21"/>
    <x v="1"/>
    <x v="0"/>
    <x v="3"/>
    <s v="250-350"/>
  </r>
  <r>
    <n v="56"/>
    <n v="21"/>
    <x v="1"/>
    <x v="1"/>
    <x v="2"/>
    <s v="351-450"/>
  </r>
  <r>
    <n v="57"/>
    <n v="18"/>
    <x v="2"/>
    <x v="0"/>
    <x v="0"/>
    <s v="до 250 рублей"/>
  </r>
  <r>
    <n v="58"/>
    <n v="21"/>
    <x v="2"/>
    <x v="0"/>
    <x v="3"/>
    <s v="250-350"/>
  </r>
  <r>
    <n v="59"/>
    <n v="25"/>
    <x v="2"/>
    <x v="0"/>
    <x v="3"/>
    <s v="451-550"/>
  </r>
  <r>
    <n v="60"/>
    <n v="23"/>
    <x v="0"/>
    <x v="0"/>
    <x v="2"/>
    <s v="550+ рублей"/>
  </r>
  <r>
    <n v="61"/>
    <n v="24"/>
    <x v="2"/>
    <x v="0"/>
    <x v="3"/>
    <s v="451-550"/>
  </r>
  <r>
    <n v="62"/>
    <n v="21"/>
    <x v="2"/>
    <x v="0"/>
    <x v="0"/>
    <s v="до 250 рублей"/>
  </r>
  <r>
    <n v="63"/>
    <n v="23"/>
    <x v="2"/>
    <x v="0"/>
    <x v="3"/>
    <s v="250-350"/>
  </r>
  <r>
    <n v="64"/>
    <n v="25"/>
    <x v="1"/>
    <x v="0"/>
    <x v="1"/>
    <s v="до 250 рублей"/>
  </r>
  <r>
    <n v="65"/>
    <n v="19"/>
    <x v="2"/>
    <x v="4"/>
    <x v="0"/>
    <s v="451-550"/>
  </r>
  <r>
    <n v="66"/>
    <n v="21"/>
    <x v="2"/>
    <x v="0"/>
    <x v="3"/>
    <s v="550+ рублей"/>
  </r>
  <r>
    <n v="67"/>
    <n v="18"/>
    <x v="2"/>
    <x v="4"/>
    <x v="4"/>
    <s v="до 250 рублей"/>
  </r>
  <r>
    <n v="68"/>
    <n v="21"/>
    <x v="0"/>
    <x v="0"/>
    <x v="3"/>
    <s v="250-350"/>
  </r>
  <r>
    <n v="69"/>
    <n v="18"/>
    <x v="0"/>
    <x v="3"/>
    <x v="0"/>
    <s v="до 250 рублей"/>
  </r>
  <r>
    <n v="70"/>
    <n v="20"/>
    <x v="1"/>
    <x v="0"/>
    <x v="1"/>
    <s v="до 250 рублей"/>
  </r>
  <r>
    <n v="71"/>
    <n v="19"/>
    <x v="4"/>
    <x v="3"/>
    <x v="2"/>
    <s v="до 250 рублей"/>
  </r>
  <r>
    <n v="72"/>
    <n v="22"/>
    <x v="1"/>
    <x v="0"/>
    <x v="3"/>
    <s v="250-350"/>
  </r>
  <r>
    <n v="73"/>
    <n v="22"/>
    <x v="2"/>
    <x v="0"/>
    <x v="3"/>
    <s v="250-350"/>
  </r>
  <r>
    <n v="74"/>
    <n v="21"/>
    <x v="2"/>
    <x v="4"/>
    <x v="1"/>
    <s v="550+ рублей"/>
  </r>
  <r>
    <n v="75"/>
    <n v="23"/>
    <x v="1"/>
    <x v="0"/>
    <x v="1"/>
    <s v="до 250 рублей"/>
  </r>
  <r>
    <n v="76"/>
    <n v="18"/>
    <x v="1"/>
    <x v="0"/>
    <x v="2"/>
    <s v="250-350"/>
  </r>
  <r>
    <n v="77"/>
    <n v="19"/>
    <x v="2"/>
    <x v="0"/>
    <x v="3"/>
    <s v="250-350"/>
  </r>
  <r>
    <n v="78"/>
    <n v="19"/>
    <x v="1"/>
    <x v="2"/>
    <x v="1"/>
    <s v="351-450"/>
  </r>
  <r>
    <n v="80"/>
    <n v="25"/>
    <x v="2"/>
    <x v="1"/>
    <x v="2"/>
    <s v="550+ рублей"/>
  </r>
  <r>
    <n v="81"/>
    <n v="21"/>
    <x v="1"/>
    <x v="4"/>
    <x v="1"/>
    <s v="250-350"/>
  </r>
  <r>
    <n v="82"/>
    <n v="21"/>
    <x v="1"/>
    <x v="3"/>
    <x v="1"/>
    <s v="до 250 рублей"/>
  </r>
  <r>
    <n v="83"/>
    <n v="21"/>
    <x v="2"/>
    <x v="0"/>
    <x v="2"/>
    <s v="550+ рублей"/>
  </r>
  <r>
    <n v="84"/>
    <n v="24"/>
    <x v="0"/>
    <x v="0"/>
    <x v="1"/>
    <s v="550+ рублей"/>
  </r>
  <r>
    <n v="86"/>
    <n v="22"/>
    <x v="3"/>
    <x v="0"/>
    <x v="1"/>
    <s v="351-450"/>
  </r>
  <r>
    <n v="87"/>
    <n v="19"/>
    <x v="1"/>
    <x v="0"/>
    <x v="2"/>
    <s v="550+ рублей"/>
  </r>
  <r>
    <n v="88"/>
    <n v="21"/>
    <x v="2"/>
    <x v="4"/>
    <x v="1"/>
    <s v="250-350"/>
  </r>
  <r>
    <n v="89"/>
    <n v="24"/>
    <x v="2"/>
    <x v="2"/>
    <x v="3"/>
    <s v="550+ рублей"/>
  </r>
  <r>
    <n v="90"/>
    <n v="21"/>
    <x v="3"/>
    <x v="0"/>
    <x v="2"/>
    <s v="550+ рублей"/>
  </r>
  <r>
    <n v="91"/>
    <n v="18"/>
    <x v="2"/>
    <x v="0"/>
    <x v="1"/>
    <s v="250-350"/>
  </r>
  <r>
    <n v="92"/>
    <n v="23"/>
    <x v="4"/>
    <x v="3"/>
    <x v="4"/>
    <s v="250-350"/>
  </r>
  <r>
    <n v="93"/>
    <n v="22"/>
    <x v="2"/>
    <x v="0"/>
    <x v="4"/>
    <s v="250-350"/>
  </r>
  <r>
    <n v="94"/>
    <n v="21"/>
    <x v="2"/>
    <x v="0"/>
    <x v="4"/>
    <s v="451-550"/>
  </r>
  <r>
    <n v="95"/>
    <n v="19"/>
    <x v="2"/>
    <x v="0"/>
    <x v="0"/>
    <s v="250-350"/>
  </r>
  <r>
    <n v="96"/>
    <n v="19"/>
    <x v="1"/>
    <x v="0"/>
    <x v="1"/>
    <s v="351-450"/>
  </r>
  <r>
    <n v="97"/>
    <n v="19"/>
    <x v="2"/>
    <x v="0"/>
    <x v="3"/>
    <s v="451-550"/>
  </r>
  <r>
    <n v="98"/>
    <n v="25"/>
    <x v="1"/>
    <x v="0"/>
    <x v="1"/>
    <s v="351-450"/>
  </r>
  <r>
    <n v="99"/>
    <n v="23"/>
    <x v="0"/>
    <x v="0"/>
    <x v="3"/>
    <s v="550+ рублей"/>
  </r>
  <r>
    <n v="100"/>
    <n v="22"/>
    <x v="2"/>
    <x v="4"/>
    <x v="1"/>
    <s v="250-350"/>
  </r>
  <r>
    <n v="101"/>
    <n v="18"/>
    <x v="3"/>
    <x v="1"/>
    <x v="4"/>
    <s v="250-350"/>
  </r>
  <r>
    <n v="102"/>
    <n v="23"/>
    <x v="2"/>
    <x v="0"/>
    <x v="2"/>
    <s v="до 250 рублей"/>
  </r>
  <r>
    <n v="104"/>
    <n v="21"/>
    <x v="4"/>
    <x v="0"/>
    <x v="1"/>
    <s v="250-350"/>
  </r>
  <r>
    <n v="105"/>
    <n v="22"/>
    <x v="3"/>
    <x v="0"/>
    <x v="1"/>
    <s v="250-350"/>
  </r>
  <r>
    <n v="106"/>
    <n v="19"/>
    <x v="2"/>
    <x v="0"/>
    <x v="3"/>
    <s v="351-450"/>
  </r>
  <r>
    <n v="107"/>
    <n v="19"/>
    <x v="2"/>
    <x v="4"/>
    <x v="3"/>
    <s v="до 250 рублей"/>
  </r>
  <r>
    <n v="108"/>
    <n v="24"/>
    <x v="1"/>
    <x v="2"/>
    <x v="2"/>
    <s v="250-350"/>
  </r>
  <r>
    <n v="110"/>
    <n v="23"/>
    <x v="2"/>
    <x v="3"/>
    <x v="1"/>
    <s v="до 250 рублей"/>
  </r>
  <r>
    <n v="111"/>
    <n v="24"/>
    <x v="1"/>
    <x v="0"/>
    <x v="1"/>
    <s v="до 250 рублей"/>
  </r>
  <r>
    <n v="112"/>
    <n v="22"/>
    <x v="0"/>
    <x v="0"/>
    <x v="1"/>
    <s v="до 250 рублей"/>
  </r>
  <r>
    <n v="113"/>
    <n v="25"/>
    <x v="2"/>
    <x v="1"/>
    <x v="4"/>
    <s v="до 250 рублей"/>
  </r>
  <r>
    <n v="114"/>
    <n v="25"/>
    <x v="2"/>
    <x v="3"/>
    <x v="2"/>
    <s v="250-350"/>
  </r>
  <r>
    <n v="115"/>
    <n v="21"/>
    <x v="2"/>
    <x v="0"/>
    <x v="1"/>
    <s v="550+ рублей"/>
  </r>
  <r>
    <n v="116"/>
    <n v="21"/>
    <x v="1"/>
    <x v="0"/>
    <x v="1"/>
    <s v="550+ рублей"/>
  </r>
  <r>
    <n v="117"/>
    <n v="20"/>
    <x v="2"/>
    <x v="3"/>
    <x v="1"/>
    <s v="250-350"/>
  </r>
  <r>
    <n v="118"/>
    <n v="24"/>
    <x v="3"/>
    <x v="2"/>
    <x v="3"/>
    <s v="351-450"/>
  </r>
  <r>
    <n v="119"/>
    <n v="22"/>
    <x v="2"/>
    <x v="0"/>
    <x v="4"/>
    <s v="до 250 рублей"/>
  </r>
  <r>
    <n v="120"/>
    <n v="18"/>
    <x v="4"/>
    <x v="0"/>
    <x v="1"/>
    <s v="до 250 рублей"/>
  </r>
  <r>
    <n v="121"/>
    <n v="21"/>
    <x v="3"/>
    <x v="2"/>
    <x v="3"/>
    <s v="451-550"/>
  </r>
  <r>
    <n v="122"/>
    <n v="20"/>
    <x v="1"/>
    <x v="2"/>
    <x v="2"/>
    <s v="451-550"/>
  </r>
  <r>
    <n v="123"/>
    <n v="19"/>
    <x v="2"/>
    <x v="4"/>
    <x v="1"/>
    <s v="451-550"/>
  </r>
  <r>
    <n v="124"/>
    <n v="19"/>
    <x v="0"/>
    <x v="3"/>
    <x v="2"/>
    <s v="250-350"/>
  </r>
  <r>
    <n v="125"/>
    <n v="18"/>
    <x v="3"/>
    <x v="4"/>
    <x v="1"/>
    <s v="351-450"/>
  </r>
  <r>
    <n v="126"/>
    <n v="18"/>
    <x v="2"/>
    <x v="4"/>
    <x v="3"/>
    <s v="351-450"/>
  </r>
  <r>
    <n v="127"/>
    <n v="20"/>
    <x v="1"/>
    <x v="0"/>
    <x v="1"/>
    <s v="250-350"/>
  </r>
  <r>
    <n v="128"/>
    <n v="22"/>
    <x v="1"/>
    <x v="0"/>
    <x v="3"/>
    <s v="до 250 рублей"/>
  </r>
  <r>
    <n v="129"/>
    <n v="21"/>
    <x v="2"/>
    <x v="0"/>
    <x v="2"/>
    <s v="351-450"/>
  </r>
  <r>
    <n v="130"/>
    <n v="21"/>
    <x v="2"/>
    <x v="2"/>
    <x v="3"/>
    <s v="до 250 рублей"/>
  </r>
  <r>
    <n v="131"/>
    <n v="24"/>
    <x v="3"/>
    <x v="3"/>
    <x v="1"/>
    <s v="до 250 рублей"/>
  </r>
  <r>
    <n v="132"/>
    <n v="21"/>
    <x v="1"/>
    <x v="2"/>
    <x v="0"/>
    <s v="до 250 рублей"/>
  </r>
  <r>
    <n v="133"/>
    <n v="23"/>
    <x v="1"/>
    <x v="4"/>
    <x v="0"/>
    <s v="351-450"/>
  </r>
  <r>
    <n v="134"/>
    <n v="19"/>
    <x v="3"/>
    <x v="2"/>
    <x v="3"/>
    <s v="250-350"/>
  </r>
  <r>
    <n v="135"/>
    <n v="25"/>
    <x v="1"/>
    <x v="3"/>
    <x v="3"/>
    <s v="до 250 рублей"/>
  </r>
  <r>
    <n v="136"/>
    <n v="19"/>
    <x v="2"/>
    <x v="0"/>
    <x v="2"/>
    <s v="до 250 рублей"/>
  </r>
  <r>
    <n v="137"/>
    <n v="22"/>
    <x v="2"/>
    <x v="4"/>
    <x v="4"/>
    <s v="до 250 рублей"/>
  </r>
  <r>
    <n v="138"/>
    <n v="25"/>
    <x v="3"/>
    <x v="4"/>
    <x v="1"/>
    <s v="550+ рублей"/>
  </r>
  <r>
    <n v="139"/>
    <n v="22"/>
    <x v="0"/>
    <x v="0"/>
    <x v="3"/>
    <s v="до 250 рублей"/>
  </r>
  <r>
    <n v="140"/>
    <n v="25"/>
    <x v="2"/>
    <x v="0"/>
    <x v="4"/>
    <s v="250-350"/>
  </r>
  <r>
    <n v="141"/>
    <n v="19"/>
    <x v="3"/>
    <x v="1"/>
    <x v="0"/>
    <s v="250-350"/>
  </r>
  <r>
    <n v="142"/>
    <n v="21"/>
    <x v="0"/>
    <x v="2"/>
    <x v="3"/>
    <s v="250-350"/>
  </r>
  <r>
    <n v="143"/>
    <n v="19"/>
    <x v="2"/>
    <x v="0"/>
    <x v="1"/>
    <s v="до 250 рублей"/>
  </r>
  <r>
    <n v="144"/>
    <n v="23"/>
    <x v="1"/>
    <x v="0"/>
    <x v="3"/>
    <s v="351-450"/>
  </r>
  <r>
    <n v="145"/>
    <n v="22"/>
    <x v="2"/>
    <x v="0"/>
    <x v="3"/>
    <s v="250-350"/>
  </r>
  <r>
    <n v="146"/>
    <n v="22"/>
    <x v="2"/>
    <x v="0"/>
    <x v="2"/>
    <s v="351-450"/>
  </r>
  <r>
    <n v="147"/>
    <n v="21"/>
    <x v="2"/>
    <x v="0"/>
    <x v="3"/>
    <s v="до 250 рублей"/>
  </r>
  <r>
    <n v="148"/>
    <n v="24"/>
    <x v="1"/>
    <x v="0"/>
    <x v="4"/>
    <s v="до 250 рублей"/>
  </r>
  <r>
    <n v="149"/>
    <n v="19"/>
    <x v="1"/>
    <x v="4"/>
    <x v="0"/>
    <s v="351-450"/>
  </r>
  <r>
    <n v="150"/>
    <n v="23"/>
    <x v="2"/>
    <x v="0"/>
    <x v="3"/>
    <s v="250-350"/>
  </r>
  <r>
    <n v="151"/>
    <n v="21"/>
    <x v="2"/>
    <x v="0"/>
    <x v="2"/>
    <s v="до 250 рублей"/>
  </r>
  <r>
    <n v="152"/>
    <n v="20"/>
    <x v="3"/>
    <x v="1"/>
    <x v="1"/>
    <s v="до 250 рублей"/>
  </r>
  <r>
    <n v="153"/>
    <n v="18"/>
    <x v="2"/>
    <x v="2"/>
    <x v="1"/>
    <s v="до 250 рублей"/>
  </r>
  <r>
    <n v="154"/>
    <n v="21"/>
    <x v="2"/>
    <x v="0"/>
    <x v="1"/>
    <s v="250-350"/>
  </r>
  <r>
    <n v="155"/>
    <n v="25"/>
    <x v="1"/>
    <x v="4"/>
    <x v="2"/>
    <s v="351-450"/>
  </r>
  <r>
    <n v="156"/>
    <n v="21"/>
    <x v="1"/>
    <x v="0"/>
    <x v="0"/>
    <s v="250-350"/>
  </r>
  <r>
    <n v="157"/>
    <n v="19"/>
    <x v="3"/>
    <x v="2"/>
    <x v="3"/>
    <s v="351-450"/>
  </r>
  <r>
    <n v="158"/>
    <n v="20"/>
    <x v="3"/>
    <x v="0"/>
    <x v="1"/>
    <s v="451-550"/>
  </r>
  <r>
    <n v="159"/>
    <n v="21"/>
    <x v="2"/>
    <x v="0"/>
    <x v="3"/>
    <s v="250-350"/>
  </r>
  <r>
    <n v="160"/>
    <n v="19"/>
    <x v="3"/>
    <x v="0"/>
    <x v="4"/>
    <s v="250-350"/>
  </r>
  <r>
    <n v="161"/>
    <n v="25"/>
    <x v="3"/>
    <x v="0"/>
    <x v="3"/>
    <s v="до 250 рублей"/>
  </r>
  <r>
    <n v="162"/>
    <n v="21"/>
    <x v="2"/>
    <x v="2"/>
    <x v="2"/>
    <s v="до 250 рублей"/>
  </r>
  <r>
    <n v="164"/>
    <n v="25"/>
    <x v="2"/>
    <x v="1"/>
    <x v="3"/>
    <s v="351-450"/>
  </r>
  <r>
    <n v="165"/>
    <n v="21"/>
    <x v="2"/>
    <x v="0"/>
    <x v="1"/>
    <s v="250-350"/>
  </r>
  <r>
    <n v="166"/>
    <n v="25"/>
    <x v="0"/>
    <x v="0"/>
    <x v="3"/>
    <s v="351-450"/>
  </r>
  <r>
    <n v="167"/>
    <n v="25"/>
    <x v="2"/>
    <x v="2"/>
    <x v="1"/>
    <s v="250-350"/>
  </r>
  <r>
    <n v="168"/>
    <n v="22"/>
    <x v="2"/>
    <x v="3"/>
    <x v="1"/>
    <s v="250-350"/>
  </r>
  <r>
    <n v="169"/>
    <n v="21"/>
    <x v="3"/>
    <x v="1"/>
    <x v="4"/>
    <s v="250-350"/>
  </r>
  <r>
    <n v="103"/>
    <n v="19"/>
    <x v="1"/>
    <x v="0"/>
    <x v="1"/>
    <s v="351-450"/>
  </r>
  <r>
    <n v="170"/>
    <n v="19"/>
    <x v="1"/>
    <x v="0"/>
    <x v="3"/>
    <s v="351-450"/>
  </r>
  <r>
    <n v="171"/>
    <n v="25"/>
    <x v="2"/>
    <x v="2"/>
    <x v="1"/>
    <s v="до 250 рублей"/>
  </r>
  <r>
    <n v="172"/>
    <n v="18"/>
    <x v="4"/>
    <x v="0"/>
    <x v="3"/>
    <s v="351-450"/>
  </r>
  <r>
    <n v="173"/>
    <n v="25"/>
    <x v="2"/>
    <x v="0"/>
    <x v="1"/>
    <s v="550+ рублей"/>
  </r>
  <r>
    <n v="174"/>
    <n v="25"/>
    <x v="3"/>
    <x v="2"/>
    <x v="1"/>
    <s v="250-350"/>
  </r>
  <r>
    <n v="175"/>
    <n v="22"/>
    <x v="0"/>
    <x v="3"/>
    <x v="1"/>
    <s v="до 250 рублей"/>
  </r>
  <r>
    <n v="176"/>
    <n v="21"/>
    <x v="1"/>
    <x v="4"/>
    <x v="3"/>
    <s v="до 250 рублей"/>
  </r>
  <r>
    <n v="177"/>
    <n v="21"/>
    <x v="1"/>
    <x v="0"/>
    <x v="3"/>
    <s v="250-350"/>
  </r>
  <r>
    <n v="178"/>
    <n v="22"/>
    <x v="2"/>
    <x v="0"/>
    <x v="4"/>
    <s v="250-350"/>
  </r>
  <r>
    <n v="179"/>
    <n v="21"/>
    <x v="1"/>
    <x v="0"/>
    <x v="3"/>
    <s v="250-350"/>
  </r>
  <r>
    <n v="180"/>
    <n v="25"/>
    <x v="1"/>
    <x v="0"/>
    <x v="0"/>
    <s v="250-350"/>
  </r>
  <r>
    <n v="181"/>
    <n v="21"/>
    <x v="3"/>
    <x v="3"/>
    <x v="0"/>
    <s v="550+ рублей"/>
  </r>
  <r>
    <n v="182"/>
    <n v="25"/>
    <x v="1"/>
    <x v="3"/>
    <x v="2"/>
    <s v="351-450"/>
  </r>
  <r>
    <n v="183"/>
    <n v="21"/>
    <x v="1"/>
    <x v="3"/>
    <x v="2"/>
    <s v="250-350"/>
  </r>
  <r>
    <n v="184"/>
    <n v="23"/>
    <x v="1"/>
    <x v="0"/>
    <x v="1"/>
    <s v="451-550"/>
  </r>
  <r>
    <n v="185"/>
    <n v="24"/>
    <x v="2"/>
    <x v="0"/>
    <x v="3"/>
    <s v="351-450"/>
  </r>
  <r>
    <n v="186"/>
    <n v="22"/>
    <x v="0"/>
    <x v="0"/>
    <x v="3"/>
    <s v="250-350"/>
  </r>
  <r>
    <n v="187"/>
    <n v="20"/>
    <x v="2"/>
    <x v="0"/>
    <x v="1"/>
    <s v="250-350"/>
  </r>
  <r>
    <n v="188"/>
    <n v="18"/>
    <x v="2"/>
    <x v="0"/>
    <x v="1"/>
    <s v="до 250 рублей"/>
  </r>
  <r>
    <n v="189"/>
    <n v="20"/>
    <x v="2"/>
    <x v="0"/>
    <x v="1"/>
    <s v="до 250 рублей"/>
  </r>
  <r>
    <n v="190"/>
    <n v="22"/>
    <x v="3"/>
    <x v="0"/>
    <x v="4"/>
    <s v="до 250 рублей"/>
  </r>
  <r>
    <n v="191"/>
    <n v="20"/>
    <x v="0"/>
    <x v="2"/>
    <x v="3"/>
    <s v="451-550"/>
  </r>
  <r>
    <n v="192"/>
    <n v="18"/>
    <x v="3"/>
    <x v="0"/>
    <x v="3"/>
    <s v="250-350"/>
  </r>
  <r>
    <n v="193"/>
    <n v="18"/>
    <x v="1"/>
    <x v="1"/>
    <x v="3"/>
    <s v="до 250 рублей"/>
  </r>
  <r>
    <n v="194"/>
    <n v="19"/>
    <x v="0"/>
    <x v="4"/>
    <x v="4"/>
    <s v="351-450"/>
  </r>
  <r>
    <n v="195"/>
    <n v="20"/>
    <x v="3"/>
    <x v="2"/>
    <x v="1"/>
    <s v="351-450"/>
  </r>
  <r>
    <n v="196"/>
    <n v="24"/>
    <x v="2"/>
    <x v="0"/>
    <x v="1"/>
    <s v="250-350"/>
  </r>
  <r>
    <n v="197"/>
    <n v="21"/>
    <x v="0"/>
    <x v="2"/>
    <x v="3"/>
    <s v="351-450"/>
  </r>
  <r>
    <n v="198"/>
    <n v="24"/>
    <x v="1"/>
    <x v="0"/>
    <x v="3"/>
    <s v="250-350"/>
  </r>
  <r>
    <n v="199"/>
    <n v="21"/>
    <x v="1"/>
    <x v="3"/>
    <x v="4"/>
    <s v="550+ рублей"/>
  </r>
  <r>
    <n v="200"/>
    <n v="25"/>
    <x v="0"/>
    <x v="4"/>
    <x v="2"/>
    <s v="250-350"/>
  </r>
  <r>
    <n v="201"/>
    <n v="25"/>
    <x v="0"/>
    <x v="2"/>
    <x v="1"/>
    <s v="351-450"/>
  </r>
  <r>
    <n v="202"/>
    <n v="21"/>
    <x v="3"/>
    <x v="0"/>
    <x v="2"/>
    <s v="351-450"/>
  </r>
  <r>
    <n v="203"/>
    <n v="24"/>
    <x v="2"/>
    <x v="0"/>
    <x v="0"/>
    <s v="250-350"/>
  </r>
  <r>
    <n v="204"/>
    <n v="18"/>
    <x v="1"/>
    <x v="0"/>
    <x v="3"/>
    <s v="451-550"/>
  </r>
  <r>
    <n v="205"/>
    <n v="20"/>
    <x v="2"/>
    <x v="0"/>
    <x v="3"/>
    <s v="250-350"/>
  </r>
  <r>
    <n v="206"/>
    <n v="25"/>
    <x v="1"/>
    <x v="1"/>
    <x v="0"/>
    <s v="451-550"/>
  </r>
  <r>
    <n v="207"/>
    <n v="20"/>
    <x v="3"/>
    <x v="1"/>
    <x v="0"/>
    <s v="451-550"/>
  </r>
  <r>
    <n v="208"/>
    <n v="21"/>
    <x v="2"/>
    <x v="2"/>
    <x v="1"/>
    <s v="550+ рублей"/>
  </r>
  <r>
    <n v="209"/>
    <n v="23"/>
    <x v="2"/>
    <x v="4"/>
    <x v="1"/>
    <s v="до 250 рублей"/>
  </r>
  <r>
    <n v="210"/>
    <n v="24"/>
    <x v="2"/>
    <x v="0"/>
    <x v="3"/>
    <s v="до 250 рублей"/>
  </r>
  <r>
    <n v="211"/>
    <n v="24"/>
    <x v="1"/>
    <x v="0"/>
    <x v="4"/>
    <s v="250-350"/>
  </r>
  <r>
    <n v="212"/>
    <n v="20"/>
    <x v="1"/>
    <x v="0"/>
    <x v="1"/>
    <s v="351-450"/>
  </r>
  <r>
    <n v="213"/>
    <n v="21"/>
    <x v="2"/>
    <x v="0"/>
    <x v="3"/>
    <s v="до 250 рублей"/>
  </r>
  <r>
    <n v="214"/>
    <n v="19"/>
    <x v="4"/>
    <x v="0"/>
    <x v="3"/>
    <s v="250-350"/>
  </r>
  <r>
    <n v="215"/>
    <n v="20"/>
    <x v="2"/>
    <x v="0"/>
    <x v="1"/>
    <s v="250-350"/>
  </r>
  <r>
    <n v="216"/>
    <n v="21"/>
    <x v="3"/>
    <x v="0"/>
    <x v="3"/>
    <s v="550+ рублей"/>
  </r>
  <r>
    <n v="217"/>
    <n v="19"/>
    <x v="2"/>
    <x v="2"/>
    <x v="4"/>
    <s v="до 250 рублей"/>
  </r>
  <r>
    <n v="218"/>
    <n v="21"/>
    <x v="3"/>
    <x v="1"/>
    <x v="2"/>
    <s v="250-350"/>
  </r>
  <r>
    <n v="219"/>
    <n v="24"/>
    <x v="2"/>
    <x v="0"/>
    <x v="3"/>
    <s v="250-350"/>
  </r>
  <r>
    <n v="221"/>
    <n v="21"/>
    <x v="1"/>
    <x v="3"/>
    <x v="2"/>
    <s v="550+ рублей"/>
  </r>
  <r>
    <n v="222"/>
    <n v="21"/>
    <x v="3"/>
    <x v="4"/>
    <x v="2"/>
    <s v="до 250 рублей"/>
  </r>
  <r>
    <n v="223"/>
    <n v="21"/>
    <x v="2"/>
    <x v="1"/>
    <x v="1"/>
    <s v="351-450"/>
  </r>
  <r>
    <n v="224"/>
    <n v="23"/>
    <x v="1"/>
    <x v="0"/>
    <x v="3"/>
    <s v="до 250 рублей"/>
  </r>
  <r>
    <n v="225"/>
    <n v="25"/>
    <x v="2"/>
    <x v="2"/>
    <x v="4"/>
    <s v="351-450"/>
  </r>
  <r>
    <n v="226"/>
    <n v="21"/>
    <x v="2"/>
    <x v="0"/>
    <x v="0"/>
    <s v="351-450"/>
  </r>
  <r>
    <n v="227"/>
    <n v="21"/>
    <x v="2"/>
    <x v="0"/>
    <x v="0"/>
    <s v="351-450"/>
  </r>
  <r>
    <n v="228"/>
    <n v="19"/>
    <x v="3"/>
    <x v="0"/>
    <x v="4"/>
    <s v="550+ рублей"/>
  </r>
  <r>
    <n v="229"/>
    <n v="18"/>
    <x v="1"/>
    <x v="3"/>
    <x v="2"/>
    <s v="550+ рублей"/>
  </r>
  <r>
    <n v="230"/>
    <n v="19"/>
    <x v="2"/>
    <x v="1"/>
    <x v="1"/>
    <s v="250-350"/>
  </r>
  <r>
    <n v="231"/>
    <n v="19"/>
    <x v="4"/>
    <x v="0"/>
    <x v="2"/>
    <s v="250-350"/>
  </r>
  <r>
    <n v="232"/>
    <n v="18"/>
    <x v="3"/>
    <x v="2"/>
    <x v="2"/>
    <s v="250-350"/>
  </r>
  <r>
    <n v="233"/>
    <n v="25"/>
    <x v="3"/>
    <x v="1"/>
    <x v="3"/>
    <s v="до 250 рублей"/>
  </r>
  <r>
    <n v="234"/>
    <n v="18"/>
    <x v="1"/>
    <x v="3"/>
    <x v="2"/>
    <s v="550+ рублей"/>
  </r>
  <r>
    <n v="235"/>
    <n v="18"/>
    <x v="2"/>
    <x v="3"/>
    <x v="1"/>
    <s v="до 250 рублей"/>
  </r>
  <r>
    <n v="236"/>
    <n v="21"/>
    <x v="3"/>
    <x v="0"/>
    <x v="4"/>
    <s v="451-550"/>
  </r>
  <r>
    <n v="237"/>
    <n v="21"/>
    <x v="3"/>
    <x v="3"/>
    <x v="1"/>
    <s v="250-350"/>
  </r>
  <r>
    <n v="238"/>
    <n v="20"/>
    <x v="1"/>
    <x v="0"/>
    <x v="3"/>
    <s v="550+ рублей"/>
  </r>
  <r>
    <n v="239"/>
    <n v="22"/>
    <x v="2"/>
    <x v="0"/>
    <x v="1"/>
    <s v="до 250 рублей"/>
  </r>
  <r>
    <n v="240"/>
    <n v="19"/>
    <x v="2"/>
    <x v="0"/>
    <x v="1"/>
    <s v="до 250 рублей"/>
  </r>
  <r>
    <n v="241"/>
    <n v="19"/>
    <x v="1"/>
    <x v="0"/>
    <x v="3"/>
    <s v="250-350"/>
  </r>
  <r>
    <n v="242"/>
    <n v="19"/>
    <x v="1"/>
    <x v="3"/>
    <x v="4"/>
    <s v="250-350"/>
  </r>
  <r>
    <n v="243"/>
    <n v="24"/>
    <x v="2"/>
    <x v="0"/>
    <x v="2"/>
    <s v="250-350"/>
  </r>
  <r>
    <n v="245"/>
    <n v="22"/>
    <x v="2"/>
    <x v="0"/>
    <x v="1"/>
    <s v="550+ рублей"/>
  </r>
  <r>
    <n v="246"/>
    <n v="22"/>
    <x v="0"/>
    <x v="0"/>
    <x v="0"/>
    <s v="351-450"/>
  </r>
  <r>
    <n v="247"/>
    <n v="20"/>
    <x v="3"/>
    <x v="1"/>
    <x v="0"/>
    <s v="до 250 рублей"/>
  </r>
  <r>
    <n v="248"/>
    <n v="23"/>
    <x v="2"/>
    <x v="0"/>
    <x v="3"/>
    <s v="250-350"/>
  </r>
  <r>
    <n v="249"/>
    <n v="19"/>
    <x v="1"/>
    <x v="0"/>
    <x v="3"/>
    <s v="250-350"/>
  </r>
  <r>
    <n v="250"/>
    <n v="21"/>
    <x v="2"/>
    <x v="3"/>
    <x v="1"/>
    <s v="250-350"/>
  </r>
  <r>
    <n v="251"/>
    <n v="21"/>
    <x v="2"/>
    <x v="2"/>
    <x v="4"/>
    <s v="до 250 рублей"/>
  </r>
  <r>
    <n v="252"/>
    <n v="19"/>
    <x v="1"/>
    <x v="2"/>
    <x v="4"/>
    <s v="250-350"/>
  </r>
  <r>
    <n v="253"/>
    <n v="18"/>
    <x v="2"/>
    <x v="2"/>
    <x v="1"/>
    <s v="250-350"/>
  </r>
  <r>
    <n v="254"/>
    <n v="20"/>
    <x v="1"/>
    <x v="1"/>
    <x v="1"/>
    <s v="до 250 рублей"/>
  </r>
  <r>
    <n v="255"/>
    <n v="24"/>
    <x v="3"/>
    <x v="0"/>
    <x v="3"/>
    <s v="351-450"/>
  </r>
  <r>
    <n v="256"/>
    <n v="21"/>
    <x v="2"/>
    <x v="2"/>
    <x v="3"/>
    <s v="250-350"/>
  </r>
  <r>
    <n v="257"/>
    <n v="21"/>
    <x v="2"/>
    <x v="0"/>
    <x v="0"/>
    <s v="250-350"/>
  </r>
  <r>
    <n v="258"/>
    <n v="19"/>
    <x v="2"/>
    <x v="1"/>
    <x v="4"/>
    <s v="250-350"/>
  </r>
  <r>
    <n v="259"/>
    <n v="21"/>
    <x v="1"/>
    <x v="0"/>
    <x v="1"/>
    <s v="до 250 рублей"/>
  </r>
  <r>
    <n v="260"/>
    <n v="19"/>
    <x v="3"/>
    <x v="0"/>
    <x v="4"/>
    <s v="до 250 рублей"/>
  </r>
  <r>
    <n v="261"/>
    <n v="18"/>
    <x v="2"/>
    <x v="3"/>
    <x v="4"/>
    <s v="250-350"/>
  </r>
  <r>
    <n v="262"/>
    <n v="21"/>
    <x v="2"/>
    <x v="0"/>
    <x v="3"/>
    <s v="250-350"/>
  </r>
  <r>
    <n v="263"/>
    <n v="22"/>
    <x v="1"/>
    <x v="2"/>
    <x v="0"/>
    <s v="250-350"/>
  </r>
  <r>
    <n v="265"/>
    <n v="23"/>
    <x v="4"/>
    <x v="2"/>
    <x v="1"/>
    <s v="550+ рублей"/>
  </r>
  <r>
    <n v="220"/>
    <n v="24"/>
    <x v="2"/>
    <x v="0"/>
    <x v="1"/>
    <s v="250-350"/>
  </r>
  <r>
    <n v="266"/>
    <n v="24"/>
    <x v="2"/>
    <x v="0"/>
    <x v="3"/>
    <s v="250-350"/>
  </r>
  <r>
    <n v="267"/>
    <n v="22"/>
    <x v="1"/>
    <x v="0"/>
    <x v="3"/>
    <s v="451-550"/>
  </r>
  <r>
    <n v="268"/>
    <n v="20"/>
    <x v="2"/>
    <x v="0"/>
    <x v="1"/>
    <s v="550+ рублей"/>
  </r>
  <r>
    <n v="269"/>
    <n v="21"/>
    <x v="2"/>
    <x v="0"/>
    <x v="1"/>
    <s v="до 250 рублей"/>
  </r>
  <r>
    <n v="270"/>
    <n v="19"/>
    <x v="1"/>
    <x v="2"/>
    <x v="3"/>
    <s v="250-350"/>
  </r>
  <r>
    <n v="271"/>
    <n v="21"/>
    <x v="3"/>
    <x v="1"/>
    <x v="1"/>
    <s v="451-550"/>
  </r>
  <r>
    <n v="272"/>
    <n v="25"/>
    <x v="4"/>
    <x v="1"/>
    <x v="1"/>
    <s v="451-550"/>
  </r>
  <r>
    <n v="273"/>
    <n v="21"/>
    <x v="2"/>
    <x v="0"/>
    <x v="3"/>
    <s v="550+ рублей"/>
  </r>
  <r>
    <n v="274"/>
    <n v="21"/>
    <x v="2"/>
    <x v="0"/>
    <x v="2"/>
    <s v="451-550"/>
  </r>
  <r>
    <n v="275"/>
    <n v="21"/>
    <x v="3"/>
    <x v="0"/>
    <x v="3"/>
    <s v="250-350"/>
  </r>
  <r>
    <n v="276"/>
    <n v="21"/>
    <x v="2"/>
    <x v="0"/>
    <x v="3"/>
    <s v="451-550"/>
  </r>
  <r>
    <n v="277"/>
    <n v="21"/>
    <x v="1"/>
    <x v="0"/>
    <x v="3"/>
    <s v="до 250 рублей"/>
  </r>
  <r>
    <n v="278"/>
    <n v="25"/>
    <x v="3"/>
    <x v="0"/>
    <x v="3"/>
    <s v="550+ рублей"/>
  </r>
  <r>
    <n v="279"/>
    <n v="18"/>
    <x v="1"/>
    <x v="0"/>
    <x v="4"/>
    <s v="до 250 рублей"/>
  </r>
  <r>
    <n v="280"/>
    <n v="19"/>
    <x v="2"/>
    <x v="1"/>
    <x v="1"/>
    <s v="250-350"/>
  </r>
  <r>
    <n v="281"/>
    <n v="19"/>
    <x v="2"/>
    <x v="0"/>
    <x v="1"/>
    <s v="351-450"/>
  </r>
  <r>
    <n v="282"/>
    <n v="20"/>
    <x v="1"/>
    <x v="0"/>
    <x v="3"/>
    <s v="до 250 рублей"/>
  </r>
  <r>
    <n v="283"/>
    <n v="23"/>
    <x v="1"/>
    <x v="0"/>
    <x v="2"/>
    <s v="до 250 рублей"/>
  </r>
  <r>
    <n v="284"/>
    <n v="18"/>
    <x v="2"/>
    <x v="1"/>
    <x v="0"/>
    <s v="250-350"/>
  </r>
  <r>
    <n v="286"/>
    <n v="19"/>
    <x v="2"/>
    <x v="0"/>
    <x v="3"/>
    <s v="550+ рублей"/>
  </r>
  <r>
    <n v="287"/>
    <n v="18"/>
    <x v="0"/>
    <x v="0"/>
    <x v="2"/>
    <s v="550+ рублей"/>
  </r>
  <r>
    <n v="288"/>
    <n v="21"/>
    <x v="2"/>
    <x v="0"/>
    <x v="1"/>
    <s v="до 250 рублей"/>
  </r>
  <r>
    <n v="289"/>
    <n v="24"/>
    <x v="2"/>
    <x v="1"/>
    <x v="1"/>
    <s v="550+ рублей"/>
  </r>
  <r>
    <n v="290"/>
    <n v="25"/>
    <x v="2"/>
    <x v="0"/>
    <x v="0"/>
    <s v="250-350"/>
  </r>
  <r>
    <n v="291"/>
    <n v="19"/>
    <x v="0"/>
    <x v="0"/>
    <x v="2"/>
    <s v="250-350"/>
  </r>
  <r>
    <n v="292"/>
    <n v="19"/>
    <x v="2"/>
    <x v="0"/>
    <x v="3"/>
    <s v="250-350"/>
  </r>
  <r>
    <n v="293"/>
    <n v="21"/>
    <x v="1"/>
    <x v="4"/>
    <x v="3"/>
    <s v="до 250 рублей"/>
  </r>
  <r>
    <n v="294"/>
    <n v="22"/>
    <x v="2"/>
    <x v="4"/>
    <x v="3"/>
    <s v="до 250 рублей"/>
  </r>
  <r>
    <n v="295"/>
    <n v="24"/>
    <x v="2"/>
    <x v="0"/>
    <x v="2"/>
    <s v="250-350"/>
  </r>
  <r>
    <n v="296"/>
    <n v="19"/>
    <x v="2"/>
    <x v="0"/>
    <x v="1"/>
    <s v="до 250 рублей"/>
  </r>
  <r>
    <n v="297"/>
    <n v="24"/>
    <x v="1"/>
    <x v="0"/>
    <x v="2"/>
    <s v="до 250 рублей"/>
  </r>
  <r>
    <n v="298"/>
    <n v="19"/>
    <x v="3"/>
    <x v="0"/>
    <x v="3"/>
    <s v="351-450"/>
  </r>
  <r>
    <n v="299"/>
    <n v="23"/>
    <x v="1"/>
    <x v="0"/>
    <x v="1"/>
    <s v="до 250 рублей"/>
  </r>
  <r>
    <n v="300"/>
    <n v="20"/>
    <x v="2"/>
    <x v="0"/>
    <x v="3"/>
    <s v="250-350"/>
  </r>
  <r>
    <n v="301"/>
    <n v="18"/>
    <x v="1"/>
    <x v="2"/>
    <x v="1"/>
    <s v="до 250 рублей"/>
  </r>
  <r>
    <n v="302"/>
    <n v="25"/>
    <x v="0"/>
    <x v="4"/>
    <x v="1"/>
    <s v="250-350"/>
  </r>
  <r>
    <n v="303"/>
    <n v="18"/>
    <x v="1"/>
    <x v="4"/>
    <x v="1"/>
    <s v="до 250 рублей"/>
  </r>
  <r>
    <n v="304"/>
    <n v="20"/>
    <x v="1"/>
    <x v="3"/>
    <x v="1"/>
    <s v="250-3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Свод (Рез. опр.)" cacheId="21" applyNumberFormats="0" applyBorderFormats="0" applyFontFormats="0" applyPatternFormats="0" applyAlignmentFormats="0" applyWidthHeightFormats="0" dataCaption="" updatedVersion="8" compact="0" compactData="0">
  <location ref="A3:G10" firstHeaderRow="1" firstDataRow="2" firstDataCol="1" rowPageCount="1" colPageCount="1"/>
  <pivotFields count="6">
    <pivotField name="Номер респондента" compact="0" outline="0" multipleItemSelectionAllowed="1" showAll="0"/>
    <pivotField name="Возраст" compact="0" outline="0" multipleItemSelectionAllowed="1" showAll="0"/>
    <pivotField name="Оцените, насколько вы довольны своим мобильным оператором?" axis="axisPage" compact="0" outline="0" multipleItemSelectionAllowed="1" showAll="0">
      <items count="6">
        <item h="1" x="0"/>
        <item x="1"/>
        <item h="1" x="2"/>
        <item x="3"/>
        <item x="4"/>
        <item t="default"/>
      </items>
    </pivotField>
    <pivotField name="Сколько минут в неделю вы тратите на звонки?" axis="axisRow" compact="0" outline="0" multipleItemSelectionAllowed="1" showAll="0" sortType="descending">
      <items count="6">
        <item x="1"/>
        <item x="2"/>
        <item x="3"/>
        <item x="4"/>
        <item sd="0" x="0"/>
        <item t="default"/>
      </items>
    </pivotField>
    <pivotField name="Сколько интернет трафика вы тратите в месяц с вашего мобильного устройства?" axis="axisCol" compact="0" outline="0" multipleItemSelectionAllowed="1" showAll="0" sortType="ascending">
      <items count="6">
        <item x="0"/>
        <item x="4"/>
        <item x="1"/>
        <item x="3"/>
        <item x="2"/>
        <item t="default"/>
      </items>
    </pivotField>
    <pivotField name="Сколько вы готовы заплатить за оптимальный тариф?" dataField="1" compact="0" outline="0" multipleItemSelectionAllowe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" hier="0"/>
  </pageFields>
  <dataFields count="1">
    <dataField name="Count of Сколько вы готовы заплатить за оптимальный тариф?" fld="5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Свод (Сгруп. дан.)" cacheId="15" applyNumberFormats="0" applyBorderFormats="0" applyFontFormats="0" applyPatternFormats="0" applyAlignmentFormats="0" applyWidthHeightFormats="0" dataCaption="" updatedVersion="8" compact="0" compactData="0">
  <location ref="A3:G10" firstHeaderRow="1" firstDataRow="2" firstDataCol="1"/>
  <pivotFields count="6">
    <pivotField name="ID" dataField="1" compact="0" outline="0" multipleItemSelectionAllowed="1" showAll="0"/>
    <pivotField name="Возраст" compact="0" outline="0" multipleItemSelectionAllowed="1" showAll="0"/>
    <pivotField compact="0" outline="0" showAll="0" includeNewItemsInFilter="1"/>
    <pivotField name="Сколько минут в неделю/Гб в месяц вы тратите?" axis="axisRow" compact="0" outline="0" multipleItemSelectionAllowed="1" showAll="0">
      <items count="6">
        <item x="0"/>
        <item x="4"/>
        <item x="3"/>
        <item x="2"/>
        <item x="1"/>
        <item t="default"/>
      </items>
    </pivotField>
    <pivotField name="Сколько интернет трафика вы тратите в месяц с вашего мобильного устройства?" axis="axisCol" compact="0" outline="0" multipleItemSelectionAllowed="1" showAll="0" sortType="ascending">
      <items count="6">
        <item x="0"/>
        <item x="4"/>
        <item x="1"/>
        <item x="3"/>
        <item x="2"/>
        <item t="default"/>
      </items>
    </pivotField>
    <pivotField name="Сколько вы готовы заплатить за оптимальный тариф?" compact="0" outline="0" multipleItemSelectionAllowe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D" fld="0" subtotal="count" showDataAs="percentOfTotal" baseField="0" numFmtId="10"/>
  </dataFields>
  <formats count="2">
    <format dxfId="4">
      <pivotArea field="3" type="button" dataOnly="0" labelOnly="1" outline="0" axis="axisRow" fieldPosition="0"/>
    </format>
    <format dxfId="3">
      <pivotArea field="3" type="button" dataOnly="0" labelOnly="1" outline="0" axis="axisRow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BC143-D652-4F75-9585-6A0363BC8EE8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6:B12" firstHeaderRow="1" firstDataRow="1" firstDataCol="1" rowPageCount="4" colPageCount="1"/>
  <pivotFields count="11">
    <pivotField dataField="1" showAll="0"/>
    <pivotField showAll="0"/>
    <pivotField axis="axisPage" showAll="0">
      <items count="3">
        <item x="1"/>
        <item x="0"/>
        <item t="default"/>
      </items>
    </pivotField>
    <pivotField axis="axisPage" multipleItemSelectionAllowed="1" showAll="0">
      <items count="6">
        <item x="0"/>
        <item h="1" x="4"/>
        <item h="1" x="3"/>
        <item h="1" x="2"/>
        <item h="1" x="1"/>
        <item t="default"/>
      </items>
    </pivotField>
    <pivotField axis="axisPage" multipleItemSelectionAllowed="1" showAll="0">
      <items count="6">
        <item x="0"/>
        <item x="4"/>
        <item x="1"/>
        <item x="3"/>
        <item h="1" x="2"/>
        <item t="default"/>
      </items>
    </pivotField>
    <pivotField axis="axisRow" showAll="0">
      <items count="11">
        <item x="7"/>
        <item x="6"/>
        <item x="8"/>
        <item x="9"/>
        <item x="5"/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7">
        <item x="4"/>
        <item x="1"/>
        <item h="1" x="0"/>
        <item x="3"/>
        <item h="1" x="2"/>
        <item h="1" x="5"/>
        <item t="default"/>
      </items>
    </pivotField>
  </pivotFields>
  <rowFields count="1">
    <field x="5"/>
  </rowFields>
  <rowItems count="6"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4">
    <pageField fld="2" item="1" hier="-1"/>
    <pageField fld="3" hier="-1"/>
    <pageField fld="4" hier="-1"/>
    <pageField fld="10" hier="-1"/>
  </pageFields>
  <dataFields count="1">
    <dataField name="Count of 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/>
  </sheetViews>
  <sheetFormatPr defaultColWidth="11.25" defaultRowHeight="15" customHeight="1" x14ac:dyDescent="0.25"/>
  <cols>
    <col min="1" max="1" width="7.5" customWidth="1"/>
    <col min="2" max="2" width="24.625" customWidth="1"/>
    <col min="3" max="3" width="35.625" customWidth="1"/>
    <col min="4" max="4" width="51.5" customWidth="1"/>
    <col min="5" max="6" width="19.125" customWidth="1"/>
    <col min="7" max="26" width="11" customWidth="1"/>
  </cols>
  <sheetData>
    <row r="1" spans="1:15" ht="15.75" customHeight="1" x14ac:dyDescent="0.25">
      <c r="A1" s="1" t="s">
        <v>0</v>
      </c>
      <c r="B1" s="1"/>
      <c r="C1" s="1"/>
      <c r="D1" s="2"/>
      <c r="E1" s="1"/>
      <c r="F1" s="3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5">
      <c r="A2" s="5"/>
      <c r="B2" s="5"/>
      <c r="C2" s="5"/>
      <c r="D2" s="6"/>
      <c r="E2" s="5"/>
      <c r="F2" s="7"/>
      <c r="G2" s="8"/>
      <c r="H2" s="8"/>
      <c r="I2" s="8"/>
      <c r="J2" s="8"/>
      <c r="K2" s="8"/>
      <c r="L2" s="8"/>
      <c r="M2" s="8"/>
      <c r="N2" s="8"/>
      <c r="O2" s="8"/>
    </row>
    <row r="3" spans="1:15" ht="15.75" customHeight="1" x14ac:dyDescent="0.25">
      <c r="A3" s="5"/>
      <c r="B3" s="5"/>
      <c r="C3" s="5"/>
      <c r="D3" s="6"/>
      <c r="E3" s="5"/>
      <c r="F3" s="7"/>
      <c r="G3" s="8"/>
      <c r="H3" s="8"/>
      <c r="I3" s="8"/>
      <c r="J3" s="8"/>
      <c r="K3" s="8"/>
      <c r="L3" s="8"/>
      <c r="M3" s="8"/>
      <c r="N3" s="8"/>
      <c r="O3" s="8"/>
    </row>
    <row r="4" spans="1:15" ht="24.75" customHeight="1" x14ac:dyDescent="0.25">
      <c r="A4" s="9" t="s">
        <v>1</v>
      </c>
      <c r="B4" s="9" t="s">
        <v>2</v>
      </c>
      <c r="C4" s="9" t="s">
        <v>3</v>
      </c>
      <c r="D4" s="5"/>
      <c r="E4" s="7"/>
      <c r="F4" s="8"/>
      <c r="G4" s="8"/>
      <c r="H4" s="8"/>
      <c r="I4" s="8"/>
      <c r="J4" s="8"/>
      <c r="K4" s="8"/>
      <c r="L4" s="8"/>
      <c r="M4" s="8"/>
      <c r="N4" s="8"/>
    </row>
    <row r="5" spans="1:15" ht="33.75" customHeight="1" x14ac:dyDescent="0.25">
      <c r="A5" s="10">
        <v>1</v>
      </c>
      <c r="B5" s="11" t="s">
        <v>4</v>
      </c>
      <c r="C5" s="12"/>
      <c r="D5" s="5"/>
      <c r="E5" s="7"/>
      <c r="F5" s="8"/>
      <c r="G5" s="8"/>
      <c r="H5" s="8"/>
      <c r="I5" s="8"/>
      <c r="J5" s="8"/>
      <c r="K5" s="8"/>
      <c r="L5" s="8"/>
      <c r="M5" s="8"/>
      <c r="N5" s="8"/>
    </row>
    <row r="6" spans="1:15" ht="36" customHeight="1" x14ac:dyDescent="0.25">
      <c r="A6" s="13">
        <v>2</v>
      </c>
      <c r="B6" s="14" t="s">
        <v>5</v>
      </c>
      <c r="C6" s="15" t="s">
        <v>6</v>
      </c>
      <c r="D6" s="5"/>
      <c r="E6" s="7"/>
      <c r="F6" s="8"/>
      <c r="G6" s="8"/>
      <c r="H6" s="8"/>
      <c r="I6" s="8"/>
      <c r="J6" s="8"/>
      <c r="K6" s="8"/>
      <c r="L6" s="8"/>
      <c r="M6" s="8"/>
      <c r="N6" s="8"/>
    </row>
    <row r="7" spans="1:15" ht="37.5" customHeight="1" x14ac:dyDescent="0.25">
      <c r="A7" s="16">
        <v>3</v>
      </c>
      <c r="B7" s="17" t="s">
        <v>7</v>
      </c>
      <c r="C7" s="18" t="s">
        <v>8</v>
      </c>
      <c r="D7" s="5"/>
      <c r="E7" s="7"/>
      <c r="F7" s="8"/>
      <c r="G7" s="8"/>
      <c r="H7" s="8"/>
      <c r="I7" s="8"/>
      <c r="J7" s="8"/>
      <c r="K7" s="8"/>
      <c r="L7" s="8"/>
      <c r="M7" s="8"/>
      <c r="N7" s="8"/>
    </row>
    <row r="8" spans="1:15" ht="34.5" customHeight="1" x14ac:dyDescent="0.25">
      <c r="A8" s="16">
        <v>4</v>
      </c>
      <c r="B8" s="17" t="s">
        <v>9</v>
      </c>
      <c r="C8" s="18" t="s">
        <v>10</v>
      </c>
      <c r="D8" s="5"/>
      <c r="E8" s="7"/>
      <c r="F8" s="8"/>
      <c r="G8" s="8"/>
      <c r="H8" s="8"/>
      <c r="I8" s="8"/>
      <c r="J8" s="8"/>
      <c r="K8" s="8"/>
      <c r="L8" s="8"/>
      <c r="M8" s="8"/>
      <c r="N8" s="8"/>
    </row>
    <row r="9" spans="1:15" ht="40.5" customHeight="1" x14ac:dyDescent="0.25">
      <c r="A9" s="16">
        <v>5</v>
      </c>
      <c r="B9" s="17" t="s">
        <v>11</v>
      </c>
      <c r="C9" s="18" t="s">
        <v>12</v>
      </c>
      <c r="D9" s="5"/>
      <c r="E9" s="7"/>
      <c r="F9" s="8"/>
      <c r="G9" s="8"/>
      <c r="H9" s="8"/>
      <c r="I9" s="8"/>
      <c r="J9" s="8"/>
      <c r="K9" s="8"/>
      <c r="L9" s="8"/>
      <c r="M9" s="8"/>
      <c r="N9" s="8"/>
    </row>
    <row r="10" spans="1:15" ht="15.75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ht="15.75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5.75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15.75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15.75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15.75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5.75" customHeight="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5.75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15.75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5.75" customHeigh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5.75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5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ht="15.7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ht="15.75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ht="15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ht="15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ht="15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ht="15.7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ht="15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ht="15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ht="15.75" customHeight="1" x14ac:dyDescent="0.25"/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topLeftCell="A25" workbookViewId="0"/>
  </sheetViews>
  <sheetFormatPr defaultColWidth="11.25" defaultRowHeight="15" customHeight="1" x14ac:dyDescent="0.25"/>
  <cols>
    <col min="1" max="1" width="10.875" customWidth="1"/>
    <col min="2" max="26" width="11" customWidth="1"/>
  </cols>
  <sheetData>
    <row r="1" spans="1:16" ht="15.75" customHeight="1" x14ac:dyDescent="0.25">
      <c r="A1" s="19" t="s">
        <v>0</v>
      </c>
      <c r="B1" s="19"/>
      <c r="C1" s="19"/>
      <c r="D1" s="20"/>
      <c r="E1" s="21"/>
      <c r="F1" s="21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15.75" customHeight="1" x14ac:dyDescent="0.25">
      <c r="A2" s="5"/>
      <c r="B2" s="23"/>
      <c r="C2" s="23"/>
      <c r="D2" s="5"/>
      <c r="E2" s="5"/>
      <c r="F2" s="5"/>
      <c r="G2" s="5"/>
      <c r="H2" s="5"/>
      <c r="I2" s="5"/>
      <c r="J2" s="5"/>
      <c r="K2" s="5"/>
      <c r="L2" s="5"/>
      <c r="M2" s="8"/>
      <c r="N2" s="8"/>
      <c r="O2" s="8"/>
      <c r="P2" s="8"/>
    </row>
    <row r="3" spans="1:16" ht="15.75" customHeight="1" x14ac:dyDescent="0.25">
      <c r="A3" s="5"/>
      <c r="B3" s="23"/>
      <c r="C3" s="23"/>
      <c r="D3" s="5"/>
      <c r="E3" s="5"/>
      <c r="F3" s="5"/>
      <c r="G3" s="5"/>
      <c r="H3" s="5"/>
      <c r="I3" s="5"/>
      <c r="J3" s="5"/>
      <c r="K3" s="5"/>
      <c r="L3" s="5"/>
      <c r="M3" s="8"/>
      <c r="N3" s="8"/>
      <c r="O3" s="8"/>
      <c r="P3" s="8"/>
    </row>
    <row r="4" spans="1:16" ht="15.75" customHeight="1" x14ac:dyDescent="0.25">
      <c r="A4" s="24" t="s">
        <v>13</v>
      </c>
      <c r="B4" s="24"/>
      <c r="C4" s="25"/>
      <c r="D4" s="25"/>
      <c r="E4" s="25"/>
      <c r="F4" s="25"/>
      <c r="G4" s="25"/>
      <c r="H4" s="25"/>
      <c r="I4" s="25"/>
      <c r="J4" s="25"/>
      <c r="K4" s="26"/>
      <c r="L4" s="22"/>
      <c r="M4" s="22"/>
      <c r="N4" s="22"/>
      <c r="O4" s="24"/>
      <c r="P4" s="25"/>
    </row>
    <row r="5" spans="1:16" ht="15.75" customHeight="1" x14ac:dyDescent="0.25">
      <c r="A5" s="5"/>
      <c r="B5" s="27" t="s">
        <v>14</v>
      </c>
      <c r="C5" s="27"/>
      <c r="D5" s="28"/>
      <c r="E5" s="28"/>
      <c r="F5" s="28"/>
      <c r="G5" s="28"/>
      <c r="H5" s="28"/>
      <c r="I5" s="28"/>
      <c r="J5" s="28"/>
      <c r="K5" s="28"/>
      <c r="L5" s="5"/>
      <c r="M5" s="8"/>
      <c r="N5" s="8"/>
      <c r="O5" s="8"/>
      <c r="P5" s="8"/>
    </row>
    <row r="6" spans="1:16" ht="16.5" customHeight="1" x14ac:dyDescent="0.25">
      <c r="A6" s="122" t="s">
        <v>15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4"/>
    </row>
    <row r="7" spans="1:16" ht="15.75" customHeight="1" x14ac:dyDescent="0.25">
      <c r="A7" s="125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7"/>
    </row>
    <row r="8" spans="1:16" ht="15.75" customHeight="1" x14ac:dyDescent="0.25">
      <c r="A8" s="5"/>
      <c r="B8" s="29"/>
      <c r="C8" s="29"/>
      <c r="D8" s="28"/>
      <c r="E8" s="28"/>
      <c r="F8" s="28"/>
      <c r="G8" s="28"/>
      <c r="H8" s="28"/>
      <c r="I8" s="28"/>
      <c r="J8" s="28"/>
      <c r="K8" s="28"/>
      <c r="L8" s="5"/>
      <c r="M8" s="8"/>
      <c r="N8" s="8"/>
      <c r="O8" s="8"/>
      <c r="P8" s="8"/>
    </row>
    <row r="9" spans="1:16" ht="15.75" customHeight="1" x14ac:dyDescent="0.25">
      <c r="A9" s="30" t="s">
        <v>16</v>
      </c>
      <c r="B9" s="29"/>
      <c r="C9" s="28"/>
      <c r="D9" s="28"/>
      <c r="E9" s="28"/>
      <c r="F9" s="28"/>
      <c r="G9" s="28"/>
      <c r="H9" s="28"/>
      <c r="I9" s="28"/>
      <c r="J9" s="28"/>
      <c r="K9" s="5"/>
      <c r="L9" s="8"/>
      <c r="M9" s="8"/>
      <c r="N9" s="8"/>
      <c r="O9" s="8"/>
    </row>
    <row r="10" spans="1:16" ht="15.75" customHeight="1" x14ac:dyDescent="0.25">
      <c r="A10" s="29" t="s">
        <v>17</v>
      </c>
      <c r="B10" s="31"/>
      <c r="C10" s="28"/>
      <c r="D10" s="28"/>
      <c r="E10" s="28"/>
      <c r="F10" s="28"/>
      <c r="G10" s="28"/>
      <c r="H10" s="28"/>
      <c r="I10" s="28"/>
      <c r="J10" s="28"/>
      <c r="K10" s="5"/>
      <c r="L10" s="8"/>
      <c r="M10" s="8"/>
      <c r="N10" s="8"/>
      <c r="O10" s="8"/>
    </row>
    <row r="11" spans="1:16" ht="15.75" customHeight="1" x14ac:dyDescent="0.25">
      <c r="A11" s="29" t="s">
        <v>18</v>
      </c>
      <c r="B11" s="31"/>
      <c r="C11" s="28"/>
      <c r="D11" s="28"/>
      <c r="E11" s="28"/>
      <c r="F11" s="28"/>
      <c r="G11" s="28"/>
      <c r="H11" s="28"/>
      <c r="I11" s="28"/>
      <c r="J11" s="28"/>
      <c r="K11" s="5"/>
      <c r="L11" s="8"/>
      <c r="M11" s="8"/>
      <c r="N11" s="8"/>
      <c r="O11" s="8"/>
    </row>
    <row r="12" spans="1:16" ht="15.75" customHeight="1" x14ac:dyDescent="0.25">
      <c r="A12" s="29" t="s">
        <v>19</v>
      </c>
      <c r="B12" s="31"/>
      <c r="C12" s="28"/>
      <c r="D12" s="28"/>
      <c r="E12" s="28"/>
      <c r="F12" s="28"/>
      <c r="G12" s="28"/>
      <c r="H12" s="28"/>
      <c r="I12" s="28"/>
      <c r="J12" s="28"/>
      <c r="K12" s="5"/>
      <c r="L12" s="8"/>
      <c r="M12" s="8"/>
      <c r="N12" s="8"/>
      <c r="O12" s="8"/>
    </row>
    <row r="13" spans="1:16" ht="15.75" customHeight="1" x14ac:dyDescent="0.25">
      <c r="A13" s="29" t="s">
        <v>20</v>
      </c>
      <c r="B13" s="31"/>
      <c r="C13" s="28"/>
      <c r="D13" s="28"/>
      <c r="E13" s="28"/>
      <c r="F13" s="28"/>
      <c r="G13" s="28"/>
      <c r="H13" s="28"/>
      <c r="I13" s="28"/>
      <c r="J13" s="28"/>
      <c r="K13" s="5"/>
      <c r="L13" s="8"/>
      <c r="M13" s="8"/>
      <c r="N13" s="8"/>
      <c r="O13" s="8"/>
    </row>
    <row r="14" spans="1:16" ht="15.75" customHeight="1" x14ac:dyDescent="0.25">
      <c r="A14" s="32"/>
      <c r="B14" s="32"/>
      <c r="C14" s="33"/>
      <c r="D14" s="33"/>
      <c r="E14" s="33"/>
      <c r="F14" s="33"/>
      <c r="G14" s="33"/>
      <c r="H14" s="33"/>
      <c r="I14" s="33"/>
      <c r="J14" s="33"/>
      <c r="K14" s="34"/>
      <c r="L14" s="35"/>
      <c r="M14" s="35"/>
      <c r="N14" s="35"/>
      <c r="O14" s="35"/>
      <c r="P14" s="35"/>
    </row>
    <row r="15" spans="1:16" ht="15.75" customHeight="1" x14ac:dyDescent="0.25">
      <c r="A15" s="5"/>
      <c r="B15" s="23"/>
      <c r="C15" s="23"/>
      <c r="D15" s="5"/>
      <c r="E15" s="5"/>
      <c r="F15" s="5"/>
      <c r="G15" s="5"/>
      <c r="H15" s="5"/>
      <c r="I15" s="5"/>
      <c r="J15" s="5"/>
      <c r="K15" s="5"/>
      <c r="L15" s="5"/>
      <c r="M15" s="8"/>
      <c r="N15" s="8"/>
      <c r="O15" s="8"/>
      <c r="P15" s="8"/>
    </row>
    <row r="16" spans="1:16" ht="15.75" customHeight="1" x14ac:dyDescent="0.25">
      <c r="A16" s="24" t="s">
        <v>21</v>
      </c>
      <c r="B16" s="24"/>
      <c r="C16" s="36"/>
      <c r="D16" s="26"/>
      <c r="E16" s="26"/>
      <c r="F16" s="26"/>
      <c r="G16" s="26"/>
      <c r="H16" s="26"/>
      <c r="I16" s="26"/>
      <c r="J16" s="26"/>
      <c r="K16" s="37"/>
      <c r="L16" s="22"/>
      <c r="M16" s="22"/>
      <c r="N16" s="22"/>
      <c r="O16" s="22"/>
      <c r="P16" s="22"/>
    </row>
    <row r="17" spans="1:16" ht="15.75" customHeight="1" x14ac:dyDescent="0.25">
      <c r="A17" s="5"/>
      <c r="B17" s="23"/>
      <c r="C17" s="23"/>
      <c r="D17" s="5"/>
      <c r="E17" s="5"/>
      <c r="F17" s="5"/>
      <c r="G17" s="5"/>
      <c r="H17" s="5"/>
      <c r="I17" s="5"/>
      <c r="J17" s="5"/>
      <c r="K17" s="5"/>
      <c r="L17" s="5"/>
      <c r="M17" s="8"/>
      <c r="N17" s="8"/>
      <c r="O17" s="8"/>
      <c r="P17" s="8"/>
    </row>
    <row r="18" spans="1:16" ht="15.75" customHeight="1" x14ac:dyDescent="0.25">
      <c r="A18" s="38" t="s">
        <v>22</v>
      </c>
      <c r="B18" s="38" t="s">
        <v>23</v>
      </c>
      <c r="C18" s="38"/>
      <c r="D18" s="38"/>
      <c r="E18" s="38"/>
      <c r="F18" s="38"/>
      <c r="G18" s="38"/>
      <c r="H18" s="38"/>
      <c r="I18" s="38"/>
      <c r="J18" s="39"/>
      <c r="K18" s="40"/>
      <c r="L18" s="41"/>
      <c r="M18" s="41"/>
      <c r="N18" s="41"/>
      <c r="O18" s="41"/>
      <c r="P18" s="41"/>
    </row>
    <row r="19" spans="1:16" ht="15.75" customHeight="1" x14ac:dyDescent="0.25">
      <c r="A19" s="5"/>
      <c r="B19" s="42" t="s">
        <v>24</v>
      </c>
      <c r="C19" s="43"/>
      <c r="D19" s="43"/>
      <c r="E19" s="43"/>
      <c r="F19" s="43"/>
      <c r="G19" s="43"/>
      <c r="H19" s="43"/>
      <c r="I19" s="43"/>
      <c r="J19" s="44"/>
      <c r="K19" s="5"/>
      <c r="L19" s="8"/>
      <c r="M19" s="8"/>
      <c r="N19" s="8"/>
      <c r="O19" s="8"/>
    </row>
    <row r="20" spans="1:16" ht="15.75" customHeight="1" x14ac:dyDescent="0.25">
      <c r="A20" s="5"/>
      <c r="B20" s="42" t="s">
        <v>25</v>
      </c>
      <c r="C20" s="43"/>
      <c r="D20" s="43"/>
      <c r="E20" s="43"/>
      <c r="F20" s="43"/>
      <c r="G20" s="43"/>
      <c r="H20" s="43"/>
      <c r="I20" s="43"/>
      <c r="J20" s="44"/>
      <c r="K20" s="5"/>
      <c r="L20" s="8"/>
      <c r="M20" s="8"/>
      <c r="N20" s="8"/>
      <c r="O20" s="8"/>
    </row>
    <row r="21" spans="1:16" ht="15.75" customHeight="1" x14ac:dyDescent="0.25">
      <c r="A21" s="5"/>
      <c r="B21" s="42" t="s">
        <v>26</v>
      </c>
      <c r="C21" s="43"/>
      <c r="D21" s="43"/>
      <c r="E21" s="43"/>
      <c r="F21" s="43"/>
      <c r="G21" s="43"/>
      <c r="H21" s="43"/>
      <c r="I21" s="43"/>
      <c r="J21" s="44"/>
      <c r="K21" s="5"/>
      <c r="L21" s="8"/>
      <c r="M21" s="8"/>
      <c r="N21" s="8"/>
      <c r="O21" s="8"/>
    </row>
    <row r="22" spans="1:16" ht="15.75" customHeight="1" x14ac:dyDescent="0.25">
      <c r="A22" s="5"/>
      <c r="B22" s="42" t="s">
        <v>27</v>
      </c>
      <c r="C22" s="43"/>
      <c r="D22" s="43"/>
      <c r="E22" s="43"/>
      <c r="F22" s="43"/>
      <c r="G22" s="43"/>
      <c r="H22" s="43"/>
      <c r="I22" s="43"/>
      <c r="J22" s="44"/>
      <c r="K22" s="5"/>
      <c r="L22" s="8"/>
      <c r="M22" s="8"/>
      <c r="N22" s="8"/>
      <c r="O22" s="8"/>
    </row>
    <row r="23" spans="1:16" ht="15.75" customHeight="1" x14ac:dyDescent="0.25">
      <c r="A23" s="5"/>
      <c r="B23" s="45" t="s">
        <v>28</v>
      </c>
      <c r="C23" s="43"/>
      <c r="D23" s="43"/>
      <c r="E23" s="43"/>
      <c r="F23" s="43"/>
      <c r="G23" s="43"/>
      <c r="H23" s="43"/>
      <c r="I23" s="43"/>
      <c r="J23" s="44"/>
      <c r="K23" s="5"/>
      <c r="L23" s="8"/>
      <c r="M23" s="8"/>
      <c r="N23" s="8"/>
      <c r="O23" s="8"/>
    </row>
    <row r="24" spans="1:16" ht="15.75" customHeight="1" x14ac:dyDescent="0.25">
      <c r="A24" s="5"/>
      <c r="B24" s="46"/>
      <c r="C24" s="46"/>
      <c r="D24" s="47"/>
      <c r="E24" s="47"/>
      <c r="F24" s="47"/>
      <c r="G24" s="47"/>
      <c r="H24" s="47"/>
      <c r="I24" s="47"/>
      <c r="J24" s="47"/>
      <c r="K24" s="47"/>
      <c r="L24" s="5"/>
      <c r="M24" s="8"/>
      <c r="N24" s="8"/>
      <c r="O24" s="8"/>
      <c r="P24" s="8"/>
    </row>
    <row r="25" spans="1:16" ht="15.75" customHeight="1" x14ac:dyDescent="0.25">
      <c r="A25" s="38" t="s">
        <v>29</v>
      </c>
      <c r="B25" s="38" t="s">
        <v>30</v>
      </c>
      <c r="C25" s="38"/>
      <c r="D25" s="38"/>
      <c r="E25" s="38"/>
      <c r="F25" s="38"/>
      <c r="G25" s="38"/>
      <c r="H25" s="38"/>
      <c r="I25" s="38"/>
      <c r="J25" s="39"/>
      <c r="K25" s="40"/>
      <c r="L25" s="41"/>
      <c r="M25" s="41"/>
      <c r="N25" s="41"/>
      <c r="O25" s="41"/>
      <c r="P25" s="41"/>
    </row>
    <row r="26" spans="1:16" ht="15.75" customHeight="1" x14ac:dyDescent="0.25">
      <c r="A26" s="43"/>
      <c r="B26" s="42" t="s">
        <v>31</v>
      </c>
      <c r="C26" s="43"/>
      <c r="D26" s="43"/>
      <c r="E26" s="43"/>
      <c r="F26" s="43"/>
      <c r="G26" s="43"/>
      <c r="H26" s="43"/>
      <c r="I26" s="43"/>
      <c r="J26" s="44"/>
      <c r="K26" s="5"/>
      <c r="L26" s="8"/>
      <c r="M26" s="8"/>
      <c r="N26" s="8"/>
      <c r="O26" s="8"/>
    </row>
    <row r="27" spans="1:16" ht="15.75" customHeight="1" x14ac:dyDescent="0.25">
      <c r="A27" s="46"/>
      <c r="B27" s="23"/>
      <c r="C27" s="5"/>
      <c r="D27" s="5"/>
      <c r="E27" s="5"/>
      <c r="F27" s="5"/>
      <c r="G27" s="5"/>
      <c r="H27" s="5"/>
      <c r="I27" s="5"/>
      <c r="J27" s="5"/>
      <c r="K27" s="5"/>
      <c r="L27" s="8"/>
      <c r="M27" s="8"/>
      <c r="N27" s="8"/>
      <c r="O27" s="8"/>
    </row>
    <row r="28" spans="1:16" ht="15.75" customHeight="1" x14ac:dyDescent="0.25">
      <c r="A28" s="38" t="s">
        <v>32</v>
      </c>
      <c r="B28" s="38" t="s">
        <v>33</v>
      </c>
      <c r="C28" s="38"/>
      <c r="D28" s="38"/>
      <c r="E28" s="38"/>
      <c r="F28" s="38"/>
      <c r="G28" s="38"/>
      <c r="H28" s="38"/>
      <c r="I28" s="38"/>
      <c r="J28" s="39"/>
      <c r="K28" s="40"/>
      <c r="L28" s="41"/>
      <c r="M28" s="41"/>
      <c r="N28" s="41"/>
      <c r="O28" s="41"/>
      <c r="P28" s="41"/>
    </row>
    <row r="29" spans="1:16" ht="15.75" customHeight="1" x14ac:dyDescent="0.25">
      <c r="A29" s="43"/>
      <c r="B29" s="42" t="s">
        <v>34</v>
      </c>
      <c r="C29" s="42"/>
      <c r="D29" s="42"/>
      <c r="E29" s="43"/>
      <c r="F29" s="43"/>
      <c r="G29" s="43"/>
      <c r="H29" s="43"/>
      <c r="I29" s="43"/>
      <c r="J29" s="44"/>
      <c r="K29" s="5"/>
      <c r="L29" s="8"/>
      <c r="M29" s="8"/>
      <c r="N29" s="8"/>
      <c r="O29" s="8"/>
    </row>
    <row r="30" spans="1:16" ht="15.75" customHeight="1" x14ac:dyDescent="0.25">
      <c r="A30" s="43"/>
      <c r="B30" s="42" t="s">
        <v>35</v>
      </c>
      <c r="C30" s="42"/>
      <c r="D30" s="42"/>
      <c r="E30" s="43"/>
      <c r="F30" s="43"/>
      <c r="G30" s="43"/>
      <c r="H30" s="43"/>
      <c r="I30" s="43"/>
      <c r="J30" s="44"/>
      <c r="K30" s="5"/>
      <c r="L30" s="8"/>
      <c r="M30" s="8"/>
      <c r="N30" s="8"/>
      <c r="O30" s="8"/>
    </row>
    <row r="31" spans="1:16" ht="15.75" customHeight="1" x14ac:dyDescent="0.25">
      <c r="A31" s="43"/>
      <c r="B31" s="42" t="s">
        <v>36</v>
      </c>
      <c r="C31" s="42"/>
      <c r="D31" s="42"/>
      <c r="E31" s="43"/>
      <c r="F31" s="43"/>
      <c r="G31" s="43"/>
      <c r="H31" s="43"/>
      <c r="I31" s="43"/>
      <c r="J31" s="44"/>
      <c r="K31" s="5"/>
      <c r="L31" s="8"/>
      <c r="M31" s="8"/>
      <c r="N31" s="8"/>
      <c r="O31" s="8"/>
    </row>
    <row r="32" spans="1:16" ht="15.75" customHeight="1" x14ac:dyDescent="0.25">
      <c r="A32" s="46"/>
      <c r="B32" s="23"/>
      <c r="C32" s="5"/>
      <c r="D32" s="5"/>
      <c r="E32" s="5"/>
      <c r="F32" s="5"/>
      <c r="G32" s="5"/>
      <c r="H32" s="5"/>
      <c r="I32" s="5"/>
      <c r="J32" s="5"/>
      <c r="K32" s="5"/>
      <c r="L32" s="8"/>
      <c r="M32" s="8"/>
      <c r="N32" s="8"/>
      <c r="O32" s="8"/>
    </row>
    <row r="33" spans="1:16" ht="15.75" customHeight="1" x14ac:dyDescent="0.25">
      <c r="A33" s="38" t="s">
        <v>37</v>
      </c>
      <c r="B33" s="38" t="s">
        <v>38</v>
      </c>
      <c r="C33" s="38"/>
      <c r="D33" s="38"/>
      <c r="E33" s="38"/>
      <c r="F33" s="38"/>
      <c r="G33" s="38"/>
      <c r="H33" s="38"/>
      <c r="I33" s="38"/>
      <c r="J33" s="39"/>
      <c r="K33" s="40"/>
      <c r="L33" s="41"/>
      <c r="M33" s="41"/>
      <c r="N33" s="41"/>
      <c r="O33" s="41"/>
      <c r="P33" s="41"/>
    </row>
    <row r="34" spans="1:16" ht="15.75" customHeight="1" x14ac:dyDescent="0.25">
      <c r="A34" s="43"/>
      <c r="B34" s="42" t="s">
        <v>39</v>
      </c>
      <c r="C34" s="43"/>
      <c r="D34" s="43"/>
      <c r="E34" s="43"/>
      <c r="F34" s="43"/>
      <c r="G34" s="43"/>
      <c r="H34" s="43"/>
      <c r="I34" s="43"/>
      <c r="J34" s="44"/>
      <c r="K34" s="5"/>
      <c r="L34" s="8"/>
      <c r="M34" s="8"/>
      <c r="N34" s="8"/>
      <c r="O34" s="8"/>
      <c r="P34" s="8"/>
    </row>
    <row r="35" spans="1:16" ht="15.75" customHeight="1" x14ac:dyDescent="0.25">
      <c r="A35" s="43"/>
      <c r="B35" s="42" t="s">
        <v>40</v>
      </c>
      <c r="C35" s="43"/>
      <c r="D35" s="43"/>
      <c r="E35" s="43"/>
      <c r="F35" s="43"/>
      <c r="G35" s="43"/>
      <c r="H35" s="43"/>
      <c r="I35" s="43"/>
      <c r="J35" s="44"/>
      <c r="K35" s="5"/>
      <c r="L35" s="8"/>
      <c r="M35" s="8"/>
      <c r="N35" s="8"/>
      <c r="O35" s="8"/>
    </row>
    <row r="36" spans="1:16" ht="15.75" customHeight="1" x14ac:dyDescent="0.25">
      <c r="A36" s="43"/>
      <c r="B36" s="42" t="s">
        <v>41</v>
      </c>
      <c r="C36" s="43"/>
      <c r="D36" s="43"/>
      <c r="E36" s="43"/>
      <c r="F36" s="43"/>
      <c r="G36" s="43"/>
      <c r="H36" s="43"/>
      <c r="I36" s="43"/>
      <c r="J36" s="44"/>
      <c r="K36" s="5"/>
      <c r="L36" s="8"/>
      <c r="M36" s="8"/>
      <c r="N36" s="8"/>
      <c r="O36" s="8"/>
    </row>
    <row r="37" spans="1:16" ht="15.75" customHeight="1" x14ac:dyDescent="0.25">
      <c r="A37" s="46"/>
      <c r="B37" s="23"/>
      <c r="C37" s="5"/>
      <c r="D37" s="5"/>
      <c r="E37" s="5"/>
      <c r="F37" s="5"/>
      <c r="G37" s="5"/>
      <c r="H37" s="5"/>
      <c r="I37" s="5"/>
      <c r="J37" s="5"/>
      <c r="K37" s="5"/>
      <c r="L37" s="8"/>
      <c r="M37" s="8"/>
      <c r="N37" s="8"/>
      <c r="O37" s="8"/>
    </row>
    <row r="38" spans="1:16" ht="15.75" customHeight="1" x14ac:dyDescent="0.25">
      <c r="A38" s="38" t="s">
        <v>42</v>
      </c>
      <c r="B38" s="38" t="s">
        <v>43</v>
      </c>
      <c r="C38" s="38"/>
      <c r="D38" s="38"/>
      <c r="E38" s="38"/>
      <c r="F38" s="38"/>
      <c r="G38" s="38"/>
      <c r="H38" s="38"/>
      <c r="I38" s="38"/>
      <c r="J38" s="39"/>
      <c r="K38" s="40"/>
      <c r="L38" s="41"/>
      <c r="M38" s="41"/>
      <c r="N38" s="41"/>
      <c r="O38" s="41"/>
      <c r="P38" s="41"/>
    </row>
    <row r="39" spans="1:16" ht="15.75" customHeight="1" x14ac:dyDescent="0.25">
      <c r="A39" s="43"/>
      <c r="B39" s="42" t="s">
        <v>44</v>
      </c>
      <c r="C39" s="43"/>
      <c r="D39" s="43"/>
      <c r="E39" s="43"/>
      <c r="F39" s="43"/>
      <c r="G39" s="43"/>
      <c r="H39" s="43"/>
      <c r="I39" s="43"/>
      <c r="J39" s="44"/>
      <c r="K39" s="5"/>
      <c r="L39" s="7"/>
      <c r="M39" s="7"/>
      <c r="N39" s="8"/>
      <c r="O39" s="8"/>
    </row>
    <row r="40" spans="1:16" ht="15.75" customHeight="1" x14ac:dyDescent="0.25">
      <c r="A40" s="43"/>
      <c r="B40" s="7" t="s">
        <v>45</v>
      </c>
      <c r="C40" s="43"/>
      <c r="D40" s="43"/>
      <c r="E40" s="43"/>
      <c r="F40" s="43"/>
      <c r="G40" s="43"/>
      <c r="H40" s="43"/>
      <c r="I40" s="43"/>
      <c r="J40" s="44"/>
      <c r="K40" s="5"/>
      <c r="L40" s="7"/>
      <c r="M40" s="7"/>
      <c r="N40" s="8"/>
      <c r="O40" s="8"/>
    </row>
    <row r="41" spans="1:16" ht="15.75" customHeight="1" x14ac:dyDescent="0.25">
      <c r="A41" s="43"/>
      <c r="B41" s="7" t="s">
        <v>46</v>
      </c>
      <c r="C41" s="43"/>
      <c r="D41" s="43"/>
      <c r="E41" s="43"/>
      <c r="F41" s="43"/>
      <c r="G41" s="43"/>
      <c r="H41" s="43"/>
      <c r="I41" s="43"/>
      <c r="J41" s="44"/>
      <c r="K41" s="5"/>
      <c r="L41" s="7"/>
      <c r="M41" s="7"/>
      <c r="N41" s="8"/>
      <c r="O41" s="8"/>
    </row>
    <row r="42" spans="1:16" ht="15.75" customHeight="1" x14ac:dyDescent="0.25">
      <c r="A42" s="43"/>
      <c r="B42" s="7" t="s">
        <v>47</v>
      </c>
      <c r="C42" s="43"/>
      <c r="D42" s="43"/>
      <c r="E42" s="43"/>
      <c r="F42" s="43"/>
      <c r="G42" s="43"/>
      <c r="H42" s="43"/>
      <c r="I42" s="43"/>
      <c r="J42" s="44"/>
      <c r="K42" s="5"/>
      <c r="L42" s="7"/>
      <c r="M42" s="7"/>
      <c r="N42" s="8"/>
      <c r="O42" s="8"/>
    </row>
    <row r="43" spans="1:16" ht="15.75" customHeight="1" x14ac:dyDescent="0.25">
      <c r="A43" s="43"/>
      <c r="B43" s="7" t="s">
        <v>48</v>
      </c>
      <c r="C43" s="43"/>
      <c r="D43" s="43"/>
      <c r="E43" s="43"/>
      <c r="F43" s="43"/>
      <c r="G43" s="43"/>
      <c r="H43" s="43"/>
      <c r="I43" s="43"/>
      <c r="J43" s="44"/>
      <c r="K43" s="5"/>
      <c r="L43" s="7"/>
      <c r="M43" s="7"/>
      <c r="N43" s="8"/>
      <c r="O43" s="8"/>
    </row>
    <row r="44" spans="1:16" ht="15.75" customHeight="1" x14ac:dyDescent="0.25">
      <c r="A44" s="43"/>
      <c r="B44" s="7" t="s">
        <v>49</v>
      </c>
      <c r="C44" s="43"/>
      <c r="D44" s="43"/>
      <c r="E44" s="43"/>
      <c r="F44" s="43"/>
      <c r="G44" s="43"/>
      <c r="H44" s="43"/>
      <c r="I44" s="43"/>
      <c r="J44" s="44"/>
      <c r="K44" s="5"/>
      <c r="L44" s="7"/>
      <c r="M44" s="7"/>
      <c r="N44" s="8"/>
      <c r="O44" s="8"/>
    </row>
    <row r="45" spans="1:16" ht="15.75" customHeight="1" x14ac:dyDescent="0.25">
      <c r="A45" s="43"/>
      <c r="B45" s="7" t="s">
        <v>50</v>
      </c>
      <c r="C45" s="43"/>
      <c r="D45" s="43"/>
      <c r="E45" s="43"/>
      <c r="F45" s="43"/>
      <c r="G45" s="43"/>
      <c r="H45" s="43"/>
      <c r="I45" s="43"/>
      <c r="J45" s="44"/>
      <c r="K45" s="5"/>
      <c r="L45" s="7"/>
      <c r="M45" s="7"/>
      <c r="N45" s="8"/>
      <c r="O45" s="8"/>
    </row>
    <row r="46" spans="1:16" ht="15.75" customHeight="1" x14ac:dyDescent="0.25">
      <c r="A46" s="23"/>
      <c r="B46" s="23"/>
      <c r="C46" s="5"/>
      <c r="D46" s="5"/>
      <c r="E46" s="5"/>
      <c r="F46" s="5"/>
      <c r="G46" s="5"/>
      <c r="H46" s="5"/>
      <c r="I46" s="5"/>
      <c r="J46" s="5"/>
      <c r="K46" s="5"/>
      <c r="L46" s="8"/>
      <c r="M46" s="8"/>
      <c r="N46" s="8"/>
      <c r="O46" s="8"/>
    </row>
    <row r="47" spans="1:16" ht="15.75" customHeight="1" x14ac:dyDescent="0.25">
      <c r="A47" s="38" t="s">
        <v>51</v>
      </c>
      <c r="B47" s="38" t="s">
        <v>52</v>
      </c>
      <c r="C47" s="38"/>
      <c r="D47" s="38"/>
      <c r="E47" s="38"/>
      <c r="F47" s="38"/>
      <c r="G47" s="38"/>
      <c r="H47" s="38"/>
      <c r="I47" s="38"/>
      <c r="J47" s="39"/>
      <c r="K47" s="40"/>
      <c r="L47" s="41"/>
      <c r="M47" s="41"/>
      <c r="N47" s="41"/>
      <c r="O47" s="41"/>
      <c r="P47" s="41"/>
    </row>
    <row r="48" spans="1:16" ht="15.75" customHeight="1" x14ac:dyDescent="0.25">
      <c r="A48" s="43"/>
      <c r="B48" s="7" t="s">
        <v>53</v>
      </c>
      <c r="C48" s="43"/>
      <c r="D48" s="43"/>
      <c r="E48" s="43"/>
      <c r="F48" s="43"/>
      <c r="G48" s="43"/>
      <c r="H48" s="43"/>
      <c r="I48" s="43"/>
      <c r="J48" s="44"/>
      <c r="K48" s="5"/>
      <c r="L48" s="8"/>
      <c r="M48" s="8"/>
      <c r="N48" s="8"/>
      <c r="O48" s="8"/>
    </row>
    <row r="49" spans="1:15" ht="15.75" customHeight="1" x14ac:dyDescent="0.25">
      <c r="A49" s="43"/>
      <c r="B49" s="7" t="s">
        <v>54</v>
      </c>
      <c r="C49" s="43"/>
      <c r="D49" s="43"/>
      <c r="E49" s="43"/>
      <c r="F49" s="43"/>
      <c r="G49" s="43"/>
      <c r="H49" s="43"/>
      <c r="I49" s="43"/>
      <c r="J49" s="44"/>
      <c r="K49" s="5"/>
      <c r="L49" s="8"/>
      <c r="M49" s="8"/>
      <c r="N49" s="8"/>
      <c r="O49" s="8"/>
    </row>
    <row r="50" spans="1:15" ht="15.75" customHeight="1" x14ac:dyDescent="0.25">
      <c r="A50" s="43"/>
      <c r="B50" s="42" t="s">
        <v>55</v>
      </c>
      <c r="C50" s="43"/>
      <c r="D50" s="43"/>
      <c r="E50" s="43"/>
      <c r="F50" s="43"/>
      <c r="G50" s="43"/>
      <c r="H50" s="43"/>
      <c r="I50" s="43"/>
      <c r="J50" s="44"/>
      <c r="K50" s="5"/>
      <c r="L50" s="8"/>
      <c r="M50" s="8"/>
      <c r="N50" s="8"/>
      <c r="O50" s="8"/>
    </row>
    <row r="51" spans="1:15" ht="15.75" customHeight="1" x14ac:dyDescent="0.25">
      <c r="A51" s="43"/>
      <c r="B51" s="42"/>
      <c r="C51" s="43"/>
      <c r="D51" s="43"/>
      <c r="E51" s="43"/>
      <c r="F51" s="43"/>
      <c r="G51" s="43"/>
      <c r="H51" s="43"/>
      <c r="I51" s="43"/>
      <c r="J51" s="44"/>
      <c r="K51" s="5"/>
      <c r="L51" s="8"/>
      <c r="M51" s="8"/>
      <c r="N51" s="8"/>
      <c r="O51" s="8"/>
    </row>
    <row r="52" spans="1:15" ht="15.75" customHeight="1" x14ac:dyDescent="0.25">
      <c r="A52" s="23"/>
      <c r="B52" s="23"/>
      <c r="C52" s="5"/>
      <c r="D52" s="5"/>
      <c r="E52" s="5"/>
      <c r="F52" s="5"/>
      <c r="G52" s="5"/>
      <c r="H52" s="5"/>
      <c r="I52" s="5"/>
      <c r="J52" s="5"/>
      <c r="K52" s="5"/>
      <c r="L52" s="8"/>
      <c r="M52" s="8"/>
      <c r="N52" s="8"/>
      <c r="O52" s="8"/>
    </row>
    <row r="53" spans="1:15" ht="15.75" customHeight="1" x14ac:dyDescent="0.25">
      <c r="A53" s="48"/>
      <c r="B53" s="48"/>
      <c r="C53" s="48"/>
      <c r="D53" s="48"/>
      <c r="E53" s="48"/>
      <c r="F53" s="48"/>
      <c r="G53" s="48"/>
      <c r="H53" s="48"/>
      <c r="I53" s="48"/>
      <c r="J53" s="49"/>
      <c r="K53" s="45"/>
    </row>
    <row r="54" spans="1:15" ht="15.75" customHeight="1" x14ac:dyDescent="0.25">
      <c r="A54" s="45"/>
      <c r="B54" s="48"/>
      <c r="C54" s="50"/>
      <c r="D54" s="48"/>
      <c r="E54" s="48"/>
      <c r="F54" s="48"/>
      <c r="G54" s="48"/>
      <c r="H54" s="48"/>
      <c r="I54" s="48"/>
      <c r="J54" s="48"/>
      <c r="K54" s="49"/>
      <c r="L54" s="45"/>
    </row>
    <row r="55" spans="1:15" ht="15.75" customHeight="1" x14ac:dyDescent="0.25">
      <c r="A55" s="45"/>
      <c r="B55" s="48"/>
      <c r="C55" s="50"/>
      <c r="D55" s="48"/>
      <c r="E55" s="48"/>
      <c r="F55" s="48"/>
      <c r="G55" s="48"/>
      <c r="H55" s="48"/>
      <c r="I55" s="48"/>
      <c r="J55" s="48"/>
      <c r="K55" s="49"/>
      <c r="L55" s="45"/>
    </row>
    <row r="56" spans="1:15" ht="15.75" customHeight="1" x14ac:dyDescent="0.25">
      <c r="A56" s="45"/>
      <c r="B56" s="48"/>
      <c r="C56" s="50"/>
      <c r="D56" s="48"/>
      <c r="E56" s="48"/>
      <c r="F56" s="48"/>
      <c r="G56" s="48"/>
      <c r="H56" s="48"/>
      <c r="I56" s="48"/>
      <c r="J56" s="48"/>
      <c r="K56" s="49"/>
      <c r="L56" s="45"/>
    </row>
    <row r="57" spans="1:15" ht="15.75" customHeight="1" x14ac:dyDescent="0.25">
      <c r="A57" s="45"/>
      <c r="B57" s="48"/>
      <c r="C57" s="50"/>
      <c r="D57" s="48"/>
      <c r="E57" s="48"/>
      <c r="F57" s="48"/>
      <c r="G57" s="48"/>
      <c r="H57" s="48"/>
      <c r="I57" s="48"/>
      <c r="J57" s="48"/>
      <c r="K57" s="49"/>
      <c r="L57" s="45"/>
    </row>
    <row r="58" spans="1:15" ht="15.75" customHeight="1" x14ac:dyDescent="0.25">
      <c r="A58" s="45"/>
      <c r="L58" s="45"/>
    </row>
    <row r="59" spans="1:15" ht="15.75" customHeight="1" x14ac:dyDescent="0.25">
      <c r="A59" s="45"/>
      <c r="B59" s="48"/>
      <c r="C59" s="48"/>
      <c r="D59" s="48"/>
      <c r="E59" s="48"/>
      <c r="F59" s="48"/>
      <c r="G59" s="48"/>
      <c r="H59" s="48"/>
      <c r="I59" s="48"/>
      <c r="J59" s="48"/>
      <c r="K59" s="49"/>
      <c r="L59" s="45"/>
    </row>
    <row r="60" spans="1:15" ht="15.75" customHeight="1" x14ac:dyDescent="0.25">
      <c r="A60" s="45"/>
      <c r="B60" s="48"/>
      <c r="C60" s="50"/>
      <c r="D60" s="48"/>
      <c r="E60" s="48"/>
      <c r="F60" s="48"/>
      <c r="G60" s="48"/>
      <c r="H60" s="48"/>
      <c r="I60" s="48"/>
      <c r="J60" s="48"/>
      <c r="K60" s="49"/>
      <c r="L60" s="45"/>
    </row>
    <row r="61" spans="1:15" ht="15.75" customHeight="1" x14ac:dyDescent="0.25">
      <c r="A61" s="45"/>
      <c r="B61" s="48"/>
      <c r="C61" s="50"/>
      <c r="D61" s="48"/>
      <c r="E61" s="48"/>
      <c r="F61" s="48"/>
      <c r="G61" s="48"/>
      <c r="H61" s="48"/>
      <c r="I61" s="48"/>
      <c r="J61" s="48"/>
      <c r="K61" s="49"/>
      <c r="L61" s="45"/>
    </row>
    <row r="62" spans="1:15" ht="15.75" customHeight="1" x14ac:dyDescent="0.25">
      <c r="A62" s="45"/>
      <c r="B62" s="48"/>
      <c r="C62" s="50"/>
      <c r="D62" s="48"/>
      <c r="E62" s="48"/>
      <c r="F62" s="48"/>
      <c r="G62" s="48"/>
      <c r="H62" s="48"/>
      <c r="I62" s="48"/>
      <c r="J62" s="48"/>
      <c r="K62" s="49"/>
      <c r="L62" s="45"/>
    </row>
    <row r="63" spans="1:15" ht="15.75" customHeight="1" x14ac:dyDescent="0.25">
      <c r="A63" s="45"/>
      <c r="B63" s="51"/>
      <c r="C63" s="51"/>
      <c r="D63" s="45"/>
      <c r="E63" s="45"/>
      <c r="F63" s="45"/>
      <c r="G63" s="45"/>
      <c r="H63" s="45"/>
      <c r="I63" s="45"/>
      <c r="J63" s="45"/>
      <c r="K63" s="45"/>
      <c r="L63" s="45"/>
    </row>
    <row r="64" spans="1:15" ht="15.75" customHeight="1" x14ac:dyDescent="0.25">
      <c r="A64" s="45"/>
      <c r="B64" s="48"/>
      <c r="C64" s="48"/>
      <c r="D64" s="48"/>
      <c r="E64" s="48"/>
      <c r="F64" s="48"/>
      <c r="G64" s="48"/>
      <c r="H64" s="48"/>
      <c r="I64" s="48"/>
      <c r="J64" s="48"/>
      <c r="K64" s="49"/>
      <c r="L64" s="45"/>
    </row>
    <row r="65" spans="1:12" ht="15.75" customHeight="1" x14ac:dyDescent="0.25">
      <c r="A65" s="45"/>
      <c r="B65" s="48"/>
      <c r="C65" s="48"/>
      <c r="D65" s="48"/>
      <c r="E65" s="48"/>
      <c r="F65" s="48"/>
      <c r="G65" s="48"/>
      <c r="H65" s="48"/>
      <c r="I65" s="48"/>
      <c r="J65" s="48"/>
      <c r="K65" s="49"/>
      <c r="L65" s="45"/>
    </row>
    <row r="66" spans="1:12" ht="15.75" customHeight="1" x14ac:dyDescent="0.25">
      <c r="A66" s="45"/>
      <c r="B66" s="48"/>
      <c r="C66" s="50"/>
      <c r="D66" s="48"/>
      <c r="E66" s="48"/>
      <c r="F66" s="48"/>
      <c r="G66" s="48"/>
      <c r="H66" s="48"/>
      <c r="I66" s="48"/>
      <c r="J66" s="48"/>
      <c r="K66" s="49"/>
      <c r="L66" s="45"/>
    </row>
    <row r="67" spans="1:12" ht="15.75" customHeight="1" x14ac:dyDescent="0.25">
      <c r="A67" s="45"/>
      <c r="B67" s="48"/>
      <c r="C67" s="50"/>
      <c r="D67" s="48"/>
      <c r="E67" s="48"/>
      <c r="F67" s="48"/>
      <c r="G67" s="48"/>
      <c r="H67" s="48"/>
      <c r="I67" s="48"/>
      <c r="J67" s="48"/>
      <c r="K67" s="49"/>
      <c r="L67" s="45"/>
    </row>
    <row r="68" spans="1:12" ht="15.75" customHeight="1" x14ac:dyDescent="0.25">
      <c r="A68" s="45"/>
      <c r="B68" s="48"/>
      <c r="C68" s="50"/>
      <c r="D68" s="48"/>
      <c r="E68" s="48"/>
      <c r="F68" s="48"/>
      <c r="G68" s="48"/>
      <c r="H68" s="48"/>
      <c r="I68" s="48"/>
      <c r="J68" s="48"/>
      <c r="K68" s="49"/>
      <c r="L68" s="45"/>
    </row>
    <row r="69" spans="1:12" ht="15.75" customHeight="1" x14ac:dyDescent="0.25">
      <c r="A69" s="45"/>
      <c r="B69" s="48"/>
      <c r="C69" s="50"/>
      <c r="D69" s="48"/>
      <c r="E69" s="48"/>
      <c r="F69" s="48"/>
      <c r="G69" s="48"/>
      <c r="H69" s="48"/>
      <c r="I69" s="48"/>
      <c r="J69" s="48"/>
      <c r="K69" s="49"/>
      <c r="L69" s="45"/>
    </row>
    <row r="70" spans="1:12" ht="15.75" customHeight="1" x14ac:dyDescent="0.25">
      <c r="A70" s="45"/>
      <c r="B70" s="51"/>
      <c r="C70" s="51"/>
      <c r="D70" s="45"/>
      <c r="E70" s="45"/>
      <c r="F70" s="45"/>
      <c r="G70" s="45"/>
      <c r="H70" s="45"/>
      <c r="I70" s="45"/>
      <c r="J70" s="45"/>
      <c r="K70" s="45"/>
      <c r="L70" s="45"/>
    </row>
    <row r="71" spans="1:12" ht="15.75" customHeight="1" x14ac:dyDescent="0.25">
      <c r="A71" s="45"/>
      <c r="B71" s="48"/>
      <c r="C71" s="48"/>
      <c r="D71" s="48"/>
      <c r="E71" s="48"/>
      <c r="F71" s="48"/>
      <c r="G71" s="48"/>
      <c r="H71" s="48"/>
      <c r="I71" s="48"/>
      <c r="J71" s="48"/>
      <c r="K71" s="49"/>
      <c r="L71" s="45"/>
    </row>
    <row r="72" spans="1:12" ht="15.75" customHeight="1" x14ac:dyDescent="0.25">
      <c r="A72" s="45"/>
      <c r="B72" s="48"/>
      <c r="C72" s="50"/>
      <c r="D72" s="50"/>
      <c r="E72" s="50"/>
      <c r="F72" s="50"/>
      <c r="G72" s="48"/>
      <c r="H72" s="48"/>
      <c r="I72" s="48"/>
      <c r="J72" s="48"/>
      <c r="K72" s="49"/>
      <c r="L72" s="45"/>
    </row>
    <row r="73" spans="1:12" ht="15.75" customHeight="1" x14ac:dyDescent="0.25">
      <c r="A73" s="45"/>
      <c r="B73" s="48"/>
      <c r="C73" s="50"/>
      <c r="D73" s="50"/>
      <c r="E73" s="50"/>
      <c r="F73" s="50"/>
      <c r="G73" s="48"/>
      <c r="H73" s="48"/>
      <c r="I73" s="48"/>
      <c r="J73" s="48"/>
      <c r="K73" s="49"/>
      <c r="L73" s="45"/>
    </row>
    <row r="74" spans="1:12" ht="15.75" customHeight="1" x14ac:dyDescent="0.25">
      <c r="A74" s="45"/>
      <c r="B74" s="51"/>
      <c r="C74" s="51"/>
      <c r="D74" s="45"/>
      <c r="E74" s="45"/>
      <c r="F74" s="45"/>
      <c r="G74" s="45"/>
      <c r="H74" s="45"/>
      <c r="I74" s="45"/>
      <c r="J74" s="45"/>
      <c r="K74" s="45"/>
      <c r="L74" s="45"/>
    </row>
    <row r="75" spans="1:12" ht="15.75" customHeight="1" x14ac:dyDescent="0.25">
      <c r="A75" s="45"/>
      <c r="B75" s="48"/>
      <c r="C75" s="48"/>
      <c r="D75" s="48"/>
      <c r="E75" s="48"/>
      <c r="F75" s="48"/>
      <c r="G75" s="48"/>
      <c r="H75" s="48"/>
      <c r="I75" s="48"/>
      <c r="J75" s="48"/>
      <c r="K75" s="49"/>
      <c r="L75" s="45"/>
    </row>
    <row r="76" spans="1:12" ht="15.75" customHeight="1" x14ac:dyDescent="0.25">
      <c r="A76" s="45"/>
      <c r="B76" s="51"/>
      <c r="C76" s="52"/>
      <c r="D76" s="45"/>
      <c r="E76" s="45"/>
      <c r="F76" s="45"/>
      <c r="G76" s="45"/>
      <c r="H76" s="45"/>
      <c r="I76" s="45"/>
      <c r="J76" s="45"/>
      <c r="K76" s="45"/>
      <c r="L76" s="45"/>
    </row>
    <row r="77" spans="1:12" ht="15.75" customHeight="1" x14ac:dyDescent="0.25">
      <c r="A77" s="45"/>
      <c r="B77" s="51"/>
      <c r="C77" s="52"/>
      <c r="D77" s="45"/>
      <c r="E77" s="45"/>
      <c r="F77" s="45"/>
      <c r="G77" s="45"/>
      <c r="H77" s="45"/>
      <c r="I77" s="45"/>
      <c r="J77" s="45"/>
      <c r="K77" s="45"/>
      <c r="L77" s="45"/>
    </row>
    <row r="78" spans="1:12" ht="15.75" customHeight="1" x14ac:dyDescent="0.25">
      <c r="A78" s="45"/>
      <c r="B78" s="51"/>
      <c r="C78" s="52"/>
      <c r="D78" s="45"/>
      <c r="E78" s="45"/>
      <c r="F78" s="45"/>
      <c r="G78" s="45"/>
      <c r="H78" s="45"/>
      <c r="I78" s="45"/>
      <c r="J78" s="45"/>
      <c r="K78" s="45"/>
      <c r="L78" s="45"/>
    </row>
    <row r="79" spans="1:12" ht="15.75" customHeight="1" x14ac:dyDescent="0.25">
      <c r="B79" s="51"/>
      <c r="C79" s="51"/>
      <c r="D79" s="45"/>
      <c r="E79" s="45"/>
      <c r="F79" s="45"/>
      <c r="G79" s="45"/>
      <c r="H79" s="45"/>
      <c r="I79" s="45"/>
      <c r="J79" s="45"/>
      <c r="K79" s="45"/>
      <c r="L79" s="45"/>
    </row>
    <row r="80" spans="1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6:P7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144"/>
  <sheetViews>
    <sheetView topLeftCell="H1" workbookViewId="0">
      <selection activeCell="K1" sqref="K1:K1048576"/>
    </sheetView>
  </sheetViews>
  <sheetFormatPr defaultColWidth="11.25" defaultRowHeight="15" customHeight="1" x14ac:dyDescent="0.25"/>
  <cols>
    <col min="1" max="1" width="20" customWidth="1"/>
    <col min="2" max="2" width="14.375" customWidth="1"/>
    <col min="3" max="4" width="11" customWidth="1"/>
    <col min="5" max="5" width="29.5" customWidth="1"/>
    <col min="6" max="6" width="9.125" customWidth="1"/>
    <col min="7" max="7" width="22" customWidth="1"/>
    <col min="8" max="8" width="41.625" customWidth="1"/>
    <col min="9" max="9" width="37.625" customWidth="1"/>
    <col min="10" max="10" width="38.375" customWidth="1"/>
    <col min="11" max="11" width="28.5" customWidth="1"/>
    <col min="12" max="12" width="34.625" customWidth="1"/>
    <col min="13" max="13" width="14.5" customWidth="1"/>
    <col min="14" max="14" width="24.625" customWidth="1"/>
    <col min="15" max="15" width="18.625" customWidth="1"/>
    <col min="16" max="16" width="11" customWidth="1"/>
    <col min="17" max="17" width="8.5" customWidth="1"/>
    <col min="18" max="31" width="11" customWidth="1"/>
  </cols>
  <sheetData>
    <row r="1" spans="1:31" ht="15.75" customHeight="1" x14ac:dyDescent="0.25">
      <c r="A1" s="53" t="s">
        <v>0</v>
      </c>
      <c r="B1" s="1"/>
      <c r="C1" s="1"/>
      <c r="D1" s="2"/>
      <c r="E1" s="1"/>
      <c r="F1" s="3"/>
      <c r="G1" s="4"/>
      <c r="H1" s="4"/>
      <c r="I1" s="4"/>
      <c r="J1" s="4"/>
      <c r="K1" s="4"/>
      <c r="L1" s="4"/>
      <c r="M1" s="4"/>
      <c r="N1" s="4"/>
      <c r="O1" s="4"/>
      <c r="P1" s="4"/>
    </row>
    <row r="2" spans="1:31" ht="15.75" customHeight="1" x14ac:dyDescent="0.25">
      <c r="A2" s="54" t="s">
        <v>56</v>
      </c>
      <c r="B2" s="55"/>
      <c r="C2" s="56">
        <v>44682</v>
      </c>
      <c r="G2" s="56"/>
      <c r="Q2" s="57" t="s">
        <v>57</v>
      </c>
      <c r="R2" s="58">
        <f>AVERAGEIFS(Q6:Q1144,S6:S1144,"&lt;=25")</f>
        <v>202.35341489884573</v>
      </c>
    </row>
    <row r="3" spans="1:31" ht="15.75" customHeight="1" x14ac:dyDescent="0.25">
      <c r="A3" s="54" t="s">
        <v>58</v>
      </c>
      <c r="B3" s="55"/>
      <c r="C3" s="56">
        <v>44562</v>
      </c>
      <c r="G3" s="56"/>
      <c r="Q3" s="57" t="s">
        <v>59</v>
      </c>
      <c r="R3" s="58">
        <f>AVERAGEIFS(R6:R1144,S6:S1144,"&lt;=25")</f>
        <v>24.192337471025652</v>
      </c>
    </row>
    <row r="4" spans="1:31" ht="15.75" customHeight="1" x14ac:dyDescent="0.25">
      <c r="B4" s="56"/>
      <c r="G4" s="56"/>
      <c r="Q4" s="57"/>
    </row>
    <row r="5" spans="1:31" ht="15.75" customHeight="1" x14ac:dyDescent="0.25">
      <c r="A5" s="59" t="s">
        <v>60</v>
      </c>
      <c r="B5" s="60" t="s">
        <v>61</v>
      </c>
      <c r="C5" s="59" t="s">
        <v>62</v>
      </c>
      <c r="D5" s="59" t="s">
        <v>63</v>
      </c>
      <c r="E5" s="59" t="s">
        <v>64</v>
      </c>
      <c r="F5" s="59" t="s">
        <v>65</v>
      </c>
      <c r="G5" s="60" t="s">
        <v>66</v>
      </c>
      <c r="H5" s="59" t="s">
        <v>67</v>
      </c>
      <c r="I5" s="59" t="s">
        <v>68</v>
      </c>
      <c r="J5" s="59" t="s">
        <v>69</v>
      </c>
      <c r="K5" s="59" t="s">
        <v>70</v>
      </c>
      <c r="L5" s="59" t="s">
        <v>71</v>
      </c>
      <c r="M5" s="59" t="s">
        <v>72</v>
      </c>
      <c r="N5" s="59" t="s">
        <v>73</v>
      </c>
      <c r="O5" s="117" t="s">
        <v>74</v>
      </c>
      <c r="P5" s="61" t="s">
        <v>75</v>
      </c>
      <c r="Q5" s="61" t="s">
        <v>76</v>
      </c>
      <c r="R5" s="61" t="s">
        <v>77</v>
      </c>
      <c r="S5" s="61" t="s">
        <v>78</v>
      </c>
      <c r="T5" s="61" t="s">
        <v>79</v>
      </c>
      <c r="U5" s="61" t="s">
        <v>80</v>
      </c>
      <c r="V5" s="61" t="s">
        <v>81</v>
      </c>
      <c r="W5" s="57"/>
      <c r="X5" s="57"/>
      <c r="Y5" s="57"/>
      <c r="Z5" s="57"/>
      <c r="AA5" s="57"/>
      <c r="AB5" s="57"/>
      <c r="AC5" s="57"/>
      <c r="AD5" s="57"/>
      <c r="AE5" s="57"/>
    </row>
    <row r="6" spans="1:31" ht="15.75" customHeight="1" x14ac:dyDescent="0.25">
      <c r="A6" s="62" t="s">
        <v>82</v>
      </c>
      <c r="B6" s="56">
        <v>38105</v>
      </c>
      <c r="C6" s="62" t="s">
        <v>83</v>
      </c>
      <c r="D6" s="62" t="s">
        <v>84</v>
      </c>
      <c r="E6" s="62" t="s">
        <v>85</v>
      </c>
      <c r="F6" s="62" t="s">
        <v>86</v>
      </c>
      <c r="G6" s="56">
        <v>44004</v>
      </c>
      <c r="H6" s="62">
        <v>5</v>
      </c>
      <c r="I6" s="62">
        <v>99496</v>
      </c>
      <c r="J6" s="62">
        <v>176000000</v>
      </c>
      <c r="P6" s="63">
        <f t="shared" ref="P6:P260" si="0">IF(G6&gt;$C$3,DATEDIF(G6,$C$2,"D"),DATEDIF($C$3,$C$2,"D"))</f>
        <v>120</v>
      </c>
      <c r="Q6" s="64">
        <f t="shared" ref="Q6:Q260" si="1">I6/60/P6*30</f>
        <v>414.56666666666666</v>
      </c>
      <c r="R6" s="64">
        <f t="shared" ref="R6:R260" si="2">J6/1024^2/P6*30</f>
        <v>41.961669921875</v>
      </c>
      <c r="S6" s="64">
        <f t="shared" ref="S6:S260" si="3">DATEDIF(B6,$C$2,"Y")</f>
        <v>18</v>
      </c>
      <c r="T6" s="64">
        <f t="shared" ref="T6:T260" si="4">(Q6*7)/30</f>
        <v>96.732222222222219</v>
      </c>
      <c r="U6" s="64" t="str">
        <f t="shared" ref="U6:U260" si="5">IF(T6&gt;120,"120+",IF(T6&gt;90,"91-120",IF(T6&gt;60,"61-90",IF(T6&gt;35,"35-60","&lt;35"))))</f>
        <v>91-120</v>
      </c>
      <c r="V6" s="64" t="str">
        <f t="shared" ref="V6:V260" si="6">IF(R6&gt;40,"40+ Гб",IF(R6&gt;30,"31-40 Гб",IF(R6&gt;20,"21-30 Гб",IF(R6&gt;10,"10-20 Гб","&lt;10 Гб"))))</f>
        <v>40+ Гб</v>
      </c>
    </row>
    <row r="7" spans="1:31" ht="15.75" customHeight="1" x14ac:dyDescent="0.25">
      <c r="A7" s="62" t="s">
        <v>87</v>
      </c>
      <c r="B7" s="56">
        <v>38101</v>
      </c>
      <c r="C7" s="62" t="s">
        <v>88</v>
      </c>
      <c r="D7" s="62" t="s">
        <v>84</v>
      </c>
      <c r="E7" s="62" t="s">
        <v>85</v>
      </c>
      <c r="F7" s="62" t="s">
        <v>89</v>
      </c>
      <c r="G7" s="56">
        <v>43201</v>
      </c>
      <c r="H7" s="62">
        <v>5</v>
      </c>
      <c r="I7" s="62">
        <v>22176</v>
      </c>
      <c r="J7" s="62">
        <v>136000000</v>
      </c>
      <c r="K7" s="62">
        <v>1</v>
      </c>
      <c r="N7" s="62">
        <v>1</v>
      </c>
      <c r="P7" s="63">
        <f t="shared" si="0"/>
        <v>120</v>
      </c>
      <c r="Q7" s="64">
        <f t="shared" si="1"/>
        <v>92.4</v>
      </c>
      <c r="R7" s="64">
        <f t="shared" si="2"/>
        <v>32.4249267578125</v>
      </c>
      <c r="S7" s="64">
        <f t="shared" si="3"/>
        <v>18</v>
      </c>
      <c r="T7" s="64">
        <f t="shared" si="4"/>
        <v>21.560000000000002</v>
      </c>
      <c r="U7" s="64" t="str">
        <f t="shared" si="5"/>
        <v>&lt;35</v>
      </c>
      <c r="V7" s="64" t="str">
        <f t="shared" si="6"/>
        <v>31-40 Гб</v>
      </c>
      <c r="AA7" s="8"/>
    </row>
    <row r="8" spans="1:31" ht="15.75" customHeight="1" x14ac:dyDescent="0.25">
      <c r="A8" s="62" t="s">
        <v>90</v>
      </c>
      <c r="B8" s="56">
        <v>38086</v>
      </c>
      <c r="C8" s="62" t="s">
        <v>83</v>
      </c>
      <c r="D8" s="62" t="s">
        <v>84</v>
      </c>
      <c r="E8" s="62" t="s">
        <v>85</v>
      </c>
      <c r="F8" s="62" t="s">
        <v>89</v>
      </c>
      <c r="G8" s="56">
        <v>43938</v>
      </c>
      <c r="H8" s="62">
        <v>5</v>
      </c>
      <c r="I8" s="62">
        <v>4064</v>
      </c>
      <c r="J8" s="62">
        <v>152000000</v>
      </c>
      <c r="L8" s="62">
        <v>1</v>
      </c>
      <c r="N8" s="62">
        <v>1</v>
      </c>
      <c r="O8" s="62">
        <v>1</v>
      </c>
      <c r="P8" s="63">
        <f t="shared" si="0"/>
        <v>120</v>
      </c>
      <c r="Q8" s="64">
        <f t="shared" si="1"/>
        <v>16.933333333333334</v>
      </c>
      <c r="R8" s="64">
        <f t="shared" si="2"/>
        <v>36.2396240234375</v>
      </c>
      <c r="S8" s="64">
        <f t="shared" si="3"/>
        <v>18</v>
      </c>
      <c r="T8" s="64">
        <f t="shared" si="4"/>
        <v>3.951111111111111</v>
      </c>
      <c r="U8" s="64" t="str">
        <f t="shared" si="5"/>
        <v>&lt;35</v>
      </c>
      <c r="V8" s="64" t="str">
        <f t="shared" si="6"/>
        <v>31-40 Гб</v>
      </c>
      <c r="AA8" s="8"/>
    </row>
    <row r="9" spans="1:31" ht="15.75" customHeight="1" x14ac:dyDescent="0.25">
      <c r="A9" s="62" t="s">
        <v>91</v>
      </c>
      <c r="B9" s="56">
        <v>38086</v>
      </c>
      <c r="C9" s="62" t="s">
        <v>83</v>
      </c>
      <c r="D9" s="62" t="s">
        <v>84</v>
      </c>
      <c r="E9" s="62" t="s">
        <v>92</v>
      </c>
      <c r="F9" s="62" t="s">
        <v>93</v>
      </c>
      <c r="G9" s="56">
        <v>43739</v>
      </c>
      <c r="H9" s="62">
        <v>5</v>
      </c>
      <c r="I9" s="62">
        <v>30344</v>
      </c>
      <c r="J9" s="62">
        <v>16000000</v>
      </c>
      <c r="K9" s="62">
        <v>1</v>
      </c>
      <c r="P9" s="63">
        <f t="shared" si="0"/>
        <v>120</v>
      </c>
      <c r="Q9" s="64">
        <f t="shared" si="1"/>
        <v>126.43333333333332</v>
      </c>
      <c r="R9" s="64">
        <f t="shared" si="2"/>
        <v>3.8146972656250004</v>
      </c>
      <c r="S9" s="64">
        <f t="shared" si="3"/>
        <v>18</v>
      </c>
      <c r="T9" s="64">
        <f t="shared" si="4"/>
        <v>29.501111111111111</v>
      </c>
      <c r="U9" s="64" t="str">
        <f t="shared" si="5"/>
        <v>&lt;35</v>
      </c>
      <c r="V9" s="64" t="str">
        <f t="shared" si="6"/>
        <v>&lt;10 Гб</v>
      </c>
      <c r="AA9" s="8"/>
    </row>
    <row r="10" spans="1:31" ht="15.75" customHeight="1" x14ac:dyDescent="0.25">
      <c r="A10" s="62" t="s">
        <v>94</v>
      </c>
      <c r="B10" s="56">
        <v>38082</v>
      </c>
      <c r="C10" s="62" t="s">
        <v>88</v>
      </c>
      <c r="D10" s="62" t="s">
        <v>84</v>
      </c>
      <c r="E10" s="62" t="s">
        <v>85</v>
      </c>
      <c r="F10" s="62" t="s">
        <v>89</v>
      </c>
      <c r="G10" s="56">
        <v>44058</v>
      </c>
      <c r="H10" s="62">
        <v>5</v>
      </c>
      <c r="I10" s="62">
        <v>6616</v>
      </c>
      <c r="J10" s="62">
        <v>144000000</v>
      </c>
      <c r="L10" s="62">
        <v>1</v>
      </c>
      <c r="O10" s="62">
        <v>1</v>
      </c>
      <c r="P10" s="63">
        <f t="shared" si="0"/>
        <v>120</v>
      </c>
      <c r="Q10" s="64">
        <f t="shared" si="1"/>
        <v>27.566666666666666</v>
      </c>
      <c r="R10" s="64">
        <f t="shared" si="2"/>
        <v>34.332275390625</v>
      </c>
      <c r="S10" s="64">
        <f t="shared" si="3"/>
        <v>18</v>
      </c>
      <c r="T10" s="64">
        <f t="shared" si="4"/>
        <v>6.4322222222222223</v>
      </c>
      <c r="U10" s="64" t="str">
        <f t="shared" si="5"/>
        <v>&lt;35</v>
      </c>
      <c r="V10" s="64" t="str">
        <f t="shared" si="6"/>
        <v>31-40 Гб</v>
      </c>
      <c r="AA10" s="8"/>
    </row>
    <row r="11" spans="1:31" ht="15.75" customHeight="1" x14ac:dyDescent="0.25">
      <c r="A11" s="62" t="s">
        <v>95</v>
      </c>
      <c r="B11" s="56">
        <v>38081</v>
      </c>
      <c r="C11" s="62" t="s">
        <v>83</v>
      </c>
      <c r="D11" s="62" t="s">
        <v>84</v>
      </c>
      <c r="E11" s="62" t="s">
        <v>92</v>
      </c>
      <c r="F11" s="62" t="s">
        <v>96</v>
      </c>
      <c r="G11" s="56">
        <v>43439</v>
      </c>
      <c r="H11" s="62">
        <v>5</v>
      </c>
      <c r="I11" s="62">
        <v>61756</v>
      </c>
      <c r="J11" s="62">
        <v>96000000</v>
      </c>
      <c r="P11" s="63">
        <f t="shared" si="0"/>
        <v>120</v>
      </c>
      <c r="Q11" s="64">
        <f t="shared" si="1"/>
        <v>257.31666666666666</v>
      </c>
      <c r="R11" s="64">
        <f t="shared" si="2"/>
        <v>22.88818359375</v>
      </c>
      <c r="S11" s="64">
        <f t="shared" si="3"/>
        <v>18</v>
      </c>
      <c r="T11" s="64">
        <f t="shared" si="4"/>
        <v>60.040555555555557</v>
      </c>
      <c r="U11" s="64" t="str">
        <f t="shared" si="5"/>
        <v>61-90</v>
      </c>
      <c r="V11" s="64" t="str">
        <f t="shared" si="6"/>
        <v>21-30 Гб</v>
      </c>
      <c r="AA11" s="8"/>
    </row>
    <row r="12" spans="1:31" ht="15.75" customHeight="1" x14ac:dyDescent="0.25">
      <c r="A12" s="62" t="s">
        <v>97</v>
      </c>
      <c r="B12" s="56">
        <v>38072</v>
      </c>
      <c r="C12" s="62" t="s">
        <v>88</v>
      </c>
      <c r="D12" s="62" t="s">
        <v>84</v>
      </c>
      <c r="E12" s="62" t="s">
        <v>85</v>
      </c>
      <c r="F12" s="62" t="s">
        <v>89</v>
      </c>
      <c r="G12" s="56">
        <v>43053</v>
      </c>
      <c r="H12" s="62">
        <v>5</v>
      </c>
      <c r="I12" s="62">
        <v>19144</v>
      </c>
      <c r="J12" s="62">
        <v>152000000</v>
      </c>
      <c r="P12" s="63">
        <f t="shared" si="0"/>
        <v>120</v>
      </c>
      <c r="Q12" s="64">
        <f t="shared" si="1"/>
        <v>79.766666666666666</v>
      </c>
      <c r="R12" s="64">
        <f t="shared" si="2"/>
        <v>36.2396240234375</v>
      </c>
      <c r="S12" s="64">
        <f t="shared" si="3"/>
        <v>18</v>
      </c>
      <c r="T12" s="64">
        <f t="shared" si="4"/>
        <v>18.612222222222222</v>
      </c>
      <c r="U12" s="64" t="str">
        <f t="shared" si="5"/>
        <v>&lt;35</v>
      </c>
      <c r="V12" s="64" t="str">
        <f t="shared" si="6"/>
        <v>31-40 Гб</v>
      </c>
      <c r="AA12" s="8"/>
    </row>
    <row r="13" spans="1:31" ht="15.75" customHeight="1" x14ac:dyDescent="0.25">
      <c r="A13" s="62" t="s">
        <v>98</v>
      </c>
      <c r="B13" s="56">
        <v>38068</v>
      </c>
      <c r="C13" s="62" t="s">
        <v>88</v>
      </c>
      <c r="D13" s="62" t="s">
        <v>84</v>
      </c>
      <c r="E13" s="62" t="s">
        <v>85</v>
      </c>
      <c r="F13" s="62" t="s">
        <v>96</v>
      </c>
      <c r="G13" s="56">
        <v>42872</v>
      </c>
      <c r="H13" s="62">
        <v>5</v>
      </c>
      <c r="I13" s="62">
        <v>3368</v>
      </c>
      <c r="J13" s="62">
        <v>100000000</v>
      </c>
      <c r="L13" s="62">
        <v>1</v>
      </c>
      <c r="O13" s="62">
        <v>1</v>
      </c>
      <c r="P13" s="63">
        <f t="shared" si="0"/>
        <v>120</v>
      </c>
      <c r="Q13" s="64">
        <f t="shared" si="1"/>
        <v>14.033333333333333</v>
      </c>
      <c r="R13" s="64">
        <f t="shared" si="2"/>
        <v>23.84185791015625</v>
      </c>
      <c r="S13" s="64">
        <f t="shared" si="3"/>
        <v>18</v>
      </c>
      <c r="T13" s="64">
        <f t="shared" si="4"/>
        <v>3.2744444444444443</v>
      </c>
      <c r="U13" s="64" t="str">
        <f t="shared" si="5"/>
        <v>&lt;35</v>
      </c>
      <c r="V13" s="64" t="str">
        <f t="shared" si="6"/>
        <v>21-30 Гб</v>
      </c>
      <c r="AA13" s="8"/>
      <c r="AB13" s="8"/>
      <c r="AC13" s="8"/>
      <c r="AD13" s="8"/>
    </row>
    <row r="14" spans="1:31" ht="15.75" customHeight="1" x14ac:dyDescent="0.25">
      <c r="A14" s="62" t="s">
        <v>99</v>
      </c>
      <c r="B14" s="56">
        <v>38065</v>
      </c>
      <c r="C14" s="62" t="s">
        <v>88</v>
      </c>
      <c r="D14" s="62" t="s">
        <v>84</v>
      </c>
      <c r="E14" s="62" t="s">
        <v>92</v>
      </c>
      <c r="F14" s="62" t="s">
        <v>100</v>
      </c>
      <c r="G14" s="56">
        <v>44432</v>
      </c>
      <c r="H14" s="62">
        <v>5</v>
      </c>
      <c r="I14" s="62">
        <v>113756</v>
      </c>
      <c r="J14" s="62">
        <v>136000000</v>
      </c>
      <c r="K14" s="62">
        <v>1</v>
      </c>
      <c r="P14" s="63">
        <f t="shared" si="0"/>
        <v>120</v>
      </c>
      <c r="Q14" s="64">
        <f t="shared" si="1"/>
        <v>473.98333333333335</v>
      </c>
      <c r="R14" s="64">
        <f t="shared" si="2"/>
        <v>32.4249267578125</v>
      </c>
      <c r="S14" s="64">
        <f t="shared" si="3"/>
        <v>18</v>
      </c>
      <c r="T14" s="64">
        <f t="shared" si="4"/>
        <v>110.59611111111111</v>
      </c>
      <c r="U14" s="64" t="str">
        <f t="shared" si="5"/>
        <v>91-120</v>
      </c>
      <c r="V14" s="64" t="str">
        <f t="shared" si="6"/>
        <v>31-40 Гб</v>
      </c>
    </row>
    <row r="15" spans="1:31" ht="15.75" customHeight="1" x14ac:dyDescent="0.25">
      <c r="A15" s="62" t="s">
        <v>101</v>
      </c>
      <c r="B15" s="56">
        <v>38059</v>
      </c>
      <c r="C15" s="62" t="s">
        <v>88</v>
      </c>
      <c r="D15" s="62" t="s">
        <v>84</v>
      </c>
      <c r="E15" s="62" t="s">
        <v>85</v>
      </c>
      <c r="F15" s="62" t="s">
        <v>100</v>
      </c>
      <c r="G15" s="56">
        <v>43641</v>
      </c>
      <c r="H15" s="62">
        <v>5</v>
      </c>
      <c r="I15" s="62">
        <v>105680</v>
      </c>
      <c r="J15" s="62">
        <v>100000000</v>
      </c>
      <c r="P15" s="63">
        <f t="shared" si="0"/>
        <v>120</v>
      </c>
      <c r="Q15" s="64">
        <f t="shared" si="1"/>
        <v>440.33333333333331</v>
      </c>
      <c r="R15" s="64">
        <f t="shared" si="2"/>
        <v>23.84185791015625</v>
      </c>
      <c r="S15" s="64">
        <f t="shared" si="3"/>
        <v>18</v>
      </c>
      <c r="T15" s="64">
        <f t="shared" si="4"/>
        <v>102.74444444444444</v>
      </c>
      <c r="U15" s="64" t="str">
        <f t="shared" si="5"/>
        <v>91-120</v>
      </c>
      <c r="V15" s="64" t="str">
        <f t="shared" si="6"/>
        <v>21-30 Гб</v>
      </c>
      <c r="X15" s="131" t="s">
        <v>102</v>
      </c>
      <c r="Y15" s="132"/>
      <c r="Z15" s="132"/>
      <c r="AA15" s="133"/>
      <c r="AC15" s="131" t="s">
        <v>103</v>
      </c>
      <c r="AD15" s="132"/>
      <c r="AE15" s="133"/>
    </row>
    <row r="16" spans="1:31" ht="15.75" customHeight="1" x14ac:dyDescent="0.25">
      <c r="A16" s="62" t="s">
        <v>104</v>
      </c>
      <c r="B16" s="56">
        <v>38056</v>
      </c>
      <c r="C16" s="62" t="s">
        <v>83</v>
      </c>
      <c r="D16" s="62" t="s">
        <v>84</v>
      </c>
      <c r="E16" s="62" t="s">
        <v>92</v>
      </c>
      <c r="F16" s="62" t="s">
        <v>100</v>
      </c>
      <c r="G16" s="56">
        <v>43778</v>
      </c>
      <c r="H16" s="62">
        <v>5</v>
      </c>
      <c r="I16" s="62">
        <v>20436</v>
      </c>
      <c r="J16" s="62">
        <v>140000000</v>
      </c>
      <c r="P16" s="63">
        <f t="shared" si="0"/>
        <v>120</v>
      </c>
      <c r="Q16" s="64">
        <f t="shared" si="1"/>
        <v>85.15</v>
      </c>
      <c r="R16" s="64">
        <f t="shared" si="2"/>
        <v>33.37860107421875</v>
      </c>
      <c r="S16" s="64">
        <f t="shared" si="3"/>
        <v>18</v>
      </c>
      <c r="T16" s="64">
        <f t="shared" si="4"/>
        <v>19.868333333333336</v>
      </c>
      <c r="U16" s="64" t="str">
        <f t="shared" si="5"/>
        <v>&lt;35</v>
      </c>
      <c r="V16" s="64" t="str">
        <f t="shared" si="6"/>
        <v>31-40 Гб</v>
      </c>
      <c r="X16" s="65" t="s">
        <v>65</v>
      </c>
      <c r="Y16" s="65" t="s">
        <v>105</v>
      </c>
      <c r="Z16" s="65" t="s">
        <v>106</v>
      </c>
      <c r="AA16" s="65" t="s">
        <v>107</v>
      </c>
      <c r="AC16" s="128" t="s">
        <v>70</v>
      </c>
      <c r="AD16" s="129"/>
      <c r="AE16" s="130"/>
    </row>
    <row r="17" spans="1:31" ht="15.75" customHeight="1" x14ac:dyDescent="0.25">
      <c r="A17" s="62" t="s">
        <v>108</v>
      </c>
      <c r="B17" s="56">
        <v>38049</v>
      </c>
      <c r="C17" s="62" t="s">
        <v>88</v>
      </c>
      <c r="D17" s="62" t="s">
        <v>84</v>
      </c>
      <c r="E17" s="62" t="s">
        <v>85</v>
      </c>
      <c r="F17" s="62" t="s">
        <v>89</v>
      </c>
      <c r="G17" s="56">
        <v>44276</v>
      </c>
      <c r="H17" s="62">
        <v>5</v>
      </c>
      <c r="I17" s="62">
        <v>2840</v>
      </c>
      <c r="J17" s="62">
        <v>156000000</v>
      </c>
      <c r="L17" s="62">
        <v>1</v>
      </c>
      <c r="O17" s="62">
        <v>1</v>
      </c>
      <c r="P17" s="63">
        <f t="shared" si="0"/>
        <v>120</v>
      </c>
      <c r="Q17" s="64">
        <f t="shared" si="1"/>
        <v>11.833333333333334</v>
      </c>
      <c r="R17" s="64">
        <f t="shared" si="2"/>
        <v>37.19329833984375</v>
      </c>
      <c r="S17" s="64">
        <f t="shared" si="3"/>
        <v>18</v>
      </c>
      <c r="T17" s="64">
        <f t="shared" si="4"/>
        <v>2.7611111111111115</v>
      </c>
      <c r="U17" s="64" t="str">
        <f t="shared" si="5"/>
        <v>&lt;35</v>
      </c>
      <c r="V17" s="64" t="str">
        <f t="shared" si="6"/>
        <v>31-40 Гб</v>
      </c>
      <c r="X17" s="66" t="s">
        <v>86</v>
      </c>
      <c r="Y17" s="66">
        <v>770</v>
      </c>
      <c r="Z17" s="66">
        <v>700</v>
      </c>
      <c r="AA17" s="66">
        <v>50</v>
      </c>
      <c r="AC17" s="67" t="s">
        <v>71</v>
      </c>
      <c r="AD17" s="68"/>
      <c r="AE17" s="69"/>
    </row>
    <row r="18" spans="1:31" ht="15.75" customHeight="1" x14ac:dyDescent="0.25">
      <c r="A18" s="62" t="s">
        <v>109</v>
      </c>
      <c r="B18" s="56">
        <v>38049</v>
      </c>
      <c r="C18" s="62" t="s">
        <v>88</v>
      </c>
      <c r="D18" s="62" t="s">
        <v>84</v>
      </c>
      <c r="E18" s="62" t="s">
        <v>92</v>
      </c>
      <c r="F18" s="62" t="s">
        <v>89</v>
      </c>
      <c r="G18" s="56">
        <v>44358</v>
      </c>
      <c r="H18" s="62">
        <v>5</v>
      </c>
      <c r="I18" s="62">
        <v>10328</v>
      </c>
      <c r="J18" s="62">
        <v>144000000</v>
      </c>
      <c r="L18" s="62">
        <v>1</v>
      </c>
      <c r="N18" s="62">
        <v>1</v>
      </c>
      <c r="O18" s="62">
        <v>1</v>
      </c>
      <c r="P18" s="63">
        <f t="shared" si="0"/>
        <v>120</v>
      </c>
      <c r="Q18" s="64">
        <f t="shared" si="1"/>
        <v>43.033333333333331</v>
      </c>
      <c r="R18" s="64">
        <f t="shared" si="2"/>
        <v>34.332275390625</v>
      </c>
      <c r="S18" s="64">
        <f t="shared" si="3"/>
        <v>18</v>
      </c>
      <c r="T18" s="64">
        <f t="shared" si="4"/>
        <v>10.041111111111112</v>
      </c>
      <c r="U18" s="64" t="str">
        <f t="shared" si="5"/>
        <v>&lt;35</v>
      </c>
      <c r="V18" s="64" t="str">
        <f t="shared" si="6"/>
        <v>31-40 Гб</v>
      </c>
      <c r="X18" s="66" t="s">
        <v>100</v>
      </c>
      <c r="Y18" s="66">
        <v>550</v>
      </c>
      <c r="Z18" s="66">
        <v>500</v>
      </c>
      <c r="AA18" s="66">
        <v>35</v>
      </c>
      <c r="AC18" s="128" t="s">
        <v>72</v>
      </c>
      <c r="AD18" s="129"/>
      <c r="AE18" s="130"/>
    </row>
    <row r="19" spans="1:31" ht="15.75" customHeight="1" x14ac:dyDescent="0.25">
      <c r="A19" s="62" t="s">
        <v>110</v>
      </c>
      <c r="B19" s="56">
        <v>38048</v>
      </c>
      <c r="C19" s="62" t="s">
        <v>83</v>
      </c>
      <c r="D19" s="62" t="s">
        <v>84</v>
      </c>
      <c r="E19" s="62" t="s">
        <v>85</v>
      </c>
      <c r="F19" s="62" t="s">
        <v>89</v>
      </c>
      <c r="G19" s="56">
        <v>44070</v>
      </c>
      <c r="H19" s="62">
        <v>5</v>
      </c>
      <c r="I19" s="62">
        <v>20720</v>
      </c>
      <c r="J19" s="62">
        <v>152000000</v>
      </c>
      <c r="P19" s="63">
        <f t="shared" si="0"/>
        <v>120</v>
      </c>
      <c r="Q19" s="64">
        <f t="shared" si="1"/>
        <v>86.333333333333329</v>
      </c>
      <c r="R19" s="64">
        <f t="shared" si="2"/>
        <v>36.2396240234375</v>
      </c>
      <c r="S19" s="64">
        <f t="shared" si="3"/>
        <v>18</v>
      </c>
      <c r="T19" s="64">
        <f t="shared" si="4"/>
        <v>20.144444444444442</v>
      </c>
      <c r="U19" s="64" t="str">
        <f t="shared" si="5"/>
        <v>&lt;35</v>
      </c>
      <c r="V19" s="64" t="str">
        <f t="shared" si="6"/>
        <v>31-40 Гб</v>
      </c>
      <c r="X19" s="66" t="s">
        <v>96</v>
      </c>
      <c r="Y19" s="66">
        <v>440</v>
      </c>
      <c r="Z19" s="66">
        <v>400</v>
      </c>
      <c r="AA19" s="66">
        <v>30</v>
      </c>
      <c r="AC19" s="128" t="s">
        <v>73</v>
      </c>
      <c r="AD19" s="129"/>
      <c r="AE19" s="130"/>
    </row>
    <row r="20" spans="1:31" ht="15.75" customHeight="1" x14ac:dyDescent="0.25">
      <c r="A20" s="62" t="s">
        <v>111</v>
      </c>
      <c r="B20" s="56">
        <v>38046</v>
      </c>
      <c r="C20" s="62" t="s">
        <v>88</v>
      </c>
      <c r="D20" s="62" t="s">
        <v>84</v>
      </c>
      <c r="E20" s="62" t="s">
        <v>85</v>
      </c>
      <c r="F20" s="62" t="s">
        <v>96</v>
      </c>
      <c r="G20" s="56">
        <v>43614</v>
      </c>
      <c r="H20" s="62">
        <v>5</v>
      </c>
      <c r="I20" s="62">
        <v>90940</v>
      </c>
      <c r="J20" s="62">
        <v>40000000</v>
      </c>
      <c r="L20" s="62">
        <v>1</v>
      </c>
      <c r="P20" s="63">
        <f t="shared" si="0"/>
        <v>120</v>
      </c>
      <c r="Q20" s="64">
        <f t="shared" si="1"/>
        <v>378.91666666666669</v>
      </c>
      <c r="R20" s="64">
        <f t="shared" si="2"/>
        <v>9.5367431640625</v>
      </c>
      <c r="S20" s="64">
        <f t="shared" si="3"/>
        <v>18</v>
      </c>
      <c r="T20" s="64">
        <f t="shared" si="4"/>
        <v>88.413888888888906</v>
      </c>
      <c r="U20" s="64" t="str">
        <f t="shared" si="5"/>
        <v>61-90</v>
      </c>
      <c r="V20" s="64" t="str">
        <f t="shared" si="6"/>
        <v>&lt;10 Гб</v>
      </c>
      <c r="X20" s="66" t="s">
        <v>89</v>
      </c>
      <c r="Y20" s="66">
        <v>330</v>
      </c>
      <c r="Z20" s="66">
        <v>150</v>
      </c>
      <c r="AA20" s="66">
        <v>40</v>
      </c>
      <c r="AC20" s="128" t="s">
        <v>74</v>
      </c>
      <c r="AD20" s="129"/>
      <c r="AE20" s="130"/>
    </row>
    <row r="21" spans="1:31" ht="15.75" customHeight="1" x14ac:dyDescent="0.25">
      <c r="A21" s="62" t="s">
        <v>112</v>
      </c>
      <c r="B21" s="56">
        <v>38039</v>
      </c>
      <c r="C21" s="62" t="s">
        <v>88</v>
      </c>
      <c r="D21" s="62" t="s">
        <v>84</v>
      </c>
      <c r="E21" s="62" t="s">
        <v>85</v>
      </c>
      <c r="F21" s="62" t="s">
        <v>93</v>
      </c>
      <c r="G21" s="56">
        <v>43053</v>
      </c>
      <c r="H21" s="62">
        <v>5</v>
      </c>
      <c r="I21" s="62">
        <v>30328</v>
      </c>
      <c r="J21" s="62">
        <v>4000000</v>
      </c>
      <c r="K21" s="62">
        <v>1</v>
      </c>
      <c r="N21" s="62">
        <v>1</v>
      </c>
      <c r="P21" s="63">
        <f t="shared" si="0"/>
        <v>120</v>
      </c>
      <c r="Q21" s="64">
        <f t="shared" si="1"/>
        <v>126.36666666666665</v>
      </c>
      <c r="R21" s="64">
        <f t="shared" si="2"/>
        <v>0.95367431640625011</v>
      </c>
      <c r="S21" s="64">
        <f t="shared" si="3"/>
        <v>18</v>
      </c>
      <c r="T21" s="64">
        <f t="shared" si="4"/>
        <v>29.48555555555555</v>
      </c>
      <c r="U21" s="64" t="str">
        <f t="shared" si="5"/>
        <v>&lt;35</v>
      </c>
      <c r="V21" s="64" t="str">
        <f t="shared" si="6"/>
        <v>&lt;10 Гб</v>
      </c>
      <c r="X21" s="66" t="s">
        <v>93</v>
      </c>
      <c r="Y21" s="66">
        <v>220</v>
      </c>
      <c r="Z21" s="66">
        <v>200</v>
      </c>
      <c r="AA21" s="66">
        <v>5</v>
      </c>
    </row>
    <row r="22" spans="1:31" ht="15.75" customHeight="1" x14ac:dyDescent="0.25">
      <c r="A22" s="62" t="s">
        <v>113</v>
      </c>
      <c r="B22" s="56">
        <v>38038</v>
      </c>
      <c r="C22" s="62" t="s">
        <v>88</v>
      </c>
      <c r="D22" s="62" t="s">
        <v>84</v>
      </c>
      <c r="E22" s="62" t="s">
        <v>85</v>
      </c>
      <c r="F22" s="62" t="s">
        <v>89</v>
      </c>
      <c r="G22" s="56">
        <v>42768</v>
      </c>
      <c r="H22" s="62">
        <v>5</v>
      </c>
      <c r="I22" s="62">
        <v>18848</v>
      </c>
      <c r="J22" s="62">
        <v>64000000</v>
      </c>
      <c r="N22" s="62">
        <v>1</v>
      </c>
      <c r="P22" s="63">
        <f t="shared" si="0"/>
        <v>120</v>
      </c>
      <c r="Q22" s="64">
        <f t="shared" si="1"/>
        <v>78.533333333333331</v>
      </c>
      <c r="R22" s="64">
        <f t="shared" si="2"/>
        <v>15.258789062500002</v>
      </c>
      <c r="S22" s="64">
        <f t="shared" si="3"/>
        <v>18</v>
      </c>
      <c r="T22" s="64">
        <f t="shared" si="4"/>
        <v>18.324444444444445</v>
      </c>
      <c r="U22" s="64" t="str">
        <f t="shared" si="5"/>
        <v>&lt;35</v>
      </c>
      <c r="V22" s="64" t="str">
        <f t="shared" si="6"/>
        <v>10-20 Гб</v>
      </c>
    </row>
    <row r="23" spans="1:31" ht="15.75" customHeight="1" x14ac:dyDescent="0.25">
      <c r="A23" s="62" t="s">
        <v>114</v>
      </c>
      <c r="B23" s="56">
        <v>38036</v>
      </c>
      <c r="C23" s="62" t="s">
        <v>83</v>
      </c>
      <c r="D23" s="62" t="s">
        <v>84</v>
      </c>
      <c r="E23" s="62" t="s">
        <v>85</v>
      </c>
      <c r="F23" s="62" t="s">
        <v>100</v>
      </c>
      <c r="G23" s="56">
        <v>44435</v>
      </c>
      <c r="H23" s="62">
        <v>5</v>
      </c>
      <c r="I23" s="62">
        <v>100412</v>
      </c>
      <c r="J23" s="62">
        <v>72000000</v>
      </c>
      <c r="P23" s="63">
        <f t="shared" si="0"/>
        <v>120</v>
      </c>
      <c r="Q23" s="64">
        <f t="shared" si="1"/>
        <v>418.38333333333333</v>
      </c>
      <c r="R23" s="64">
        <f t="shared" si="2"/>
        <v>17.1661376953125</v>
      </c>
      <c r="S23" s="64">
        <f t="shared" si="3"/>
        <v>18</v>
      </c>
      <c r="T23" s="64">
        <f t="shared" si="4"/>
        <v>97.622777777777785</v>
      </c>
      <c r="U23" s="64" t="str">
        <f t="shared" si="5"/>
        <v>91-120</v>
      </c>
      <c r="V23" s="64" t="str">
        <f t="shared" si="6"/>
        <v>10-20 Гб</v>
      </c>
    </row>
    <row r="24" spans="1:31" ht="15.75" customHeight="1" x14ac:dyDescent="0.25">
      <c r="A24" s="62" t="s">
        <v>115</v>
      </c>
      <c r="B24" s="56">
        <v>38033</v>
      </c>
      <c r="C24" s="62" t="s">
        <v>83</v>
      </c>
      <c r="D24" s="62" t="s">
        <v>84</v>
      </c>
      <c r="E24" s="62" t="s">
        <v>92</v>
      </c>
      <c r="F24" s="62" t="s">
        <v>89</v>
      </c>
      <c r="G24" s="56">
        <v>43568</v>
      </c>
      <c r="H24" s="62">
        <v>5</v>
      </c>
      <c r="I24" s="62">
        <v>10184</v>
      </c>
      <c r="J24" s="62">
        <v>148000000</v>
      </c>
      <c r="P24" s="63">
        <f t="shared" si="0"/>
        <v>120</v>
      </c>
      <c r="Q24" s="64">
        <f t="shared" si="1"/>
        <v>42.43333333333333</v>
      </c>
      <c r="R24" s="64">
        <f t="shared" si="2"/>
        <v>35.28594970703125</v>
      </c>
      <c r="S24" s="64">
        <f t="shared" si="3"/>
        <v>18</v>
      </c>
      <c r="T24" s="64">
        <f t="shared" si="4"/>
        <v>9.9011111111111099</v>
      </c>
      <c r="U24" s="64" t="str">
        <f t="shared" si="5"/>
        <v>&lt;35</v>
      </c>
      <c r="V24" s="64" t="str">
        <f t="shared" si="6"/>
        <v>31-40 Гб</v>
      </c>
    </row>
    <row r="25" spans="1:31" ht="15.75" customHeight="1" x14ac:dyDescent="0.25">
      <c r="A25" s="62" t="s">
        <v>116</v>
      </c>
      <c r="B25" s="56">
        <v>38023</v>
      </c>
      <c r="C25" s="62" t="s">
        <v>83</v>
      </c>
      <c r="D25" s="62" t="s">
        <v>84</v>
      </c>
      <c r="E25" s="62" t="s">
        <v>92</v>
      </c>
      <c r="F25" s="62" t="s">
        <v>89</v>
      </c>
      <c r="G25" s="56">
        <v>43528</v>
      </c>
      <c r="H25" s="62">
        <v>5</v>
      </c>
      <c r="I25" s="62">
        <v>14816</v>
      </c>
      <c r="J25" s="62">
        <v>156000000</v>
      </c>
      <c r="L25" s="62">
        <v>1</v>
      </c>
      <c r="O25" s="62">
        <v>1</v>
      </c>
      <c r="P25" s="63">
        <f t="shared" si="0"/>
        <v>120</v>
      </c>
      <c r="Q25" s="64">
        <f t="shared" si="1"/>
        <v>61.733333333333334</v>
      </c>
      <c r="R25" s="64">
        <f t="shared" si="2"/>
        <v>37.19329833984375</v>
      </c>
      <c r="S25" s="64">
        <f t="shared" si="3"/>
        <v>18</v>
      </c>
      <c r="T25" s="64">
        <f t="shared" si="4"/>
        <v>14.404444444444444</v>
      </c>
      <c r="U25" s="64" t="str">
        <f t="shared" si="5"/>
        <v>&lt;35</v>
      </c>
      <c r="V25" s="64" t="str">
        <f t="shared" si="6"/>
        <v>31-40 Гб</v>
      </c>
    </row>
    <row r="26" spans="1:31" ht="15.75" customHeight="1" x14ac:dyDescent="0.25">
      <c r="A26" s="62" t="s">
        <v>117</v>
      </c>
      <c r="B26" s="56">
        <v>38020</v>
      </c>
      <c r="C26" s="62" t="s">
        <v>83</v>
      </c>
      <c r="D26" s="62" t="s">
        <v>84</v>
      </c>
      <c r="E26" s="62" t="s">
        <v>92</v>
      </c>
      <c r="F26" s="62" t="s">
        <v>89</v>
      </c>
      <c r="G26" s="56">
        <v>43825</v>
      </c>
      <c r="H26" s="62">
        <v>5</v>
      </c>
      <c r="I26" s="62">
        <v>21444</v>
      </c>
      <c r="J26" s="62">
        <v>152000000</v>
      </c>
      <c r="L26" s="62">
        <v>1</v>
      </c>
      <c r="N26" s="62">
        <v>1</v>
      </c>
      <c r="O26" s="62">
        <v>1</v>
      </c>
      <c r="P26" s="63">
        <f t="shared" si="0"/>
        <v>120</v>
      </c>
      <c r="Q26" s="64">
        <f t="shared" si="1"/>
        <v>89.35</v>
      </c>
      <c r="R26" s="64">
        <f t="shared" si="2"/>
        <v>36.2396240234375</v>
      </c>
      <c r="S26" s="64">
        <f t="shared" si="3"/>
        <v>18</v>
      </c>
      <c r="T26" s="64">
        <f t="shared" si="4"/>
        <v>20.848333333333333</v>
      </c>
      <c r="U26" s="64" t="str">
        <f t="shared" si="5"/>
        <v>&lt;35</v>
      </c>
      <c r="V26" s="64" t="str">
        <f t="shared" si="6"/>
        <v>31-40 Гб</v>
      </c>
    </row>
    <row r="27" spans="1:31" ht="15.75" customHeight="1" x14ac:dyDescent="0.25">
      <c r="A27" s="62" t="s">
        <v>118</v>
      </c>
      <c r="B27" s="56">
        <v>38018</v>
      </c>
      <c r="C27" s="62" t="s">
        <v>83</v>
      </c>
      <c r="D27" s="62" t="s">
        <v>84</v>
      </c>
      <c r="E27" s="62" t="s">
        <v>92</v>
      </c>
      <c r="F27" s="62" t="s">
        <v>89</v>
      </c>
      <c r="G27" s="56">
        <v>43421</v>
      </c>
      <c r="H27" s="62">
        <v>5</v>
      </c>
      <c r="I27" s="62">
        <v>14164</v>
      </c>
      <c r="J27" s="62">
        <v>148000000</v>
      </c>
      <c r="P27" s="63">
        <f t="shared" si="0"/>
        <v>120</v>
      </c>
      <c r="Q27" s="64">
        <f t="shared" si="1"/>
        <v>59.016666666666666</v>
      </c>
      <c r="R27" s="64">
        <f t="shared" si="2"/>
        <v>35.28594970703125</v>
      </c>
      <c r="S27" s="64">
        <f t="shared" si="3"/>
        <v>18</v>
      </c>
      <c r="T27" s="64">
        <f t="shared" si="4"/>
        <v>13.770555555555555</v>
      </c>
      <c r="U27" s="64" t="str">
        <f t="shared" si="5"/>
        <v>&lt;35</v>
      </c>
      <c r="V27" s="64" t="str">
        <f t="shared" si="6"/>
        <v>31-40 Гб</v>
      </c>
    </row>
    <row r="28" spans="1:31" ht="15.75" customHeight="1" x14ac:dyDescent="0.25">
      <c r="A28" s="62" t="s">
        <v>119</v>
      </c>
      <c r="B28" s="56">
        <v>38015</v>
      </c>
      <c r="C28" s="62" t="s">
        <v>83</v>
      </c>
      <c r="D28" s="62" t="s">
        <v>84</v>
      </c>
      <c r="E28" s="62" t="s">
        <v>92</v>
      </c>
      <c r="F28" s="62" t="s">
        <v>89</v>
      </c>
      <c r="G28" s="56">
        <v>43511</v>
      </c>
      <c r="H28" s="62">
        <v>5</v>
      </c>
      <c r="I28" s="62">
        <v>12040</v>
      </c>
      <c r="J28" s="62">
        <v>156000000</v>
      </c>
      <c r="K28" s="62">
        <v>1</v>
      </c>
      <c r="N28" s="62">
        <v>1</v>
      </c>
      <c r="P28" s="63">
        <f t="shared" si="0"/>
        <v>120</v>
      </c>
      <c r="Q28" s="64">
        <f t="shared" si="1"/>
        <v>50.166666666666664</v>
      </c>
      <c r="R28" s="64">
        <f t="shared" si="2"/>
        <v>37.19329833984375</v>
      </c>
      <c r="S28" s="64">
        <f t="shared" si="3"/>
        <v>18</v>
      </c>
      <c r="T28" s="64">
        <f t="shared" si="4"/>
        <v>11.705555555555554</v>
      </c>
      <c r="U28" s="64" t="str">
        <f t="shared" si="5"/>
        <v>&lt;35</v>
      </c>
      <c r="V28" s="64" t="str">
        <f t="shared" si="6"/>
        <v>31-40 Гб</v>
      </c>
    </row>
    <row r="29" spans="1:31" ht="15.75" customHeight="1" x14ac:dyDescent="0.25">
      <c r="A29" s="62" t="s">
        <v>120</v>
      </c>
      <c r="B29" s="56">
        <v>38015</v>
      </c>
      <c r="C29" s="62" t="s">
        <v>88</v>
      </c>
      <c r="D29" s="62" t="s">
        <v>84</v>
      </c>
      <c r="E29" s="62" t="s">
        <v>92</v>
      </c>
      <c r="F29" s="62" t="s">
        <v>96</v>
      </c>
      <c r="G29" s="56">
        <v>43423</v>
      </c>
      <c r="H29" s="62">
        <v>5</v>
      </c>
      <c r="I29" s="62">
        <v>91856</v>
      </c>
      <c r="J29" s="62">
        <v>100000000</v>
      </c>
      <c r="M29" s="62">
        <v>1</v>
      </c>
      <c r="P29" s="63">
        <f t="shared" si="0"/>
        <v>120</v>
      </c>
      <c r="Q29" s="64">
        <f t="shared" si="1"/>
        <v>382.73333333333335</v>
      </c>
      <c r="R29" s="64">
        <f t="shared" si="2"/>
        <v>23.84185791015625</v>
      </c>
      <c r="S29" s="64">
        <f t="shared" si="3"/>
        <v>18</v>
      </c>
      <c r="T29" s="64">
        <f t="shared" si="4"/>
        <v>89.304444444444442</v>
      </c>
      <c r="U29" s="64" t="str">
        <f t="shared" si="5"/>
        <v>61-90</v>
      </c>
      <c r="V29" s="64" t="str">
        <f t="shared" si="6"/>
        <v>21-30 Гб</v>
      </c>
    </row>
    <row r="30" spans="1:31" ht="15.75" customHeight="1" x14ac:dyDescent="0.25">
      <c r="A30" s="62" t="s">
        <v>121</v>
      </c>
      <c r="B30" s="56">
        <v>38014</v>
      </c>
      <c r="C30" s="62" t="s">
        <v>83</v>
      </c>
      <c r="D30" s="62" t="s">
        <v>84</v>
      </c>
      <c r="E30" s="62" t="s">
        <v>85</v>
      </c>
      <c r="F30" s="62" t="s">
        <v>89</v>
      </c>
      <c r="G30" s="56">
        <v>43248</v>
      </c>
      <c r="H30" s="62">
        <v>5</v>
      </c>
      <c r="I30" s="62">
        <v>10688</v>
      </c>
      <c r="J30" s="62">
        <v>160000000</v>
      </c>
      <c r="P30" s="63">
        <f t="shared" si="0"/>
        <v>120</v>
      </c>
      <c r="Q30" s="64">
        <f t="shared" si="1"/>
        <v>44.533333333333331</v>
      </c>
      <c r="R30" s="64">
        <f t="shared" si="2"/>
        <v>38.14697265625</v>
      </c>
      <c r="S30" s="64">
        <f t="shared" si="3"/>
        <v>18</v>
      </c>
      <c r="T30" s="64">
        <f t="shared" si="4"/>
        <v>10.391111111111112</v>
      </c>
      <c r="U30" s="64" t="str">
        <f t="shared" si="5"/>
        <v>&lt;35</v>
      </c>
      <c r="V30" s="64" t="str">
        <f t="shared" si="6"/>
        <v>31-40 Гб</v>
      </c>
    </row>
    <row r="31" spans="1:31" ht="15.75" customHeight="1" x14ac:dyDescent="0.25">
      <c r="A31" s="62" t="s">
        <v>122</v>
      </c>
      <c r="B31" s="56">
        <v>38008</v>
      </c>
      <c r="C31" s="62" t="s">
        <v>88</v>
      </c>
      <c r="D31" s="62" t="s">
        <v>84</v>
      </c>
      <c r="E31" s="62" t="s">
        <v>85</v>
      </c>
      <c r="F31" s="62" t="s">
        <v>96</v>
      </c>
      <c r="G31" s="56">
        <v>44511</v>
      </c>
      <c r="H31" s="62">
        <v>5</v>
      </c>
      <c r="I31" s="62">
        <v>18680</v>
      </c>
      <c r="J31" s="62">
        <v>44000000</v>
      </c>
      <c r="K31" s="62">
        <v>1</v>
      </c>
      <c r="P31" s="63">
        <f t="shared" si="0"/>
        <v>120</v>
      </c>
      <c r="Q31" s="64">
        <f t="shared" si="1"/>
        <v>77.833333333333329</v>
      </c>
      <c r="R31" s="64">
        <f t="shared" si="2"/>
        <v>10.49041748046875</v>
      </c>
      <c r="S31" s="64">
        <f t="shared" si="3"/>
        <v>18</v>
      </c>
      <c r="T31" s="64">
        <f t="shared" si="4"/>
        <v>18.161111111111108</v>
      </c>
      <c r="U31" s="64" t="str">
        <f t="shared" si="5"/>
        <v>&lt;35</v>
      </c>
      <c r="V31" s="64" t="str">
        <f t="shared" si="6"/>
        <v>10-20 Гб</v>
      </c>
    </row>
    <row r="32" spans="1:31" ht="15.75" customHeight="1" x14ac:dyDescent="0.25">
      <c r="A32" s="62" t="s">
        <v>123</v>
      </c>
      <c r="B32" s="56">
        <v>38003</v>
      </c>
      <c r="C32" s="62" t="s">
        <v>88</v>
      </c>
      <c r="D32" s="62" t="s">
        <v>84</v>
      </c>
      <c r="E32" s="62" t="s">
        <v>85</v>
      </c>
      <c r="F32" s="62" t="s">
        <v>100</v>
      </c>
      <c r="G32" s="56">
        <v>43813</v>
      </c>
      <c r="H32" s="62">
        <v>5</v>
      </c>
      <c r="I32" s="62">
        <v>111984</v>
      </c>
      <c r="J32" s="62">
        <v>136000000</v>
      </c>
      <c r="P32" s="63">
        <f t="shared" si="0"/>
        <v>120</v>
      </c>
      <c r="Q32" s="64">
        <f t="shared" si="1"/>
        <v>466.6</v>
      </c>
      <c r="R32" s="64">
        <f t="shared" si="2"/>
        <v>32.4249267578125</v>
      </c>
      <c r="S32" s="64">
        <f t="shared" si="3"/>
        <v>18</v>
      </c>
      <c r="T32" s="64">
        <f t="shared" si="4"/>
        <v>108.87333333333335</v>
      </c>
      <c r="U32" s="64" t="str">
        <f t="shared" si="5"/>
        <v>91-120</v>
      </c>
      <c r="V32" s="64" t="str">
        <f t="shared" si="6"/>
        <v>31-40 Гб</v>
      </c>
    </row>
    <row r="33" spans="1:22" ht="15.75" customHeight="1" x14ac:dyDescent="0.25">
      <c r="A33" s="62" t="s">
        <v>124</v>
      </c>
      <c r="B33" s="56">
        <v>37999</v>
      </c>
      <c r="C33" s="62" t="s">
        <v>83</v>
      </c>
      <c r="D33" s="62" t="s">
        <v>84</v>
      </c>
      <c r="E33" s="62" t="s">
        <v>85</v>
      </c>
      <c r="F33" s="62" t="s">
        <v>93</v>
      </c>
      <c r="G33" s="56">
        <v>44574</v>
      </c>
      <c r="H33" s="62">
        <v>3</v>
      </c>
      <c r="I33" s="62">
        <v>53345</v>
      </c>
      <c r="J33" s="62">
        <v>10800000</v>
      </c>
      <c r="N33" s="62">
        <v>1</v>
      </c>
      <c r="O33" s="62">
        <v>1</v>
      </c>
      <c r="P33" s="63">
        <f t="shared" si="0"/>
        <v>108</v>
      </c>
      <c r="Q33" s="64">
        <f t="shared" si="1"/>
        <v>246.96759259259261</v>
      </c>
      <c r="R33" s="64">
        <f t="shared" si="2"/>
        <v>2.86102294921875</v>
      </c>
      <c r="S33" s="64">
        <f t="shared" si="3"/>
        <v>18</v>
      </c>
      <c r="T33" s="64">
        <f t="shared" si="4"/>
        <v>57.625771604938272</v>
      </c>
      <c r="U33" s="64" t="str">
        <f t="shared" si="5"/>
        <v>35-60</v>
      </c>
      <c r="V33" s="64" t="str">
        <f t="shared" si="6"/>
        <v>&lt;10 Гб</v>
      </c>
    </row>
    <row r="34" spans="1:22" ht="15.75" customHeight="1" x14ac:dyDescent="0.25">
      <c r="A34" s="62" t="s">
        <v>125</v>
      </c>
      <c r="B34" s="56">
        <v>37999</v>
      </c>
      <c r="C34" s="62" t="s">
        <v>88</v>
      </c>
      <c r="D34" s="62" t="s">
        <v>84</v>
      </c>
      <c r="E34" s="62" t="s">
        <v>92</v>
      </c>
      <c r="F34" s="62" t="s">
        <v>89</v>
      </c>
      <c r="G34" s="56">
        <v>43271</v>
      </c>
      <c r="H34" s="62">
        <v>5</v>
      </c>
      <c r="I34" s="62">
        <v>22228</v>
      </c>
      <c r="J34" s="62">
        <v>140000000</v>
      </c>
      <c r="P34" s="63">
        <f t="shared" si="0"/>
        <v>120</v>
      </c>
      <c r="Q34" s="64">
        <f t="shared" si="1"/>
        <v>92.61666666666666</v>
      </c>
      <c r="R34" s="64">
        <f t="shared" si="2"/>
        <v>33.37860107421875</v>
      </c>
      <c r="S34" s="64">
        <f t="shared" si="3"/>
        <v>18</v>
      </c>
      <c r="T34" s="64">
        <f t="shared" si="4"/>
        <v>21.610555555555553</v>
      </c>
      <c r="U34" s="64" t="str">
        <f t="shared" si="5"/>
        <v>&lt;35</v>
      </c>
      <c r="V34" s="64" t="str">
        <f t="shared" si="6"/>
        <v>31-40 Гб</v>
      </c>
    </row>
    <row r="35" spans="1:22" ht="15.75" customHeight="1" x14ac:dyDescent="0.25">
      <c r="A35" s="62" t="s">
        <v>126</v>
      </c>
      <c r="B35" s="56">
        <v>37997</v>
      </c>
      <c r="C35" s="62" t="s">
        <v>83</v>
      </c>
      <c r="D35" s="62" t="s">
        <v>84</v>
      </c>
      <c r="E35" s="62" t="s">
        <v>85</v>
      </c>
      <c r="F35" s="62" t="s">
        <v>89</v>
      </c>
      <c r="G35" s="56">
        <v>43408</v>
      </c>
      <c r="H35" s="62">
        <v>5</v>
      </c>
      <c r="I35" s="62">
        <v>6036</v>
      </c>
      <c r="J35" s="62">
        <v>156000000</v>
      </c>
      <c r="L35" s="62">
        <v>1</v>
      </c>
      <c r="P35" s="63">
        <f t="shared" si="0"/>
        <v>120</v>
      </c>
      <c r="Q35" s="64">
        <f t="shared" si="1"/>
        <v>25.15</v>
      </c>
      <c r="R35" s="64">
        <f t="shared" si="2"/>
        <v>37.19329833984375</v>
      </c>
      <c r="S35" s="64">
        <f t="shared" si="3"/>
        <v>18</v>
      </c>
      <c r="T35" s="64">
        <f t="shared" si="4"/>
        <v>5.8683333333333332</v>
      </c>
      <c r="U35" s="64" t="str">
        <f t="shared" si="5"/>
        <v>&lt;35</v>
      </c>
      <c r="V35" s="64" t="str">
        <f t="shared" si="6"/>
        <v>31-40 Гб</v>
      </c>
    </row>
    <row r="36" spans="1:22" ht="15.75" customHeight="1" x14ac:dyDescent="0.25">
      <c r="A36" s="62" t="s">
        <v>127</v>
      </c>
      <c r="B36" s="56">
        <v>37995</v>
      </c>
      <c r="C36" s="62" t="s">
        <v>88</v>
      </c>
      <c r="D36" s="62" t="s">
        <v>84</v>
      </c>
      <c r="E36" s="62" t="s">
        <v>85</v>
      </c>
      <c r="F36" s="62" t="s">
        <v>93</v>
      </c>
      <c r="G36" s="56">
        <v>43511</v>
      </c>
      <c r="H36" s="62">
        <v>5</v>
      </c>
      <c r="I36" s="62">
        <v>15656</v>
      </c>
      <c r="J36" s="62">
        <v>4000000</v>
      </c>
      <c r="P36" s="63">
        <f t="shared" si="0"/>
        <v>120</v>
      </c>
      <c r="Q36" s="64">
        <f t="shared" si="1"/>
        <v>65.233333333333334</v>
      </c>
      <c r="R36" s="64">
        <f t="shared" si="2"/>
        <v>0.95367431640625011</v>
      </c>
      <c r="S36" s="64">
        <f t="shared" si="3"/>
        <v>18</v>
      </c>
      <c r="T36" s="64">
        <f t="shared" si="4"/>
        <v>15.22111111111111</v>
      </c>
      <c r="U36" s="64" t="str">
        <f t="shared" si="5"/>
        <v>&lt;35</v>
      </c>
      <c r="V36" s="64" t="str">
        <f t="shared" si="6"/>
        <v>&lt;10 Гб</v>
      </c>
    </row>
    <row r="37" spans="1:22" ht="15.75" customHeight="1" x14ac:dyDescent="0.25">
      <c r="A37" s="62" t="s">
        <v>128</v>
      </c>
      <c r="B37" s="56">
        <v>37990</v>
      </c>
      <c r="C37" s="62" t="s">
        <v>83</v>
      </c>
      <c r="D37" s="62" t="s">
        <v>84</v>
      </c>
      <c r="E37" s="62" t="s">
        <v>92</v>
      </c>
      <c r="F37" s="62" t="s">
        <v>89</v>
      </c>
      <c r="G37" s="56">
        <v>42835</v>
      </c>
      <c r="H37" s="62">
        <v>5</v>
      </c>
      <c r="I37" s="62">
        <v>15632</v>
      </c>
      <c r="J37" s="62">
        <v>156000000</v>
      </c>
      <c r="L37" s="62">
        <v>1</v>
      </c>
      <c r="O37" s="62">
        <v>1</v>
      </c>
      <c r="P37" s="63">
        <f t="shared" si="0"/>
        <v>120</v>
      </c>
      <c r="Q37" s="64">
        <f t="shared" si="1"/>
        <v>65.13333333333334</v>
      </c>
      <c r="R37" s="64">
        <f t="shared" si="2"/>
        <v>37.19329833984375</v>
      </c>
      <c r="S37" s="64">
        <f t="shared" si="3"/>
        <v>18</v>
      </c>
      <c r="T37" s="64">
        <f t="shared" si="4"/>
        <v>15.19777777777778</v>
      </c>
      <c r="U37" s="64" t="str">
        <f t="shared" si="5"/>
        <v>&lt;35</v>
      </c>
      <c r="V37" s="64" t="str">
        <f t="shared" si="6"/>
        <v>31-40 Гб</v>
      </c>
    </row>
    <row r="38" spans="1:22" ht="15.75" customHeight="1" x14ac:dyDescent="0.25">
      <c r="A38" s="62" t="s">
        <v>129</v>
      </c>
      <c r="B38" s="56">
        <v>37988</v>
      </c>
      <c r="C38" s="62" t="s">
        <v>83</v>
      </c>
      <c r="D38" s="62" t="s">
        <v>84</v>
      </c>
      <c r="E38" s="62" t="s">
        <v>85</v>
      </c>
      <c r="F38" s="62" t="s">
        <v>89</v>
      </c>
      <c r="G38" s="56">
        <v>43364</v>
      </c>
      <c r="H38" s="62">
        <v>5</v>
      </c>
      <c r="I38" s="62">
        <v>12472</v>
      </c>
      <c r="J38" s="62">
        <v>160000000</v>
      </c>
      <c r="P38" s="63">
        <f t="shared" si="0"/>
        <v>120</v>
      </c>
      <c r="Q38" s="64">
        <f t="shared" si="1"/>
        <v>51.966666666666669</v>
      </c>
      <c r="R38" s="64">
        <f t="shared" si="2"/>
        <v>38.14697265625</v>
      </c>
      <c r="S38" s="64">
        <f t="shared" si="3"/>
        <v>18</v>
      </c>
      <c r="T38" s="64">
        <f t="shared" si="4"/>
        <v>12.125555555555556</v>
      </c>
      <c r="U38" s="64" t="str">
        <f t="shared" si="5"/>
        <v>&lt;35</v>
      </c>
      <c r="V38" s="64" t="str">
        <f t="shared" si="6"/>
        <v>31-40 Гб</v>
      </c>
    </row>
    <row r="39" spans="1:22" ht="15.75" customHeight="1" x14ac:dyDescent="0.25">
      <c r="A39" s="62" t="s">
        <v>130</v>
      </c>
      <c r="B39" s="56">
        <v>37986</v>
      </c>
      <c r="C39" s="62" t="s">
        <v>83</v>
      </c>
      <c r="D39" s="62" t="s">
        <v>84</v>
      </c>
      <c r="E39" s="62" t="s">
        <v>92</v>
      </c>
      <c r="F39" s="62" t="s">
        <v>100</v>
      </c>
      <c r="G39" s="56">
        <v>43030</v>
      </c>
      <c r="H39" s="62">
        <v>5</v>
      </c>
      <c r="I39" s="62">
        <v>49956</v>
      </c>
      <c r="J39" s="62">
        <v>124000000</v>
      </c>
      <c r="P39" s="63">
        <f t="shared" si="0"/>
        <v>120</v>
      </c>
      <c r="Q39" s="64">
        <f t="shared" si="1"/>
        <v>208.15</v>
      </c>
      <c r="R39" s="64">
        <f t="shared" si="2"/>
        <v>29.56390380859375</v>
      </c>
      <c r="S39" s="64">
        <f t="shared" si="3"/>
        <v>18</v>
      </c>
      <c r="T39" s="64">
        <f t="shared" si="4"/>
        <v>48.568333333333335</v>
      </c>
      <c r="U39" s="64" t="str">
        <f t="shared" si="5"/>
        <v>35-60</v>
      </c>
      <c r="V39" s="64" t="str">
        <f t="shared" si="6"/>
        <v>21-30 Гб</v>
      </c>
    </row>
    <row r="40" spans="1:22" ht="15.75" customHeight="1" x14ac:dyDescent="0.25">
      <c r="A40" s="62" t="s">
        <v>131</v>
      </c>
      <c r="B40" s="56">
        <v>37983</v>
      </c>
      <c r="C40" s="62" t="s">
        <v>88</v>
      </c>
      <c r="D40" s="62" t="s">
        <v>84</v>
      </c>
      <c r="E40" s="62" t="s">
        <v>85</v>
      </c>
      <c r="F40" s="62" t="s">
        <v>89</v>
      </c>
      <c r="G40" s="56">
        <v>44548</v>
      </c>
      <c r="H40" s="62">
        <v>4</v>
      </c>
      <c r="I40" s="62">
        <v>33520</v>
      </c>
      <c r="J40" s="62">
        <v>128000000</v>
      </c>
      <c r="P40" s="63">
        <f t="shared" si="0"/>
        <v>120</v>
      </c>
      <c r="Q40" s="64">
        <f t="shared" si="1"/>
        <v>139.66666666666666</v>
      </c>
      <c r="R40" s="64">
        <f t="shared" si="2"/>
        <v>30.517578125000004</v>
      </c>
      <c r="S40" s="64">
        <f t="shared" si="3"/>
        <v>18</v>
      </c>
      <c r="T40" s="64">
        <f t="shared" si="4"/>
        <v>32.588888888888889</v>
      </c>
      <c r="U40" s="64" t="str">
        <f t="shared" si="5"/>
        <v>&lt;35</v>
      </c>
      <c r="V40" s="64" t="str">
        <f t="shared" si="6"/>
        <v>31-40 Гб</v>
      </c>
    </row>
    <row r="41" spans="1:22" ht="15.75" customHeight="1" x14ac:dyDescent="0.25">
      <c r="A41" s="62" t="s">
        <v>132</v>
      </c>
      <c r="B41" s="56">
        <v>37972</v>
      </c>
      <c r="C41" s="62" t="s">
        <v>88</v>
      </c>
      <c r="D41" s="62" t="s">
        <v>84</v>
      </c>
      <c r="E41" s="62" t="s">
        <v>92</v>
      </c>
      <c r="F41" s="62" t="s">
        <v>100</v>
      </c>
      <c r="G41" s="56">
        <v>44468</v>
      </c>
      <c r="H41" s="62">
        <v>5</v>
      </c>
      <c r="I41" s="62">
        <v>92316</v>
      </c>
      <c r="J41" s="62">
        <v>120000000</v>
      </c>
      <c r="P41" s="63">
        <f t="shared" si="0"/>
        <v>120</v>
      </c>
      <c r="Q41" s="64">
        <f t="shared" si="1"/>
        <v>384.65</v>
      </c>
      <c r="R41" s="64">
        <f t="shared" si="2"/>
        <v>28.6102294921875</v>
      </c>
      <c r="S41" s="64">
        <f t="shared" si="3"/>
        <v>18</v>
      </c>
      <c r="T41" s="64">
        <f t="shared" si="4"/>
        <v>89.751666666666651</v>
      </c>
      <c r="U41" s="64" t="str">
        <f t="shared" si="5"/>
        <v>61-90</v>
      </c>
      <c r="V41" s="64" t="str">
        <f t="shared" si="6"/>
        <v>21-30 Гб</v>
      </c>
    </row>
    <row r="42" spans="1:22" ht="15.75" customHeight="1" x14ac:dyDescent="0.25">
      <c r="A42" s="62" t="s">
        <v>133</v>
      </c>
      <c r="B42" s="56">
        <v>37971</v>
      </c>
      <c r="C42" s="62" t="s">
        <v>83</v>
      </c>
      <c r="D42" s="62" t="s">
        <v>84</v>
      </c>
      <c r="E42" s="62" t="s">
        <v>85</v>
      </c>
      <c r="F42" s="62" t="s">
        <v>100</v>
      </c>
      <c r="G42" s="56">
        <v>44034</v>
      </c>
      <c r="H42" s="62">
        <v>5</v>
      </c>
      <c r="I42" s="62">
        <v>113816</v>
      </c>
      <c r="J42" s="62">
        <v>124000000</v>
      </c>
      <c r="P42" s="63">
        <f t="shared" si="0"/>
        <v>120</v>
      </c>
      <c r="Q42" s="64">
        <f t="shared" si="1"/>
        <v>474.23333333333335</v>
      </c>
      <c r="R42" s="64">
        <f t="shared" si="2"/>
        <v>29.56390380859375</v>
      </c>
      <c r="S42" s="64">
        <f t="shared" si="3"/>
        <v>18</v>
      </c>
      <c r="T42" s="64">
        <f t="shared" si="4"/>
        <v>110.65444444444444</v>
      </c>
      <c r="U42" s="64" t="str">
        <f t="shared" si="5"/>
        <v>91-120</v>
      </c>
      <c r="V42" s="64" t="str">
        <f t="shared" si="6"/>
        <v>21-30 Гб</v>
      </c>
    </row>
    <row r="43" spans="1:22" ht="15.75" customHeight="1" x14ac:dyDescent="0.25">
      <c r="A43" s="62" t="s">
        <v>134</v>
      </c>
      <c r="B43" s="56">
        <v>37965</v>
      </c>
      <c r="C43" s="62" t="s">
        <v>83</v>
      </c>
      <c r="D43" s="62" t="s">
        <v>84</v>
      </c>
      <c r="E43" s="62" t="s">
        <v>85</v>
      </c>
      <c r="F43" s="62" t="s">
        <v>96</v>
      </c>
      <c r="G43" s="56">
        <v>43507</v>
      </c>
      <c r="H43" s="62">
        <v>5</v>
      </c>
      <c r="I43" s="62">
        <v>79516</v>
      </c>
      <c r="J43" s="62">
        <v>104000000</v>
      </c>
      <c r="P43" s="63">
        <f t="shared" si="0"/>
        <v>120</v>
      </c>
      <c r="Q43" s="64">
        <f t="shared" si="1"/>
        <v>331.31666666666666</v>
      </c>
      <c r="R43" s="64">
        <f t="shared" si="2"/>
        <v>24.7955322265625</v>
      </c>
      <c r="S43" s="64">
        <f t="shared" si="3"/>
        <v>18</v>
      </c>
      <c r="T43" s="64">
        <f t="shared" si="4"/>
        <v>77.307222222222222</v>
      </c>
      <c r="U43" s="64" t="str">
        <f t="shared" si="5"/>
        <v>61-90</v>
      </c>
      <c r="V43" s="64" t="str">
        <f t="shared" si="6"/>
        <v>21-30 Гб</v>
      </c>
    </row>
    <row r="44" spans="1:22" ht="15.75" customHeight="1" x14ac:dyDescent="0.25">
      <c r="A44" s="62" t="s">
        <v>135</v>
      </c>
      <c r="B44" s="56">
        <v>37964</v>
      </c>
      <c r="C44" s="62" t="s">
        <v>88</v>
      </c>
      <c r="D44" s="62" t="s">
        <v>84</v>
      </c>
      <c r="E44" s="62" t="s">
        <v>85</v>
      </c>
      <c r="F44" s="62" t="s">
        <v>96</v>
      </c>
      <c r="G44" s="56">
        <v>43036</v>
      </c>
      <c r="H44" s="62">
        <v>5</v>
      </c>
      <c r="I44" s="62">
        <v>81600</v>
      </c>
      <c r="J44" s="62">
        <v>40000000</v>
      </c>
      <c r="P44" s="63">
        <f t="shared" si="0"/>
        <v>120</v>
      </c>
      <c r="Q44" s="64">
        <f t="shared" si="1"/>
        <v>340</v>
      </c>
      <c r="R44" s="64">
        <f t="shared" si="2"/>
        <v>9.5367431640625</v>
      </c>
      <c r="S44" s="64">
        <f t="shared" si="3"/>
        <v>18</v>
      </c>
      <c r="T44" s="64">
        <f t="shared" si="4"/>
        <v>79.333333333333329</v>
      </c>
      <c r="U44" s="64" t="str">
        <f t="shared" si="5"/>
        <v>61-90</v>
      </c>
      <c r="V44" s="64" t="str">
        <f t="shared" si="6"/>
        <v>&lt;10 Гб</v>
      </c>
    </row>
    <row r="45" spans="1:22" ht="15.75" customHeight="1" x14ac:dyDescent="0.25">
      <c r="A45" s="62" t="s">
        <v>136</v>
      </c>
      <c r="B45" s="56">
        <v>37961</v>
      </c>
      <c r="C45" s="62" t="s">
        <v>83</v>
      </c>
      <c r="D45" s="62" t="s">
        <v>84</v>
      </c>
      <c r="E45" s="62" t="s">
        <v>85</v>
      </c>
      <c r="F45" s="62" t="s">
        <v>89</v>
      </c>
      <c r="G45" s="56">
        <v>44569</v>
      </c>
      <c r="H45" s="62">
        <v>3</v>
      </c>
      <c r="I45" s="62">
        <v>33900</v>
      </c>
      <c r="J45" s="62">
        <v>113000000</v>
      </c>
      <c r="N45" s="62">
        <v>1</v>
      </c>
      <c r="P45" s="63">
        <f t="shared" si="0"/>
        <v>113</v>
      </c>
      <c r="Q45" s="64">
        <f t="shared" si="1"/>
        <v>150</v>
      </c>
      <c r="R45" s="64">
        <f t="shared" si="2"/>
        <v>28.6102294921875</v>
      </c>
      <c r="S45" s="64">
        <f t="shared" si="3"/>
        <v>18</v>
      </c>
      <c r="T45" s="64">
        <f t="shared" si="4"/>
        <v>35</v>
      </c>
      <c r="U45" s="64" t="str">
        <f t="shared" si="5"/>
        <v>&lt;35</v>
      </c>
      <c r="V45" s="64" t="str">
        <f t="shared" si="6"/>
        <v>21-30 Гб</v>
      </c>
    </row>
    <row r="46" spans="1:22" ht="15.75" customHeight="1" x14ac:dyDescent="0.25">
      <c r="A46" s="62" t="s">
        <v>137</v>
      </c>
      <c r="B46" s="56">
        <v>37959</v>
      </c>
      <c r="C46" s="62" t="s">
        <v>88</v>
      </c>
      <c r="D46" s="62" t="s">
        <v>84</v>
      </c>
      <c r="E46" s="62" t="s">
        <v>92</v>
      </c>
      <c r="F46" s="62" t="s">
        <v>96</v>
      </c>
      <c r="G46" s="56">
        <v>44354</v>
      </c>
      <c r="H46" s="62">
        <v>5</v>
      </c>
      <c r="I46" s="62">
        <v>65820</v>
      </c>
      <c r="J46" s="62">
        <v>48000000</v>
      </c>
      <c r="M46" s="62">
        <v>1</v>
      </c>
      <c r="P46" s="63">
        <f t="shared" si="0"/>
        <v>120</v>
      </c>
      <c r="Q46" s="64">
        <f t="shared" si="1"/>
        <v>274.25</v>
      </c>
      <c r="R46" s="64">
        <f t="shared" si="2"/>
        <v>11.444091796875</v>
      </c>
      <c r="S46" s="64">
        <f t="shared" si="3"/>
        <v>18</v>
      </c>
      <c r="T46" s="64">
        <f t="shared" si="4"/>
        <v>63.991666666666667</v>
      </c>
      <c r="U46" s="64" t="str">
        <f t="shared" si="5"/>
        <v>61-90</v>
      </c>
      <c r="V46" s="64" t="str">
        <f t="shared" si="6"/>
        <v>10-20 Гб</v>
      </c>
    </row>
    <row r="47" spans="1:22" ht="15.75" customHeight="1" x14ac:dyDescent="0.25">
      <c r="A47" s="62" t="s">
        <v>138</v>
      </c>
      <c r="B47" s="56">
        <v>37957</v>
      </c>
      <c r="C47" s="62" t="s">
        <v>83</v>
      </c>
      <c r="D47" s="62" t="s">
        <v>84</v>
      </c>
      <c r="E47" s="62" t="s">
        <v>92</v>
      </c>
      <c r="F47" s="62" t="s">
        <v>96</v>
      </c>
      <c r="G47" s="56">
        <v>44077</v>
      </c>
      <c r="H47" s="62">
        <v>5</v>
      </c>
      <c r="I47" s="62">
        <v>15100</v>
      </c>
      <c r="J47" s="62">
        <v>88000000</v>
      </c>
      <c r="K47" s="62">
        <v>1</v>
      </c>
      <c r="L47" s="62">
        <v>1</v>
      </c>
      <c r="P47" s="63">
        <f t="shared" si="0"/>
        <v>120</v>
      </c>
      <c r="Q47" s="64">
        <f t="shared" si="1"/>
        <v>62.916666666666671</v>
      </c>
      <c r="R47" s="64">
        <f t="shared" si="2"/>
        <v>20.9808349609375</v>
      </c>
      <c r="S47" s="64">
        <f t="shared" si="3"/>
        <v>18</v>
      </c>
      <c r="T47" s="64">
        <f t="shared" si="4"/>
        <v>14.680555555555555</v>
      </c>
      <c r="U47" s="64" t="str">
        <f t="shared" si="5"/>
        <v>&lt;35</v>
      </c>
      <c r="V47" s="64" t="str">
        <f t="shared" si="6"/>
        <v>21-30 Гб</v>
      </c>
    </row>
    <row r="48" spans="1:22" ht="15.75" customHeight="1" x14ac:dyDescent="0.25">
      <c r="A48" s="62" t="s">
        <v>139</v>
      </c>
      <c r="B48" s="56">
        <v>37953</v>
      </c>
      <c r="C48" s="62" t="s">
        <v>83</v>
      </c>
      <c r="D48" s="62" t="s">
        <v>84</v>
      </c>
      <c r="E48" s="62" t="s">
        <v>85</v>
      </c>
      <c r="F48" s="62" t="s">
        <v>96</v>
      </c>
      <c r="G48" s="56">
        <v>44579</v>
      </c>
      <c r="H48" s="62">
        <v>3</v>
      </c>
      <c r="I48" s="62">
        <v>63515</v>
      </c>
      <c r="J48" s="62">
        <v>92700000</v>
      </c>
      <c r="P48" s="63">
        <f t="shared" si="0"/>
        <v>103</v>
      </c>
      <c r="Q48" s="64">
        <f t="shared" si="1"/>
        <v>308.32524271844659</v>
      </c>
      <c r="R48" s="64">
        <f t="shared" si="2"/>
        <v>25.74920654296875</v>
      </c>
      <c r="S48" s="64">
        <f t="shared" si="3"/>
        <v>18</v>
      </c>
      <c r="T48" s="64">
        <f t="shared" si="4"/>
        <v>71.942556634304211</v>
      </c>
      <c r="U48" s="64" t="str">
        <f t="shared" si="5"/>
        <v>61-90</v>
      </c>
      <c r="V48" s="64" t="str">
        <f t="shared" si="6"/>
        <v>21-30 Гб</v>
      </c>
    </row>
    <row r="49" spans="1:22" ht="15.75" customHeight="1" x14ac:dyDescent="0.25">
      <c r="A49" s="62" t="s">
        <v>140</v>
      </c>
      <c r="B49" s="56">
        <v>37948</v>
      </c>
      <c r="C49" s="62" t="s">
        <v>83</v>
      </c>
      <c r="D49" s="62" t="s">
        <v>84</v>
      </c>
      <c r="E49" s="62" t="s">
        <v>85</v>
      </c>
      <c r="F49" s="62" t="s">
        <v>96</v>
      </c>
      <c r="G49" s="56">
        <v>44124</v>
      </c>
      <c r="H49" s="62">
        <v>5</v>
      </c>
      <c r="I49" s="62">
        <v>15172</v>
      </c>
      <c r="J49" s="62">
        <v>24000000</v>
      </c>
      <c r="K49" s="62">
        <v>1</v>
      </c>
      <c r="L49" s="62">
        <v>1</v>
      </c>
      <c r="O49" s="62">
        <v>1</v>
      </c>
      <c r="P49" s="63">
        <f t="shared" si="0"/>
        <v>120</v>
      </c>
      <c r="Q49" s="64">
        <f t="shared" si="1"/>
        <v>63.216666666666661</v>
      </c>
      <c r="R49" s="64">
        <f t="shared" si="2"/>
        <v>5.7220458984375</v>
      </c>
      <c r="S49" s="64">
        <f t="shared" si="3"/>
        <v>18</v>
      </c>
      <c r="T49" s="64">
        <f t="shared" si="4"/>
        <v>14.750555555555556</v>
      </c>
      <c r="U49" s="64" t="str">
        <f t="shared" si="5"/>
        <v>&lt;35</v>
      </c>
      <c r="V49" s="64" t="str">
        <f t="shared" si="6"/>
        <v>&lt;10 Гб</v>
      </c>
    </row>
    <row r="50" spans="1:22" ht="15.75" customHeight="1" x14ac:dyDescent="0.25">
      <c r="A50" s="62" t="s">
        <v>141</v>
      </c>
      <c r="B50" s="56">
        <v>37939</v>
      </c>
      <c r="C50" s="62" t="s">
        <v>88</v>
      </c>
      <c r="D50" s="62" t="s">
        <v>84</v>
      </c>
      <c r="E50" s="62" t="s">
        <v>85</v>
      </c>
      <c r="F50" s="62" t="s">
        <v>100</v>
      </c>
      <c r="G50" s="56">
        <v>44168</v>
      </c>
      <c r="H50" s="62">
        <v>5</v>
      </c>
      <c r="I50" s="62">
        <v>65924</v>
      </c>
      <c r="J50" s="62">
        <v>112000000</v>
      </c>
      <c r="P50" s="63">
        <f t="shared" si="0"/>
        <v>120</v>
      </c>
      <c r="Q50" s="64">
        <f t="shared" si="1"/>
        <v>274.68333333333334</v>
      </c>
      <c r="R50" s="64">
        <f t="shared" si="2"/>
        <v>26.702880859375</v>
      </c>
      <c r="S50" s="64">
        <f t="shared" si="3"/>
        <v>18</v>
      </c>
      <c r="T50" s="64">
        <f t="shared" si="4"/>
        <v>64.092777777777783</v>
      </c>
      <c r="U50" s="64" t="str">
        <f t="shared" si="5"/>
        <v>61-90</v>
      </c>
      <c r="V50" s="64" t="str">
        <f t="shared" si="6"/>
        <v>21-30 Гб</v>
      </c>
    </row>
    <row r="51" spans="1:22" ht="15.75" customHeight="1" x14ac:dyDescent="0.25">
      <c r="A51" s="62" t="s">
        <v>142</v>
      </c>
      <c r="B51" s="56">
        <v>37936</v>
      </c>
      <c r="C51" s="62" t="s">
        <v>88</v>
      </c>
      <c r="D51" s="62" t="s">
        <v>84</v>
      </c>
      <c r="E51" s="62" t="s">
        <v>85</v>
      </c>
      <c r="F51" s="62" t="s">
        <v>100</v>
      </c>
      <c r="G51" s="56">
        <v>42893</v>
      </c>
      <c r="H51" s="62">
        <v>5</v>
      </c>
      <c r="I51" s="62">
        <v>54552</v>
      </c>
      <c r="J51" s="62">
        <v>40000000</v>
      </c>
      <c r="L51" s="62">
        <v>1</v>
      </c>
      <c r="N51" s="62">
        <v>1</v>
      </c>
      <c r="P51" s="63">
        <f t="shared" si="0"/>
        <v>120</v>
      </c>
      <c r="Q51" s="64">
        <f t="shared" si="1"/>
        <v>227.3</v>
      </c>
      <c r="R51" s="64">
        <f t="shared" si="2"/>
        <v>9.5367431640625</v>
      </c>
      <c r="S51" s="64">
        <f t="shared" si="3"/>
        <v>18</v>
      </c>
      <c r="T51" s="64">
        <f t="shared" si="4"/>
        <v>53.036666666666669</v>
      </c>
      <c r="U51" s="64" t="str">
        <f t="shared" si="5"/>
        <v>35-60</v>
      </c>
      <c r="V51" s="64" t="str">
        <f t="shared" si="6"/>
        <v>&lt;10 Гб</v>
      </c>
    </row>
    <row r="52" spans="1:22" ht="15.75" customHeight="1" x14ac:dyDescent="0.25">
      <c r="A52" s="62" t="s">
        <v>143</v>
      </c>
      <c r="B52" s="56">
        <v>37935</v>
      </c>
      <c r="C52" s="62" t="s">
        <v>88</v>
      </c>
      <c r="D52" s="62" t="s">
        <v>84</v>
      </c>
      <c r="E52" s="62" t="s">
        <v>92</v>
      </c>
      <c r="F52" s="62" t="s">
        <v>96</v>
      </c>
      <c r="G52" s="56">
        <v>43113</v>
      </c>
      <c r="H52" s="62">
        <v>5</v>
      </c>
      <c r="I52" s="62">
        <v>82580</v>
      </c>
      <c r="J52" s="62">
        <v>68000000</v>
      </c>
      <c r="P52" s="63">
        <f t="shared" si="0"/>
        <v>120</v>
      </c>
      <c r="Q52" s="64">
        <f t="shared" si="1"/>
        <v>344.08333333333331</v>
      </c>
      <c r="R52" s="64">
        <f t="shared" si="2"/>
        <v>16.21246337890625</v>
      </c>
      <c r="S52" s="64">
        <f t="shared" si="3"/>
        <v>18</v>
      </c>
      <c r="T52" s="64">
        <f t="shared" si="4"/>
        <v>80.286111111111097</v>
      </c>
      <c r="U52" s="64" t="str">
        <f t="shared" si="5"/>
        <v>61-90</v>
      </c>
      <c r="V52" s="64" t="str">
        <f t="shared" si="6"/>
        <v>10-20 Гб</v>
      </c>
    </row>
    <row r="53" spans="1:22" ht="15.75" customHeight="1" x14ac:dyDescent="0.25">
      <c r="A53" s="62" t="s">
        <v>144</v>
      </c>
      <c r="B53" s="56">
        <v>37930</v>
      </c>
      <c r="C53" s="62" t="s">
        <v>88</v>
      </c>
      <c r="D53" s="62" t="s">
        <v>84</v>
      </c>
      <c r="E53" s="62" t="s">
        <v>85</v>
      </c>
      <c r="F53" s="62" t="s">
        <v>89</v>
      </c>
      <c r="G53" s="56">
        <v>44416</v>
      </c>
      <c r="H53" s="62">
        <v>5</v>
      </c>
      <c r="I53" s="62">
        <v>13648</v>
      </c>
      <c r="J53" s="62">
        <v>140000000</v>
      </c>
      <c r="K53" s="62">
        <v>1</v>
      </c>
      <c r="L53" s="62">
        <v>1</v>
      </c>
      <c r="M53" s="62">
        <v>1</v>
      </c>
      <c r="O53" s="62">
        <v>1</v>
      </c>
      <c r="P53" s="63">
        <f t="shared" si="0"/>
        <v>120</v>
      </c>
      <c r="Q53" s="64">
        <f t="shared" si="1"/>
        <v>56.866666666666667</v>
      </c>
      <c r="R53" s="64">
        <f t="shared" si="2"/>
        <v>33.37860107421875</v>
      </c>
      <c r="S53" s="64">
        <f t="shared" si="3"/>
        <v>18</v>
      </c>
      <c r="T53" s="64">
        <f t="shared" si="4"/>
        <v>13.268888888888888</v>
      </c>
      <c r="U53" s="64" t="str">
        <f t="shared" si="5"/>
        <v>&lt;35</v>
      </c>
      <c r="V53" s="64" t="str">
        <f t="shared" si="6"/>
        <v>31-40 Гб</v>
      </c>
    </row>
    <row r="54" spans="1:22" ht="15.75" customHeight="1" x14ac:dyDescent="0.25">
      <c r="A54" s="62" t="s">
        <v>145</v>
      </c>
      <c r="B54" s="56">
        <v>37928</v>
      </c>
      <c r="C54" s="62" t="s">
        <v>83</v>
      </c>
      <c r="D54" s="62" t="s">
        <v>84</v>
      </c>
      <c r="E54" s="62" t="s">
        <v>85</v>
      </c>
      <c r="F54" s="62" t="s">
        <v>96</v>
      </c>
      <c r="G54" s="56">
        <v>44324</v>
      </c>
      <c r="H54" s="62">
        <v>5</v>
      </c>
      <c r="I54" s="62">
        <v>25956</v>
      </c>
      <c r="J54" s="62">
        <v>48000000</v>
      </c>
      <c r="K54" s="62">
        <v>1</v>
      </c>
      <c r="P54" s="63">
        <f t="shared" si="0"/>
        <v>120</v>
      </c>
      <c r="Q54" s="64">
        <f t="shared" si="1"/>
        <v>108.15</v>
      </c>
      <c r="R54" s="64">
        <f t="shared" si="2"/>
        <v>11.444091796875</v>
      </c>
      <c r="S54" s="64">
        <f t="shared" si="3"/>
        <v>18</v>
      </c>
      <c r="T54" s="64">
        <f t="shared" si="4"/>
        <v>25.235000000000003</v>
      </c>
      <c r="U54" s="64" t="str">
        <f t="shared" si="5"/>
        <v>&lt;35</v>
      </c>
      <c r="V54" s="64" t="str">
        <f t="shared" si="6"/>
        <v>10-20 Гб</v>
      </c>
    </row>
    <row r="55" spans="1:22" ht="15.75" customHeight="1" x14ac:dyDescent="0.25">
      <c r="A55" s="62" t="s">
        <v>146</v>
      </c>
      <c r="B55" s="56">
        <v>37911</v>
      </c>
      <c r="C55" s="62" t="s">
        <v>83</v>
      </c>
      <c r="D55" s="62" t="s">
        <v>84</v>
      </c>
      <c r="E55" s="62" t="s">
        <v>92</v>
      </c>
      <c r="F55" s="62" t="s">
        <v>89</v>
      </c>
      <c r="G55" s="56">
        <v>44564</v>
      </c>
      <c r="H55" s="62">
        <v>3</v>
      </c>
      <c r="I55" s="62">
        <v>35400</v>
      </c>
      <c r="J55" s="62">
        <v>145533333</v>
      </c>
      <c r="K55" s="62">
        <v>1</v>
      </c>
      <c r="L55" s="62">
        <v>1</v>
      </c>
      <c r="O55" s="62">
        <v>1</v>
      </c>
      <c r="P55" s="63">
        <f t="shared" si="0"/>
        <v>118</v>
      </c>
      <c r="Q55" s="64">
        <f t="shared" si="1"/>
        <v>150</v>
      </c>
      <c r="R55" s="64">
        <f t="shared" si="2"/>
        <v>35.285949626211391</v>
      </c>
      <c r="S55" s="64">
        <f t="shared" si="3"/>
        <v>18</v>
      </c>
      <c r="T55" s="64">
        <f t="shared" si="4"/>
        <v>35</v>
      </c>
      <c r="U55" s="64" t="str">
        <f t="shared" si="5"/>
        <v>&lt;35</v>
      </c>
      <c r="V55" s="64" t="str">
        <f t="shared" si="6"/>
        <v>31-40 Гб</v>
      </c>
    </row>
    <row r="56" spans="1:22" ht="15.75" customHeight="1" x14ac:dyDescent="0.25">
      <c r="A56" s="62" t="s">
        <v>147</v>
      </c>
      <c r="B56" s="56">
        <v>37908</v>
      </c>
      <c r="C56" s="62" t="s">
        <v>83</v>
      </c>
      <c r="D56" s="62" t="s">
        <v>84</v>
      </c>
      <c r="E56" s="62" t="s">
        <v>92</v>
      </c>
      <c r="F56" s="62" t="s">
        <v>96</v>
      </c>
      <c r="G56" s="56">
        <v>42826</v>
      </c>
      <c r="H56" s="62">
        <v>5</v>
      </c>
      <c r="I56" s="62">
        <v>88616</v>
      </c>
      <c r="J56" s="62">
        <v>36000000</v>
      </c>
      <c r="P56" s="63">
        <f t="shared" si="0"/>
        <v>120</v>
      </c>
      <c r="Q56" s="64">
        <f t="shared" si="1"/>
        <v>369.23333333333335</v>
      </c>
      <c r="R56" s="64">
        <f t="shared" si="2"/>
        <v>8.58306884765625</v>
      </c>
      <c r="S56" s="64">
        <f t="shared" si="3"/>
        <v>18</v>
      </c>
      <c r="T56" s="64">
        <f t="shared" si="4"/>
        <v>86.154444444444437</v>
      </c>
      <c r="U56" s="64" t="str">
        <f t="shared" si="5"/>
        <v>61-90</v>
      </c>
      <c r="V56" s="64" t="str">
        <f t="shared" si="6"/>
        <v>&lt;10 Гб</v>
      </c>
    </row>
    <row r="57" spans="1:22" ht="15.75" customHeight="1" x14ac:dyDescent="0.25">
      <c r="A57" s="62" t="s">
        <v>148</v>
      </c>
      <c r="B57" s="56">
        <v>37908</v>
      </c>
      <c r="C57" s="62" t="s">
        <v>88</v>
      </c>
      <c r="D57" s="62" t="s">
        <v>84</v>
      </c>
      <c r="E57" s="62" t="s">
        <v>85</v>
      </c>
      <c r="F57" s="62" t="s">
        <v>89</v>
      </c>
      <c r="G57" s="56">
        <v>44070</v>
      </c>
      <c r="H57" s="62">
        <v>5</v>
      </c>
      <c r="I57" s="62">
        <v>35948</v>
      </c>
      <c r="J57" s="62">
        <v>136000000</v>
      </c>
      <c r="K57" s="62">
        <v>1</v>
      </c>
      <c r="L57" s="62">
        <v>1</v>
      </c>
      <c r="P57" s="63">
        <f t="shared" si="0"/>
        <v>120</v>
      </c>
      <c r="Q57" s="64">
        <f t="shared" si="1"/>
        <v>149.78333333333333</v>
      </c>
      <c r="R57" s="64">
        <f t="shared" si="2"/>
        <v>32.4249267578125</v>
      </c>
      <c r="S57" s="64">
        <f t="shared" si="3"/>
        <v>18</v>
      </c>
      <c r="T57" s="64">
        <f t="shared" si="4"/>
        <v>34.949444444444445</v>
      </c>
      <c r="U57" s="64" t="str">
        <f t="shared" si="5"/>
        <v>&lt;35</v>
      </c>
      <c r="V57" s="64" t="str">
        <f t="shared" si="6"/>
        <v>31-40 Гб</v>
      </c>
    </row>
    <row r="58" spans="1:22" ht="15.75" customHeight="1" x14ac:dyDescent="0.25">
      <c r="A58" s="62" t="s">
        <v>149</v>
      </c>
      <c r="B58" s="56">
        <v>37894</v>
      </c>
      <c r="C58" s="62" t="s">
        <v>88</v>
      </c>
      <c r="D58" s="62" t="s">
        <v>84</v>
      </c>
      <c r="E58" s="62" t="s">
        <v>85</v>
      </c>
      <c r="F58" s="62" t="s">
        <v>96</v>
      </c>
      <c r="G58" s="56">
        <v>42924</v>
      </c>
      <c r="H58" s="62">
        <v>5</v>
      </c>
      <c r="I58" s="62">
        <v>11336</v>
      </c>
      <c r="J58" s="62">
        <v>68000000</v>
      </c>
      <c r="P58" s="63">
        <f t="shared" si="0"/>
        <v>120</v>
      </c>
      <c r="Q58" s="64">
        <f t="shared" si="1"/>
        <v>47.233333333333334</v>
      </c>
      <c r="R58" s="64">
        <f t="shared" si="2"/>
        <v>16.21246337890625</v>
      </c>
      <c r="S58" s="64">
        <f t="shared" si="3"/>
        <v>18</v>
      </c>
      <c r="T58" s="64">
        <f t="shared" si="4"/>
        <v>11.021111111111111</v>
      </c>
      <c r="U58" s="64" t="str">
        <f t="shared" si="5"/>
        <v>&lt;35</v>
      </c>
      <c r="V58" s="64" t="str">
        <f t="shared" si="6"/>
        <v>10-20 Гб</v>
      </c>
    </row>
    <row r="59" spans="1:22" ht="15.75" customHeight="1" x14ac:dyDescent="0.25">
      <c r="A59" s="62" t="s">
        <v>150</v>
      </c>
      <c r="B59" s="56">
        <v>37893</v>
      </c>
      <c r="C59" s="62" t="s">
        <v>88</v>
      </c>
      <c r="D59" s="62" t="s">
        <v>84</v>
      </c>
      <c r="E59" s="62" t="s">
        <v>92</v>
      </c>
      <c r="F59" s="62" t="s">
        <v>100</v>
      </c>
      <c r="G59" s="56">
        <v>42753</v>
      </c>
      <c r="H59" s="62">
        <v>5</v>
      </c>
      <c r="I59" s="62">
        <v>107040</v>
      </c>
      <c r="J59" s="62">
        <v>56000000</v>
      </c>
      <c r="P59" s="63">
        <f t="shared" si="0"/>
        <v>120</v>
      </c>
      <c r="Q59" s="64">
        <f t="shared" si="1"/>
        <v>446</v>
      </c>
      <c r="R59" s="64">
        <f t="shared" si="2"/>
        <v>13.3514404296875</v>
      </c>
      <c r="S59" s="64">
        <f t="shared" si="3"/>
        <v>18</v>
      </c>
      <c r="T59" s="64">
        <f t="shared" si="4"/>
        <v>104.06666666666666</v>
      </c>
      <c r="U59" s="64" t="str">
        <f t="shared" si="5"/>
        <v>91-120</v>
      </c>
      <c r="V59" s="64" t="str">
        <f t="shared" si="6"/>
        <v>10-20 Гб</v>
      </c>
    </row>
    <row r="60" spans="1:22" ht="15.75" customHeight="1" x14ac:dyDescent="0.25">
      <c r="A60" s="62" t="s">
        <v>151</v>
      </c>
      <c r="B60" s="56">
        <v>37893</v>
      </c>
      <c r="C60" s="62" t="s">
        <v>83</v>
      </c>
      <c r="D60" s="62" t="s">
        <v>84</v>
      </c>
      <c r="E60" s="62" t="s">
        <v>85</v>
      </c>
      <c r="F60" s="62" t="s">
        <v>96</v>
      </c>
      <c r="G60" s="56">
        <v>43933</v>
      </c>
      <c r="H60" s="62">
        <v>5</v>
      </c>
      <c r="I60" s="62">
        <v>67860</v>
      </c>
      <c r="J60" s="62">
        <v>0</v>
      </c>
      <c r="P60" s="63">
        <f t="shared" si="0"/>
        <v>120</v>
      </c>
      <c r="Q60" s="64">
        <f t="shared" si="1"/>
        <v>282.75</v>
      </c>
      <c r="R60" s="64">
        <f t="shared" si="2"/>
        <v>0</v>
      </c>
      <c r="S60" s="64">
        <f t="shared" si="3"/>
        <v>18</v>
      </c>
      <c r="T60" s="64">
        <f t="shared" si="4"/>
        <v>65.974999999999994</v>
      </c>
      <c r="U60" s="64" t="str">
        <f t="shared" si="5"/>
        <v>61-90</v>
      </c>
      <c r="V60" s="64" t="str">
        <f t="shared" si="6"/>
        <v>&lt;10 Гб</v>
      </c>
    </row>
    <row r="61" spans="1:22" ht="15.75" customHeight="1" x14ac:dyDescent="0.25">
      <c r="A61" s="62" t="s">
        <v>152</v>
      </c>
      <c r="B61" s="56">
        <v>37892</v>
      </c>
      <c r="C61" s="62" t="s">
        <v>83</v>
      </c>
      <c r="D61" s="62" t="s">
        <v>84</v>
      </c>
      <c r="E61" s="62" t="s">
        <v>92</v>
      </c>
      <c r="F61" s="62" t="s">
        <v>100</v>
      </c>
      <c r="G61" s="56">
        <v>43268</v>
      </c>
      <c r="H61" s="62">
        <v>5</v>
      </c>
      <c r="I61" s="62">
        <v>38044</v>
      </c>
      <c r="J61" s="62">
        <v>140000000</v>
      </c>
      <c r="N61" s="62">
        <v>1</v>
      </c>
      <c r="P61" s="63">
        <f t="shared" si="0"/>
        <v>120</v>
      </c>
      <c r="Q61" s="64">
        <f t="shared" si="1"/>
        <v>158.51666666666668</v>
      </c>
      <c r="R61" s="64">
        <f t="shared" si="2"/>
        <v>33.37860107421875</v>
      </c>
      <c r="S61" s="64">
        <f t="shared" si="3"/>
        <v>18</v>
      </c>
      <c r="T61" s="64">
        <f t="shared" si="4"/>
        <v>36.987222222222229</v>
      </c>
      <c r="U61" s="64" t="str">
        <f t="shared" si="5"/>
        <v>35-60</v>
      </c>
      <c r="V61" s="64" t="str">
        <f t="shared" si="6"/>
        <v>31-40 Гб</v>
      </c>
    </row>
    <row r="62" spans="1:22" ht="15.75" customHeight="1" x14ac:dyDescent="0.25">
      <c r="A62" s="62" t="s">
        <v>153</v>
      </c>
      <c r="B62" s="56">
        <v>37886</v>
      </c>
      <c r="C62" s="62" t="s">
        <v>83</v>
      </c>
      <c r="D62" s="62" t="s">
        <v>84</v>
      </c>
      <c r="E62" s="62" t="s">
        <v>92</v>
      </c>
      <c r="F62" s="62" t="s">
        <v>89</v>
      </c>
      <c r="G62" s="56">
        <v>44290</v>
      </c>
      <c r="H62" s="62">
        <v>5</v>
      </c>
      <c r="I62" s="62">
        <v>18028</v>
      </c>
      <c r="J62" s="62">
        <v>148000000</v>
      </c>
      <c r="P62" s="63">
        <f t="shared" si="0"/>
        <v>120</v>
      </c>
      <c r="Q62" s="64">
        <f t="shared" si="1"/>
        <v>75.11666666666666</v>
      </c>
      <c r="R62" s="64">
        <f t="shared" si="2"/>
        <v>35.28594970703125</v>
      </c>
      <c r="S62" s="64">
        <f t="shared" si="3"/>
        <v>18</v>
      </c>
      <c r="T62" s="64">
        <f t="shared" si="4"/>
        <v>17.527222222222221</v>
      </c>
      <c r="U62" s="64" t="str">
        <f t="shared" si="5"/>
        <v>&lt;35</v>
      </c>
      <c r="V62" s="64" t="str">
        <f t="shared" si="6"/>
        <v>31-40 Гб</v>
      </c>
    </row>
    <row r="63" spans="1:22" ht="15.75" customHeight="1" x14ac:dyDescent="0.25">
      <c r="A63" s="62" t="s">
        <v>154</v>
      </c>
      <c r="B63" s="56">
        <v>37883</v>
      </c>
      <c r="C63" s="62" t="s">
        <v>83</v>
      </c>
      <c r="D63" s="62" t="s">
        <v>84</v>
      </c>
      <c r="E63" s="62" t="s">
        <v>92</v>
      </c>
      <c r="F63" s="62" t="s">
        <v>96</v>
      </c>
      <c r="G63" s="56">
        <v>44427</v>
      </c>
      <c r="H63" s="62">
        <v>5</v>
      </c>
      <c r="I63" s="62">
        <v>22428</v>
      </c>
      <c r="J63" s="62">
        <v>112000000</v>
      </c>
      <c r="K63" s="62">
        <v>1</v>
      </c>
      <c r="L63" s="62">
        <v>1</v>
      </c>
      <c r="O63" s="62">
        <v>1</v>
      </c>
      <c r="P63" s="63">
        <f t="shared" si="0"/>
        <v>120</v>
      </c>
      <c r="Q63" s="64">
        <f t="shared" si="1"/>
        <v>93.45</v>
      </c>
      <c r="R63" s="64">
        <f t="shared" si="2"/>
        <v>26.702880859375</v>
      </c>
      <c r="S63" s="64">
        <f t="shared" si="3"/>
        <v>18</v>
      </c>
      <c r="T63" s="64">
        <f t="shared" si="4"/>
        <v>21.805</v>
      </c>
      <c r="U63" s="64" t="str">
        <f t="shared" si="5"/>
        <v>&lt;35</v>
      </c>
      <c r="V63" s="64" t="str">
        <f t="shared" si="6"/>
        <v>21-30 Гб</v>
      </c>
    </row>
    <row r="64" spans="1:22" ht="15.75" customHeight="1" x14ac:dyDescent="0.25">
      <c r="A64" s="62" t="s">
        <v>155</v>
      </c>
      <c r="B64" s="56">
        <v>37877</v>
      </c>
      <c r="C64" s="62" t="s">
        <v>83</v>
      </c>
      <c r="D64" s="62" t="s">
        <v>84</v>
      </c>
      <c r="E64" s="62" t="s">
        <v>92</v>
      </c>
      <c r="F64" s="62" t="s">
        <v>89</v>
      </c>
      <c r="G64" s="56">
        <v>43101</v>
      </c>
      <c r="H64" s="62">
        <v>5</v>
      </c>
      <c r="I64" s="62">
        <v>1400</v>
      </c>
      <c r="J64" s="62">
        <v>152000000</v>
      </c>
      <c r="M64" s="62">
        <v>1</v>
      </c>
      <c r="P64" s="63">
        <f t="shared" si="0"/>
        <v>120</v>
      </c>
      <c r="Q64" s="64">
        <f t="shared" si="1"/>
        <v>5.833333333333333</v>
      </c>
      <c r="R64" s="64">
        <f t="shared" si="2"/>
        <v>36.2396240234375</v>
      </c>
      <c r="S64" s="64">
        <f t="shared" si="3"/>
        <v>18</v>
      </c>
      <c r="T64" s="64">
        <f t="shared" si="4"/>
        <v>1.3611111111111109</v>
      </c>
      <c r="U64" s="64" t="str">
        <f t="shared" si="5"/>
        <v>&lt;35</v>
      </c>
      <c r="V64" s="64" t="str">
        <f t="shared" si="6"/>
        <v>31-40 Гб</v>
      </c>
    </row>
    <row r="65" spans="1:22" ht="15.75" customHeight="1" x14ac:dyDescent="0.25">
      <c r="A65" s="62" t="s">
        <v>156</v>
      </c>
      <c r="B65" s="56">
        <v>37870</v>
      </c>
      <c r="C65" s="62" t="s">
        <v>83</v>
      </c>
      <c r="D65" s="62" t="s">
        <v>84</v>
      </c>
      <c r="E65" s="62" t="s">
        <v>85</v>
      </c>
      <c r="F65" s="62" t="s">
        <v>100</v>
      </c>
      <c r="G65" s="56">
        <v>43420</v>
      </c>
      <c r="H65" s="62">
        <v>5</v>
      </c>
      <c r="I65" s="62">
        <v>85616</v>
      </c>
      <c r="J65" s="62">
        <v>120000000</v>
      </c>
      <c r="K65" s="62">
        <v>1</v>
      </c>
      <c r="P65" s="63">
        <f t="shared" si="0"/>
        <v>120</v>
      </c>
      <c r="Q65" s="64">
        <f t="shared" si="1"/>
        <v>356.73333333333335</v>
      </c>
      <c r="R65" s="64">
        <f t="shared" si="2"/>
        <v>28.6102294921875</v>
      </c>
      <c r="S65" s="64">
        <f t="shared" si="3"/>
        <v>18</v>
      </c>
      <c r="T65" s="64">
        <f t="shared" si="4"/>
        <v>83.237777777777779</v>
      </c>
      <c r="U65" s="64" t="str">
        <f t="shared" si="5"/>
        <v>61-90</v>
      </c>
      <c r="V65" s="64" t="str">
        <f t="shared" si="6"/>
        <v>21-30 Гб</v>
      </c>
    </row>
    <row r="66" spans="1:22" ht="15.75" customHeight="1" x14ac:dyDescent="0.25">
      <c r="A66" s="62" t="s">
        <v>157</v>
      </c>
      <c r="B66" s="56">
        <v>37864</v>
      </c>
      <c r="C66" s="62" t="s">
        <v>83</v>
      </c>
      <c r="D66" s="62" t="s">
        <v>84</v>
      </c>
      <c r="E66" s="62" t="s">
        <v>85</v>
      </c>
      <c r="F66" s="62" t="s">
        <v>89</v>
      </c>
      <c r="G66" s="56">
        <v>43986</v>
      </c>
      <c r="H66" s="62">
        <v>5</v>
      </c>
      <c r="I66" s="62">
        <v>17324</v>
      </c>
      <c r="J66" s="62">
        <v>44000000</v>
      </c>
      <c r="P66" s="63">
        <f t="shared" si="0"/>
        <v>120</v>
      </c>
      <c r="Q66" s="64">
        <f t="shared" si="1"/>
        <v>72.183333333333337</v>
      </c>
      <c r="R66" s="64">
        <f t="shared" si="2"/>
        <v>10.49041748046875</v>
      </c>
      <c r="S66" s="64">
        <f t="shared" si="3"/>
        <v>18</v>
      </c>
      <c r="T66" s="64">
        <f t="shared" si="4"/>
        <v>16.84277777777778</v>
      </c>
      <c r="U66" s="64" t="str">
        <f t="shared" si="5"/>
        <v>&lt;35</v>
      </c>
      <c r="V66" s="64" t="str">
        <f t="shared" si="6"/>
        <v>10-20 Гб</v>
      </c>
    </row>
    <row r="67" spans="1:22" ht="15.75" customHeight="1" x14ac:dyDescent="0.25">
      <c r="A67" s="62" t="s">
        <v>158</v>
      </c>
      <c r="B67" s="56">
        <v>37857</v>
      </c>
      <c r="C67" s="62" t="s">
        <v>83</v>
      </c>
      <c r="D67" s="62" t="s">
        <v>84</v>
      </c>
      <c r="E67" s="62" t="s">
        <v>85</v>
      </c>
      <c r="F67" s="62" t="s">
        <v>93</v>
      </c>
      <c r="G67" s="56">
        <v>42783</v>
      </c>
      <c r="H67" s="62">
        <v>5</v>
      </c>
      <c r="I67" s="62">
        <v>45928</v>
      </c>
      <c r="J67" s="62">
        <v>20000000</v>
      </c>
      <c r="K67" s="62">
        <v>1</v>
      </c>
      <c r="L67" s="62">
        <v>1</v>
      </c>
      <c r="P67" s="63">
        <f t="shared" si="0"/>
        <v>120</v>
      </c>
      <c r="Q67" s="64">
        <f t="shared" si="1"/>
        <v>191.36666666666667</v>
      </c>
      <c r="R67" s="64">
        <f t="shared" si="2"/>
        <v>4.76837158203125</v>
      </c>
      <c r="S67" s="64">
        <f t="shared" si="3"/>
        <v>18</v>
      </c>
      <c r="T67" s="64">
        <f t="shared" si="4"/>
        <v>44.652222222222221</v>
      </c>
      <c r="U67" s="64" t="str">
        <f t="shared" si="5"/>
        <v>35-60</v>
      </c>
      <c r="V67" s="64" t="str">
        <f t="shared" si="6"/>
        <v>&lt;10 Гб</v>
      </c>
    </row>
    <row r="68" spans="1:22" ht="15.75" customHeight="1" x14ac:dyDescent="0.25">
      <c r="A68" s="62" t="s">
        <v>159</v>
      </c>
      <c r="B68" s="56">
        <v>37853</v>
      </c>
      <c r="C68" s="62" t="s">
        <v>88</v>
      </c>
      <c r="D68" s="62" t="s">
        <v>84</v>
      </c>
      <c r="E68" s="62" t="s">
        <v>85</v>
      </c>
      <c r="F68" s="62" t="s">
        <v>93</v>
      </c>
      <c r="G68" s="56">
        <v>42736</v>
      </c>
      <c r="H68" s="62">
        <v>5</v>
      </c>
      <c r="I68" s="62">
        <v>3796</v>
      </c>
      <c r="J68" s="62">
        <v>8000000</v>
      </c>
      <c r="P68" s="63">
        <f t="shared" si="0"/>
        <v>120</v>
      </c>
      <c r="Q68" s="64">
        <f t="shared" si="1"/>
        <v>15.816666666666668</v>
      </c>
      <c r="R68" s="64">
        <f t="shared" si="2"/>
        <v>1.9073486328125002</v>
      </c>
      <c r="S68" s="64">
        <f t="shared" si="3"/>
        <v>18</v>
      </c>
      <c r="T68" s="64">
        <f t="shared" si="4"/>
        <v>3.690555555555556</v>
      </c>
      <c r="U68" s="64" t="str">
        <f t="shared" si="5"/>
        <v>&lt;35</v>
      </c>
      <c r="V68" s="64" t="str">
        <f t="shared" si="6"/>
        <v>&lt;10 Гб</v>
      </c>
    </row>
    <row r="69" spans="1:22" ht="15.75" customHeight="1" x14ac:dyDescent="0.25">
      <c r="A69" s="62" t="s">
        <v>160</v>
      </c>
      <c r="B69" s="56">
        <v>37850</v>
      </c>
      <c r="C69" s="62" t="s">
        <v>83</v>
      </c>
      <c r="D69" s="62" t="s">
        <v>84</v>
      </c>
      <c r="E69" s="62" t="s">
        <v>85</v>
      </c>
      <c r="F69" s="62" t="s">
        <v>93</v>
      </c>
      <c r="G69" s="56">
        <v>42891</v>
      </c>
      <c r="H69" s="62">
        <v>5</v>
      </c>
      <c r="I69" s="62">
        <v>32964</v>
      </c>
      <c r="J69" s="62">
        <v>16000000</v>
      </c>
      <c r="P69" s="63">
        <f t="shared" si="0"/>
        <v>120</v>
      </c>
      <c r="Q69" s="64">
        <f t="shared" si="1"/>
        <v>137.35</v>
      </c>
      <c r="R69" s="64">
        <f t="shared" si="2"/>
        <v>3.8146972656250004</v>
      </c>
      <c r="S69" s="64">
        <f t="shared" si="3"/>
        <v>18</v>
      </c>
      <c r="T69" s="64">
        <f t="shared" si="4"/>
        <v>32.048333333333332</v>
      </c>
      <c r="U69" s="64" t="str">
        <f t="shared" si="5"/>
        <v>&lt;35</v>
      </c>
      <c r="V69" s="64" t="str">
        <f t="shared" si="6"/>
        <v>&lt;10 Гб</v>
      </c>
    </row>
    <row r="70" spans="1:22" ht="15.75" customHeight="1" x14ac:dyDescent="0.25">
      <c r="A70" s="62" t="s">
        <v>161</v>
      </c>
      <c r="B70" s="56">
        <v>37850</v>
      </c>
      <c r="C70" s="62" t="s">
        <v>88</v>
      </c>
      <c r="D70" s="62" t="s">
        <v>84</v>
      </c>
      <c r="E70" s="62" t="s">
        <v>92</v>
      </c>
      <c r="F70" s="62" t="s">
        <v>93</v>
      </c>
      <c r="G70" s="56">
        <v>42761</v>
      </c>
      <c r="H70" s="62">
        <v>5</v>
      </c>
      <c r="I70" s="62">
        <v>36868</v>
      </c>
      <c r="J70" s="62">
        <v>16000000</v>
      </c>
      <c r="N70" s="62">
        <v>1</v>
      </c>
      <c r="P70" s="63">
        <f t="shared" si="0"/>
        <v>120</v>
      </c>
      <c r="Q70" s="64">
        <f t="shared" si="1"/>
        <v>153.61666666666667</v>
      </c>
      <c r="R70" s="64">
        <f t="shared" si="2"/>
        <v>3.8146972656250004</v>
      </c>
      <c r="S70" s="64">
        <f t="shared" si="3"/>
        <v>18</v>
      </c>
      <c r="T70" s="64">
        <f t="shared" si="4"/>
        <v>35.843888888888884</v>
      </c>
      <c r="U70" s="64" t="str">
        <f t="shared" si="5"/>
        <v>35-60</v>
      </c>
      <c r="V70" s="64" t="str">
        <f t="shared" si="6"/>
        <v>&lt;10 Гб</v>
      </c>
    </row>
    <row r="71" spans="1:22" ht="15.75" customHeight="1" x14ac:dyDescent="0.25">
      <c r="A71" s="62" t="s">
        <v>162</v>
      </c>
      <c r="B71" s="56">
        <v>37846</v>
      </c>
      <c r="C71" s="62" t="s">
        <v>83</v>
      </c>
      <c r="D71" s="62" t="s">
        <v>84</v>
      </c>
      <c r="E71" s="62" t="s">
        <v>92</v>
      </c>
      <c r="F71" s="62" t="s">
        <v>89</v>
      </c>
      <c r="G71" s="56">
        <v>42985</v>
      </c>
      <c r="H71" s="62">
        <v>5</v>
      </c>
      <c r="I71" s="62">
        <v>21172</v>
      </c>
      <c r="J71" s="62">
        <v>144000000</v>
      </c>
      <c r="P71" s="63">
        <f t="shared" si="0"/>
        <v>120</v>
      </c>
      <c r="Q71" s="64">
        <f t="shared" si="1"/>
        <v>88.216666666666669</v>
      </c>
      <c r="R71" s="64">
        <f t="shared" si="2"/>
        <v>34.332275390625</v>
      </c>
      <c r="S71" s="64">
        <f t="shared" si="3"/>
        <v>18</v>
      </c>
      <c r="T71" s="64">
        <f t="shared" si="4"/>
        <v>20.58388888888889</v>
      </c>
      <c r="U71" s="64" t="str">
        <f t="shared" si="5"/>
        <v>&lt;35</v>
      </c>
      <c r="V71" s="64" t="str">
        <f t="shared" si="6"/>
        <v>31-40 Гб</v>
      </c>
    </row>
    <row r="72" spans="1:22" ht="15.75" customHeight="1" x14ac:dyDescent="0.25">
      <c r="A72" s="62" t="s">
        <v>163</v>
      </c>
      <c r="B72" s="56">
        <v>37843</v>
      </c>
      <c r="C72" s="62" t="s">
        <v>83</v>
      </c>
      <c r="D72" s="62" t="s">
        <v>84</v>
      </c>
      <c r="E72" s="62" t="s">
        <v>85</v>
      </c>
      <c r="F72" s="62" t="s">
        <v>89</v>
      </c>
      <c r="G72" s="56">
        <v>44234</v>
      </c>
      <c r="H72" s="62">
        <v>5</v>
      </c>
      <c r="I72" s="62">
        <v>27632</v>
      </c>
      <c r="J72" s="62">
        <v>156000000</v>
      </c>
      <c r="P72" s="63">
        <f t="shared" si="0"/>
        <v>120</v>
      </c>
      <c r="Q72" s="64">
        <f t="shared" si="1"/>
        <v>115.13333333333334</v>
      </c>
      <c r="R72" s="64">
        <f t="shared" si="2"/>
        <v>37.19329833984375</v>
      </c>
      <c r="S72" s="64">
        <f t="shared" si="3"/>
        <v>18</v>
      </c>
      <c r="T72" s="64">
        <f t="shared" si="4"/>
        <v>26.864444444444448</v>
      </c>
      <c r="U72" s="64" t="str">
        <f t="shared" si="5"/>
        <v>&lt;35</v>
      </c>
      <c r="V72" s="64" t="str">
        <f t="shared" si="6"/>
        <v>31-40 Гб</v>
      </c>
    </row>
    <row r="73" spans="1:22" ht="15.75" customHeight="1" x14ac:dyDescent="0.25">
      <c r="A73" s="62" t="s">
        <v>164</v>
      </c>
      <c r="B73" s="56">
        <v>37841</v>
      </c>
      <c r="C73" s="62" t="s">
        <v>88</v>
      </c>
      <c r="D73" s="62" t="s">
        <v>84</v>
      </c>
      <c r="E73" s="62" t="s">
        <v>92</v>
      </c>
      <c r="F73" s="62" t="s">
        <v>96</v>
      </c>
      <c r="G73" s="56">
        <v>43967</v>
      </c>
      <c r="H73" s="62">
        <v>5</v>
      </c>
      <c r="I73" s="62">
        <v>7648</v>
      </c>
      <c r="J73" s="62">
        <v>120000000</v>
      </c>
      <c r="L73" s="62">
        <v>1</v>
      </c>
      <c r="P73" s="63">
        <f t="shared" si="0"/>
        <v>120</v>
      </c>
      <c r="Q73" s="64">
        <f t="shared" si="1"/>
        <v>31.866666666666667</v>
      </c>
      <c r="R73" s="64">
        <f t="shared" si="2"/>
        <v>28.6102294921875</v>
      </c>
      <c r="S73" s="64">
        <f t="shared" si="3"/>
        <v>18</v>
      </c>
      <c r="T73" s="64">
        <f t="shared" si="4"/>
        <v>7.4355555555555553</v>
      </c>
      <c r="U73" s="64" t="str">
        <f t="shared" si="5"/>
        <v>&lt;35</v>
      </c>
      <c r="V73" s="64" t="str">
        <f t="shared" si="6"/>
        <v>21-30 Гб</v>
      </c>
    </row>
    <row r="74" spans="1:22" ht="15.75" customHeight="1" x14ac:dyDescent="0.25">
      <c r="A74" s="62" t="s">
        <v>165</v>
      </c>
      <c r="B74" s="56">
        <v>37840</v>
      </c>
      <c r="C74" s="62" t="s">
        <v>83</v>
      </c>
      <c r="D74" s="62" t="s">
        <v>84</v>
      </c>
      <c r="E74" s="62" t="s">
        <v>92</v>
      </c>
      <c r="F74" s="62" t="s">
        <v>89</v>
      </c>
      <c r="G74" s="56">
        <v>43801</v>
      </c>
      <c r="H74" s="62">
        <v>5</v>
      </c>
      <c r="I74" s="62">
        <v>21920</v>
      </c>
      <c r="J74" s="62">
        <v>116000000</v>
      </c>
      <c r="P74" s="63">
        <f t="shared" si="0"/>
        <v>120</v>
      </c>
      <c r="Q74" s="64">
        <f t="shared" si="1"/>
        <v>91.333333333333329</v>
      </c>
      <c r="R74" s="64">
        <f t="shared" si="2"/>
        <v>27.65655517578125</v>
      </c>
      <c r="S74" s="64">
        <f t="shared" si="3"/>
        <v>18</v>
      </c>
      <c r="T74" s="64">
        <f t="shared" si="4"/>
        <v>21.31111111111111</v>
      </c>
      <c r="U74" s="64" t="str">
        <f t="shared" si="5"/>
        <v>&lt;35</v>
      </c>
      <c r="V74" s="64" t="str">
        <f t="shared" si="6"/>
        <v>21-30 Гб</v>
      </c>
    </row>
    <row r="75" spans="1:22" ht="15.75" customHeight="1" x14ac:dyDescent="0.25">
      <c r="A75" s="62" t="s">
        <v>166</v>
      </c>
      <c r="B75" s="56">
        <v>37838</v>
      </c>
      <c r="C75" s="62" t="s">
        <v>83</v>
      </c>
      <c r="D75" s="62" t="s">
        <v>84</v>
      </c>
      <c r="E75" s="62" t="s">
        <v>85</v>
      </c>
      <c r="F75" s="62" t="s">
        <v>89</v>
      </c>
      <c r="G75" s="56">
        <v>44134</v>
      </c>
      <c r="H75" s="62">
        <v>5</v>
      </c>
      <c r="I75" s="62">
        <v>16232</v>
      </c>
      <c r="J75" s="62">
        <v>104000000</v>
      </c>
      <c r="K75" s="62">
        <v>1</v>
      </c>
      <c r="L75" s="62">
        <v>1</v>
      </c>
      <c r="O75" s="62">
        <v>1</v>
      </c>
      <c r="P75" s="63">
        <f t="shared" si="0"/>
        <v>120</v>
      </c>
      <c r="Q75" s="64">
        <f t="shared" si="1"/>
        <v>67.63333333333334</v>
      </c>
      <c r="R75" s="64">
        <f t="shared" si="2"/>
        <v>24.7955322265625</v>
      </c>
      <c r="S75" s="64">
        <f t="shared" si="3"/>
        <v>18</v>
      </c>
      <c r="T75" s="64">
        <f t="shared" si="4"/>
        <v>15.781111111111112</v>
      </c>
      <c r="U75" s="64" t="str">
        <f t="shared" si="5"/>
        <v>&lt;35</v>
      </c>
      <c r="V75" s="64" t="str">
        <f t="shared" si="6"/>
        <v>21-30 Гб</v>
      </c>
    </row>
    <row r="76" spans="1:22" ht="15.75" customHeight="1" x14ac:dyDescent="0.25">
      <c r="A76" s="62" t="s">
        <v>167</v>
      </c>
      <c r="B76" s="56">
        <v>37836</v>
      </c>
      <c r="C76" s="62" t="s">
        <v>88</v>
      </c>
      <c r="D76" s="62" t="s">
        <v>84</v>
      </c>
      <c r="E76" s="62" t="s">
        <v>85</v>
      </c>
      <c r="F76" s="62" t="s">
        <v>89</v>
      </c>
      <c r="G76" s="56">
        <v>43868</v>
      </c>
      <c r="H76" s="62">
        <v>5</v>
      </c>
      <c r="I76" s="62">
        <v>31408</v>
      </c>
      <c r="J76" s="62">
        <v>120000000</v>
      </c>
      <c r="P76" s="63">
        <f t="shared" si="0"/>
        <v>120</v>
      </c>
      <c r="Q76" s="64">
        <f t="shared" si="1"/>
        <v>130.86666666666667</v>
      </c>
      <c r="R76" s="64">
        <f t="shared" si="2"/>
        <v>28.6102294921875</v>
      </c>
      <c r="S76" s="64">
        <f t="shared" si="3"/>
        <v>18</v>
      </c>
      <c r="T76" s="64">
        <f t="shared" si="4"/>
        <v>30.535555555555558</v>
      </c>
      <c r="U76" s="64" t="str">
        <f t="shared" si="5"/>
        <v>&lt;35</v>
      </c>
      <c r="V76" s="64" t="str">
        <f t="shared" si="6"/>
        <v>21-30 Гб</v>
      </c>
    </row>
    <row r="77" spans="1:22" ht="15.75" customHeight="1" x14ac:dyDescent="0.25">
      <c r="A77" s="62" t="s">
        <v>168</v>
      </c>
      <c r="B77" s="56">
        <v>37828</v>
      </c>
      <c r="C77" s="62" t="s">
        <v>88</v>
      </c>
      <c r="D77" s="62" t="s">
        <v>84</v>
      </c>
      <c r="E77" s="62" t="s">
        <v>85</v>
      </c>
      <c r="F77" s="62" t="s">
        <v>89</v>
      </c>
      <c r="G77" s="56">
        <v>43619</v>
      </c>
      <c r="H77" s="62">
        <v>5</v>
      </c>
      <c r="I77" s="62">
        <v>9876</v>
      </c>
      <c r="J77" s="62">
        <v>152000000</v>
      </c>
      <c r="K77" s="62">
        <v>1</v>
      </c>
      <c r="M77" s="62">
        <v>1</v>
      </c>
      <c r="N77" s="62">
        <v>1</v>
      </c>
      <c r="P77" s="63">
        <f t="shared" si="0"/>
        <v>120</v>
      </c>
      <c r="Q77" s="64">
        <f t="shared" si="1"/>
        <v>41.15</v>
      </c>
      <c r="R77" s="64">
        <f t="shared" si="2"/>
        <v>36.2396240234375</v>
      </c>
      <c r="S77" s="64">
        <f t="shared" si="3"/>
        <v>18</v>
      </c>
      <c r="T77" s="64">
        <f t="shared" si="4"/>
        <v>9.6016666666666666</v>
      </c>
      <c r="U77" s="64" t="str">
        <f t="shared" si="5"/>
        <v>&lt;35</v>
      </c>
      <c r="V77" s="64" t="str">
        <f t="shared" si="6"/>
        <v>31-40 Гб</v>
      </c>
    </row>
    <row r="78" spans="1:22" ht="15.75" customHeight="1" x14ac:dyDescent="0.25">
      <c r="A78" s="62" t="s">
        <v>169</v>
      </c>
      <c r="B78" s="56">
        <v>37822</v>
      </c>
      <c r="C78" s="62" t="s">
        <v>88</v>
      </c>
      <c r="D78" s="62" t="s">
        <v>84</v>
      </c>
      <c r="E78" s="62" t="s">
        <v>92</v>
      </c>
      <c r="F78" s="62" t="s">
        <v>89</v>
      </c>
      <c r="G78" s="56">
        <v>43439</v>
      </c>
      <c r="H78" s="62">
        <v>5</v>
      </c>
      <c r="I78" s="62">
        <v>8976</v>
      </c>
      <c r="J78" s="62">
        <v>8000000</v>
      </c>
      <c r="P78" s="63">
        <f t="shared" si="0"/>
        <v>120</v>
      </c>
      <c r="Q78" s="64">
        <f t="shared" si="1"/>
        <v>37.4</v>
      </c>
      <c r="R78" s="64">
        <f t="shared" si="2"/>
        <v>1.9073486328125002</v>
      </c>
      <c r="S78" s="64">
        <f t="shared" si="3"/>
        <v>18</v>
      </c>
      <c r="T78" s="64">
        <f t="shared" si="4"/>
        <v>8.7266666666666666</v>
      </c>
      <c r="U78" s="64" t="str">
        <f t="shared" si="5"/>
        <v>&lt;35</v>
      </c>
      <c r="V78" s="64" t="str">
        <f t="shared" si="6"/>
        <v>&lt;10 Гб</v>
      </c>
    </row>
    <row r="79" spans="1:22" ht="15.75" customHeight="1" x14ac:dyDescent="0.25">
      <c r="A79" s="62" t="s">
        <v>170</v>
      </c>
      <c r="B79" s="56">
        <v>37821</v>
      </c>
      <c r="C79" s="62" t="s">
        <v>83</v>
      </c>
      <c r="D79" s="62" t="s">
        <v>84</v>
      </c>
      <c r="E79" s="62" t="s">
        <v>85</v>
      </c>
      <c r="F79" s="62" t="s">
        <v>96</v>
      </c>
      <c r="G79" s="56">
        <v>44291</v>
      </c>
      <c r="H79" s="62">
        <v>5</v>
      </c>
      <c r="I79" s="62">
        <v>88956</v>
      </c>
      <c r="J79" s="62">
        <v>88000000</v>
      </c>
      <c r="P79" s="63">
        <f t="shared" si="0"/>
        <v>120</v>
      </c>
      <c r="Q79" s="64">
        <f t="shared" si="1"/>
        <v>370.65</v>
      </c>
      <c r="R79" s="64">
        <f t="shared" si="2"/>
        <v>20.9808349609375</v>
      </c>
      <c r="S79" s="64">
        <f t="shared" si="3"/>
        <v>18</v>
      </c>
      <c r="T79" s="64">
        <f t="shared" si="4"/>
        <v>86.484999999999985</v>
      </c>
      <c r="U79" s="64" t="str">
        <f t="shared" si="5"/>
        <v>61-90</v>
      </c>
      <c r="V79" s="64" t="str">
        <f t="shared" si="6"/>
        <v>21-30 Гб</v>
      </c>
    </row>
    <row r="80" spans="1:22" ht="15.75" customHeight="1" x14ac:dyDescent="0.25">
      <c r="A80" s="62" t="s">
        <v>171</v>
      </c>
      <c r="B80" s="56">
        <v>37816</v>
      </c>
      <c r="C80" s="62" t="s">
        <v>83</v>
      </c>
      <c r="D80" s="62" t="s">
        <v>84</v>
      </c>
      <c r="E80" s="62" t="s">
        <v>85</v>
      </c>
      <c r="F80" s="62" t="s">
        <v>96</v>
      </c>
      <c r="G80" s="56">
        <v>43173</v>
      </c>
      <c r="H80" s="62">
        <v>5</v>
      </c>
      <c r="I80" s="62">
        <v>76640</v>
      </c>
      <c r="J80" s="62">
        <v>104000000</v>
      </c>
      <c r="L80" s="62">
        <v>1</v>
      </c>
      <c r="P80" s="63">
        <f t="shared" si="0"/>
        <v>120</v>
      </c>
      <c r="Q80" s="64">
        <f t="shared" si="1"/>
        <v>319.33333333333331</v>
      </c>
      <c r="R80" s="64">
        <f t="shared" si="2"/>
        <v>24.7955322265625</v>
      </c>
      <c r="S80" s="64">
        <f t="shared" si="3"/>
        <v>18</v>
      </c>
      <c r="T80" s="64">
        <f t="shared" si="4"/>
        <v>74.511111111111106</v>
      </c>
      <c r="U80" s="64" t="str">
        <f t="shared" si="5"/>
        <v>61-90</v>
      </c>
      <c r="V80" s="64" t="str">
        <f t="shared" si="6"/>
        <v>21-30 Гб</v>
      </c>
    </row>
    <row r="81" spans="1:22" ht="15.75" customHeight="1" x14ac:dyDescent="0.25">
      <c r="A81" s="62" t="s">
        <v>172</v>
      </c>
      <c r="B81" s="56">
        <v>37815</v>
      </c>
      <c r="C81" s="62" t="s">
        <v>83</v>
      </c>
      <c r="D81" s="62" t="s">
        <v>84</v>
      </c>
      <c r="E81" s="62" t="s">
        <v>92</v>
      </c>
      <c r="F81" s="62" t="s">
        <v>89</v>
      </c>
      <c r="G81" s="56">
        <v>43519</v>
      </c>
      <c r="H81" s="62">
        <v>5</v>
      </c>
      <c r="I81" s="62">
        <v>3108</v>
      </c>
      <c r="J81" s="62">
        <v>144000000</v>
      </c>
      <c r="L81" s="62">
        <v>1</v>
      </c>
      <c r="P81" s="63">
        <f t="shared" si="0"/>
        <v>120</v>
      </c>
      <c r="Q81" s="64">
        <f t="shared" si="1"/>
        <v>12.95</v>
      </c>
      <c r="R81" s="64">
        <f t="shared" si="2"/>
        <v>34.332275390625</v>
      </c>
      <c r="S81" s="64">
        <f t="shared" si="3"/>
        <v>18</v>
      </c>
      <c r="T81" s="64">
        <f t="shared" si="4"/>
        <v>3.0216666666666665</v>
      </c>
      <c r="U81" s="64" t="str">
        <f t="shared" si="5"/>
        <v>&lt;35</v>
      </c>
      <c r="V81" s="64" t="str">
        <f t="shared" si="6"/>
        <v>31-40 Гб</v>
      </c>
    </row>
    <row r="82" spans="1:22" ht="15.75" customHeight="1" x14ac:dyDescent="0.25">
      <c r="A82" s="62" t="s">
        <v>173</v>
      </c>
      <c r="B82" s="56">
        <v>37813</v>
      </c>
      <c r="C82" s="62" t="s">
        <v>88</v>
      </c>
      <c r="D82" s="62" t="s">
        <v>84</v>
      </c>
      <c r="E82" s="62" t="s">
        <v>92</v>
      </c>
      <c r="F82" s="62" t="s">
        <v>93</v>
      </c>
      <c r="G82" s="56">
        <v>43070</v>
      </c>
      <c r="H82" s="62">
        <v>5</v>
      </c>
      <c r="I82" s="62">
        <v>46188</v>
      </c>
      <c r="J82" s="62">
        <v>12000000</v>
      </c>
      <c r="K82" s="62">
        <v>1</v>
      </c>
      <c r="L82" s="62">
        <v>1</v>
      </c>
      <c r="P82" s="63">
        <f t="shared" si="0"/>
        <v>120</v>
      </c>
      <c r="Q82" s="64">
        <f t="shared" si="1"/>
        <v>192.45</v>
      </c>
      <c r="R82" s="64">
        <f t="shared" si="2"/>
        <v>2.86102294921875</v>
      </c>
      <c r="S82" s="64">
        <f t="shared" si="3"/>
        <v>18</v>
      </c>
      <c r="T82" s="64">
        <f t="shared" si="4"/>
        <v>44.904999999999994</v>
      </c>
      <c r="U82" s="64" t="str">
        <f t="shared" si="5"/>
        <v>35-60</v>
      </c>
      <c r="V82" s="64" t="str">
        <f t="shared" si="6"/>
        <v>&lt;10 Гб</v>
      </c>
    </row>
    <row r="83" spans="1:22" ht="15.75" customHeight="1" x14ac:dyDescent="0.25">
      <c r="A83" s="62" t="s">
        <v>174</v>
      </c>
      <c r="B83" s="56">
        <v>37811</v>
      </c>
      <c r="C83" s="62" t="s">
        <v>83</v>
      </c>
      <c r="D83" s="62" t="s">
        <v>84</v>
      </c>
      <c r="E83" s="62" t="s">
        <v>85</v>
      </c>
      <c r="F83" s="62" t="s">
        <v>89</v>
      </c>
      <c r="G83" s="56">
        <v>44583</v>
      </c>
      <c r="H83" s="62">
        <v>3</v>
      </c>
      <c r="I83" s="62">
        <v>29700</v>
      </c>
      <c r="J83" s="62">
        <v>122100000</v>
      </c>
      <c r="K83" s="62">
        <v>1</v>
      </c>
      <c r="L83" s="62">
        <v>1</v>
      </c>
      <c r="O83" s="62">
        <v>1</v>
      </c>
      <c r="P83" s="63">
        <f t="shared" si="0"/>
        <v>99</v>
      </c>
      <c r="Q83" s="64">
        <f t="shared" si="1"/>
        <v>150</v>
      </c>
      <c r="R83" s="64">
        <f t="shared" si="2"/>
        <v>35.28594970703125</v>
      </c>
      <c r="S83" s="64">
        <f t="shared" si="3"/>
        <v>18</v>
      </c>
      <c r="T83" s="64">
        <f t="shared" si="4"/>
        <v>35</v>
      </c>
      <c r="U83" s="64" t="str">
        <f t="shared" si="5"/>
        <v>&lt;35</v>
      </c>
      <c r="V83" s="64" t="str">
        <f t="shared" si="6"/>
        <v>31-40 Гб</v>
      </c>
    </row>
    <row r="84" spans="1:22" ht="15.75" customHeight="1" x14ac:dyDescent="0.25">
      <c r="A84" s="62" t="s">
        <v>175</v>
      </c>
      <c r="B84" s="56">
        <v>37809</v>
      </c>
      <c r="C84" s="62" t="s">
        <v>83</v>
      </c>
      <c r="D84" s="62" t="s">
        <v>84</v>
      </c>
      <c r="E84" s="62" t="s">
        <v>85</v>
      </c>
      <c r="F84" s="62" t="s">
        <v>96</v>
      </c>
      <c r="G84" s="56">
        <v>43078</v>
      </c>
      <c r="H84" s="62">
        <v>5</v>
      </c>
      <c r="I84" s="62">
        <v>77268</v>
      </c>
      <c r="J84" s="62">
        <v>100000000</v>
      </c>
      <c r="K84" s="62">
        <v>1</v>
      </c>
      <c r="L84" s="62">
        <v>1</v>
      </c>
      <c r="O84" s="62">
        <v>1</v>
      </c>
      <c r="P84" s="63">
        <f t="shared" si="0"/>
        <v>120</v>
      </c>
      <c r="Q84" s="64">
        <f t="shared" si="1"/>
        <v>321.95</v>
      </c>
      <c r="R84" s="64">
        <f t="shared" si="2"/>
        <v>23.84185791015625</v>
      </c>
      <c r="S84" s="64">
        <f t="shared" si="3"/>
        <v>18</v>
      </c>
      <c r="T84" s="64">
        <f t="shared" si="4"/>
        <v>75.12166666666667</v>
      </c>
      <c r="U84" s="64" t="str">
        <f t="shared" si="5"/>
        <v>61-90</v>
      </c>
      <c r="V84" s="64" t="str">
        <f t="shared" si="6"/>
        <v>21-30 Гб</v>
      </c>
    </row>
    <row r="85" spans="1:22" ht="15.75" customHeight="1" x14ac:dyDescent="0.25">
      <c r="A85" s="62" t="s">
        <v>176</v>
      </c>
      <c r="B85" s="56">
        <v>37809</v>
      </c>
      <c r="C85" s="62" t="s">
        <v>88</v>
      </c>
      <c r="D85" s="62" t="s">
        <v>84</v>
      </c>
      <c r="E85" s="62" t="s">
        <v>85</v>
      </c>
      <c r="F85" s="62" t="s">
        <v>96</v>
      </c>
      <c r="G85" s="56">
        <v>42848</v>
      </c>
      <c r="H85" s="62">
        <v>5</v>
      </c>
      <c r="I85" s="62">
        <v>22480</v>
      </c>
      <c r="J85" s="62">
        <v>116000000</v>
      </c>
      <c r="M85" s="62">
        <v>1</v>
      </c>
      <c r="P85" s="63">
        <f t="shared" si="0"/>
        <v>120</v>
      </c>
      <c r="Q85" s="64">
        <f t="shared" si="1"/>
        <v>93.666666666666671</v>
      </c>
      <c r="R85" s="64">
        <f t="shared" si="2"/>
        <v>27.65655517578125</v>
      </c>
      <c r="S85" s="64">
        <f t="shared" si="3"/>
        <v>18</v>
      </c>
      <c r="T85" s="64">
        <f t="shared" si="4"/>
        <v>21.855555555555558</v>
      </c>
      <c r="U85" s="64" t="str">
        <f t="shared" si="5"/>
        <v>&lt;35</v>
      </c>
      <c r="V85" s="64" t="str">
        <f t="shared" si="6"/>
        <v>21-30 Гб</v>
      </c>
    </row>
    <row r="86" spans="1:22" ht="15.75" customHeight="1" x14ac:dyDescent="0.25">
      <c r="A86" s="62" t="s">
        <v>177</v>
      </c>
      <c r="B86" s="56">
        <v>37809</v>
      </c>
      <c r="C86" s="62" t="s">
        <v>88</v>
      </c>
      <c r="D86" s="62" t="s">
        <v>84</v>
      </c>
      <c r="E86" s="62" t="s">
        <v>92</v>
      </c>
      <c r="F86" s="62" t="s">
        <v>89</v>
      </c>
      <c r="G86" s="56">
        <v>44314</v>
      </c>
      <c r="H86" s="62">
        <v>5</v>
      </c>
      <c r="I86" s="62">
        <v>3824</v>
      </c>
      <c r="J86" s="62">
        <v>108000000</v>
      </c>
      <c r="P86" s="63">
        <f t="shared" si="0"/>
        <v>120</v>
      </c>
      <c r="Q86" s="64">
        <f t="shared" si="1"/>
        <v>15.933333333333334</v>
      </c>
      <c r="R86" s="64">
        <f t="shared" si="2"/>
        <v>25.74920654296875</v>
      </c>
      <c r="S86" s="64">
        <f t="shared" si="3"/>
        <v>18</v>
      </c>
      <c r="T86" s="64">
        <f t="shared" si="4"/>
        <v>3.7177777777777776</v>
      </c>
      <c r="U86" s="64" t="str">
        <f t="shared" si="5"/>
        <v>&lt;35</v>
      </c>
      <c r="V86" s="64" t="str">
        <f t="shared" si="6"/>
        <v>21-30 Гб</v>
      </c>
    </row>
    <row r="87" spans="1:22" ht="15.75" customHeight="1" x14ac:dyDescent="0.25">
      <c r="A87" s="62" t="s">
        <v>178</v>
      </c>
      <c r="B87" s="56">
        <v>37805</v>
      </c>
      <c r="C87" s="62" t="s">
        <v>83</v>
      </c>
      <c r="D87" s="62" t="s">
        <v>84</v>
      </c>
      <c r="E87" s="62" t="s">
        <v>85</v>
      </c>
      <c r="F87" s="62" t="s">
        <v>86</v>
      </c>
      <c r="G87" s="56">
        <v>44406</v>
      </c>
      <c r="H87" s="62">
        <v>5</v>
      </c>
      <c r="I87" s="62">
        <v>124188</v>
      </c>
      <c r="J87" s="62">
        <v>196000000</v>
      </c>
      <c r="K87" s="62">
        <v>1</v>
      </c>
      <c r="P87" s="63">
        <f t="shared" si="0"/>
        <v>120</v>
      </c>
      <c r="Q87" s="64">
        <f t="shared" si="1"/>
        <v>517.45000000000005</v>
      </c>
      <c r="R87" s="64">
        <f t="shared" si="2"/>
        <v>46.73004150390625</v>
      </c>
      <c r="S87" s="64">
        <f t="shared" si="3"/>
        <v>18</v>
      </c>
      <c r="T87" s="64">
        <f t="shared" si="4"/>
        <v>120.73833333333336</v>
      </c>
      <c r="U87" s="64" t="str">
        <f t="shared" si="5"/>
        <v>120+</v>
      </c>
      <c r="V87" s="64" t="str">
        <f t="shared" si="6"/>
        <v>40+ Гб</v>
      </c>
    </row>
    <row r="88" spans="1:22" ht="15.75" customHeight="1" x14ac:dyDescent="0.25">
      <c r="A88" s="62" t="s">
        <v>179</v>
      </c>
      <c r="B88" s="56">
        <v>37800</v>
      </c>
      <c r="C88" s="62" t="s">
        <v>83</v>
      </c>
      <c r="D88" s="62" t="s">
        <v>84</v>
      </c>
      <c r="E88" s="62" t="s">
        <v>85</v>
      </c>
      <c r="F88" s="62" t="s">
        <v>86</v>
      </c>
      <c r="G88" s="56">
        <v>43553</v>
      </c>
      <c r="H88" s="62">
        <v>5</v>
      </c>
      <c r="I88" s="62">
        <v>90836</v>
      </c>
      <c r="J88" s="62">
        <v>196000000</v>
      </c>
      <c r="P88" s="63">
        <f t="shared" si="0"/>
        <v>120</v>
      </c>
      <c r="Q88" s="64">
        <f t="shared" si="1"/>
        <v>378.48333333333335</v>
      </c>
      <c r="R88" s="64">
        <f t="shared" si="2"/>
        <v>46.73004150390625</v>
      </c>
      <c r="S88" s="64">
        <f t="shared" si="3"/>
        <v>18</v>
      </c>
      <c r="T88" s="64">
        <f t="shared" si="4"/>
        <v>88.312777777777768</v>
      </c>
      <c r="U88" s="64" t="str">
        <f t="shared" si="5"/>
        <v>61-90</v>
      </c>
      <c r="V88" s="64" t="str">
        <f t="shared" si="6"/>
        <v>40+ Гб</v>
      </c>
    </row>
    <row r="89" spans="1:22" ht="15.75" customHeight="1" x14ac:dyDescent="0.25">
      <c r="A89" s="62" t="s">
        <v>180</v>
      </c>
      <c r="B89" s="56">
        <v>37793</v>
      </c>
      <c r="C89" s="62" t="s">
        <v>88</v>
      </c>
      <c r="D89" s="62" t="s">
        <v>84</v>
      </c>
      <c r="E89" s="62" t="s">
        <v>85</v>
      </c>
      <c r="F89" s="62" t="s">
        <v>89</v>
      </c>
      <c r="G89" s="56">
        <v>43288</v>
      </c>
      <c r="H89" s="62">
        <v>5</v>
      </c>
      <c r="I89" s="62">
        <v>20532</v>
      </c>
      <c r="J89" s="62">
        <v>156000000</v>
      </c>
      <c r="P89" s="63">
        <f t="shared" si="0"/>
        <v>120</v>
      </c>
      <c r="Q89" s="64">
        <f t="shared" si="1"/>
        <v>85.55</v>
      </c>
      <c r="R89" s="64">
        <f t="shared" si="2"/>
        <v>37.19329833984375</v>
      </c>
      <c r="S89" s="64">
        <f t="shared" si="3"/>
        <v>18</v>
      </c>
      <c r="T89" s="64">
        <f t="shared" si="4"/>
        <v>19.961666666666666</v>
      </c>
      <c r="U89" s="64" t="str">
        <f t="shared" si="5"/>
        <v>&lt;35</v>
      </c>
      <c r="V89" s="64" t="str">
        <f t="shared" si="6"/>
        <v>31-40 Гб</v>
      </c>
    </row>
    <row r="90" spans="1:22" ht="15.75" customHeight="1" x14ac:dyDescent="0.25">
      <c r="A90" s="62" t="s">
        <v>181</v>
      </c>
      <c r="B90" s="56">
        <v>37792</v>
      </c>
      <c r="C90" s="62" t="s">
        <v>83</v>
      </c>
      <c r="D90" s="62" t="s">
        <v>84</v>
      </c>
      <c r="E90" s="62" t="s">
        <v>92</v>
      </c>
      <c r="F90" s="62" t="s">
        <v>100</v>
      </c>
      <c r="G90" s="56">
        <v>43030</v>
      </c>
      <c r="H90" s="62">
        <v>5</v>
      </c>
      <c r="I90" s="62">
        <v>9740</v>
      </c>
      <c r="J90" s="62">
        <v>128000000</v>
      </c>
      <c r="K90" s="62">
        <v>1</v>
      </c>
      <c r="L90" s="62">
        <v>1</v>
      </c>
      <c r="P90" s="63">
        <f t="shared" si="0"/>
        <v>120</v>
      </c>
      <c r="Q90" s="64">
        <f t="shared" si="1"/>
        <v>40.583333333333336</v>
      </c>
      <c r="R90" s="64">
        <f t="shared" si="2"/>
        <v>30.517578125000004</v>
      </c>
      <c r="S90" s="64">
        <f t="shared" si="3"/>
        <v>18</v>
      </c>
      <c r="T90" s="64">
        <f t="shared" si="4"/>
        <v>9.469444444444445</v>
      </c>
      <c r="U90" s="64" t="str">
        <f t="shared" si="5"/>
        <v>&lt;35</v>
      </c>
      <c r="V90" s="64" t="str">
        <f t="shared" si="6"/>
        <v>31-40 Гб</v>
      </c>
    </row>
    <row r="91" spans="1:22" ht="15.75" customHeight="1" x14ac:dyDescent="0.25">
      <c r="A91" s="62" t="s">
        <v>182</v>
      </c>
      <c r="B91" s="56">
        <v>37788</v>
      </c>
      <c r="C91" s="62" t="s">
        <v>88</v>
      </c>
      <c r="D91" s="62" t="s">
        <v>84</v>
      </c>
      <c r="E91" s="62" t="s">
        <v>92</v>
      </c>
      <c r="F91" s="62" t="s">
        <v>100</v>
      </c>
      <c r="G91" s="56">
        <v>44167</v>
      </c>
      <c r="H91" s="62">
        <v>5</v>
      </c>
      <c r="I91" s="62">
        <v>111308</v>
      </c>
      <c r="J91" s="62">
        <v>112000000</v>
      </c>
      <c r="P91" s="63">
        <f t="shared" si="0"/>
        <v>120</v>
      </c>
      <c r="Q91" s="64">
        <f t="shared" si="1"/>
        <v>463.78333333333336</v>
      </c>
      <c r="R91" s="64">
        <f t="shared" si="2"/>
        <v>26.702880859375</v>
      </c>
      <c r="S91" s="64">
        <f t="shared" si="3"/>
        <v>18</v>
      </c>
      <c r="T91" s="64">
        <f t="shared" si="4"/>
        <v>108.21611111111112</v>
      </c>
      <c r="U91" s="64" t="str">
        <f t="shared" si="5"/>
        <v>91-120</v>
      </c>
      <c r="V91" s="64" t="str">
        <f t="shared" si="6"/>
        <v>21-30 Гб</v>
      </c>
    </row>
    <row r="92" spans="1:22" ht="15.75" customHeight="1" x14ac:dyDescent="0.25">
      <c r="A92" s="62" t="s">
        <v>183</v>
      </c>
      <c r="B92" s="56">
        <v>37785</v>
      </c>
      <c r="C92" s="62" t="s">
        <v>83</v>
      </c>
      <c r="D92" s="62" t="s">
        <v>84</v>
      </c>
      <c r="E92" s="62" t="s">
        <v>85</v>
      </c>
      <c r="F92" s="62" t="s">
        <v>96</v>
      </c>
      <c r="G92" s="56">
        <v>43253</v>
      </c>
      <c r="H92" s="62">
        <v>5</v>
      </c>
      <c r="I92" s="62">
        <v>9916</v>
      </c>
      <c r="J92" s="62">
        <v>96000000</v>
      </c>
      <c r="K92" s="62">
        <v>1</v>
      </c>
      <c r="P92" s="63">
        <f t="shared" si="0"/>
        <v>120</v>
      </c>
      <c r="Q92" s="64">
        <f t="shared" si="1"/>
        <v>41.31666666666667</v>
      </c>
      <c r="R92" s="64">
        <f t="shared" si="2"/>
        <v>22.88818359375</v>
      </c>
      <c r="S92" s="64">
        <f t="shared" si="3"/>
        <v>18</v>
      </c>
      <c r="T92" s="64">
        <f t="shared" si="4"/>
        <v>9.6405555555555562</v>
      </c>
      <c r="U92" s="64" t="str">
        <f t="shared" si="5"/>
        <v>&lt;35</v>
      </c>
      <c r="V92" s="64" t="str">
        <f t="shared" si="6"/>
        <v>21-30 Гб</v>
      </c>
    </row>
    <row r="93" spans="1:22" ht="15.75" customHeight="1" x14ac:dyDescent="0.25">
      <c r="A93" s="62" t="s">
        <v>184</v>
      </c>
      <c r="B93" s="56">
        <v>37780</v>
      </c>
      <c r="C93" s="62" t="s">
        <v>83</v>
      </c>
      <c r="D93" s="62" t="s">
        <v>84</v>
      </c>
      <c r="E93" s="62" t="s">
        <v>92</v>
      </c>
      <c r="F93" s="62" t="s">
        <v>96</v>
      </c>
      <c r="G93" s="56">
        <v>43411</v>
      </c>
      <c r="H93" s="62">
        <v>5</v>
      </c>
      <c r="I93" s="62">
        <v>44652</v>
      </c>
      <c r="J93" s="62">
        <v>104000000</v>
      </c>
      <c r="P93" s="63">
        <f t="shared" si="0"/>
        <v>120</v>
      </c>
      <c r="Q93" s="64">
        <f t="shared" si="1"/>
        <v>186.05</v>
      </c>
      <c r="R93" s="64">
        <f t="shared" si="2"/>
        <v>24.7955322265625</v>
      </c>
      <c r="S93" s="64">
        <f t="shared" si="3"/>
        <v>18</v>
      </c>
      <c r="T93" s="64">
        <f t="shared" si="4"/>
        <v>43.411666666666669</v>
      </c>
      <c r="U93" s="64" t="str">
        <f t="shared" si="5"/>
        <v>35-60</v>
      </c>
      <c r="V93" s="64" t="str">
        <f t="shared" si="6"/>
        <v>21-30 Гб</v>
      </c>
    </row>
    <row r="94" spans="1:22" ht="15.75" customHeight="1" x14ac:dyDescent="0.25">
      <c r="A94" s="62" t="s">
        <v>185</v>
      </c>
      <c r="B94" s="56">
        <v>37777</v>
      </c>
      <c r="C94" s="62" t="s">
        <v>88</v>
      </c>
      <c r="D94" s="62" t="s">
        <v>84</v>
      </c>
      <c r="E94" s="62" t="s">
        <v>85</v>
      </c>
      <c r="F94" s="62" t="s">
        <v>100</v>
      </c>
      <c r="G94" s="56">
        <v>43692</v>
      </c>
      <c r="H94" s="62">
        <v>5</v>
      </c>
      <c r="I94" s="62">
        <v>50860</v>
      </c>
      <c r="J94" s="62">
        <v>128000000</v>
      </c>
      <c r="L94" s="62">
        <v>1</v>
      </c>
      <c r="P94" s="63">
        <f t="shared" si="0"/>
        <v>120</v>
      </c>
      <c r="Q94" s="64">
        <f t="shared" si="1"/>
        <v>211.91666666666666</v>
      </c>
      <c r="R94" s="64">
        <f t="shared" si="2"/>
        <v>30.517578125000004</v>
      </c>
      <c r="S94" s="64">
        <f t="shared" si="3"/>
        <v>18</v>
      </c>
      <c r="T94" s="64">
        <f t="shared" si="4"/>
        <v>49.447222222222216</v>
      </c>
      <c r="U94" s="64" t="str">
        <f t="shared" si="5"/>
        <v>35-60</v>
      </c>
      <c r="V94" s="64" t="str">
        <f t="shared" si="6"/>
        <v>31-40 Гб</v>
      </c>
    </row>
    <row r="95" spans="1:22" ht="15.75" customHeight="1" x14ac:dyDescent="0.25">
      <c r="A95" s="62" t="s">
        <v>186</v>
      </c>
      <c r="B95" s="56">
        <v>37777</v>
      </c>
      <c r="C95" s="62" t="s">
        <v>88</v>
      </c>
      <c r="D95" s="62" t="s">
        <v>84</v>
      </c>
      <c r="E95" s="62" t="s">
        <v>85</v>
      </c>
      <c r="F95" s="62" t="s">
        <v>89</v>
      </c>
      <c r="G95" s="56">
        <v>43792</v>
      </c>
      <c r="H95" s="62">
        <v>5</v>
      </c>
      <c r="I95" s="62">
        <v>18292</v>
      </c>
      <c r="J95" s="62">
        <v>156000000</v>
      </c>
      <c r="K95" s="62">
        <v>1</v>
      </c>
      <c r="P95" s="63">
        <f t="shared" si="0"/>
        <v>120</v>
      </c>
      <c r="Q95" s="64">
        <f t="shared" si="1"/>
        <v>76.216666666666669</v>
      </c>
      <c r="R95" s="64">
        <f t="shared" si="2"/>
        <v>37.19329833984375</v>
      </c>
      <c r="S95" s="64">
        <f t="shared" si="3"/>
        <v>18</v>
      </c>
      <c r="T95" s="64">
        <f t="shared" si="4"/>
        <v>17.783888888888889</v>
      </c>
      <c r="U95" s="64" t="str">
        <f t="shared" si="5"/>
        <v>&lt;35</v>
      </c>
      <c r="V95" s="64" t="str">
        <f t="shared" si="6"/>
        <v>31-40 Гб</v>
      </c>
    </row>
    <row r="96" spans="1:22" ht="15.75" customHeight="1" x14ac:dyDescent="0.25">
      <c r="A96" s="62" t="s">
        <v>187</v>
      </c>
      <c r="B96" s="56">
        <v>37776</v>
      </c>
      <c r="C96" s="62" t="s">
        <v>83</v>
      </c>
      <c r="D96" s="62" t="s">
        <v>84</v>
      </c>
      <c r="E96" s="62" t="s">
        <v>85</v>
      </c>
      <c r="F96" s="62" t="s">
        <v>89</v>
      </c>
      <c r="G96" s="56">
        <v>43405</v>
      </c>
      <c r="H96" s="62">
        <v>5</v>
      </c>
      <c r="I96" s="62">
        <v>34832</v>
      </c>
      <c r="J96" s="62">
        <v>92000000</v>
      </c>
      <c r="K96" s="62">
        <v>1</v>
      </c>
      <c r="P96" s="63">
        <f t="shared" si="0"/>
        <v>120</v>
      </c>
      <c r="Q96" s="64">
        <f t="shared" si="1"/>
        <v>145.13333333333333</v>
      </c>
      <c r="R96" s="64">
        <f t="shared" si="2"/>
        <v>21.93450927734375</v>
      </c>
      <c r="S96" s="64">
        <f t="shared" si="3"/>
        <v>18</v>
      </c>
      <c r="T96" s="64">
        <f t="shared" si="4"/>
        <v>33.864444444444445</v>
      </c>
      <c r="U96" s="64" t="str">
        <f t="shared" si="5"/>
        <v>&lt;35</v>
      </c>
      <c r="V96" s="64" t="str">
        <f t="shared" si="6"/>
        <v>21-30 Гб</v>
      </c>
    </row>
    <row r="97" spans="1:22" ht="15.75" customHeight="1" x14ac:dyDescent="0.25">
      <c r="A97" s="62" t="s">
        <v>188</v>
      </c>
      <c r="B97" s="56">
        <v>37763</v>
      </c>
      <c r="C97" s="62" t="s">
        <v>83</v>
      </c>
      <c r="D97" s="62" t="s">
        <v>84</v>
      </c>
      <c r="E97" s="62" t="s">
        <v>85</v>
      </c>
      <c r="F97" s="62" t="s">
        <v>96</v>
      </c>
      <c r="G97" s="56">
        <v>44032</v>
      </c>
      <c r="H97" s="62">
        <v>5</v>
      </c>
      <c r="I97" s="62">
        <v>14408</v>
      </c>
      <c r="J97" s="62">
        <v>64000000</v>
      </c>
      <c r="K97" s="62">
        <v>1</v>
      </c>
      <c r="L97" s="62">
        <v>1</v>
      </c>
      <c r="M97" s="62">
        <v>1</v>
      </c>
      <c r="O97" s="62">
        <v>1</v>
      </c>
      <c r="P97" s="63">
        <f t="shared" si="0"/>
        <v>120</v>
      </c>
      <c r="Q97" s="64">
        <f t="shared" si="1"/>
        <v>60.033333333333324</v>
      </c>
      <c r="R97" s="64">
        <f t="shared" si="2"/>
        <v>15.258789062500002</v>
      </c>
      <c r="S97" s="64">
        <f t="shared" si="3"/>
        <v>18</v>
      </c>
      <c r="T97" s="64">
        <f t="shared" si="4"/>
        <v>14.007777777777777</v>
      </c>
      <c r="U97" s="64" t="str">
        <f t="shared" si="5"/>
        <v>&lt;35</v>
      </c>
      <c r="V97" s="64" t="str">
        <f t="shared" si="6"/>
        <v>10-20 Гб</v>
      </c>
    </row>
    <row r="98" spans="1:22" ht="15.75" customHeight="1" x14ac:dyDescent="0.25">
      <c r="A98" s="62" t="s">
        <v>189</v>
      </c>
      <c r="B98" s="56">
        <v>37762</v>
      </c>
      <c r="C98" s="62" t="s">
        <v>83</v>
      </c>
      <c r="D98" s="62" t="s">
        <v>84</v>
      </c>
      <c r="E98" s="62" t="s">
        <v>85</v>
      </c>
      <c r="F98" s="62" t="s">
        <v>96</v>
      </c>
      <c r="G98" s="56">
        <v>44527</v>
      </c>
      <c r="H98" s="62">
        <v>5</v>
      </c>
      <c r="I98" s="62">
        <v>56608</v>
      </c>
      <c r="J98" s="62">
        <v>28000000</v>
      </c>
      <c r="P98" s="63">
        <f t="shared" si="0"/>
        <v>120</v>
      </c>
      <c r="Q98" s="64">
        <f t="shared" si="1"/>
        <v>235.86666666666667</v>
      </c>
      <c r="R98" s="64">
        <f t="shared" si="2"/>
        <v>6.67572021484375</v>
      </c>
      <c r="S98" s="64">
        <f t="shared" si="3"/>
        <v>18</v>
      </c>
      <c r="T98" s="64">
        <f t="shared" si="4"/>
        <v>55.035555555555554</v>
      </c>
      <c r="U98" s="64" t="str">
        <f t="shared" si="5"/>
        <v>35-60</v>
      </c>
      <c r="V98" s="64" t="str">
        <f t="shared" si="6"/>
        <v>&lt;10 Гб</v>
      </c>
    </row>
    <row r="99" spans="1:22" ht="15.75" customHeight="1" x14ac:dyDescent="0.25">
      <c r="A99" s="62" t="s">
        <v>190</v>
      </c>
      <c r="B99" s="56">
        <v>37762</v>
      </c>
      <c r="C99" s="62" t="s">
        <v>83</v>
      </c>
      <c r="D99" s="62" t="s">
        <v>84</v>
      </c>
      <c r="E99" s="62" t="s">
        <v>92</v>
      </c>
      <c r="F99" s="62" t="s">
        <v>89</v>
      </c>
      <c r="G99" s="56">
        <v>43007</v>
      </c>
      <c r="H99" s="62">
        <v>5</v>
      </c>
      <c r="I99" s="62">
        <v>10800</v>
      </c>
      <c r="J99" s="62">
        <v>148000000</v>
      </c>
      <c r="K99" s="62">
        <v>1</v>
      </c>
      <c r="L99" s="62">
        <v>1</v>
      </c>
      <c r="P99" s="63">
        <f t="shared" si="0"/>
        <v>120</v>
      </c>
      <c r="Q99" s="64">
        <f t="shared" si="1"/>
        <v>45</v>
      </c>
      <c r="R99" s="64">
        <f t="shared" si="2"/>
        <v>35.28594970703125</v>
      </c>
      <c r="S99" s="64">
        <f t="shared" si="3"/>
        <v>18</v>
      </c>
      <c r="T99" s="64">
        <f t="shared" si="4"/>
        <v>10.5</v>
      </c>
      <c r="U99" s="64" t="str">
        <f t="shared" si="5"/>
        <v>&lt;35</v>
      </c>
      <c r="V99" s="64" t="str">
        <f t="shared" si="6"/>
        <v>31-40 Гб</v>
      </c>
    </row>
    <row r="100" spans="1:22" ht="15.75" customHeight="1" x14ac:dyDescent="0.25">
      <c r="A100" s="62" t="s">
        <v>191</v>
      </c>
      <c r="B100" s="56">
        <v>37752</v>
      </c>
      <c r="C100" s="62" t="s">
        <v>83</v>
      </c>
      <c r="D100" s="62" t="s">
        <v>84</v>
      </c>
      <c r="E100" s="62" t="s">
        <v>92</v>
      </c>
      <c r="F100" s="62" t="s">
        <v>96</v>
      </c>
      <c r="G100" s="56">
        <v>43559</v>
      </c>
      <c r="H100" s="62">
        <v>5</v>
      </c>
      <c r="I100" s="62">
        <v>27032</v>
      </c>
      <c r="J100" s="62">
        <v>108000000</v>
      </c>
      <c r="P100" s="63">
        <f t="shared" si="0"/>
        <v>120</v>
      </c>
      <c r="Q100" s="64">
        <f t="shared" si="1"/>
        <v>112.63333333333334</v>
      </c>
      <c r="R100" s="64">
        <f t="shared" si="2"/>
        <v>25.74920654296875</v>
      </c>
      <c r="S100" s="64">
        <f t="shared" si="3"/>
        <v>18</v>
      </c>
      <c r="T100" s="64">
        <f t="shared" si="4"/>
        <v>26.281111111111112</v>
      </c>
      <c r="U100" s="64" t="str">
        <f t="shared" si="5"/>
        <v>&lt;35</v>
      </c>
      <c r="V100" s="64" t="str">
        <f t="shared" si="6"/>
        <v>21-30 Гб</v>
      </c>
    </row>
    <row r="101" spans="1:22" ht="15.75" customHeight="1" x14ac:dyDescent="0.25">
      <c r="A101" s="62" t="s">
        <v>192</v>
      </c>
      <c r="B101" s="56">
        <v>37746</v>
      </c>
      <c r="C101" s="62" t="s">
        <v>83</v>
      </c>
      <c r="D101" s="62" t="s">
        <v>84</v>
      </c>
      <c r="E101" s="62" t="s">
        <v>92</v>
      </c>
      <c r="F101" s="62" t="s">
        <v>89</v>
      </c>
      <c r="G101" s="56">
        <v>42844</v>
      </c>
      <c r="H101" s="62">
        <v>5</v>
      </c>
      <c r="I101" s="62">
        <v>20136</v>
      </c>
      <c r="J101" s="62">
        <v>124000000</v>
      </c>
      <c r="K101" s="62">
        <v>1</v>
      </c>
      <c r="P101" s="63">
        <f t="shared" si="0"/>
        <v>120</v>
      </c>
      <c r="Q101" s="64">
        <f t="shared" si="1"/>
        <v>83.9</v>
      </c>
      <c r="R101" s="64">
        <f t="shared" si="2"/>
        <v>29.56390380859375</v>
      </c>
      <c r="S101" s="64">
        <f t="shared" si="3"/>
        <v>18</v>
      </c>
      <c r="T101" s="64">
        <f t="shared" si="4"/>
        <v>19.576666666666668</v>
      </c>
      <c r="U101" s="64" t="str">
        <f t="shared" si="5"/>
        <v>&lt;35</v>
      </c>
      <c r="V101" s="64" t="str">
        <f t="shared" si="6"/>
        <v>21-30 Гб</v>
      </c>
    </row>
    <row r="102" spans="1:22" ht="15.75" customHeight="1" x14ac:dyDescent="0.25">
      <c r="A102" s="62" t="s">
        <v>193</v>
      </c>
      <c r="B102" s="56">
        <v>37739</v>
      </c>
      <c r="C102" s="62" t="s">
        <v>83</v>
      </c>
      <c r="D102" s="62" t="s">
        <v>84</v>
      </c>
      <c r="E102" s="62" t="s">
        <v>92</v>
      </c>
      <c r="F102" s="62" t="s">
        <v>100</v>
      </c>
      <c r="G102" s="56">
        <v>43454</v>
      </c>
      <c r="H102" s="62">
        <v>5</v>
      </c>
      <c r="I102" s="62">
        <v>115296</v>
      </c>
      <c r="J102" s="62">
        <v>132000000</v>
      </c>
      <c r="P102" s="63">
        <f t="shared" si="0"/>
        <v>120</v>
      </c>
      <c r="Q102" s="64">
        <f t="shared" si="1"/>
        <v>480.4</v>
      </c>
      <c r="R102" s="64">
        <f t="shared" si="2"/>
        <v>31.47125244140625</v>
      </c>
      <c r="S102" s="64">
        <f t="shared" si="3"/>
        <v>19</v>
      </c>
      <c r="T102" s="64">
        <f t="shared" si="4"/>
        <v>112.09333333333332</v>
      </c>
      <c r="U102" s="64" t="str">
        <f t="shared" si="5"/>
        <v>91-120</v>
      </c>
      <c r="V102" s="64" t="str">
        <f t="shared" si="6"/>
        <v>31-40 Гб</v>
      </c>
    </row>
    <row r="103" spans="1:22" ht="15.75" customHeight="1" x14ac:dyDescent="0.25">
      <c r="A103" s="62" t="s">
        <v>194</v>
      </c>
      <c r="B103" s="56">
        <v>37737</v>
      </c>
      <c r="C103" s="62" t="s">
        <v>83</v>
      </c>
      <c r="D103" s="62" t="s">
        <v>84</v>
      </c>
      <c r="E103" s="62" t="s">
        <v>92</v>
      </c>
      <c r="F103" s="62" t="s">
        <v>100</v>
      </c>
      <c r="G103" s="56">
        <v>43917</v>
      </c>
      <c r="H103" s="62">
        <v>5</v>
      </c>
      <c r="I103" s="62">
        <v>11912</v>
      </c>
      <c r="J103" s="62">
        <v>128000000</v>
      </c>
      <c r="L103" s="62">
        <v>1</v>
      </c>
      <c r="P103" s="63">
        <f t="shared" si="0"/>
        <v>120</v>
      </c>
      <c r="Q103" s="64">
        <f t="shared" si="1"/>
        <v>49.633333333333333</v>
      </c>
      <c r="R103" s="64">
        <f t="shared" si="2"/>
        <v>30.517578125000004</v>
      </c>
      <c r="S103" s="64">
        <f t="shared" si="3"/>
        <v>19</v>
      </c>
      <c r="T103" s="64">
        <f t="shared" si="4"/>
        <v>11.581111111111111</v>
      </c>
      <c r="U103" s="64" t="str">
        <f t="shared" si="5"/>
        <v>&lt;35</v>
      </c>
      <c r="V103" s="64" t="str">
        <f t="shared" si="6"/>
        <v>31-40 Гб</v>
      </c>
    </row>
    <row r="104" spans="1:22" ht="15.75" customHeight="1" x14ac:dyDescent="0.25">
      <c r="A104" s="62" t="s">
        <v>195</v>
      </c>
      <c r="B104" s="56">
        <v>37736</v>
      </c>
      <c r="C104" s="62" t="s">
        <v>83</v>
      </c>
      <c r="D104" s="62" t="s">
        <v>84</v>
      </c>
      <c r="E104" s="62" t="s">
        <v>85</v>
      </c>
      <c r="F104" s="62" t="s">
        <v>89</v>
      </c>
      <c r="G104" s="56">
        <v>44577</v>
      </c>
      <c r="H104" s="62">
        <v>3</v>
      </c>
      <c r="I104" s="62">
        <v>31500</v>
      </c>
      <c r="J104" s="62">
        <v>136500000</v>
      </c>
      <c r="P104" s="63">
        <f t="shared" si="0"/>
        <v>105</v>
      </c>
      <c r="Q104" s="64">
        <f t="shared" si="1"/>
        <v>150</v>
      </c>
      <c r="R104" s="64">
        <f t="shared" si="2"/>
        <v>37.19329833984375</v>
      </c>
      <c r="S104" s="64">
        <f t="shared" si="3"/>
        <v>19</v>
      </c>
      <c r="T104" s="64">
        <f t="shared" si="4"/>
        <v>35</v>
      </c>
      <c r="U104" s="64" t="str">
        <f t="shared" si="5"/>
        <v>&lt;35</v>
      </c>
      <c r="V104" s="64" t="str">
        <f t="shared" si="6"/>
        <v>31-40 Гб</v>
      </c>
    </row>
    <row r="105" spans="1:22" ht="15.75" customHeight="1" x14ac:dyDescent="0.25">
      <c r="A105" s="62" t="s">
        <v>196</v>
      </c>
      <c r="B105" s="56">
        <v>37734</v>
      </c>
      <c r="C105" s="62" t="s">
        <v>83</v>
      </c>
      <c r="D105" s="62" t="s">
        <v>84</v>
      </c>
      <c r="E105" s="62" t="s">
        <v>85</v>
      </c>
      <c r="F105" s="62" t="s">
        <v>96</v>
      </c>
      <c r="G105" s="56">
        <v>44488</v>
      </c>
      <c r="H105" s="62">
        <v>5</v>
      </c>
      <c r="I105" s="62">
        <v>31376</v>
      </c>
      <c r="J105" s="62">
        <v>100000000</v>
      </c>
      <c r="P105" s="63">
        <f t="shared" si="0"/>
        <v>120</v>
      </c>
      <c r="Q105" s="64">
        <f t="shared" si="1"/>
        <v>130.73333333333332</v>
      </c>
      <c r="R105" s="64">
        <f t="shared" si="2"/>
        <v>23.84185791015625</v>
      </c>
      <c r="S105" s="64">
        <f t="shared" si="3"/>
        <v>19</v>
      </c>
      <c r="T105" s="64">
        <f t="shared" si="4"/>
        <v>30.504444444444442</v>
      </c>
      <c r="U105" s="64" t="str">
        <f t="shared" si="5"/>
        <v>&lt;35</v>
      </c>
      <c r="V105" s="64" t="str">
        <f t="shared" si="6"/>
        <v>21-30 Гб</v>
      </c>
    </row>
    <row r="106" spans="1:22" ht="15.75" customHeight="1" x14ac:dyDescent="0.25">
      <c r="A106" s="62" t="s">
        <v>197</v>
      </c>
      <c r="B106" s="56">
        <v>37733</v>
      </c>
      <c r="C106" s="62" t="s">
        <v>83</v>
      </c>
      <c r="D106" s="62" t="s">
        <v>84</v>
      </c>
      <c r="E106" s="62" t="s">
        <v>85</v>
      </c>
      <c r="F106" s="62" t="s">
        <v>86</v>
      </c>
      <c r="G106" s="56">
        <v>42804</v>
      </c>
      <c r="H106" s="62">
        <v>5</v>
      </c>
      <c r="I106" s="62">
        <v>164196</v>
      </c>
      <c r="J106" s="62">
        <v>56000000</v>
      </c>
      <c r="P106" s="63">
        <f t="shared" si="0"/>
        <v>120</v>
      </c>
      <c r="Q106" s="64">
        <f t="shared" si="1"/>
        <v>684.15</v>
      </c>
      <c r="R106" s="64">
        <f t="shared" si="2"/>
        <v>13.3514404296875</v>
      </c>
      <c r="S106" s="64">
        <f t="shared" si="3"/>
        <v>19</v>
      </c>
      <c r="T106" s="64">
        <f t="shared" si="4"/>
        <v>159.63500000000002</v>
      </c>
      <c r="U106" s="64" t="str">
        <f t="shared" si="5"/>
        <v>120+</v>
      </c>
      <c r="V106" s="64" t="str">
        <f t="shared" si="6"/>
        <v>10-20 Гб</v>
      </c>
    </row>
    <row r="107" spans="1:22" ht="15.75" customHeight="1" x14ac:dyDescent="0.25">
      <c r="A107" s="62" t="s">
        <v>198</v>
      </c>
      <c r="B107" s="56">
        <v>37732</v>
      </c>
      <c r="C107" s="62" t="s">
        <v>88</v>
      </c>
      <c r="D107" s="62" t="s">
        <v>84</v>
      </c>
      <c r="E107" s="62" t="s">
        <v>85</v>
      </c>
      <c r="F107" s="62" t="s">
        <v>89</v>
      </c>
      <c r="G107" s="56">
        <v>43576</v>
      </c>
      <c r="H107" s="62">
        <v>5</v>
      </c>
      <c r="I107" s="62">
        <v>18480</v>
      </c>
      <c r="J107" s="62">
        <v>40000000</v>
      </c>
      <c r="K107" s="62">
        <v>1</v>
      </c>
      <c r="P107" s="63">
        <f t="shared" si="0"/>
        <v>120</v>
      </c>
      <c r="Q107" s="64">
        <f t="shared" si="1"/>
        <v>77</v>
      </c>
      <c r="R107" s="64">
        <f t="shared" si="2"/>
        <v>9.5367431640625</v>
      </c>
      <c r="S107" s="64">
        <f t="shared" si="3"/>
        <v>19</v>
      </c>
      <c r="T107" s="64">
        <f t="shared" si="4"/>
        <v>17.966666666666665</v>
      </c>
      <c r="U107" s="64" t="str">
        <f t="shared" si="5"/>
        <v>&lt;35</v>
      </c>
      <c r="V107" s="64" t="str">
        <f t="shared" si="6"/>
        <v>&lt;10 Гб</v>
      </c>
    </row>
    <row r="108" spans="1:22" ht="15.75" customHeight="1" x14ac:dyDescent="0.25">
      <c r="A108" s="62" t="s">
        <v>199</v>
      </c>
      <c r="B108" s="56">
        <v>37728</v>
      </c>
      <c r="C108" s="62" t="s">
        <v>83</v>
      </c>
      <c r="D108" s="62" t="s">
        <v>84</v>
      </c>
      <c r="E108" s="62" t="s">
        <v>92</v>
      </c>
      <c r="F108" s="62" t="s">
        <v>96</v>
      </c>
      <c r="G108" s="56">
        <v>42930</v>
      </c>
      <c r="H108" s="62">
        <v>5</v>
      </c>
      <c r="I108" s="62">
        <v>80728</v>
      </c>
      <c r="J108" s="62">
        <v>100000000</v>
      </c>
      <c r="L108" s="62">
        <v>1</v>
      </c>
      <c r="M108" s="62">
        <v>1</v>
      </c>
      <c r="P108" s="63">
        <f t="shared" si="0"/>
        <v>120</v>
      </c>
      <c r="Q108" s="64">
        <f t="shared" si="1"/>
        <v>336.36666666666667</v>
      </c>
      <c r="R108" s="64">
        <f t="shared" si="2"/>
        <v>23.84185791015625</v>
      </c>
      <c r="S108" s="64">
        <f t="shared" si="3"/>
        <v>19</v>
      </c>
      <c r="T108" s="64">
        <f t="shared" si="4"/>
        <v>78.48555555555555</v>
      </c>
      <c r="U108" s="64" t="str">
        <f t="shared" si="5"/>
        <v>61-90</v>
      </c>
      <c r="V108" s="64" t="str">
        <f t="shared" si="6"/>
        <v>21-30 Гб</v>
      </c>
    </row>
    <row r="109" spans="1:22" ht="15.75" customHeight="1" x14ac:dyDescent="0.25">
      <c r="A109" s="62" t="s">
        <v>200</v>
      </c>
      <c r="B109" s="56">
        <v>37728</v>
      </c>
      <c r="C109" s="62" t="s">
        <v>88</v>
      </c>
      <c r="D109" s="62" t="s">
        <v>84</v>
      </c>
      <c r="E109" s="62" t="s">
        <v>92</v>
      </c>
      <c r="F109" s="62" t="s">
        <v>89</v>
      </c>
      <c r="G109" s="56">
        <v>42825</v>
      </c>
      <c r="H109" s="62">
        <v>5</v>
      </c>
      <c r="I109" s="62">
        <v>35872</v>
      </c>
      <c r="J109" s="62">
        <v>136000000</v>
      </c>
      <c r="K109" s="62">
        <v>1</v>
      </c>
      <c r="P109" s="63">
        <f t="shared" si="0"/>
        <v>120</v>
      </c>
      <c r="Q109" s="64">
        <f t="shared" si="1"/>
        <v>149.46666666666667</v>
      </c>
      <c r="R109" s="64">
        <f t="shared" si="2"/>
        <v>32.4249267578125</v>
      </c>
      <c r="S109" s="64">
        <f t="shared" si="3"/>
        <v>19</v>
      </c>
      <c r="T109" s="64">
        <f t="shared" si="4"/>
        <v>34.875555555555557</v>
      </c>
      <c r="U109" s="64" t="str">
        <f t="shared" si="5"/>
        <v>&lt;35</v>
      </c>
      <c r="V109" s="64" t="str">
        <f t="shared" si="6"/>
        <v>31-40 Гб</v>
      </c>
    </row>
    <row r="110" spans="1:22" ht="15.75" customHeight="1" x14ac:dyDescent="0.25">
      <c r="A110" s="62" t="s">
        <v>201</v>
      </c>
      <c r="B110" s="56">
        <v>37728</v>
      </c>
      <c r="C110" s="62" t="s">
        <v>88</v>
      </c>
      <c r="D110" s="62" t="s">
        <v>84</v>
      </c>
      <c r="E110" s="62" t="s">
        <v>85</v>
      </c>
      <c r="F110" s="62" t="s">
        <v>89</v>
      </c>
      <c r="G110" s="56">
        <v>42859</v>
      </c>
      <c r="H110" s="62">
        <v>5</v>
      </c>
      <c r="I110" s="62">
        <v>24176</v>
      </c>
      <c r="J110" s="62">
        <v>120000000</v>
      </c>
      <c r="K110" s="62">
        <v>1</v>
      </c>
      <c r="P110" s="63">
        <f t="shared" si="0"/>
        <v>120</v>
      </c>
      <c r="Q110" s="64">
        <f t="shared" si="1"/>
        <v>100.73333333333333</v>
      </c>
      <c r="R110" s="64">
        <f t="shared" si="2"/>
        <v>28.6102294921875</v>
      </c>
      <c r="S110" s="64">
        <f t="shared" si="3"/>
        <v>19</v>
      </c>
      <c r="T110" s="64">
        <f t="shared" si="4"/>
        <v>23.504444444444445</v>
      </c>
      <c r="U110" s="64" t="str">
        <f t="shared" si="5"/>
        <v>&lt;35</v>
      </c>
      <c r="V110" s="64" t="str">
        <f t="shared" si="6"/>
        <v>21-30 Гб</v>
      </c>
    </row>
    <row r="111" spans="1:22" ht="15.75" customHeight="1" x14ac:dyDescent="0.25">
      <c r="A111" s="62" t="s">
        <v>202</v>
      </c>
      <c r="B111" s="56">
        <v>37727</v>
      </c>
      <c r="C111" s="62" t="s">
        <v>83</v>
      </c>
      <c r="D111" s="62" t="s">
        <v>84</v>
      </c>
      <c r="E111" s="62" t="s">
        <v>85</v>
      </c>
      <c r="F111" s="62" t="s">
        <v>100</v>
      </c>
      <c r="G111" s="56">
        <v>44140</v>
      </c>
      <c r="H111" s="62">
        <v>5</v>
      </c>
      <c r="I111" s="62">
        <v>112340</v>
      </c>
      <c r="J111" s="62">
        <v>68000000</v>
      </c>
      <c r="P111" s="63">
        <f t="shared" si="0"/>
        <v>120</v>
      </c>
      <c r="Q111" s="64">
        <f t="shared" si="1"/>
        <v>468.08333333333331</v>
      </c>
      <c r="R111" s="64">
        <f t="shared" si="2"/>
        <v>16.21246337890625</v>
      </c>
      <c r="S111" s="64">
        <f t="shared" si="3"/>
        <v>19</v>
      </c>
      <c r="T111" s="64">
        <f t="shared" si="4"/>
        <v>109.21944444444443</v>
      </c>
      <c r="U111" s="64" t="str">
        <f t="shared" si="5"/>
        <v>91-120</v>
      </c>
      <c r="V111" s="64" t="str">
        <f t="shared" si="6"/>
        <v>10-20 Гб</v>
      </c>
    </row>
    <row r="112" spans="1:22" ht="15.75" customHeight="1" x14ac:dyDescent="0.25">
      <c r="A112" s="62" t="s">
        <v>203</v>
      </c>
      <c r="B112" s="56">
        <v>37724</v>
      </c>
      <c r="C112" s="62" t="s">
        <v>83</v>
      </c>
      <c r="D112" s="62" t="s">
        <v>84</v>
      </c>
      <c r="E112" s="62" t="s">
        <v>92</v>
      </c>
      <c r="F112" s="62" t="s">
        <v>93</v>
      </c>
      <c r="G112" s="56">
        <v>43456</v>
      </c>
      <c r="H112" s="62">
        <v>5</v>
      </c>
      <c r="I112" s="62">
        <v>27320</v>
      </c>
      <c r="J112" s="62">
        <v>8000000</v>
      </c>
      <c r="P112" s="63">
        <f t="shared" si="0"/>
        <v>120</v>
      </c>
      <c r="Q112" s="64">
        <f t="shared" si="1"/>
        <v>113.83333333333333</v>
      </c>
      <c r="R112" s="64">
        <f t="shared" si="2"/>
        <v>1.9073486328125002</v>
      </c>
      <c r="S112" s="64">
        <f t="shared" si="3"/>
        <v>19</v>
      </c>
      <c r="T112" s="64">
        <f t="shared" si="4"/>
        <v>26.56111111111111</v>
      </c>
      <c r="U112" s="64" t="str">
        <f t="shared" si="5"/>
        <v>&lt;35</v>
      </c>
      <c r="V112" s="64" t="str">
        <f t="shared" si="6"/>
        <v>&lt;10 Гб</v>
      </c>
    </row>
    <row r="113" spans="1:22" ht="15.75" customHeight="1" x14ac:dyDescent="0.25">
      <c r="A113" s="62" t="s">
        <v>204</v>
      </c>
      <c r="B113" s="56">
        <v>37723</v>
      </c>
      <c r="C113" s="62" t="s">
        <v>83</v>
      </c>
      <c r="D113" s="62" t="s">
        <v>84</v>
      </c>
      <c r="E113" s="62" t="s">
        <v>92</v>
      </c>
      <c r="F113" s="62" t="s">
        <v>89</v>
      </c>
      <c r="G113" s="56">
        <v>42998</v>
      </c>
      <c r="H113" s="62">
        <v>5</v>
      </c>
      <c r="I113" s="62">
        <v>18564</v>
      </c>
      <c r="J113" s="62">
        <v>148000000</v>
      </c>
      <c r="P113" s="63">
        <f t="shared" si="0"/>
        <v>120</v>
      </c>
      <c r="Q113" s="64">
        <f t="shared" si="1"/>
        <v>77.349999999999994</v>
      </c>
      <c r="R113" s="64">
        <f t="shared" si="2"/>
        <v>35.28594970703125</v>
      </c>
      <c r="S113" s="64">
        <f t="shared" si="3"/>
        <v>19</v>
      </c>
      <c r="T113" s="64">
        <f t="shared" si="4"/>
        <v>18.048333333333332</v>
      </c>
      <c r="U113" s="64" t="str">
        <f t="shared" si="5"/>
        <v>&lt;35</v>
      </c>
      <c r="V113" s="64" t="str">
        <f t="shared" si="6"/>
        <v>31-40 Гб</v>
      </c>
    </row>
    <row r="114" spans="1:22" ht="15.75" customHeight="1" x14ac:dyDescent="0.25">
      <c r="A114" s="62" t="s">
        <v>205</v>
      </c>
      <c r="B114" s="56">
        <v>37717</v>
      </c>
      <c r="C114" s="62" t="s">
        <v>83</v>
      </c>
      <c r="D114" s="62" t="s">
        <v>84</v>
      </c>
      <c r="E114" s="62" t="s">
        <v>85</v>
      </c>
      <c r="F114" s="62" t="s">
        <v>96</v>
      </c>
      <c r="G114" s="56">
        <v>44237</v>
      </c>
      <c r="H114" s="62">
        <v>5</v>
      </c>
      <c r="I114" s="62">
        <v>65968</v>
      </c>
      <c r="J114" s="62">
        <v>44000000</v>
      </c>
      <c r="K114" s="62">
        <v>1</v>
      </c>
      <c r="P114" s="63">
        <f t="shared" si="0"/>
        <v>120</v>
      </c>
      <c r="Q114" s="64">
        <f t="shared" si="1"/>
        <v>274.86666666666667</v>
      </c>
      <c r="R114" s="64">
        <f t="shared" si="2"/>
        <v>10.49041748046875</v>
      </c>
      <c r="S114" s="64">
        <f t="shared" si="3"/>
        <v>19</v>
      </c>
      <c r="T114" s="64">
        <f t="shared" si="4"/>
        <v>64.135555555555555</v>
      </c>
      <c r="U114" s="64" t="str">
        <f t="shared" si="5"/>
        <v>61-90</v>
      </c>
      <c r="V114" s="64" t="str">
        <f t="shared" si="6"/>
        <v>10-20 Гб</v>
      </c>
    </row>
    <row r="115" spans="1:22" ht="15.75" customHeight="1" x14ac:dyDescent="0.25">
      <c r="A115" s="62" t="s">
        <v>206</v>
      </c>
      <c r="B115" s="56">
        <v>37714</v>
      </c>
      <c r="C115" s="62" t="s">
        <v>88</v>
      </c>
      <c r="D115" s="62" t="s">
        <v>84</v>
      </c>
      <c r="E115" s="62" t="s">
        <v>85</v>
      </c>
      <c r="F115" s="62" t="s">
        <v>89</v>
      </c>
      <c r="G115" s="56">
        <v>43778</v>
      </c>
      <c r="H115" s="62">
        <v>5</v>
      </c>
      <c r="I115" s="62">
        <v>24484</v>
      </c>
      <c r="J115" s="62">
        <v>144000000</v>
      </c>
      <c r="P115" s="63">
        <f t="shared" si="0"/>
        <v>120</v>
      </c>
      <c r="Q115" s="64">
        <f t="shared" si="1"/>
        <v>102.01666666666667</v>
      </c>
      <c r="R115" s="64">
        <f t="shared" si="2"/>
        <v>34.332275390625</v>
      </c>
      <c r="S115" s="64">
        <f t="shared" si="3"/>
        <v>19</v>
      </c>
      <c r="T115" s="64">
        <f t="shared" si="4"/>
        <v>23.803888888888888</v>
      </c>
      <c r="U115" s="64" t="str">
        <f t="shared" si="5"/>
        <v>&lt;35</v>
      </c>
      <c r="V115" s="64" t="str">
        <f t="shared" si="6"/>
        <v>31-40 Гб</v>
      </c>
    </row>
    <row r="116" spans="1:22" ht="15.75" customHeight="1" x14ac:dyDescent="0.25">
      <c r="A116" s="62" t="s">
        <v>207</v>
      </c>
      <c r="B116" s="56">
        <v>37713</v>
      </c>
      <c r="C116" s="62" t="s">
        <v>83</v>
      </c>
      <c r="D116" s="62" t="s">
        <v>84</v>
      </c>
      <c r="E116" s="62" t="s">
        <v>85</v>
      </c>
      <c r="F116" s="62" t="s">
        <v>96</v>
      </c>
      <c r="G116" s="56">
        <v>43764</v>
      </c>
      <c r="H116" s="62">
        <v>5</v>
      </c>
      <c r="I116" s="62">
        <v>66516</v>
      </c>
      <c r="J116" s="62">
        <v>112000000</v>
      </c>
      <c r="K116" s="62">
        <v>1</v>
      </c>
      <c r="P116" s="63">
        <f t="shared" si="0"/>
        <v>120</v>
      </c>
      <c r="Q116" s="64">
        <f t="shared" si="1"/>
        <v>277.14999999999998</v>
      </c>
      <c r="R116" s="64">
        <f t="shared" si="2"/>
        <v>26.702880859375</v>
      </c>
      <c r="S116" s="64">
        <f t="shared" si="3"/>
        <v>19</v>
      </c>
      <c r="T116" s="64">
        <f t="shared" si="4"/>
        <v>64.668333333333322</v>
      </c>
      <c r="U116" s="64" t="str">
        <f t="shared" si="5"/>
        <v>61-90</v>
      </c>
      <c r="V116" s="64" t="str">
        <f t="shared" si="6"/>
        <v>21-30 Гб</v>
      </c>
    </row>
    <row r="117" spans="1:22" ht="15.75" customHeight="1" x14ac:dyDescent="0.25">
      <c r="A117" s="62" t="s">
        <v>208</v>
      </c>
      <c r="B117" s="56">
        <v>37709</v>
      </c>
      <c r="C117" s="62" t="s">
        <v>83</v>
      </c>
      <c r="D117" s="62" t="s">
        <v>84</v>
      </c>
      <c r="E117" s="62" t="s">
        <v>92</v>
      </c>
      <c r="F117" s="62" t="s">
        <v>89</v>
      </c>
      <c r="G117" s="56">
        <v>43785</v>
      </c>
      <c r="H117" s="62">
        <v>5</v>
      </c>
      <c r="I117" s="62">
        <v>9716</v>
      </c>
      <c r="J117" s="62">
        <v>156000000</v>
      </c>
      <c r="P117" s="63">
        <f t="shared" si="0"/>
        <v>120</v>
      </c>
      <c r="Q117" s="64">
        <f t="shared" si="1"/>
        <v>40.483333333333334</v>
      </c>
      <c r="R117" s="64">
        <f t="shared" si="2"/>
        <v>37.19329833984375</v>
      </c>
      <c r="S117" s="64">
        <f t="shared" si="3"/>
        <v>19</v>
      </c>
      <c r="T117" s="64">
        <f t="shared" si="4"/>
        <v>9.4461111111111116</v>
      </c>
      <c r="U117" s="64" t="str">
        <f t="shared" si="5"/>
        <v>&lt;35</v>
      </c>
      <c r="V117" s="64" t="str">
        <f t="shared" si="6"/>
        <v>31-40 Гб</v>
      </c>
    </row>
    <row r="118" spans="1:22" ht="15.75" customHeight="1" x14ac:dyDescent="0.25">
      <c r="A118" s="62" t="s">
        <v>209</v>
      </c>
      <c r="B118" s="56">
        <v>37707</v>
      </c>
      <c r="C118" s="62" t="s">
        <v>83</v>
      </c>
      <c r="D118" s="62" t="s">
        <v>84</v>
      </c>
      <c r="E118" s="62" t="s">
        <v>85</v>
      </c>
      <c r="F118" s="62" t="s">
        <v>96</v>
      </c>
      <c r="G118" s="56">
        <v>43799</v>
      </c>
      <c r="H118" s="62">
        <v>5</v>
      </c>
      <c r="I118" s="62">
        <v>75400</v>
      </c>
      <c r="J118" s="62">
        <v>104000000</v>
      </c>
      <c r="K118" s="62">
        <v>1</v>
      </c>
      <c r="P118" s="63">
        <f t="shared" si="0"/>
        <v>120</v>
      </c>
      <c r="Q118" s="64">
        <f t="shared" si="1"/>
        <v>314.16666666666669</v>
      </c>
      <c r="R118" s="64">
        <f t="shared" si="2"/>
        <v>24.7955322265625</v>
      </c>
      <c r="S118" s="64">
        <f t="shared" si="3"/>
        <v>19</v>
      </c>
      <c r="T118" s="64">
        <f t="shared" si="4"/>
        <v>73.305555555555571</v>
      </c>
      <c r="U118" s="64" t="str">
        <f t="shared" si="5"/>
        <v>61-90</v>
      </c>
      <c r="V118" s="64" t="str">
        <f t="shared" si="6"/>
        <v>21-30 Гб</v>
      </c>
    </row>
    <row r="119" spans="1:22" ht="15.75" customHeight="1" x14ac:dyDescent="0.25">
      <c r="A119" s="62" t="s">
        <v>210</v>
      </c>
      <c r="B119" s="56">
        <v>37706</v>
      </c>
      <c r="C119" s="62" t="s">
        <v>83</v>
      </c>
      <c r="D119" s="62" t="s">
        <v>84</v>
      </c>
      <c r="E119" s="62" t="s">
        <v>85</v>
      </c>
      <c r="F119" s="62" t="s">
        <v>96</v>
      </c>
      <c r="G119" s="56">
        <v>42909</v>
      </c>
      <c r="H119" s="62">
        <v>5</v>
      </c>
      <c r="I119" s="62">
        <v>37832</v>
      </c>
      <c r="J119" s="62">
        <v>16000000</v>
      </c>
      <c r="P119" s="63">
        <f t="shared" si="0"/>
        <v>120</v>
      </c>
      <c r="Q119" s="64">
        <f t="shared" si="1"/>
        <v>157.63333333333333</v>
      </c>
      <c r="R119" s="64">
        <f t="shared" si="2"/>
        <v>3.8146972656250004</v>
      </c>
      <c r="S119" s="64">
        <f t="shared" si="3"/>
        <v>19</v>
      </c>
      <c r="T119" s="64">
        <f t="shared" si="4"/>
        <v>36.781111111111116</v>
      </c>
      <c r="U119" s="64" t="str">
        <f t="shared" si="5"/>
        <v>35-60</v>
      </c>
      <c r="V119" s="64" t="str">
        <f t="shared" si="6"/>
        <v>&lt;10 Гб</v>
      </c>
    </row>
    <row r="120" spans="1:22" ht="15.75" customHeight="1" x14ac:dyDescent="0.25">
      <c r="A120" s="62" t="s">
        <v>211</v>
      </c>
      <c r="B120" s="56">
        <v>37702</v>
      </c>
      <c r="C120" s="62" t="s">
        <v>88</v>
      </c>
      <c r="D120" s="62" t="s">
        <v>84</v>
      </c>
      <c r="E120" s="62" t="s">
        <v>92</v>
      </c>
      <c r="F120" s="62" t="s">
        <v>96</v>
      </c>
      <c r="G120" s="56">
        <v>43584</v>
      </c>
      <c r="H120" s="62">
        <v>5</v>
      </c>
      <c r="I120" s="62">
        <v>6852</v>
      </c>
      <c r="J120" s="62">
        <v>24000000</v>
      </c>
      <c r="P120" s="63">
        <f t="shared" si="0"/>
        <v>120</v>
      </c>
      <c r="Q120" s="64">
        <f t="shared" si="1"/>
        <v>28.55</v>
      </c>
      <c r="R120" s="64">
        <f t="shared" si="2"/>
        <v>5.7220458984375</v>
      </c>
      <c r="S120" s="64">
        <f t="shared" si="3"/>
        <v>19</v>
      </c>
      <c r="T120" s="64">
        <f t="shared" si="4"/>
        <v>6.6616666666666662</v>
      </c>
      <c r="U120" s="64" t="str">
        <f t="shared" si="5"/>
        <v>&lt;35</v>
      </c>
      <c r="V120" s="64" t="str">
        <f t="shared" si="6"/>
        <v>&lt;10 Гб</v>
      </c>
    </row>
    <row r="121" spans="1:22" ht="15.75" customHeight="1" x14ac:dyDescent="0.25">
      <c r="A121" s="62" t="s">
        <v>212</v>
      </c>
      <c r="B121" s="56">
        <v>37702</v>
      </c>
      <c r="C121" s="62" t="s">
        <v>83</v>
      </c>
      <c r="D121" s="62" t="s">
        <v>84</v>
      </c>
      <c r="E121" s="62" t="s">
        <v>92</v>
      </c>
      <c r="F121" s="62" t="s">
        <v>96</v>
      </c>
      <c r="G121" s="56">
        <v>42769</v>
      </c>
      <c r="H121" s="62">
        <v>5</v>
      </c>
      <c r="I121" s="62">
        <v>84832</v>
      </c>
      <c r="J121" s="62">
        <v>92000000</v>
      </c>
      <c r="P121" s="63">
        <f t="shared" si="0"/>
        <v>120</v>
      </c>
      <c r="Q121" s="64">
        <f t="shared" si="1"/>
        <v>353.46666666666664</v>
      </c>
      <c r="R121" s="64">
        <f t="shared" si="2"/>
        <v>21.93450927734375</v>
      </c>
      <c r="S121" s="64">
        <f t="shared" si="3"/>
        <v>19</v>
      </c>
      <c r="T121" s="64">
        <f t="shared" si="4"/>
        <v>82.475555555555545</v>
      </c>
      <c r="U121" s="64" t="str">
        <f t="shared" si="5"/>
        <v>61-90</v>
      </c>
      <c r="V121" s="64" t="str">
        <f t="shared" si="6"/>
        <v>21-30 Гб</v>
      </c>
    </row>
    <row r="122" spans="1:22" ht="15.75" customHeight="1" x14ac:dyDescent="0.25">
      <c r="A122" s="62" t="s">
        <v>213</v>
      </c>
      <c r="B122" s="56">
        <v>37693</v>
      </c>
      <c r="C122" s="62" t="s">
        <v>83</v>
      </c>
      <c r="D122" s="62" t="s">
        <v>84</v>
      </c>
      <c r="E122" s="62" t="s">
        <v>85</v>
      </c>
      <c r="F122" s="62" t="s">
        <v>89</v>
      </c>
      <c r="G122" s="56">
        <v>43583</v>
      </c>
      <c r="H122" s="62">
        <v>5</v>
      </c>
      <c r="I122" s="62">
        <v>33180</v>
      </c>
      <c r="J122" s="62">
        <v>152000000</v>
      </c>
      <c r="K122" s="62">
        <v>1</v>
      </c>
      <c r="P122" s="63">
        <f t="shared" si="0"/>
        <v>120</v>
      </c>
      <c r="Q122" s="64">
        <f t="shared" si="1"/>
        <v>138.25</v>
      </c>
      <c r="R122" s="64">
        <f t="shared" si="2"/>
        <v>36.2396240234375</v>
      </c>
      <c r="S122" s="64">
        <f t="shared" si="3"/>
        <v>19</v>
      </c>
      <c r="T122" s="64">
        <f t="shared" si="4"/>
        <v>32.258333333333333</v>
      </c>
      <c r="U122" s="64" t="str">
        <f t="shared" si="5"/>
        <v>&lt;35</v>
      </c>
      <c r="V122" s="64" t="str">
        <f t="shared" si="6"/>
        <v>31-40 Гб</v>
      </c>
    </row>
    <row r="123" spans="1:22" ht="15.75" customHeight="1" x14ac:dyDescent="0.25">
      <c r="A123" s="62" t="s">
        <v>214</v>
      </c>
      <c r="B123" s="56">
        <v>37691</v>
      </c>
      <c r="C123" s="62" t="s">
        <v>83</v>
      </c>
      <c r="D123" s="62" t="s">
        <v>84</v>
      </c>
      <c r="E123" s="62" t="s">
        <v>85</v>
      </c>
      <c r="F123" s="62" t="s">
        <v>93</v>
      </c>
      <c r="G123" s="56">
        <v>43438</v>
      </c>
      <c r="H123" s="62">
        <v>5</v>
      </c>
      <c r="I123" s="62">
        <v>44220</v>
      </c>
      <c r="J123" s="62">
        <v>20000000</v>
      </c>
      <c r="P123" s="63">
        <f t="shared" si="0"/>
        <v>120</v>
      </c>
      <c r="Q123" s="64">
        <f t="shared" si="1"/>
        <v>184.25</v>
      </c>
      <c r="R123" s="64">
        <f t="shared" si="2"/>
        <v>4.76837158203125</v>
      </c>
      <c r="S123" s="64">
        <f t="shared" si="3"/>
        <v>19</v>
      </c>
      <c r="T123" s="64">
        <f t="shared" si="4"/>
        <v>42.991666666666667</v>
      </c>
      <c r="U123" s="64" t="str">
        <f t="shared" si="5"/>
        <v>35-60</v>
      </c>
      <c r="V123" s="64" t="str">
        <f t="shared" si="6"/>
        <v>&lt;10 Гб</v>
      </c>
    </row>
    <row r="124" spans="1:22" ht="15.75" customHeight="1" x14ac:dyDescent="0.25">
      <c r="A124" s="62" t="s">
        <v>215</v>
      </c>
      <c r="B124" s="56">
        <v>37685</v>
      </c>
      <c r="C124" s="62" t="s">
        <v>83</v>
      </c>
      <c r="D124" s="62" t="s">
        <v>84</v>
      </c>
      <c r="E124" s="62" t="s">
        <v>85</v>
      </c>
      <c r="F124" s="62" t="s">
        <v>100</v>
      </c>
      <c r="G124" s="56">
        <v>43515</v>
      </c>
      <c r="H124" s="62">
        <v>5</v>
      </c>
      <c r="I124" s="62">
        <v>87664</v>
      </c>
      <c r="J124" s="62">
        <v>52000000</v>
      </c>
      <c r="K124" s="62">
        <v>1</v>
      </c>
      <c r="L124" s="62">
        <v>1</v>
      </c>
      <c r="O124" s="62">
        <v>1</v>
      </c>
      <c r="P124" s="63">
        <f t="shared" si="0"/>
        <v>120</v>
      </c>
      <c r="Q124" s="64">
        <f t="shared" si="1"/>
        <v>365.26666666666665</v>
      </c>
      <c r="R124" s="64">
        <f t="shared" si="2"/>
        <v>12.39776611328125</v>
      </c>
      <c r="S124" s="64">
        <f t="shared" si="3"/>
        <v>19</v>
      </c>
      <c r="T124" s="64">
        <f t="shared" si="4"/>
        <v>85.228888888888889</v>
      </c>
      <c r="U124" s="64" t="str">
        <f t="shared" si="5"/>
        <v>61-90</v>
      </c>
      <c r="V124" s="64" t="str">
        <f t="shared" si="6"/>
        <v>10-20 Гб</v>
      </c>
    </row>
    <row r="125" spans="1:22" ht="15.75" customHeight="1" x14ac:dyDescent="0.25">
      <c r="A125" s="62" t="s">
        <v>216</v>
      </c>
      <c r="B125" s="56">
        <v>37685</v>
      </c>
      <c r="C125" s="62" t="s">
        <v>88</v>
      </c>
      <c r="D125" s="62" t="s">
        <v>84</v>
      </c>
      <c r="E125" s="62" t="s">
        <v>85</v>
      </c>
      <c r="F125" s="62" t="s">
        <v>93</v>
      </c>
      <c r="G125" s="56">
        <v>43176</v>
      </c>
      <c r="H125" s="62">
        <v>5</v>
      </c>
      <c r="I125" s="62">
        <v>36652</v>
      </c>
      <c r="J125" s="62">
        <v>12000000</v>
      </c>
      <c r="P125" s="63">
        <f t="shared" si="0"/>
        <v>120</v>
      </c>
      <c r="Q125" s="64">
        <f t="shared" si="1"/>
        <v>152.71666666666667</v>
      </c>
      <c r="R125" s="64">
        <f t="shared" si="2"/>
        <v>2.86102294921875</v>
      </c>
      <c r="S125" s="64">
        <f t="shared" si="3"/>
        <v>19</v>
      </c>
      <c r="T125" s="64">
        <f t="shared" si="4"/>
        <v>35.63388888888889</v>
      </c>
      <c r="U125" s="64" t="str">
        <f t="shared" si="5"/>
        <v>35-60</v>
      </c>
      <c r="V125" s="64" t="str">
        <f t="shared" si="6"/>
        <v>&lt;10 Гб</v>
      </c>
    </row>
    <row r="126" spans="1:22" ht="15.75" customHeight="1" x14ac:dyDescent="0.25">
      <c r="A126" s="62" t="s">
        <v>217</v>
      </c>
      <c r="B126" s="56">
        <v>37683</v>
      </c>
      <c r="C126" s="62" t="s">
        <v>88</v>
      </c>
      <c r="D126" s="62" t="s">
        <v>84</v>
      </c>
      <c r="E126" s="62" t="s">
        <v>85</v>
      </c>
      <c r="F126" s="62" t="s">
        <v>89</v>
      </c>
      <c r="G126" s="56">
        <v>44407</v>
      </c>
      <c r="H126" s="62">
        <v>5</v>
      </c>
      <c r="I126" s="62">
        <v>24136</v>
      </c>
      <c r="J126" s="62">
        <v>56000000</v>
      </c>
      <c r="P126" s="63">
        <f t="shared" si="0"/>
        <v>120</v>
      </c>
      <c r="Q126" s="64">
        <f t="shared" si="1"/>
        <v>100.56666666666666</v>
      </c>
      <c r="R126" s="64">
        <f t="shared" si="2"/>
        <v>13.3514404296875</v>
      </c>
      <c r="S126" s="64">
        <f t="shared" si="3"/>
        <v>19</v>
      </c>
      <c r="T126" s="64">
        <f t="shared" si="4"/>
        <v>23.465555555555557</v>
      </c>
      <c r="U126" s="64" t="str">
        <f t="shared" si="5"/>
        <v>&lt;35</v>
      </c>
      <c r="V126" s="64" t="str">
        <f t="shared" si="6"/>
        <v>10-20 Гб</v>
      </c>
    </row>
    <row r="127" spans="1:22" ht="15.75" customHeight="1" x14ac:dyDescent="0.25">
      <c r="A127" s="62" t="s">
        <v>218</v>
      </c>
      <c r="B127" s="56">
        <v>37679</v>
      </c>
      <c r="C127" s="62" t="s">
        <v>83</v>
      </c>
      <c r="D127" s="62" t="s">
        <v>84</v>
      </c>
      <c r="E127" s="62" t="s">
        <v>92</v>
      </c>
      <c r="F127" s="62" t="s">
        <v>89</v>
      </c>
      <c r="G127" s="56">
        <v>43326</v>
      </c>
      <c r="H127" s="62">
        <v>5</v>
      </c>
      <c r="I127" s="62">
        <v>28344</v>
      </c>
      <c r="J127" s="62">
        <v>152000000</v>
      </c>
      <c r="K127" s="62">
        <v>1</v>
      </c>
      <c r="P127" s="63">
        <f t="shared" si="0"/>
        <v>120</v>
      </c>
      <c r="Q127" s="64">
        <f t="shared" si="1"/>
        <v>118.1</v>
      </c>
      <c r="R127" s="64">
        <f t="shared" si="2"/>
        <v>36.2396240234375</v>
      </c>
      <c r="S127" s="64">
        <f t="shared" si="3"/>
        <v>19</v>
      </c>
      <c r="T127" s="64">
        <f t="shared" si="4"/>
        <v>27.556666666666665</v>
      </c>
      <c r="U127" s="64" t="str">
        <f t="shared" si="5"/>
        <v>&lt;35</v>
      </c>
      <c r="V127" s="64" t="str">
        <f t="shared" si="6"/>
        <v>31-40 Гб</v>
      </c>
    </row>
    <row r="128" spans="1:22" ht="15.75" customHeight="1" x14ac:dyDescent="0.25">
      <c r="A128" s="62" t="s">
        <v>219</v>
      </c>
      <c r="B128" s="56">
        <v>37670</v>
      </c>
      <c r="C128" s="62" t="s">
        <v>83</v>
      </c>
      <c r="D128" s="62" t="s">
        <v>84</v>
      </c>
      <c r="E128" s="62" t="s">
        <v>92</v>
      </c>
      <c r="F128" s="62" t="s">
        <v>96</v>
      </c>
      <c r="G128" s="56">
        <v>44223</v>
      </c>
      <c r="H128" s="62">
        <v>5</v>
      </c>
      <c r="I128" s="62">
        <v>17512</v>
      </c>
      <c r="J128" s="62">
        <v>88000000</v>
      </c>
      <c r="P128" s="63">
        <f t="shared" si="0"/>
        <v>120</v>
      </c>
      <c r="Q128" s="64">
        <f t="shared" si="1"/>
        <v>72.966666666666669</v>
      </c>
      <c r="R128" s="64">
        <f t="shared" si="2"/>
        <v>20.9808349609375</v>
      </c>
      <c r="S128" s="64">
        <f t="shared" si="3"/>
        <v>19</v>
      </c>
      <c r="T128" s="64">
        <f t="shared" si="4"/>
        <v>17.025555555555556</v>
      </c>
      <c r="U128" s="64" t="str">
        <f t="shared" si="5"/>
        <v>&lt;35</v>
      </c>
      <c r="V128" s="64" t="str">
        <f t="shared" si="6"/>
        <v>21-30 Гб</v>
      </c>
    </row>
    <row r="129" spans="1:22" ht="15.75" customHeight="1" x14ac:dyDescent="0.25">
      <c r="A129" s="62" t="s">
        <v>220</v>
      </c>
      <c r="B129" s="56">
        <v>37668</v>
      </c>
      <c r="C129" s="62" t="s">
        <v>88</v>
      </c>
      <c r="D129" s="62" t="s">
        <v>84</v>
      </c>
      <c r="E129" s="62" t="s">
        <v>85</v>
      </c>
      <c r="F129" s="62" t="s">
        <v>96</v>
      </c>
      <c r="G129" s="56">
        <v>43401</v>
      </c>
      <c r="H129" s="62">
        <v>5</v>
      </c>
      <c r="I129" s="62">
        <v>46436</v>
      </c>
      <c r="J129" s="62">
        <v>100000000</v>
      </c>
      <c r="N129" s="62">
        <v>1</v>
      </c>
      <c r="P129" s="63">
        <f t="shared" si="0"/>
        <v>120</v>
      </c>
      <c r="Q129" s="64">
        <f t="shared" si="1"/>
        <v>193.48333333333332</v>
      </c>
      <c r="R129" s="64">
        <f t="shared" si="2"/>
        <v>23.84185791015625</v>
      </c>
      <c r="S129" s="64">
        <f t="shared" si="3"/>
        <v>19</v>
      </c>
      <c r="T129" s="64">
        <f t="shared" si="4"/>
        <v>45.146111111111104</v>
      </c>
      <c r="U129" s="64" t="str">
        <f t="shared" si="5"/>
        <v>35-60</v>
      </c>
      <c r="V129" s="64" t="str">
        <f t="shared" si="6"/>
        <v>21-30 Гб</v>
      </c>
    </row>
    <row r="130" spans="1:22" ht="15.75" customHeight="1" x14ac:dyDescent="0.25">
      <c r="A130" s="62" t="s">
        <v>221</v>
      </c>
      <c r="B130" s="56">
        <v>37660</v>
      </c>
      <c r="C130" s="62" t="s">
        <v>83</v>
      </c>
      <c r="D130" s="62" t="s">
        <v>84</v>
      </c>
      <c r="E130" s="62" t="s">
        <v>85</v>
      </c>
      <c r="F130" s="62" t="s">
        <v>89</v>
      </c>
      <c r="G130" s="56">
        <v>44643</v>
      </c>
      <c r="H130" s="62">
        <v>1</v>
      </c>
      <c r="I130" s="62">
        <v>3688</v>
      </c>
      <c r="J130" s="62">
        <v>44200000</v>
      </c>
      <c r="P130" s="63">
        <f t="shared" si="0"/>
        <v>39</v>
      </c>
      <c r="Q130" s="64">
        <f t="shared" si="1"/>
        <v>47.282051282051277</v>
      </c>
      <c r="R130" s="64">
        <f t="shared" si="2"/>
        <v>32.4249267578125</v>
      </c>
      <c r="S130" s="64">
        <f t="shared" si="3"/>
        <v>19</v>
      </c>
      <c r="T130" s="64">
        <f t="shared" si="4"/>
        <v>11.032478632478632</v>
      </c>
      <c r="U130" s="64" t="str">
        <f t="shared" si="5"/>
        <v>&lt;35</v>
      </c>
      <c r="V130" s="64" t="str">
        <f t="shared" si="6"/>
        <v>31-40 Гб</v>
      </c>
    </row>
    <row r="131" spans="1:22" ht="15.75" customHeight="1" x14ac:dyDescent="0.25">
      <c r="A131" s="62" t="s">
        <v>222</v>
      </c>
      <c r="B131" s="56">
        <v>37660</v>
      </c>
      <c r="C131" s="62" t="s">
        <v>83</v>
      </c>
      <c r="D131" s="62" t="s">
        <v>84</v>
      </c>
      <c r="E131" s="62" t="s">
        <v>92</v>
      </c>
      <c r="F131" s="62" t="s">
        <v>96</v>
      </c>
      <c r="G131" s="56">
        <v>44530</v>
      </c>
      <c r="H131" s="62">
        <v>5</v>
      </c>
      <c r="I131" s="62">
        <v>80564</v>
      </c>
      <c r="J131" s="62">
        <v>36000000</v>
      </c>
      <c r="P131" s="63">
        <f t="shared" si="0"/>
        <v>120</v>
      </c>
      <c r="Q131" s="64">
        <f t="shared" si="1"/>
        <v>335.68333333333334</v>
      </c>
      <c r="R131" s="64">
        <f t="shared" si="2"/>
        <v>8.58306884765625</v>
      </c>
      <c r="S131" s="64">
        <f t="shared" si="3"/>
        <v>19</v>
      </c>
      <c r="T131" s="64">
        <f t="shared" si="4"/>
        <v>78.326111111111103</v>
      </c>
      <c r="U131" s="64" t="str">
        <f t="shared" si="5"/>
        <v>61-90</v>
      </c>
      <c r="V131" s="64" t="str">
        <f t="shared" si="6"/>
        <v>&lt;10 Гб</v>
      </c>
    </row>
    <row r="132" spans="1:22" ht="15.75" customHeight="1" x14ac:dyDescent="0.25">
      <c r="A132" s="62" t="s">
        <v>223</v>
      </c>
      <c r="B132" s="56">
        <v>37646</v>
      </c>
      <c r="C132" s="62" t="s">
        <v>88</v>
      </c>
      <c r="D132" s="62" t="s">
        <v>84</v>
      </c>
      <c r="E132" s="62" t="s">
        <v>85</v>
      </c>
      <c r="F132" s="62" t="s">
        <v>89</v>
      </c>
      <c r="G132" s="56">
        <v>43428</v>
      </c>
      <c r="H132" s="62">
        <v>5</v>
      </c>
      <c r="I132" s="62">
        <v>23332</v>
      </c>
      <c r="J132" s="62">
        <v>36000000</v>
      </c>
      <c r="P132" s="63">
        <f t="shared" si="0"/>
        <v>120</v>
      </c>
      <c r="Q132" s="64">
        <f t="shared" si="1"/>
        <v>97.216666666666669</v>
      </c>
      <c r="R132" s="64">
        <f t="shared" si="2"/>
        <v>8.58306884765625</v>
      </c>
      <c r="S132" s="64">
        <f t="shared" si="3"/>
        <v>19</v>
      </c>
      <c r="T132" s="64">
        <f t="shared" si="4"/>
        <v>22.683888888888887</v>
      </c>
      <c r="U132" s="64" t="str">
        <f t="shared" si="5"/>
        <v>&lt;35</v>
      </c>
      <c r="V132" s="64" t="str">
        <f t="shared" si="6"/>
        <v>&lt;10 Гб</v>
      </c>
    </row>
    <row r="133" spans="1:22" ht="15.75" customHeight="1" x14ac:dyDescent="0.25">
      <c r="A133" s="62" t="s">
        <v>224</v>
      </c>
      <c r="B133" s="56">
        <v>37644</v>
      </c>
      <c r="C133" s="62" t="s">
        <v>88</v>
      </c>
      <c r="D133" s="62" t="s">
        <v>84</v>
      </c>
      <c r="E133" s="62" t="s">
        <v>92</v>
      </c>
      <c r="F133" s="62" t="s">
        <v>96</v>
      </c>
      <c r="G133" s="56">
        <v>44151</v>
      </c>
      <c r="H133" s="62">
        <v>5</v>
      </c>
      <c r="I133" s="62">
        <v>56448</v>
      </c>
      <c r="J133" s="62">
        <v>88000000</v>
      </c>
      <c r="K133" s="62">
        <v>1</v>
      </c>
      <c r="L133" s="62">
        <v>1</v>
      </c>
      <c r="O133" s="62">
        <v>1</v>
      </c>
      <c r="P133" s="63">
        <f t="shared" si="0"/>
        <v>120</v>
      </c>
      <c r="Q133" s="64">
        <f t="shared" si="1"/>
        <v>235.2</v>
      </c>
      <c r="R133" s="64">
        <f t="shared" si="2"/>
        <v>20.9808349609375</v>
      </c>
      <c r="S133" s="64">
        <f t="shared" si="3"/>
        <v>19</v>
      </c>
      <c r="T133" s="64">
        <f t="shared" si="4"/>
        <v>54.879999999999995</v>
      </c>
      <c r="U133" s="64" t="str">
        <f t="shared" si="5"/>
        <v>35-60</v>
      </c>
      <c r="V133" s="64" t="str">
        <f t="shared" si="6"/>
        <v>21-30 Гб</v>
      </c>
    </row>
    <row r="134" spans="1:22" ht="15.75" customHeight="1" x14ac:dyDescent="0.25">
      <c r="A134" s="62" t="s">
        <v>225</v>
      </c>
      <c r="B134" s="56">
        <v>37641</v>
      </c>
      <c r="C134" s="62" t="s">
        <v>83</v>
      </c>
      <c r="D134" s="62" t="s">
        <v>84</v>
      </c>
      <c r="E134" s="62" t="s">
        <v>85</v>
      </c>
      <c r="F134" s="62" t="s">
        <v>96</v>
      </c>
      <c r="G134" s="56">
        <v>44456</v>
      </c>
      <c r="H134" s="62">
        <v>5</v>
      </c>
      <c r="I134" s="62">
        <v>95896</v>
      </c>
      <c r="J134" s="62">
        <v>88000000</v>
      </c>
      <c r="P134" s="63">
        <f t="shared" si="0"/>
        <v>120</v>
      </c>
      <c r="Q134" s="64">
        <f t="shared" si="1"/>
        <v>399.56666666666666</v>
      </c>
      <c r="R134" s="64">
        <f t="shared" si="2"/>
        <v>20.9808349609375</v>
      </c>
      <c r="S134" s="64">
        <f t="shared" si="3"/>
        <v>19</v>
      </c>
      <c r="T134" s="64">
        <f t="shared" si="4"/>
        <v>93.232222222222219</v>
      </c>
      <c r="U134" s="64" t="str">
        <f t="shared" si="5"/>
        <v>91-120</v>
      </c>
      <c r="V134" s="64" t="str">
        <f t="shared" si="6"/>
        <v>21-30 Гб</v>
      </c>
    </row>
    <row r="135" spans="1:22" ht="15.75" customHeight="1" x14ac:dyDescent="0.25">
      <c r="A135" s="62" t="s">
        <v>226</v>
      </c>
      <c r="B135" s="56">
        <v>37640</v>
      </c>
      <c r="C135" s="62" t="s">
        <v>83</v>
      </c>
      <c r="D135" s="62" t="s">
        <v>84</v>
      </c>
      <c r="E135" s="62" t="s">
        <v>92</v>
      </c>
      <c r="F135" s="62" t="s">
        <v>96</v>
      </c>
      <c r="G135" s="56">
        <v>42852</v>
      </c>
      <c r="H135" s="62">
        <v>5</v>
      </c>
      <c r="I135" s="62">
        <v>21880</v>
      </c>
      <c r="J135" s="62">
        <v>100000000</v>
      </c>
      <c r="P135" s="63">
        <f t="shared" si="0"/>
        <v>120</v>
      </c>
      <c r="Q135" s="64">
        <f t="shared" si="1"/>
        <v>91.166666666666671</v>
      </c>
      <c r="R135" s="64">
        <f t="shared" si="2"/>
        <v>23.84185791015625</v>
      </c>
      <c r="S135" s="64">
        <f t="shared" si="3"/>
        <v>19</v>
      </c>
      <c r="T135" s="64">
        <f t="shared" si="4"/>
        <v>21.272222222222226</v>
      </c>
      <c r="U135" s="64" t="str">
        <f t="shared" si="5"/>
        <v>&lt;35</v>
      </c>
      <c r="V135" s="64" t="str">
        <f t="shared" si="6"/>
        <v>21-30 Гб</v>
      </c>
    </row>
    <row r="136" spans="1:22" ht="15.75" customHeight="1" x14ac:dyDescent="0.25">
      <c r="A136" s="62" t="s">
        <v>227</v>
      </c>
      <c r="B136" s="56">
        <v>37638</v>
      </c>
      <c r="C136" s="62" t="s">
        <v>83</v>
      </c>
      <c r="D136" s="62" t="s">
        <v>84</v>
      </c>
      <c r="E136" s="62" t="s">
        <v>92</v>
      </c>
      <c r="F136" s="62" t="s">
        <v>96</v>
      </c>
      <c r="G136" s="56">
        <v>44140</v>
      </c>
      <c r="H136" s="62">
        <v>5</v>
      </c>
      <c r="I136" s="62">
        <v>38692</v>
      </c>
      <c r="J136" s="62">
        <v>76000000</v>
      </c>
      <c r="P136" s="63">
        <f t="shared" si="0"/>
        <v>120</v>
      </c>
      <c r="Q136" s="64">
        <f t="shared" si="1"/>
        <v>161.21666666666667</v>
      </c>
      <c r="R136" s="64">
        <f t="shared" si="2"/>
        <v>18.11981201171875</v>
      </c>
      <c r="S136" s="64">
        <f t="shared" si="3"/>
        <v>19</v>
      </c>
      <c r="T136" s="64">
        <f t="shared" si="4"/>
        <v>37.617222222222225</v>
      </c>
      <c r="U136" s="64" t="str">
        <f t="shared" si="5"/>
        <v>35-60</v>
      </c>
      <c r="V136" s="64" t="str">
        <f t="shared" si="6"/>
        <v>10-20 Гб</v>
      </c>
    </row>
    <row r="137" spans="1:22" ht="15.75" customHeight="1" x14ac:dyDescent="0.25">
      <c r="A137" s="62" t="s">
        <v>228</v>
      </c>
      <c r="B137" s="56">
        <v>37633</v>
      </c>
      <c r="C137" s="62" t="s">
        <v>83</v>
      </c>
      <c r="D137" s="62" t="s">
        <v>84</v>
      </c>
      <c r="E137" s="62" t="s">
        <v>85</v>
      </c>
      <c r="F137" s="62" t="s">
        <v>100</v>
      </c>
      <c r="G137" s="56">
        <v>42815</v>
      </c>
      <c r="H137" s="62">
        <v>5</v>
      </c>
      <c r="I137" s="62">
        <v>56292</v>
      </c>
      <c r="J137" s="62">
        <v>112000000</v>
      </c>
      <c r="P137" s="63">
        <f t="shared" si="0"/>
        <v>120</v>
      </c>
      <c r="Q137" s="64">
        <f t="shared" si="1"/>
        <v>234.55</v>
      </c>
      <c r="R137" s="64">
        <f t="shared" si="2"/>
        <v>26.702880859375</v>
      </c>
      <c r="S137" s="64">
        <f t="shared" si="3"/>
        <v>19</v>
      </c>
      <c r="T137" s="64">
        <f t="shared" si="4"/>
        <v>54.728333333333339</v>
      </c>
      <c r="U137" s="64" t="str">
        <f t="shared" si="5"/>
        <v>35-60</v>
      </c>
      <c r="V137" s="64" t="str">
        <f t="shared" si="6"/>
        <v>21-30 Гб</v>
      </c>
    </row>
    <row r="138" spans="1:22" ht="15.75" customHeight="1" x14ac:dyDescent="0.25">
      <c r="A138" s="62" t="s">
        <v>229</v>
      </c>
      <c r="B138" s="56">
        <v>37631</v>
      </c>
      <c r="C138" s="62" t="s">
        <v>88</v>
      </c>
      <c r="D138" s="62" t="s">
        <v>84</v>
      </c>
      <c r="E138" s="62" t="s">
        <v>85</v>
      </c>
      <c r="F138" s="62" t="s">
        <v>96</v>
      </c>
      <c r="G138" s="56">
        <v>44676</v>
      </c>
      <c r="H138" s="62">
        <v>0</v>
      </c>
      <c r="I138" s="62">
        <v>3519</v>
      </c>
      <c r="J138" s="62">
        <v>6000000</v>
      </c>
      <c r="P138" s="63">
        <f t="shared" si="0"/>
        <v>6</v>
      </c>
      <c r="Q138" s="64">
        <f t="shared" si="1"/>
        <v>293.25</v>
      </c>
      <c r="R138" s="64">
        <f t="shared" si="2"/>
        <v>28.6102294921875</v>
      </c>
      <c r="S138" s="64">
        <f t="shared" si="3"/>
        <v>19</v>
      </c>
      <c r="T138" s="64">
        <f t="shared" si="4"/>
        <v>68.424999999999997</v>
      </c>
      <c r="U138" s="64" t="str">
        <f t="shared" si="5"/>
        <v>61-90</v>
      </c>
      <c r="V138" s="64" t="str">
        <f t="shared" si="6"/>
        <v>21-30 Гб</v>
      </c>
    </row>
    <row r="139" spans="1:22" ht="15.75" customHeight="1" x14ac:dyDescent="0.25">
      <c r="A139" s="62" t="s">
        <v>230</v>
      </c>
      <c r="B139" s="56">
        <v>37630</v>
      </c>
      <c r="C139" s="62" t="s">
        <v>88</v>
      </c>
      <c r="D139" s="62" t="s">
        <v>84</v>
      </c>
      <c r="E139" s="62" t="s">
        <v>92</v>
      </c>
      <c r="F139" s="62" t="s">
        <v>96</v>
      </c>
      <c r="G139" s="56">
        <v>43318</v>
      </c>
      <c r="H139" s="62">
        <v>5</v>
      </c>
      <c r="I139" s="62">
        <v>78324</v>
      </c>
      <c r="J139" s="62">
        <v>56000000</v>
      </c>
      <c r="P139" s="63">
        <f t="shared" si="0"/>
        <v>120</v>
      </c>
      <c r="Q139" s="64">
        <f t="shared" si="1"/>
        <v>326.35000000000002</v>
      </c>
      <c r="R139" s="64">
        <f t="shared" si="2"/>
        <v>13.3514404296875</v>
      </c>
      <c r="S139" s="64">
        <f t="shared" si="3"/>
        <v>19</v>
      </c>
      <c r="T139" s="64">
        <f t="shared" si="4"/>
        <v>76.148333333333341</v>
      </c>
      <c r="U139" s="64" t="str">
        <f t="shared" si="5"/>
        <v>61-90</v>
      </c>
      <c r="V139" s="64" t="str">
        <f t="shared" si="6"/>
        <v>10-20 Гб</v>
      </c>
    </row>
    <row r="140" spans="1:22" ht="15.75" customHeight="1" x14ac:dyDescent="0.25">
      <c r="A140" s="62" t="s">
        <v>231</v>
      </c>
      <c r="B140" s="56">
        <v>37629</v>
      </c>
      <c r="C140" s="62" t="s">
        <v>88</v>
      </c>
      <c r="D140" s="62" t="s">
        <v>84</v>
      </c>
      <c r="E140" s="62" t="s">
        <v>92</v>
      </c>
      <c r="F140" s="62" t="s">
        <v>100</v>
      </c>
      <c r="G140" s="56">
        <v>43186</v>
      </c>
      <c r="H140" s="62">
        <v>5</v>
      </c>
      <c r="I140" s="62">
        <v>120036</v>
      </c>
      <c r="J140" s="62">
        <v>100000000</v>
      </c>
      <c r="N140" s="62">
        <v>1</v>
      </c>
      <c r="P140" s="63">
        <f t="shared" si="0"/>
        <v>120</v>
      </c>
      <c r="Q140" s="64">
        <f t="shared" si="1"/>
        <v>500.15</v>
      </c>
      <c r="R140" s="64">
        <f t="shared" si="2"/>
        <v>23.84185791015625</v>
      </c>
      <c r="S140" s="64">
        <f t="shared" si="3"/>
        <v>19</v>
      </c>
      <c r="T140" s="64">
        <f t="shared" si="4"/>
        <v>116.70166666666665</v>
      </c>
      <c r="U140" s="64" t="str">
        <f t="shared" si="5"/>
        <v>91-120</v>
      </c>
      <c r="V140" s="64" t="str">
        <f t="shared" si="6"/>
        <v>21-30 Гб</v>
      </c>
    </row>
    <row r="141" spans="1:22" ht="15.75" customHeight="1" x14ac:dyDescent="0.25">
      <c r="A141" s="62" t="s">
        <v>232</v>
      </c>
      <c r="B141" s="56">
        <v>37628</v>
      </c>
      <c r="C141" s="62" t="s">
        <v>88</v>
      </c>
      <c r="D141" s="62" t="s">
        <v>84</v>
      </c>
      <c r="E141" s="62" t="s">
        <v>92</v>
      </c>
      <c r="F141" s="62" t="s">
        <v>96</v>
      </c>
      <c r="G141" s="56">
        <v>42935</v>
      </c>
      <c r="H141" s="62">
        <v>5</v>
      </c>
      <c r="I141" s="62">
        <v>61768</v>
      </c>
      <c r="J141" s="62">
        <v>112000000</v>
      </c>
      <c r="P141" s="63">
        <f t="shared" si="0"/>
        <v>120</v>
      </c>
      <c r="Q141" s="64">
        <f t="shared" si="1"/>
        <v>257.36666666666667</v>
      </c>
      <c r="R141" s="64">
        <f t="shared" si="2"/>
        <v>26.702880859375</v>
      </c>
      <c r="S141" s="64">
        <f t="shared" si="3"/>
        <v>19</v>
      </c>
      <c r="T141" s="64">
        <f t="shared" si="4"/>
        <v>60.05222222222222</v>
      </c>
      <c r="U141" s="64" t="str">
        <f t="shared" si="5"/>
        <v>61-90</v>
      </c>
      <c r="V141" s="64" t="str">
        <f t="shared" si="6"/>
        <v>21-30 Гб</v>
      </c>
    </row>
    <row r="142" spans="1:22" ht="15.75" customHeight="1" x14ac:dyDescent="0.25">
      <c r="A142" s="62" t="s">
        <v>233</v>
      </c>
      <c r="B142" s="56">
        <v>37623</v>
      </c>
      <c r="C142" s="62" t="s">
        <v>83</v>
      </c>
      <c r="D142" s="62" t="s">
        <v>84</v>
      </c>
      <c r="E142" s="62" t="s">
        <v>92</v>
      </c>
      <c r="F142" s="62" t="s">
        <v>96</v>
      </c>
      <c r="G142" s="56">
        <v>44505</v>
      </c>
      <c r="H142" s="62">
        <v>5</v>
      </c>
      <c r="I142" s="62">
        <v>31452</v>
      </c>
      <c r="J142" s="62">
        <v>76000000</v>
      </c>
      <c r="K142" s="62">
        <v>1</v>
      </c>
      <c r="P142" s="63">
        <f t="shared" si="0"/>
        <v>120</v>
      </c>
      <c r="Q142" s="64">
        <f t="shared" si="1"/>
        <v>131.05000000000001</v>
      </c>
      <c r="R142" s="64">
        <f t="shared" si="2"/>
        <v>18.11981201171875</v>
      </c>
      <c r="S142" s="64">
        <f t="shared" si="3"/>
        <v>19</v>
      </c>
      <c r="T142" s="64">
        <f t="shared" si="4"/>
        <v>30.578333333333337</v>
      </c>
      <c r="U142" s="64" t="str">
        <f t="shared" si="5"/>
        <v>&lt;35</v>
      </c>
      <c r="V142" s="64" t="str">
        <f t="shared" si="6"/>
        <v>10-20 Гб</v>
      </c>
    </row>
    <row r="143" spans="1:22" ht="15.75" customHeight="1" x14ac:dyDescent="0.25">
      <c r="A143" s="62" t="s">
        <v>234</v>
      </c>
      <c r="B143" s="56">
        <v>37622</v>
      </c>
      <c r="C143" s="62" t="s">
        <v>83</v>
      </c>
      <c r="D143" s="62" t="s">
        <v>84</v>
      </c>
      <c r="E143" s="62" t="s">
        <v>85</v>
      </c>
      <c r="F143" s="62" t="s">
        <v>100</v>
      </c>
      <c r="G143" s="56">
        <v>43605</v>
      </c>
      <c r="H143" s="62">
        <v>5</v>
      </c>
      <c r="I143" s="62">
        <v>53180</v>
      </c>
      <c r="J143" s="62">
        <v>116000000</v>
      </c>
      <c r="L143" s="62">
        <v>1</v>
      </c>
      <c r="P143" s="63">
        <f t="shared" si="0"/>
        <v>120</v>
      </c>
      <c r="Q143" s="64">
        <f t="shared" si="1"/>
        <v>221.58333333333334</v>
      </c>
      <c r="R143" s="64">
        <f t="shared" si="2"/>
        <v>27.65655517578125</v>
      </c>
      <c r="S143" s="64">
        <f t="shared" si="3"/>
        <v>19</v>
      </c>
      <c r="T143" s="64">
        <f t="shared" si="4"/>
        <v>51.702777777777783</v>
      </c>
      <c r="U143" s="64" t="str">
        <f t="shared" si="5"/>
        <v>35-60</v>
      </c>
      <c r="V143" s="64" t="str">
        <f t="shared" si="6"/>
        <v>21-30 Гб</v>
      </c>
    </row>
    <row r="144" spans="1:22" ht="15.75" customHeight="1" x14ac:dyDescent="0.25">
      <c r="A144" s="62" t="s">
        <v>235</v>
      </c>
      <c r="B144" s="56">
        <v>37596</v>
      </c>
      <c r="C144" s="62" t="s">
        <v>88</v>
      </c>
      <c r="D144" s="62" t="s">
        <v>84</v>
      </c>
      <c r="E144" s="62" t="s">
        <v>85</v>
      </c>
      <c r="F144" s="62" t="s">
        <v>96</v>
      </c>
      <c r="G144" s="56">
        <v>42943</v>
      </c>
      <c r="H144" s="62">
        <v>5</v>
      </c>
      <c r="I144" s="62">
        <v>69444</v>
      </c>
      <c r="J144" s="62">
        <v>40000000</v>
      </c>
      <c r="L144" s="62">
        <v>1</v>
      </c>
      <c r="P144" s="63">
        <f t="shared" si="0"/>
        <v>120</v>
      </c>
      <c r="Q144" s="64">
        <f t="shared" si="1"/>
        <v>289.35000000000002</v>
      </c>
      <c r="R144" s="64">
        <f t="shared" si="2"/>
        <v>9.5367431640625</v>
      </c>
      <c r="S144" s="64">
        <f t="shared" si="3"/>
        <v>19</v>
      </c>
      <c r="T144" s="64">
        <f t="shared" si="4"/>
        <v>67.515000000000015</v>
      </c>
      <c r="U144" s="64" t="str">
        <f t="shared" si="5"/>
        <v>61-90</v>
      </c>
      <c r="V144" s="64" t="str">
        <f t="shared" si="6"/>
        <v>&lt;10 Гб</v>
      </c>
    </row>
    <row r="145" spans="1:22" ht="15.75" customHeight="1" x14ac:dyDescent="0.25">
      <c r="A145" s="62" t="s">
        <v>236</v>
      </c>
      <c r="B145" s="56">
        <v>37595</v>
      </c>
      <c r="C145" s="62" t="s">
        <v>83</v>
      </c>
      <c r="D145" s="62" t="s">
        <v>84</v>
      </c>
      <c r="E145" s="62" t="s">
        <v>92</v>
      </c>
      <c r="F145" s="62" t="s">
        <v>86</v>
      </c>
      <c r="G145" s="56">
        <v>43193</v>
      </c>
      <c r="H145" s="62">
        <v>5</v>
      </c>
      <c r="I145" s="62">
        <v>154928</v>
      </c>
      <c r="J145" s="62">
        <v>36000000</v>
      </c>
      <c r="P145" s="63">
        <f t="shared" si="0"/>
        <v>120</v>
      </c>
      <c r="Q145" s="64">
        <f t="shared" si="1"/>
        <v>645.5333333333333</v>
      </c>
      <c r="R145" s="64">
        <f t="shared" si="2"/>
        <v>8.58306884765625</v>
      </c>
      <c r="S145" s="64">
        <f t="shared" si="3"/>
        <v>19</v>
      </c>
      <c r="T145" s="64">
        <f t="shared" si="4"/>
        <v>150.62444444444446</v>
      </c>
      <c r="U145" s="64" t="str">
        <f t="shared" si="5"/>
        <v>120+</v>
      </c>
      <c r="V145" s="64" t="str">
        <f t="shared" si="6"/>
        <v>&lt;10 Гб</v>
      </c>
    </row>
    <row r="146" spans="1:22" ht="15.75" customHeight="1" x14ac:dyDescent="0.25">
      <c r="A146" s="62" t="s">
        <v>237</v>
      </c>
      <c r="B146" s="56">
        <v>37589</v>
      </c>
      <c r="C146" s="62" t="s">
        <v>83</v>
      </c>
      <c r="D146" s="62" t="s">
        <v>84</v>
      </c>
      <c r="E146" s="62" t="s">
        <v>85</v>
      </c>
      <c r="F146" s="62" t="s">
        <v>89</v>
      </c>
      <c r="G146" s="56">
        <v>43165</v>
      </c>
      <c r="H146" s="62">
        <v>5</v>
      </c>
      <c r="I146" s="62">
        <v>31800</v>
      </c>
      <c r="J146" s="62">
        <v>144000000</v>
      </c>
      <c r="P146" s="63">
        <f t="shared" si="0"/>
        <v>120</v>
      </c>
      <c r="Q146" s="64">
        <f t="shared" si="1"/>
        <v>132.5</v>
      </c>
      <c r="R146" s="64">
        <f t="shared" si="2"/>
        <v>34.332275390625</v>
      </c>
      <c r="S146" s="64">
        <f t="shared" si="3"/>
        <v>19</v>
      </c>
      <c r="T146" s="64">
        <f t="shared" si="4"/>
        <v>30.916666666666668</v>
      </c>
      <c r="U146" s="64" t="str">
        <f t="shared" si="5"/>
        <v>&lt;35</v>
      </c>
      <c r="V146" s="64" t="str">
        <f t="shared" si="6"/>
        <v>31-40 Гб</v>
      </c>
    </row>
    <row r="147" spans="1:22" ht="15.75" customHeight="1" x14ac:dyDescent="0.25">
      <c r="A147" s="62" t="s">
        <v>238</v>
      </c>
      <c r="B147" s="56">
        <v>37584</v>
      </c>
      <c r="C147" s="62" t="s">
        <v>88</v>
      </c>
      <c r="D147" s="62" t="s">
        <v>84</v>
      </c>
      <c r="E147" s="62" t="s">
        <v>85</v>
      </c>
      <c r="F147" s="62" t="s">
        <v>100</v>
      </c>
      <c r="G147" s="56">
        <v>43181</v>
      </c>
      <c r="H147" s="62">
        <v>5</v>
      </c>
      <c r="I147" s="62">
        <v>114960</v>
      </c>
      <c r="J147" s="62">
        <v>116000000</v>
      </c>
      <c r="P147" s="63">
        <f t="shared" si="0"/>
        <v>120</v>
      </c>
      <c r="Q147" s="64">
        <f t="shared" si="1"/>
        <v>479</v>
      </c>
      <c r="R147" s="64">
        <f t="shared" si="2"/>
        <v>27.65655517578125</v>
      </c>
      <c r="S147" s="64">
        <f t="shared" si="3"/>
        <v>19</v>
      </c>
      <c r="T147" s="64">
        <f t="shared" si="4"/>
        <v>111.76666666666667</v>
      </c>
      <c r="U147" s="64" t="str">
        <f t="shared" si="5"/>
        <v>91-120</v>
      </c>
      <c r="V147" s="64" t="str">
        <f t="shared" si="6"/>
        <v>21-30 Гб</v>
      </c>
    </row>
    <row r="148" spans="1:22" ht="15.75" customHeight="1" x14ac:dyDescent="0.25">
      <c r="A148" s="62" t="s">
        <v>239</v>
      </c>
      <c r="B148" s="56">
        <v>37578</v>
      </c>
      <c r="C148" s="62" t="s">
        <v>83</v>
      </c>
      <c r="D148" s="62" t="s">
        <v>84</v>
      </c>
      <c r="E148" s="62" t="s">
        <v>92</v>
      </c>
      <c r="F148" s="62" t="s">
        <v>96</v>
      </c>
      <c r="G148" s="56">
        <v>43631</v>
      </c>
      <c r="H148" s="62">
        <v>5</v>
      </c>
      <c r="I148" s="62">
        <v>19740</v>
      </c>
      <c r="J148" s="62">
        <v>48000000</v>
      </c>
      <c r="P148" s="63">
        <f t="shared" si="0"/>
        <v>120</v>
      </c>
      <c r="Q148" s="64">
        <f t="shared" si="1"/>
        <v>82.25</v>
      </c>
      <c r="R148" s="64">
        <f t="shared" si="2"/>
        <v>11.444091796875</v>
      </c>
      <c r="S148" s="64">
        <f t="shared" si="3"/>
        <v>19</v>
      </c>
      <c r="T148" s="64">
        <f t="shared" si="4"/>
        <v>19.191666666666666</v>
      </c>
      <c r="U148" s="64" t="str">
        <f t="shared" si="5"/>
        <v>&lt;35</v>
      </c>
      <c r="V148" s="64" t="str">
        <f t="shared" si="6"/>
        <v>10-20 Гб</v>
      </c>
    </row>
    <row r="149" spans="1:22" ht="15.75" customHeight="1" x14ac:dyDescent="0.25">
      <c r="A149" s="62" t="s">
        <v>240</v>
      </c>
      <c r="B149" s="56">
        <v>37576</v>
      </c>
      <c r="C149" s="62" t="s">
        <v>83</v>
      </c>
      <c r="D149" s="62" t="s">
        <v>84</v>
      </c>
      <c r="E149" s="62" t="s">
        <v>85</v>
      </c>
      <c r="F149" s="62" t="s">
        <v>100</v>
      </c>
      <c r="G149" s="56">
        <v>43808</v>
      </c>
      <c r="H149" s="62">
        <v>5</v>
      </c>
      <c r="I149" s="62">
        <v>71304</v>
      </c>
      <c r="J149" s="62">
        <v>140000000</v>
      </c>
      <c r="P149" s="63">
        <f t="shared" si="0"/>
        <v>120</v>
      </c>
      <c r="Q149" s="64">
        <f t="shared" si="1"/>
        <v>297.10000000000002</v>
      </c>
      <c r="R149" s="64">
        <f t="shared" si="2"/>
        <v>33.37860107421875</v>
      </c>
      <c r="S149" s="64">
        <f t="shared" si="3"/>
        <v>19</v>
      </c>
      <c r="T149" s="64">
        <f t="shared" si="4"/>
        <v>69.323333333333338</v>
      </c>
      <c r="U149" s="64" t="str">
        <f t="shared" si="5"/>
        <v>61-90</v>
      </c>
      <c r="V149" s="64" t="str">
        <f t="shared" si="6"/>
        <v>31-40 Гб</v>
      </c>
    </row>
    <row r="150" spans="1:22" ht="15.75" customHeight="1" x14ac:dyDescent="0.25">
      <c r="A150" s="62" t="s">
        <v>241</v>
      </c>
      <c r="B150" s="56">
        <v>37574</v>
      </c>
      <c r="C150" s="62" t="s">
        <v>88</v>
      </c>
      <c r="D150" s="62" t="s">
        <v>84</v>
      </c>
      <c r="E150" s="62" t="s">
        <v>85</v>
      </c>
      <c r="F150" s="62" t="s">
        <v>100</v>
      </c>
      <c r="G150" s="56">
        <v>43448</v>
      </c>
      <c r="H150" s="62">
        <v>5</v>
      </c>
      <c r="I150" s="62">
        <v>111704</v>
      </c>
      <c r="J150" s="62">
        <v>4000000</v>
      </c>
      <c r="P150" s="63">
        <f t="shared" si="0"/>
        <v>120</v>
      </c>
      <c r="Q150" s="64">
        <f t="shared" si="1"/>
        <v>465.43333333333334</v>
      </c>
      <c r="R150" s="64">
        <f t="shared" si="2"/>
        <v>0.95367431640625011</v>
      </c>
      <c r="S150" s="64">
        <f t="shared" si="3"/>
        <v>19</v>
      </c>
      <c r="T150" s="64">
        <f t="shared" si="4"/>
        <v>108.60111111111111</v>
      </c>
      <c r="U150" s="64" t="str">
        <f t="shared" si="5"/>
        <v>91-120</v>
      </c>
      <c r="V150" s="64" t="str">
        <f t="shared" si="6"/>
        <v>&lt;10 Гб</v>
      </c>
    </row>
    <row r="151" spans="1:22" ht="15.75" customHeight="1" x14ac:dyDescent="0.25">
      <c r="A151" s="62" t="s">
        <v>242</v>
      </c>
      <c r="B151" s="56">
        <v>37573</v>
      </c>
      <c r="C151" s="62" t="s">
        <v>83</v>
      </c>
      <c r="D151" s="62" t="s">
        <v>84</v>
      </c>
      <c r="E151" s="62" t="s">
        <v>85</v>
      </c>
      <c r="F151" s="62" t="s">
        <v>96</v>
      </c>
      <c r="G151" s="56">
        <v>43611</v>
      </c>
      <c r="H151" s="62">
        <v>5</v>
      </c>
      <c r="I151" s="62">
        <v>17832</v>
      </c>
      <c r="J151" s="62">
        <v>120000000</v>
      </c>
      <c r="P151" s="63">
        <f t="shared" si="0"/>
        <v>120</v>
      </c>
      <c r="Q151" s="64">
        <f t="shared" si="1"/>
        <v>74.3</v>
      </c>
      <c r="R151" s="64">
        <f t="shared" si="2"/>
        <v>28.6102294921875</v>
      </c>
      <c r="S151" s="64">
        <f t="shared" si="3"/>
        <v>19</v>
      </c>
      <c r="T151" s="64">
        <f t="shared" si="4"/>
        <v>17.336666666666666</v>
      </c>
      <c r="U151" s="64" t="str">
        <f t="shared" si="5"/>
        <v>&lt;35</v>
      </c>
      <c r="V151" s="64" t="str">
        <f t="shared" si="6"/>
        <v>21-30 Гб</v>
      </c>
    </row>
    <row r="152" spans="1:22" ht="15.75" customHeight="1" x14ac:dyDescent="0.25">
      <c r="A152" s="62" t="s">
        <v>243</v>
      </c>
      <c r="B152" s="56">
        <v>37570</v>
      </c>
      <c r="C152" s="62" t="s">
        <v>88</v>
      </c>
      <c r="D152" s="62" t="s">
        <v>84</v>
      </c>
      <c r="E152" s="62" t="s">
        <v>92</v>
      </c>
      <c r="F152" s="62" t="s">
        <v>89</v>
      </c>
      <c r="G152" s="56">
        <v>44582</v>
      </c>
      <c r="H152" s="62">
        <v>3</v>
      </c>
      <c r="I152" s="62">
        <v>30000</v>
      </c>
      <c r="J152" s="62">
        <v>110000000</v>
      </c>
      <c r="P152" s="63">
        <f t="shared" si="0"/>
        <v>100</v>
      </c>
      <c r="Q152" s="64">
        <f t="shared" si="1"/>
        <v>150</v>
      </c>
      <c r="R152" s="64">
        <f t="shared" si="2"/>
        <v>31.47125244140625</v>
      </c>
      <c r="S152" s="64">
        <f t="shared" si="3"/>
        <v>19</v>
      </c>
      <c r="T152" s="64">
        <f t="shared" si="4"/>
        <v>35</v>
      </c>
      <c r="U152" s="64" t="str">
        <f t="shared" si="5"/>
        <v>&lt;35</v>
      </c>
      <c r="V152" s="64" t="str">
        <f t="shared" si="6"/>
        <v>31-40 Гб</v>
      </c>
    </row>
    <row r="153" spans="1:22" ht="15.75" customHeight="1" x14ac:dyDescent="0.25">
      <c r="A153" s="62" t="s">
        <v>244</v>
      </c>
      <c r="B153" s="56">
        <v>37563</v>
      </c>
      <c r="C153" s="62" t="s">
        <v>83</v>
      </c>
      <c r="D153" s="62" t="s">
        <v>84</v>
      </c>
      <c r="E153" s="62" t="s">
        <v>92</v>
      </c>
      <c r="F153" s="62" t="s">
        <v>96</v>
      </c>
      <c r="G153" s="56">
        <v>43494</v>
      </c>
      <c r="H153" s="62">
        <v>5</v>
      </c>
      <c r="I153" s="62">
        <v>50900</v>
      </c>
      <c r="J153" s="62">
        <v>116000000</v>
      </c>
      <c r="P153" s="63">
        <f t="shared" si="0"/>
        <v>120</v>
      </c>
      <c r="Q153" s="64">
        <f t="shared" si="1"/>
        <v>212.08333333333334</v>
      </c>
      <c r="R153" s="64">
        <f t="shared" si="2"/>
        <v>27.65655517578125</v>
      </c>
      <c r="S153" s="64">
        <f t="shared" si="3"/>
        <v>19</v>
      </c>
      <c r="T153" s="64">
        <f t="shared" si="4"/>
        <v>49.486111111111114</v>
      </c>
      <c r="U153" s="64" t="str">
        <f t="shared" si="5"/>
        <v>35-60</v>
      </c>
      <c r="V153" s="64" t="str">
        <f t="shared" si="6"/>
        <v>21-30 Гб</v>
      </c>
    </row>
    <row r="154" spans="1:22" ht="15.75" customHeight="1" x14ac:dyDescent="0.25">
      <c r="A154" s="62" t="s">
        <v>245</v>
      </c>
      <c r="B154" s="56">
        <v>37558</v>
      </c>
      <c r="C154" s="62" t="s">
        <v>83</v>
      </c>
      <c r="D154" s="62" t="s">
        <v>84</v>
      </c>
      <c r="E154" s="62" t="s">
        <v>92</v>
      </c>
      <c r="F154" s="62" t="s">
        <v>100</v>
      </c>
      <c r="G154" s="56">
        <v>42839</v>
      </c>
      <c r="H154" s="62">
        <v>5</v>
      </c>
      <c r="I154" s="62">
        <v>115144</v>
      </c>
      <c r="J154" s="62">
        <v>124000000</v>
      </c>
      <c r="O154" s="62">
        <v>1</v>
      </c>
      <c r="P154" s="63">
        <f t="shared" si="0"/>
        <v>120</v>
      </c>
      <c r="Q154" s="64">
        <f t="shared" si="1"/>
        <v>479.76666666666665</v>
      </c>
      <c r="R154" s="64">
        <f t="shared" si="2"/>
        <v>29.56390380859375</v>
      </c>
      <c r="S154" s="64">
        <f t="shared" si="3"/>
        <v>19</v>
      </c>
      <c r="T154" s="64">
        <f t="shared" si="4"/>
        <v>111.94555555555556</v>
      </c>
      <c r="U154" s="64" t="str">
        <f t="shared" si="5"/>
        <v>91-120</v>
      </c>
      <c r="V154" s="64" t="str">
        <f t="shared" si="6"/>
        <v>21-30 Гб</v>
      </c>
    </row>
    <row r="155" spans="1:22" ht="15.75" customHeight="1" x14ac:dyDescent="0.25">
      <c r="A155" s="62" t="s">
        <v>246</v>
      </c>
      <c r="B155" s="56">
        <v>37554</v>
      </c>
      <c r="C155" s="62" t="s">
        <v>88</v>
      </c>
      <c r="D155" s="62" t="s">
        <v>84</v>
      </c>
      <c r="E155" s="62" t="s">
        <v>85</v>
      </c>
      <c r="F155" s="62" t="s">
        <v>100</v>
      </c>
      <c r="G155" s="56">
        <v>44070</v>
      </c>
      <c r="H155" s="62">
        <v>5</v>
      </c>
      <c r="I155" s="62">
        <v>69792</v>
      </c>
      <c r="J155" s="62">
        <v>128000000</v>
      </c>
      <c r="K155" s="62">
        <v>1</v>
      </c>
      <c r="L155" s="62">
        <v>1</v>
      </c>
      <c r="P155" s="63">
        <f t="shared" si="0"/>
        <v>120</v>
      </c>
      <c r="Q155" s="64">
        <f t="shared" si="1"/>
        <v>290.8</v>
      </c>
      <c r="R155" s="64">
        <f t="shared" si="2"/>
        <v>30.517578125000004</v>
      </c>
      <c r="S155" s="64">
        <f t="shared" si="3"/>
        <v>19</v>
      </c>
      <c r="T155" s="64">
        <f t="shared" si="4"/>
        <v>67.853333333333339</v>
      </c>
      <c r="U155" s="64" t="str">
        <f t="shared" si="5"/>
        <v>61-90</v>
      </c>
      <c r="V155" s="64" t="str">
        <f t="shared" si="6"/>
        <v>31-40 Гб</v>
      </c>
    </row>
    <row r="156" spans="1:22" ht="15.75" customHeight="1" x14ac:dyDescent="0.25">
      <c r="A156" s="62" t="s">
        <v>247</v>
      </c>
      <c r="B156" s="56">
        <v>37550</v>
      </c>
      <c r="C156" s="62" t="s">
        <v>88</v>
      </c>
      <c r="D156" s="62" t="s">
        <v>84</v>
      </c>
      <c r="E156" s="62" t="s">
        <v>85</v>
      </c>
      <c r="F156" s="62" t="s">
        <v>89</v>
      </c>
      <c r="G156" s="56">
        <v>44133</v>
      </c>
      <c r="H156" s="62">
        <v>5</v>
      </c>
      <c r="I156" s="62">
        <v>24452</v>
      </c>
      <c r="J156" s="62">
        <v>152000000</v>
      </c>
      <c r="P156" s="63">
        <f t="shared" si="0"/>
        <v>120</v>
      </c>
      <c r="Q156" s="64">
        <f t="shared" si="1"/>
        <v>101.88333333333334</v>
      </c>
      <c r="R156" s="64">
        <f t="shared" si="2"/>
        <v>36.2396240234375</v>
      </c>
      <c r="S156" s="64">
        <f t="shared" si="3"/>
        <v>19</v>
      </c>
      <c r="T156" s="64">
        <f t="shared" si="4"/>
        <v>23.77277777777778</v>
      </c>
      <c r="U156" s="64" t="str">
        <f t="shared" si="5"/>
        <v>&lt;35</v>
      </c>
      <c r="V156" s="64" t="str">
        <f t="shared" si="6"/>
        <v>31-40 Гб</v>
      </c>
    </row>
    <row r="157" spans="1:22" ht="15.75" customHeight="1" x14ac:dyDescent="0.25">
      <c r="A157" s="62" t="s">
        <v>248</v>
      </c>
      <c r="B157" s="56">
        <v>37546</v>
      </c>
      <c r="C157" s="62" t="s">
        <v>83</v>
      </c>
      <c r="D157" s="62" t="s">
        <v>84</v>
      </c>
      <c r="E157" s="62" t="s">
        <v>92</v>
      </c>
      <c r="F157" s="62" t="s">
        <v>96</v>
      </c>
      <c r="G157" s="56">
        <v>43673</v>
      </c>
      <c r="H157" s="62">
        <v>5</v>
      </c>
      <c r="I157" s="62">
        <v>9164</v>
      </c>
      <c r="J157" s="62">
        <v>44000000</v>
      </c>
      <c r="P157" s="63">
        <f t="shared" si="0"/>
        <v>120</v>
      </c>
      <c r="Q157" s="64">
        <f t="shared" si="1"/>
        <v>38.18333333333333</v>
      </c>
      <c r="R157" s="64">
        <f t="shared" si="2"/>
        <v>10.49041748046875</v>
      </c>
      <c r="S157" s="64">
        <f t="shared" si="3"/>
        <v>19</v>
      </c>
      <c r="T157" s="64">
        <f t="shared" si="4"/>
        <v>8.9094444444444427</v>
      </c>
      <c r="U157" s="64" t="str">
        <f t="shared" si="5"/>
        <v>&lt;35</v>
      </c>
      <c r="V157" s="64" t="str">
        <f t="shared" si="6"/>
        <v>10-20 Гб</v>
      </c>
    </row>
    <row r="158" spans="1:22" ht="15.75" customHeight="1" x14ac:dyDescent="0.25">
      <c r="A158" s="62" t="s">
        <v>249</v>
      </c>
      <c r="B158" s="56">
        <v>37538</v>
      </c>
      <c r="C158" s="62" t="s">
        <v>88</v>
      </c>
      <c r="D158" s="62" t="s">
        <v>84</v>
      </c>
      <c r="E158" s="62" t="s">
        <v>85</v>
      </c>
      <c r="F158" s="62" t="s">
        <v>89</v>
      </c>
      <c r="G158" s="56">
        <v>44064</v>
      </c>
      <c r="H158" s="62">
        <v>5</v>
      </c>
      <c r="I158" s="62">
        <v>17068</v>
      </c>
      <c r="J158" s="62">
        <v>104000000</v>
      </c>
      <c r="P158" s="63">
        <f t="shared" si="0"/>
        <v>120</v>
      </c>
      <c r="Q158" s="64">
        <f t="shared" si="1"/>
        <v>71.11666666666666</v>
      </c>
      <c r="R158" s="64">
        <f t="shared" si="2"/>
        <v>24.7955322265625</v>
      </c>
      <c r="S158" s="64">
        <f t="shared" si="3"/>
        <v>19</v>
      </c>
      <c r="T158" s="64">
        <f t="shared" si="4"/>
        <v>16.593888888888888</v>
      </c>
      <c r="U158" s="64" t="str">
        <f t="shared" si="5"/>
        <v>&lt;35</v>
      </c>
      <c r="V158" s="64" t="str">
        <f t="shared" si="6"/>
        <v>21-30 Гб</v>
      </c>
    </row>
    <row r="159" spans="1:22" ht="15.75" customHeight="1" x14ac:dyDescent="0.25">
      <c r="A159" s="62" t="s">
        <v>250</v>
      </c>
      <c r="B159" s="56">
        <v>37527</v>
      </c>
      <c r="C159" s="62" t="s">
        <v>83</v>
      </c>
      <c r="D159" s="62" t="s">
        <v>84</v>
      </c>
      <c r="E159" s="62" t="s">
        <v>85</v>
      </c>
      <c r="F159" s="62" t="s">
        <v>89</v>
      </c>
      <c r="G159" s="56">
        <v>44097</v>
      </c>
      <c r="H159" s="62">
        <v>5</v>
      </c>
      <c r="I159" s="62">
        <v>27540</v>
      </c>
      <c r="J159" s="62">
        <v>136000000</v>
      </c>
      <c r="P159" s="63">
        <f t="shared" si="0"/>
        <v>120</v>
      </c>
      <c r="Q159" s="64">
        <f t="shared" si="1"/>
        <v>114.75</v>
      </c>
      <c r="R159" s="64">
        <f t="shared" si="2"/>
        <v>32.4249267578125</v>
      </c>
      <c r="S159" s="64">
        <f t="shared" si="3"/>
        <v>19</v>
      </c>
      <c r="T159" s="64">
        <f t="shared" si="4"/>
        <v>26.774999999999999</v>
      </c>
      <c r="U159" s="64" t="str">
        <f t="shared" si="5"/>
        <v>&lt;35</v>
      </c>
      <c r="V159" s="64" t="str">
        <f t="shared" si="6"/>
        <v>31-40 Гб</v>
      </c>
    </row>
    <row r="160" spans="1:22" ht="15.75" customHeight="1" x14ac:dyDescent="0.25">
      <c r="A160" s="62" t="s">
        <v>251</v>
      </c>
      <c r="B160" s="56">
        <v>37523</v>
      </c>
      <c r="C160" s="62" t="s">
        <v>88</v>
      </c>
      <c r="D160" s="62" t="s">
        <v>84</v>
      </c>
      <c r="E160" s="62" t="s">
        <v>92</v>
      </c>
      <c r="F160" s="62" t="s">
        <v>96</v>
      </c>
      <c r="G160" s="56">
        <v>43092</v>
      </c>
      <c r="H160" s="62">
        <v>5</v>
      </c>
      <c r="I160" s="62">
        <v>50128</v>
      </c>
      <c r="J160" s="62">
        <v>104000000</v>
      </c>
      <c r="P160" s="63">
        <f t="shared" si="0"/>
        <v>120</v>
      </c>
      <c r="Q160" s="64">
        <f t="shared" si="1"/>
        <v>208.86666666666667</v>
      </c>
      <c r="R160" s="64">
        <f t="shared" si="2"/>
        <v>24.7955322265625</v>
      </c>
      <c r="S160" s="64">
        <f t="shared" si="3"/>
        <v>19</v>
      </c>
      <c r="T160" s="64">
        <f t="shared" si="4"/>
        <v>48.735555555555557</v>
      </c>
      <c r="U160" s="64" t="str">
        <f t="shared" si="5"/>
        <v>35-60</v>
      </c>
      <c r="V160" s="64" t="str">
        <f t="shared" si="6"/>
        <v>21-30 Гб</v>
      </c>
    </row>
    <row r="161" spans="1:22" ht="15.75" customHeight="1" x14ac:dyDescent="0.25">
      <c r="A161" s="62" t="s">
        <v>252</v>
      </c>
      <c r="B161" s="56">
        <v>37520</v>
      </c>
      <c r="C161" s="62" t="s">
        <v>88</v>
      </c>
      <c r="D161" s="62" t="s">
        <v>84</v>
      </c>
      <c r="E161" s="62" t="s">
        <v>92</v>
      </c>
      <c r="F161" s="62" t="s">
        <v>96</v>
      </c>
      <c r="G161" s="56">
        <v>42910</v>
      </c>
      <c r="H161" s="62">
        <v>5</v>
      </c>
      <c r="I161" s="62">
        <v>24884</v>
      </c>
      <c r="J161" s="62">
        <v>104000000</v>
      </c>
      <c r="O161" s="62">
        <v>1</v>
      </c>
      <c r="P161" s="63">
        <f t="shared" si="0"/>
        <v>120</v>
      </c>
      <c r="Q161" s="64">
        <f t="shared" si="1"/>
        <v>103.68333333333334</v>
      </c>
      <c r="R161" s="64">
        <f t="shared" si="2"/>
        <v>24.7955322265625</v>
      </c>
      <c r="S161" s="64">
        <f t="shared" si="3"/>
        <v>19</v>
      </c>
      <c r="T161" s="64">
        <f t="shared" si="4"/>
        <v>24.192777777777778</v>
      </c>
      <c r="U161" s="64" t="str">
        <f t="shared" si="5"/>
        <v>&lt;35</v>
      </c>
      <c r="V161" s="64" t="str">
        <f t="shared" si="6"/>
        <v>21-30 Гб</v>
      </c>
    </row>
    <row r="162" spans="1:22" ht="15.75" customHeight="1" x14ac:dyDescent="0.25">
      <c r="A162" s="62" t="s">
        <v>253</v>
      </c>
      <c r="B162" s="56">
        <v>37518</v>
      </c>
      <c r="C162" s="62" t="s">
        <v>83</v>
      </c>
      <c r="D162" s="62" t="s">
        <v>84</v>
      </c>
      <c r="E162" s="62" t="s">
        <v>92</v>
      </c>
      <c r="F162" s="62" t="s">
        <v>96</v>
      </c>
      <c r="G162" s="56">
        <v>42801</v>
      </c>
      <c r="H162" s="62">
        <v>5</v>
      </c>
      <c r="I162" s="62">
        <v>47116</v>
      </c>
      <c r="J162" s="62">
        <v>108000000</v>
      </c>
      <c r="L162" s="62">
        <v>1</v>
      </c>
      <c r="P162" s="63">
        <f t="shared" si="0"/>
        <v>120</v>
      </c>
      <c r="Q162" s="64">
        <f t="shared" si="1"/>
        <v>196.31666666666666</v>
      </c>
      <c r="R162" s="64">
        <f t="shared" si="2"/>
        <v>25.74920654296875</v>
      </c>
      <c r="S162" s="64">
        <f t="shared" si="3"/>
        <v>19</v>
      </c>
      <c r="T162" s="64">
        <f t="shared" si="4"/>
        <v>45.807222222222222</v>
      </c>
      <c r="U162" s="64" t="str">
        <f t="shared" si="5"/>
        <v>35-60</v>
      </c>
      <c r="V162" s="64" t="str">
        <f t="shared" si="6"/>
        <v>21-30 Гб</v>
      </c>
    </row>
    <row r="163" spans="1:22" ht="15.75" customHeight="1" x14ac:dyDescent="0.25">
      <c r="A163" s="62" t="s">
        <v>254</v>
      </c>
      <c r="B163" s="56">
        <v>37517</v>
      </c>
      <c r="C163" s="62" t="s">
        <v>83</v>
      </c>
      <c r="D163" s="62" t="s">
        <v>84</v>
      </c>
      <c r="E163" s="62" t="s">
        <v>85</v>
      </c>
      <c r="F163" s="62" t="s">
        <v>93</v>
      </c>
      <c r="G163" s="56">
        <v>42962</v>
      </c>
      <c r="H163" s="62">
        <v>5</v>
      </c>
      <c r="I163" s="62">
        <v>6136</v>
      </c>
      <c r="J163" s="62">
        <v>16000000</v>
      </c>
      <c r="P163" s="63">
        <f t="shared" si="0"/>
        <v>120</v>
      </c>
      <c r="Q163" s="64">
        <f t="shared" si="1"/>
        <v>25.566666666666666</v>
      </c>
      <c r="R163" s="64">
        <f t="shared" si="2"/>
        <v>3.8146972656250004</v>
      </c>
      <c r="S163" s="64">
        <f t="shared" si="3"/>
        <v>19</v>
      </c>
      <c r="T163" s="64">
        <f t="shared" si="4"/>
        <v>5.9655555555555555</v>
      </c>
      <c r="U163" s="64" t="str">
        <f t="shared" si="5"/>
        <v>&lt;35</v>
      </c>
      <c r="V163" s="64" t="str">
        <f t="shared" si="6"/>
        <v>&lt;10 Гб</v>
      </c>
    </row>
    <row r="164" spans="1:22" ht="15.75" customHeight="1" x14ac:dyDescent="0.25">
      <c r="A164" s="62" t="s">
        <v>255</v>
      </c>
      <c r="B164" s="56">
        <v>37515</v>
      </c>
      <c r="C164" s="62" t="s">
        <v>83</v>
      </c>
      <c r="D164" s="62" t="s">
        <v>84</v>
      </c>
      <c r="E164" s="62" t="s">
        <v>92</v>
      </c>
      <c r="F164" s="62" t="s">
        <v>89</v>
      </c>
      <c r="G164" s="56">
        <v>43422</v>
      </c>
      <c r="H164" s="62">
        <v>5</v>
      </c>
      <c r="I164" s="62">
        <v>9512</v>
      </c>
      <c r="J164" s="62">
        <v>156000000</v>
      </c>
      <c r="L164" s="62">
        <v>1</v>
      </c>
      <c r="P164" s="63">
        <f t="shared" si="0"/>
        <v>120</v>
      </c>
      <c r="Q164" s="64">
        <f t="shared" si="1"/>
        <v>39.633333333333333</v>
      </c>
      <c r="R164" s="64">
        <f t="shared" si="2"/>
        <v>37.19329833984375</v>
      </c>
      <c r="S164" s="64">
        <f t="shared" si="3"/>
        <v>19</v>
      </c>
      <c r="T164" s="64">
        <f t="shared" si="4"/>
        <v>9.2477777777777774</v>
      </c>
      <c r="U164" s="64" t="str">
        <f t="shared" si="5"/>
        <v>&lt;35</v>
      </c>
      <c r="V164" s="64" t="str">
        <f t="shared" si="6"/>
        <v>31-40 Гб</v>
      </c>
    </row>
    <row r="165" spans="1:22" ht="15.75" customHeight="1" x14ac:dyDescent="0.25">
      <c r="A165" s="62" t="s">
        <v>256</v>
      </c>
      <c r="B165" s="56">
        <v>37514</v>
      </c>
      <c r="C165" s="62" t="s">
        <v>83</v>
      </c>
      <c r="D165" s="62" t="s">
        <v>84</v>
      </c>
      <c r="E165" s="62" t="s">
        <v>92</v>
      </c>
      <c r="F165" s="62" t="s">
        <v>93</v>
      </c>
      <c r="G165" s="56">
        <v>44474</v>
      </c>
      <c r="H165" s="62">
        <v>5</v>
      </c>
      <c r="I165" s="62">
        <v>47096</v>
      </c>
      <c r="J165" s="62">
        <v>12000000</v>
      </c>
      <c r="L165" s="62">
        <v>1</v>
      </c>
      <c r="P165" s="63">
        <f t="shared" si="0"/>
        <v>120</v>
      </c>
      <c r="Q165" s="64">
        <f t="shared" si="1"/>
        <v>196.23333333333332</v>
      </c>
      <c r="R165" s="64">
        <f t="shared" si="2"/>
        <v>2.86102294921875</v>
      </c>
      <c r="S165" s="64">
        <f t="shared" si="3"/>
        <v>19</v>
      </c>
      <c r="T165" s="64">
        <f t="shared" si="4"/>
        <v>45.787777777777777</v>
      </c>
      <c r="U165" s="64" t="str">
        <f t="shared" si="5"/>
        <v>35-60</v>
      </c>
      <c r="V165" s="64" t="str">
        <f t="shared" si="6"/>
        <v>&lt;10 Гб</v>
      </c>
    </row>
    <row r="166" spans="1:22" ht="15.75" customHeight="1" x14ac:dyDescent="0.25">
      <c r="A166" s="62" t="s">
        <v>257</v>
      </c>
      <c r="B166" s="56">
        <v>37511</v>
      </c>
      <c r="C166" s="62" t="s">
        <v>88</v>
      </c>
      <c r="D166" s="62" t="s">
        <v>84</v>
      </c>
      <c r="E166" s="62" t="s">
        <v>85</v>
      </c>
      <c r="F166" s="62" t="s">
        <v>100</v>
      </c>
      <c r="G166" s="56">
        <v>44284</v>
      </c>
      <c r="H166" s="62">
        <v>5</v>
      </c>
      <c r="I166" s="62">
        <v>60676</v>
      </c>
      <c r="J166" s="62">
        <v>112000000</v>
      </c>
      <c r="M166" s="62">
        <v>1</v>
      </c>
      <c r="P166" s="63">
        <f t="shared" si="0"/>
        <v>120</v>
      </c>
      <c r="Q166" s="64">
        <f t="shared" si="1"/>
        <v>252.81666666666663</v>
      </c>
      <c r="R166" s="64">
        <f t="shared" si="2"/>
        <v>26.702880859375</v>
      </c>
      <c r="S166" s="64">
        <f t="shared" si="3"/>
        <v>19</v>
      </c>
      <c r="T166" s="64">
        <f t="shared" si="4"/>
        <v>58.990555555555552</v>
      </c>
      <c r="U166" s="64" t="str">
        <f t="shared" si="5"/>
        <v>35-60</v>
      </c>
      <c r="V166" s="64" t="str">
        <f t="shared" si="6"/>
        <v>21-30 Гб</v>
      </c>
    </row>
    <row r="167" spans="1:22" ht="15.75" customHeight="1" x14ac:dyDescent="0.25">
      <c r="A167" s="62" t="s">
        <v>258</v>
      </c>
      <c r="B167" s="56">
        <v>37509</v>
      </c>
      <c r="C167" s="62" t="s">
        <v>88</v>
      </c>
      <c r="D167" s="62" t="s">
        <v>84</v>
      </c>
      <c r="E167" s="62" t="s">
        <v>85</v>
      </c>
      <c r="F167" s="62" t="s">
        <v>89</v>
      </c>
      <c r="G167" s="56">
        <v>44280</v>
      </c>
      <c r="H167" s="62">
        <v>5</v>
      </c>
      <c r="I167" s="62">
        <v>18568</v>
      </c>
      <c r="J167" s="62">
        <v>52000000</v>
      </c>
      <c r="P167" s="63">
        <f t="shared" si="0"/>
        <v>120</v>
      </c>
      <c r="Q167" s="64">
        <f t="shared" si="1"/>
        <v>77.36666666666666</v>
      </c>
      <c r="R167" s="64">
        <f t="shared" si="2"/>
        <v>12.39776611328125</v>
      </c>
      <c r="S167" s="64">
        <f t="shared" si="3"/>
        <v>19</v>
      </c>
      <c r="T167" s="64">
        <f t="shared" si="4"/>
        <v>18.05222222222222</v>
      </c>
      <c r="U167" s="64" t="str">
        <f t="shared" si="5"/>
        <v>&lt;35</v>
      </c>
      <c r="V167" s="64" t="str">
        <f t="shared" si="6"/>
        <v>10-20 Гб</v>
      </c>
    </row>
    <row r="168" spans="1:22" ht="15.75" customHeight="1" x14ac:dyDescent="0.25">
      <c r="A168" s="62" t="s">
        <v>259</v>
      </c>
      <c r="B168" s="56">
        <v>37508</v>
      </c>
      <c r="C168" s="62" t="s">
        <v>83</v>
      </c>
      <c r="D168" s="62" t="s">
        <v>84</v>
      </c>
      <c r="E168" s="62" t="s">
        <v>85</v>
      </c>
      <c r="F168" s="62" t="s">
        <v>96</v>
      </c>
      <c r="G168" s="56">
        <v>42865</v>
      </c>
      <c r="H168" s="62">
        <v>5</v>
      </c>
      <c r="I168" s="62">
        <v>42720</v>
      </c>
      <c r="J168" s="62">
        <v>48000000</v>
      </c>
      <c r="P168" s="63">
        <f t="shared" si="0"/>
        <v>120</v>
      </c>
      <c r="Q168" s="64">
        <f t="shared" si="1"/>
        <v>178</v>
      </c>
      <c r="R168" s="64">
        <f t="shared" si="2"/>
        <v>11.444091796875</v>
      </c>
      <c r="S168" s="64">
        <f t="shared" si="3"/>
        <v>19</v>
      </c>
      <c r="T168" s="64">
        <f t="shared" si="4"/>
        <v>41.533333333333331</v>
      </c>
      <c r="U168" s="64" t="str">
        <f t="shared" si="5"/>
        <v>35-60</v>
      </c>
      <c r="V168" s="64" t="str">
        <f t="shared" si="6"/>
        <v>10-20 Гб</v>
      </c>
    </row>
    <row r="169" spans="1:22" ht="15.75" customHeight="1" x14ac:dyDescent="0.25">
      <c r="A169" s="62" t="s">
        <v>260</v>
      </c>
      <c r="B169" s="56">
        <v>37506</v>
      </c>
      <c r="C169" s="62" t="s">
        <v>83</v>
      </c>
      <c r="D169" s="62" t="s">
        <v>84</v>
      </c>
      <c r="E169" s="62" t="s">
        <v>85</v>
      </c>
      <c r="F169" s="62" t="s">
        <v>89</v>
      </c>
      <c r="G169" s="56">
        <v>44591</v>
      </c>
      <c r="H169" s="62">
        <v>3</v>
      </c>
      <c r="I169" s="62">
        <v>27300</v>
      </c>
      <c r="J169" s="62">
        <v>33366667</v>
      </c>
      <c r="P169" s="63">
        <f t="shared" si="0"/>
        <v>91</v>
      </c>
      <c r="Q169" s="64">
        <f t="shared" si="1"/>
        <v>150</v>
      </c>
      <c r="R169" s="64">
        <f t="shared" si="2"/>
        <v>10.490417585268125</v>
      </c>
      <c r="S169" s="64">
        <f t="shared" si="3"/>
        <v>19</v>
      </c>
      <c r="T169" s="64">
        <f t="shared" si="4"/>
        <v>35</v>
      </c>
      <c r="U169" s="64" t="str">
        <f t="shared" si="5"/>
        <v>&lt;35</v>
      </c>
      <c r="V169" s="64" t="str">
        <f t="shared" si="6"/>
        <v>10-20 Гб</v>
      </c>
    </row>
    <row r="170" spans="1:22" ht="15.75" customHeight="1" x14ac:dyDescent="0.25">
      <c r="A170" s="62" t="s">
        <v>261</v>
      </c>
      <c r="B170" s="56">
        <v>37506</v>
      </c>
      <c r="C170" s="62" t="s">
        <v>83</v>
      </c>
      <c r="D170" s="62" t="s">
        <v>84</v>
      </c>
      <c r="E170" s="62" t="s">
        <v>85</v>
      </c>
      <c r="F170" s="62" t="s">
        <v>96</v>
      </c>
      <c r="G170" s="56">
        <v>44213</v>
      </c>
      <c r="H170" s="62">
        <v>5</v>
      </c>
      <c r="I170" s="62">
        <v>17584</v>
      </c>
      <c r="J170" s="62">
        <v>64000000</v>
      </c>
      <c r="P170" s="63">
        <f t="shared" si="0"/>
        <v>120</v>
      </c>
      <c r="Q170" s="64">
        <f t="shared" si="1"/>
        <v>73.266666666666666</v>
      </c>
      <c r="R170" s="64">
        <f t="shared" si="2"/>
        <v>15.258789062500002</v>
      </c>
      <c r="S170" s="64">
        <f t="shared" si="3"/>
        <v>19</v>
      </c>
      <c r="T170" s="64">
        <f t="shared" si="4"/>
        <v>17.095555555555556</v>
      </c>
      <c r="U170" s="64" t="str">
        <f t="shared" si="5"/>
        <v>&lt;35</v>
      </c>
      <c r="V170" s="64" t="str">
        <f t="shared" si="6"/>
        <v>10-20 Гб</v>
      </c>
    </row>
    <row r="171" spans="1:22" ht="15.75" customHeight="1" x14ac:dyDescent="0.25">
      <c r="A171" s="62" t="s">
        <v>262</v>
      </c>
      <c r="B171" s="56">
        <v>37505</v>
      </c>
      <c r="C171" s="62" t="s">
        <v>88</v>
      </c>
      <c r="D171" s="62" t="s">
        <v>84</v>
      </c>
      <c r="E171" s="62" t="s">
        <v>85</v>
      </c>
      <c r="F171" s="62" t="s">
        <v>96</v>
      </c>
      <c r="G171" s="56">
        <v>44400</v>
      </c>
      <c r="H171" s="62">
        <v>5</v>
      </c>
      <c r="I171" s="62">
        <v>77360</v>
      </c>
      <c r="J171" s="62">
        <v>16000000</v>
      </c>
      <c r="P171" s="63">
        <f t="shared" si="0"/>
        <v>120</v>
      </c>
      <c r="Q171" s="64">
        <f t="shared" si="1"/>
        <v>322.33333333333331</v>
      </c>
      <c r="R171" s="64">
        <f t="shared" si="2"/>
        <v>3.8146972656250004</v>
      </c>
      <c r="S171" s="64">
        <f t="shared" si="3"/>
        <v>19</v>
      </c>
      <c r="T171" s="64">
        <f t="shared" si="4"/>
        <v>75.211111111111094</v>
      </c>
      <c r="U171" s="64" t="str">
        <f t="shared" si="5"/>
        <v>61-90</v>
      </c>
      <c r="V171" s="64" t="str">
        <f t="shared" si="6"/>
        <v>&lt;10 Гб</v>
      </c>
    </row>
    <row r="172" spans="1:22" ht="15.75" customHeight="1" x14ac:dyDescent="0.25">
      <c r="A172" s="62" t="s">
        <v>263</v>
      </c>
      <c r="B172" s="56">
        <v>37505</v>
      </c>
      <c r="C172" s="62" t="s">
        <v>88</v>
      </c>
      <c r="D172" s="62" t="s">
        <v>84</v>
      </c>
      <c r="E172" s="62" t="s">
        <v>92</v>
      </c>
      <c r="F172" s="62" t="s">
        <v>89</v>
      </c>
      <c r="G172" s="56">
        <v>43607</v>
      </c>
      <c r="H172" s="62">
        <v>5</v>
      </c>
      <c r="I172" s="62">
        <v>16384</v>
      </c>
      <c r="J172" s="62">
        <v>152000000</v>
      </c>
      <c r="K172" s="62">
        <v>1</v>
      </c>
      <c r="N172" s="62">
        <v>1</v>
      </c>
      <c r="P172" s="63">
        <f t="shared" si="0"/>
        <v>120</v>
      </c>
      <c r="Q172" s="64">
        <f t="shared" si="1"/>
        <v>68.266666666666666</v>
      </c>
      <c r="R172" s="64">
        <f t="shared" si="2"/>
        <v>36.2396240234375</v>
      </c>
      <c r="S172" s="64">
        <f t="shared" si="3"/>
        <v>19</v>
      </c>
      <c r="T172" s="64">
        <f t="shared" si="4"/>
        <v>15.928888888888888</v>
      </c>
      <c r="U172" s="64" t="str">
        <f t="shared" si="5"/>
        <v>&lt;35</v>
      </c>
      <c r="V172" s="64" t="str">
        <f t="shared" si="6"/>
        <v>31-40 Гб</v>
      </c>
    </row>
    <row r="173" spans="1:22" ht="15.75" customHeight="1" x14ac:dyDescent="0.25">
      <c r="A173" s="62" t="s">
        <v>264</v>
      </c>
      <c r="B173" s="56">
        <v>37501</v>
      </c>
      <c r="C173" s="62" t="s">
        <v>88</v>
      </c>
      <c r="D173" s="62" t="s">
        <v>84</v>
      </c>
      <c r="E173" s="62" t="s">
        <v>92</v>
      </c>
      <c r="F173" s="62" t="s">
        <v>89</v>
      </c>
      <c r="G173" s="56">
        <v>43141</v>
      </c>
      <c r="H173" s="62">
        <v>5</v>
      </c>
      <c r="I173" s="62">
        <v>11796</v>
      </c>
      <c r="J173" s="62">
        <v>64000000</v>
      </c>
      <c r="N173" s="62">
        <v>1</v>
      </c>
      <c r="P173" s="63">
        <f t="shared" si="0"/>
        <v>120</v>
      </c>
      <c r="Q173" s="64">
        <f t="shared" si="1"/>
        <v>49.15</v>
      </c>
      <c r="R173" s="64">
        <f t="shared" si="2"/>
        <v>15.258789062500002</v>
      </c>
      <c r="S173" s="64">
        <f t="shared" si="3"/>
        <v>19</v>
      </c>
      <c r="T173" s="64">
        <f t="shared" si="4"/>
        <v>11.468333333333334</v>
      </c>
      <c r="U173" s="64" t="str">
        <f t="shared" si="5"/>
        <v>&lt;35</v>
      </c>
      <c r="V173" s="64" t="str">
        <f t="shared" si="6"/>
        <v>10-20 Гб</v>
      </c>
    </row>
    <row r="174" spans="1:22" ht="15.75" customHeight="1" x14ac:dyDescent="0.25">
      <c r="A174" s="62" t="s">
        <v>265</v>
      </c>
      <c r="B174" s="56">
        <v>37491</v>
      </c>
      <c r="C174" s="62" t="s">
        <v>88</v>
      </c>
      <c r="D174" s="62" t="s">
        <v>84</v>
      </c>
      <c r="E174" s="62" t="s">
        <v>85</v>
      </c>
      <c r="F174" s="62" t="s">
        <v>93</v>
      </c>
      <c r="G174" s="56">
        <v>43283</v>
      </c>
      <c r="H174" s="62">
        <v>5</v>
      </c>
      <c r="I174" s="62">
        <v>24316</v>
      </c>
      <c r="J174" s="62">
        <v>8000000</v>
      </c>
      <c r="P174" s="63">
        <f t="shared" si="0"/>
        <v>120</v>
      </c>
      <c r="Q174" s="64">
        <f t="shared" si="1"/>
        <v>101.31666666666666</v>
      </c>
      <c r="R174" s="64">
        <f t="shared" si="2"/>
        <v>1.9073486328125002</v>
      </c>
      <c r="S174" s="64">
        <f t="shared" si="3"/>
        <v>19</v>
      </c>
      <c r="T174" s="64">
        <f t="shared" si="4"/>
        <v>23.640555555555558</v>
      </c>
      <c r="U174" s="64" t="str">
        <f t="shared" si="5"/>
        <v>&lt;35</v>
      </c>
      <c r="V174" s="64" t="str">
        <f t="shared" si="6"/>
        <v>&lt;10 Гб</v>
      </c>
    </row>
    <row r="175" spans="1:22" ht="15.75" customHeight="1" x14ac:dyDescent="0.25">
      <c r="A175" s="62" t="s">
        <v>266</v>
      </c>
      <c r="B175" s="56">
        <v>37490</v>
      </c>
      <c r="C175" s="62" t="s">
        <v>88</v>
      </c>
      <c r="D175" s="62" t="s">
        <v>84</v>
      </c>
      <c r="E175" s="62" t="s">
        <v>92</v>
      </c>
      <c r="F175" s="62" t="s">
        <v>100</v>
      </c>
      <c r="G175" s="56">
        <v>43259</v>
      </c>
      <c r="H175" s="62">
        <v>5</v>
      </c>
      <c r="I175" s="62">
        <v>9572</v>
      </c>
      <c r="J175" s="62">
        <v>116000000</v>
      </c>
      <c r="K175" s="62">
        <v>1</v>
      </c>
      <c r="L175" s="62">
        <v>1</v>
      </c>
      <c r="M175" s="62">
        <v>1</v>
      </c>
      <c r="P175" s="63">
        <f t="shared" si="0"/>
        <v>120</v>
      </c>
      <c r="Q175" s="64">
        <f t="shared" si="1"/>
        <v>39.883333333333333</v>
      </c>
      <c r="R175" s="64">
        <f t="shared" si="2"/>
        <v>27.65655517578125</v>
      </c>
      <c r="S175" s="64">
        <f t="shared" si="3"/>
        <v>19</v>
      </c>
      <c r="T175" s="64">
        <f t="shared" si="4"/>
        <v>9.306111111111111</v>
      </c>
      <c r="U175" s="64" t="str">
        <f t="shared" si="5"/>
        <v>&lt;35</v>
      </c>
      <c r="V175" s="64" t="str">
        <f t="shared" si="6"/>
        <v>21-30 Гб</v>
      </c>
    </row>
    <row r="176" spans="1:22" ht="15.75" customHeight="1" x14ac:dyDescent="0.25">
      <c r="A176" s="62" t="s">
        <v>267</v>
      </c>
      <c r="B176" s="56">
        <v>37480</v>
      </c>
      <c r="C176" s="62" t="s">
        <v>83</v>
      </c>
      <c r="D176" s="62" t="s">
        <v>84</v>
      </c>
      <c r="E176" s="62" t="s">
        <v>85</v>
      </c>
      <c r="F176" s="62" t="s">
        <v>96</v>
      </c>
      <c r="G176" s="56">
        <v>44191</v>
      </c>
      <c r="H176" s="62">
        <v>5</v>
      </c>
      <c r="I176" s="62">
        <v>69300</v>
      </c>
      <c r="J176" s="62">
        <v>112000000</v>
      </c>
      <c r="P176" s="63">
        <f t="shared" si="0"/>
        <v>120</v>
      </c>
      <c r="Q176" s="64">
        <f t="shared" si="1"/>
        <v>288.75</v>
      </c>
      <c r="R176" s="64">
        <f t="shared" si="2"/>
        <v>26.702880859375</v>
      </c>
      <c r="S176" s="64">
        <f t="shared" si="3"/>
        <v>19</v>
      </c>
      <c r="T176" s="64">
        <f t="shared" si="4"/>
        <v>67.375</v>
      </c>
      <c r="U176" s="64" t="str">
        <f t="shared" si="5"/>
        <v>61-90</v>
      </c>
      <c r="V176" s="64" t="str">
        <f t="shared" si="6"/>
        <v>21-30 Гб</v>
      </c>
    </row>
    <row r="177" spans="1:22" ht="15.75" customHeight="1" x14ac:dyDescent="0.25">
      <c r="A177" s="62" t="s">
        <v>268</v>
      </c>
      <c r="B177" s="56">
        <v>37479</v>
      </c>
      <c r="C177" s="62" t="s">
        <v>83</v>
      </c>
      <c r="D177" s="62" t="s">
        <v>84</v>
      </c>
      <c r="E177" s="62" t="s">
        <v>85</v>
      </c>
      <c r="F177" s="62" t="s">
        <v>100</v>
      </c>
      <c r="G177" s="56">
        <v>44497</v>
      </c>
      <c r="H177" s="62">
        <v>5</v>
      </c>
      <c r="I177" s="62">
        <v>79836</v>
      </c>
      <c r="J177" s="62">
        <v>120000000</v>
      </c>
      <c r="P177" s="63">
        <f t="shared" si="0"/>
        <v>120</v>
      </c>
      <c r="Q177" s="64">
        <f t="shared" si="1"/>
        <v>332.65</v>
      </c>
      <c r="R177" s="64">
        <f t="shared" si="2"/>
        <v>28.6102294921875</v>
      </c>
      <c r="S177" s="64">
        <f t="shared" si="3"/>
        <v>19</v>
      </c>
      <c r="T177" s="64">
        <f t="shared" si="4"/>
        <v>77.618333333333325</v>
      </c>
      <c r="U177" s="64" t="str">
        <f t="shared" si="5"/>
        <v>61-90</v>
      </c>
      <c r="V177" s="64" t="str">
        <f t="shared" si="6"/>
        <v>21-30 Гб</v>
      </c>
    </row>
    <row r="178" spans="1:22" ht="15.75" customHeight="1" x14ac:dyDescent="0.25">
      <c r="A178" s="62" t="s">
        <v>269</v>
      </c>
      <c r="B178" s="56">
        <v>37476</v>
      </c>
      <c r="C178" s="62" t="s">
        <v>83</v>
      </c>
      <c r="D178" s="62" t="s">
        <v>84</v>
      </c>
      <c r="E178" s="62" t="s">
        <v>92</v>
      </c>
      <c r="F178" s="62" t="s">
        <v>89</v>
      </c>
      <c r="G178" s="56">
        <v>44441</v>
      </c>
      <c r="H178" s="62">
        <v>5</v>
      </c>
      <c r="I178" s="62">
        <v>31452</v>
      </c>
      <c r="J178" s="62">
        <v>144000000</v>
      </c>
      <c r="P178" s="63">
        <f t="shared" si="0"/>
        <v>120</v>
      </c>
      <c r="Q178" s="64">
        <f t="shared" si="1"/>
        <v>131.05000000000001</v>
      </c>
      <c r="R178" s="64">
        <f t="shared" si="2"/>
        <v>34.332275390625</v>
      </c>
      <c r="S178" s="64">
        <f t="shared" si="3"/>
        <v>19</v>
      </c>
      <c r="T178" s="64">
        <f t="shared" si="4"/>
        <v>30.578333333333337</v>
      </c>
      <c r="U178" s="64" t="str">
        <f t="shared" si="5"/>
        <v>&lt;35</v>
      </c>
      <c r="V178" s="64" t="str">
        <f t="shared" si="6"/>
        <v>31-40 Гб</v>
      </c>
    </row>
    <row r="179" spans="1:22" ht="15.75" customHeight="1" x14ac:dyDescent="0.25">
      <c r="A179" s="62" t="s">
        <v>270</v>
      </c>
      <c r="B179" s="56">
        <v>37474</v>
      </c>
      <c r="C179" s="62" t="s">
        <v>83</v>
      </c>
      <c r="D179" s="62" t="s">
        <v>84</v>
      </c>
      <c r="E179" s="62" t="s">
        <v>92</v>
      </c>
      <c r="F179" s="62" t="s">
        <v>96</v>
      </c>
      <c r="G179" s="56">
        <v>43832</v>
      </c>
      <c r="H179" s="62">
        <v>5</v>
      </c>
      <c r="I179" s="62">
        <v>36068</v>
      </c>
      <c r="J179" s="62">
        <v>104000000</v>
      </c>
      <c r="P179" s="63">
        <f t="shared" si="0"/>
        <v>120</v>
      </c>
      <c r="Q179" s="64">
        <f t="shared" si="1"/>
        <v>150.28333333333333</v>
      </c>
      <c r="R179" s="64">
        <f t="shared" si="2"/>
        <v>24.7955322265625</v>
      </c>
      <c r="S179" s="64">
        <f t="shared" si="3"/>
        <v>19</v>
      </c>
      <c r="T179" s="64">
        <f t="shared" si="4"/>
        <v>35.066111111111113</v>
      </c>
      <c r="U179" s="64" t="str">
        <f t="shared" si="5"/>
        <v>35-60</v>
      </c>
      <c r="V179" s="64" t="str">
        <f t="shared" si="6"/>
        <v>21-30 Гб</v>
      </c>
    </row>
    <row r="180" spans="1:22" ht="15.75" customHeight="1" x14ac:dyDescent="0.25">
      <c r="A180" s="62" t="s">
        <v>271</v>
      </c>
      <c r="B180" s="56">
        <v>37470</v>
      </c>
      <c r="C180" s="62" t="s">
        <v>88</v>
      </c>
      <c r="D180" s="62" t="s">
        <v>84</v>
      </c>
      <c r="E180" s="62" t="s">
        <v>85</v>
      </c>
      <c r="F180" s="62" t="s">
        <v>89</v>
      </c>
      <c r="G180" s="56">
        <v>43489</v>
      </c>
      <c r="H180" s="62">
        <v>5</v>
      </c>
      <c r="I180" s="62">
        <v>9888</v>
      </c>
      <c r="J180" s="62">
        <v>152000000</v>
      </c>
      <c r="P180" s="63">
        <f t="shared" si="0"/>
        <v>120</v>
      </c>
      <c r="Q180" s="64">
        <f t="shared" si="1"/>
        <v>41.2</v>
      </c>
      <c r="R180" s="64">
        <f t="shared" si="2"/>
        <v>36.2396240234375</v>
      </c>
      <c r="S180" s="64">
        <f t="shared" si="3"/>
        <v>19</v>
      </c>
      <c r="T180" s="64">
        <f t="shared" si="4"/>
        <v>9.6133333333333351</v>
      </c>
      <c r="U180" s="64" t="str">
        <f t="shared" si="5"/>
        <v>&lt;35</v>
      </c>
      <c r="V180" s="64" t="str">
        <f t="shared" si="6"/>
        <v>31-40 Гб</v>
      </c>
    </row>
    <row r="181" spans="1:22" ht="15.75" customHeight="1" x14ac:dyDescent="0.25">
      <c r="A181" s="62" t="s">
        <v>272</v>
      </c>
      <c r="B181" s="56">
        <v>37464</v>
      </c>
      <c r="C181" s="62" t="s">
        <v>83</v>
      </c>
      <c r="D181" s="62" t="s">
        <v>84</v>
      </c>
      <c r="E181" s="62" t="s">
        <v>85</v>
      </c>
      <c r="F181" s="62" t="s">
        <v>93</v>
      </c>
      <c r="G181" s="56">
        <v>44500</v>
      </c>
      <c r="H181" s="62">
        <v>5</v>
      </c>
      <c r="I181" s="62">
        <v>45160</v>
      </c>
      <c r="J181" s="62">
        <v>16000000</v>
      </c>
      <c r="P181" s="63">
        <f t="shared" si="0"/>
        <v>120</v>
      </c>
      <c r="Q181" s="64">
        <f t="shared" si="1"/>
        <v>188.16666666666666</v>
      </c>
      <c r="R181" s="64">
        <f t="shared" si="2"/>
        <v>3.8146972656250004</v>
      </c>
      <c r="S181" s="64">
        <f t="shared" si="3"/>
        <v>19</v>
      </c>
      <c r="T181" s="64">
        <f t="shared" si="4"/>
        <v>43.905555555555551</v>
      </c>
      <c r="U181" s="64" t="str">
        <f t="shared" si="5"/>
        <v>35-60</v>
      </c>
      <c r="V181" s="64" t="str">
        <f t="shared" si="6"/>
        <v>&lt;10 Гб</v>
      </c>
    </row>
    <row r="182" spans="1:22" ht="15.75" customHeight="1" x14ac:dyDescent="0.25">
      <c r="A182" s="62" t="s">
        <v>273</v>
      </c>
      <c r="B182" s="56">
        <v>37459</v>
      </c>
      <c r="C182" s="62" t="s">
        <v>83</v>
      </c>
      <c r="D182" s="62" t="s">
        <v>84</v>
      </c>
      <c r="E182" s="62" t="s">
        <v>92</v>
      </c>
      <c r="F182" s="62" t="s">
        <v>96</v>
      </c>
      <c r="G182" s="56">
        <v>43258</v>
      </c>
      <c r="H182" s="62">
        <v>5</v>
      </c>
      <c r="I182" s="62">
        <v>25468</v>
      </c>
      <c r="J182" s="62">
        <v>84000000</v>
      </c>
      <c r="M182" s="62">
        <v>1</v>
      </c>
      <c r="P182" s="63">
        <f t="shared" si="0"/>
        <v>120</v>
      </c>
      <c r="Q182" s="64">
        <f t="shared" si="1"/>
        <v>106.11666666666666</v>
      </c>
      <c r="R182" s="64">
        <f t="shared" si="2"/>
        <v>20.02716064453125</v>
      </c>
      <c r="S182" s="64">
        <f t="shared" si="3"/>
        <v>19</v>
      </c>
      <c r="T182" s="64">
        <f t="shared" si="4"/>
        <v>24.760555555555552</v>
      </c>
      <c r="U182" s="64" t="str">
        <f t="shared" si="5"/>
        <v>&lt;35</v>
      </c>
      <c r="V182" s="64" t="str">
        <f t="shared" si="6"/>
        <v>21-30 Гб</v>
      </c>
    </row>
    <row r="183" spans="1:22" ht="15.75" customHeight="1" x14ac:dyDescent="0.25">
      <c r="A183" s="62" t="s">
        <v>274</v>
      </c>
      <c r="B183" s="56">
        <v>37457</v>
      </c>
      <c r="C183" s="62" t="s">
        <v>83</v>
      </c>
      <c r="D183" s="62" t="s">
        <v>84</v>
      </c>
      <c r="E183" s="62" t="s">
        <v>92</v>
      </c>
      <c r="F183" s="62" t="s">
        <v>89</v>
      </c>
      <c r="G183" s="56">
        <v>43770</v>
      </c>
      <c r="H183" s="62">
        <v>5</v>
      </c>
      <c r="I183" s="62">
        <v>7204</v>
      </c>
      <c r="J183" s="62">
        <v>140000000</v>
      </c>
      <c r="P183" s="63">
        <f t="shared" si="0"/>
        <v>120</v>
      </c>
      <c r="Q183" s="64">
        <f t="shared" si="1"/>
        <v>30.016666666666662</v>
      </c>
      <c r="R183" s="64">
        <f t="shared" si="2"/>
        <v>33.37860107421875</v>
      </c>
      <c r="S183" s="64">
        <f t="shared" si="3"/>
        <v>19</v>
      </c>
      <c r="T183" s="64">
        <f t="shared" si="4"/>
        <v>7.0038888888888886</v>
      </c>
      <c r="U183" s="64" t="str">
        <f t="shared" si="5"/>
        <v>&lt;35</v>
      </c>
      <c r="V183" s="64" t="str">
        <f t="shared" si="6"/>
        <v>31-40 Гб</v>
      </c>
    </row>
    <row r="184" spans="1:22" ht="15.75" customHeight="1" x14ac:dyDescent="0.25">
      <c r="A184" s="62" t="s">
        <v>275</v>
      </c>
      <c r="B184" s="56">
        <v>37450</v>
      </c>
      <c r="C184" s="62" t="s">
        <v>83</v>
      </c>
      <c r="D184" s="62" t="s">
        <v>84</v>
      </c>
      <c r="E184" s="62" t="s">
        <v>85</v>
      </c>
      <c r="F184" s="62" t="s">
        <v>93</v>
      </c>
      <c r="G184" s="56">
        <v>44220</v>
      </c>
      <c r="H184" s="62">
        <v>5</v>
      </c>
      <c r="I184" s="62">
        <v>33176</v>
      </c>
      <c r="J184" s="62">
        <v>4000000</v>
      </c>
      <c r="P184" s="63">
        <f t="shared" si="0"/>
        <v>120</v>
      </c>
      <c r="Q184" s="64">
        <f t="shared" si="1"/>
        <v>138.23333333333332</v>
      </c>
      <c r="R184" s="64">
        <f t="shared" si="2"/>
        <v>0.95367431640625011</v>
      </c>
      <c r="S184" s="64">
        <f t="shared" si="3"/>
        <v>19</v>
      </c>
      <c r="T184" s="64">
        <f t="shared" si="4"/>
        <v>32.254444444444438</v>
      </c>
      <c r="U184" s="64" t="str">
        <f t="shared" si="5"/>
        <v>&lt;35</v>
      </c>
      <c r="V184" s="64" t="str">
        <f t="shared" si="6"/>
        <v>&lt;10 Гб</v>
      </c>
    </row>
    <row r="185" spans="1:22" ht="15.75" customHeight="1" x14ac:dyDescent="0.25">
      <c r="A185" s="62" t="s">
        <v>276</v>
      </c>
      <c r="B185" s="56">
        <v>37443</v>
      </c>
      <c r="C185" s="62" t="s">
        <v>83</v>
      </c>
      <c r="D185" s="62" t="s">
        <v>84</v>
      </c>
      <c r="E185" s="62" t="s">
        <v>92</v>
      </c>
      <c r="F185" s="62" t="s">
        <v>96</v>
      </c>
      <c r="G185" s="56">
        <v>44487</v>
      </c>
      <c r="H185" s="62">
        <v>5</v>
      </c>
      <c r="I185" s="62">
        <v>55784</v>
      </c>
      <c r="J185" s="62">
        <v>8000000</v>
      </c>
      <c r="P185" s="63">
        <f t="shared" si="0"/>
        <v>120</v>
      </c>
      <c r="Q185" s="64">
        <f t="shared" si="1"/>
        <v>232.43333333333334</v>
      </c>
      <c r="R185" s="64">
        <f t="shared" si="2"/>
        <v>1.9073486328125002</v>
      </c>
      <c r="S185" s="64">
        <f t="shared" si="3"/>
        <v>19</v>
      </c>
      <c r="T185" s="64">
        <f t="shared" si="4"/>
        <v>54.234444444444442</v>
      </c>
      <c r="U185" s="64" t="str">
        <f t="shared" si="5"/>
        <v>35-60</v>
      </c>
      <c r="V185" s="64" t="str">
        <f t="shared" si="6"/>
        <v>&lt;10 Гб</v>
      </c>
    </row>
    <row r="186" spans="1:22" ht="15.75" customHeight="1" x14ac:dyDescent="0.25">
      <c r="A186" s="62" t="s">
        <v>277</v>
      </c>
      <c r="B186" s="56">
        <v>37443</v>
      </c>
      <c r="C186" s="62" t="s">
        <v>83</v>
      </c>
      <c r="D186" s="62" t="s">
        <v>84</v>
      </c>
      <c r="E186" s="62" t="s">
        <v>85</v>
      </c>
      <c r="F186" s="62" t="s">
        <v>89</v>
      </c>
      <c r="G186" s="56">
        <v>43230</v>
      </c>
      <c r="H186" s="62">
        <v>5</v>
      </c>
      <c r="I186" s="62">
        <v>3940</v>
      </c>
      <c r="J186" s="62">
        <v>120000000</v>
      </c>
      <c r="P186" s="63">
        <f t="shared" si="0"/>
        <v>120</v>
      </c>
      <c r="Q186" s="64">
        <f t="shared" si="1"/>
        <v>16.416666666666668</v>
      </c>
      <c r="R186" s="64">
        <f t="shared" si="2"/>
        <v>28.6102294921875</v>
      </c>
      <c r="S186" s="64">
        <f t="shared" si="3"/>
        <v>19</v>
      </c>
      <c r="T186" s="64">
        <f t="shared" si="4"/>
        <v>3.8305555555555557</v>
      </c>
      <c r="U186" s="64" t="str">
        <f t="shared" si="5"/>
        <v>&lt;35</v>
      </c>
      <c r="V186" s="64" t="str">
        <f t="shared" si="6"/>
        <v>21-30 Гб</v>
      </c>
    </row>
    <row r="187" spans="1:22" ht="15.75" customHeight="1" x14ac:dyDescent="0.25">
      <c r="A187" s="62" t="s">
        <v>278</v>
      </c>
      <c r="B187" s="56">
        <v>37441</v>
      </c>
      <c r="C187" s="62" t="s">
        <v>88</v>
      </c>
      <c r="D187" s="62" t="s">
        <v>84</v>
      </c>
      <c r="E187" s="62" t="s">
        <v>85</v>
      </c>
      <c r="F187" s="62" t="s">
        <v>89</v>
      </c>
      <c r="G187" s="56">
        <v>43780</v>
      </c>
      <c r="H187" s="62">
        <v>5</v>
      </c>
      <c r="I187" s="62">
        <v>21064</v>
      </c>
      <c r="J187" s="62">
        <v>132000000</v>
      </c>
      <c r="P187" s="63">
        <f t="shared" si="0"/>
        <v>120</v>
      </c>
      <c r="Q187" s="64">
        <f t="shared" si="1"/>
        <v>87.766666666666666</v>
      </c>
      <c r="R187" s="64">
        <f t="shared" si="2"/>
        <v>31.47125244140625</v>
      </c>
      <c r="S187" s="64">
        <f t="shared" si="3"/>
        <v>19</v>
      </c>
      <c r="T187" s="64">
        <f t="shared" si="4"/>
        <v>20.478888888888889</v>
      </c>
      <c r="U187" s="64" t="str">
        <f t="shared" si="5"/>
        <v>&lt;35</v>
      </c>
      <c r="V187" s="64" t="str">
        <f t="shared" si="6"/>
        <v>31-40 Гб</v>
      </c>
    </row>
    <row r="188" spans="1:22" ht="15.75" customHeight="1" x14ac:dyDescent="0.25">
      <c r="A188" s="62" t="s">
        <v>279</v>
      </c>
      <c r="B188" s="56">
        <v>37439</v>
      </c>
      <c r="C188" s="62" t="s">
        <v>83</v>
      </c>
      <c r="D188" s="62" t="s">
        <v>84</v>
      </c>
      <c r="E188" s="62" t="s">
        <v>85</v>
      </c>
      <c r="F188" s="62" t="s">
        <v>96</v>
      </c>
      <c r="G188" s="56">
        <v>43937</v>
      </c>
      <c r="H188" s="62">
        <v>5</v>
      </c>
      <c r="I188" s="62">
        <v>95564</v>
      </c>
      <c r="J188" s="62">
        <v>84000000</v>
      </c>
      <c r="M188" s="62">
        <v>1</v>
      </c>
      <c r="P188" s="63">
        <f t="shared" si="0"/>
        <v>120</v>
      </c>
      <c r="Q188" s="64">
        <f t="shared" si="1"/>
        <v>398.18333333333334</v>
      </c>
      <c r="R188" s="64">
        <f t="shared" si="2"/>
        <v>20.02716064453125</v>
      </c>
      <c r="S188" s="64">
        <f t="shared" si="3"/>
        <v>19</v>
      </c>
      <c r="T188" s="64">
        <f t="shared" si="4"/>
        <v>92.909444444444446</v>
      </c>
      <c r="U188" s="64" t="str">
        <f t="shared" si="5"/>
        <v>91-120</v>
      </c>
      <c r="V188" s="64" t="str">
        <f t="shared" si="6"/>
        <v>21-30 Гб</v>
      </c>
    </row>
    <row r="189" spans="1:22" ht="15.75" customHeight="1" x14ac:dyDescent="0.25">
      <c r="A189" s="62" t="s">
        <v>280</v>
      </c>
      <c r="B189" s="56">
        <v>37435</v>
      </c>
      <c r="C189" s="62" t="s">
        <v>88</v>
      </c>
      <c r="D189" s="62" t="s">
        <v>84</v>
      </c>
      <c r="E189" s="62" t="s">
        <v>85</v>
      </c>
      <c r="F189" s="62" t="s">
        <v>86</v>
      </c>
      <c r="G189" s="56">
        <v>43793</v>
      </c>
      <c r="H189" s="62">
        <v>5</v>
      </c>
      <c r="I189" s="62">
        <v>131904</v>
      </c>
      <c r="J189" s="62">
        <v>112000000</v>
      </c>
      <c r="P189" s="63">
        <f t="shared" si="0"/>
        <v>120</v>
      </c>
      <c r="Q189" s="64">
        <f t="shared" si="1"/>
        <v>549.6</v>
      </c>
      <c r="R189" s="64">
        <f t="shared" si="2"/>
        <v>26.702880859375</v>
      </c>
      <c r="S189" s="64">
        <f t="shared" si="3"/>
        <v>19</v>
      </c>
      <c r="T189" s="64">
        <f t="shared" si="4"/>
        <v>128.24</v>
      </c>
      <c r="U189" s="64" t="str">
        <f t="shared" si="5"/>
        <v>120+</v>
      </c>
      <c r="V189" s="64" t="str">
        <f t="shared" si="6"/>
        <v>21-30 Гб</v>
      </c>
    </row>
    <row r="190" spans="1:22" ht="15.75" customHeight="1" x14ac:dyDescent="0.25">
      <c r="A190" s="62" t="s">
        <v>281</v>
      </c>
      <c r="B190" s="56">
        <v>37432</v>
      </c>
      <c r="C190" s="62" t="s">
        <v>88</v>
      </c>
      <c r="D190" s="62" t="s">
        <v>84</v>
      </c>
      <c r="E190" s="62" t="s">
        <v>92</v>
      </c>
      <c r="F190" s="62" t="s">
        <v>96</v>
      </c>
      <c r="G190" s="56">
        <v>43357</v>
      </c>
      <c r="H190" s="62">
        <v>5</v>
      </c>
      <c r="I190" s="62">
        <v>94644</v>
      </c>
      <c r="J190" s="62">
        <v>92000000</v>
      </c>
      <c r="K190" s="62">
        <v>1</v>
      </c>
      <c r="P190" s="63">
        <f t="shared" si="0"/>
        <v>120</v>
      </c>
      <c r="Q190" s="64">
        <f t="shared" si="1"/>
        <v>394.35</v>
      </c>
      <c r="R190" s="64">
        <f t="shared" si="2"/>
        <v>21.93450927734375</v>
      </c>
      <c r="S190" s="64">
        <f t="shared" si="3"/>
        <v>19</v>
      </c>
      <c r="T190" s="64">
        <f t="shared" si="4"/>
        <v>92.015000000000015</v>
      </c>
      <c r="U190" s="64" t="str">
        <f t="shared" si="5"/>
        <v>91-120</v>
      </c>
      <c r="V190" s="64" t="str">
        <f t="shared" si="6"/>
        <v>21-30 Гб</v>
      </c>
    </row>
    <row r="191" spans="1:22" ht="15.75" customHeight="1" x14ac:dyDescent="0.25">
      <c r="A191" s="62" t="s">
        <v>282</v>
      </c>
      <c r="B191" s="56">
        <v>37422</v>
      </c>
      <c r="C191" s="62" t="s">
        <v>88</v>
      </c>
      <c r="D191" s="62" t="s">
        <v>84</v>
      </c>
      <c r="E191" s="62" t="s">
        <v>85</v>
      </c>
      <c r="F191" s="62" t="s">
        <v>100</v>
      </c>
      <c r="G191" s="56">
        <v>43443</v>
      </c>
      <c r="H191" s="62">
        <v>5</v>
      </c>
      <c r="I191" s="62">
        <v>75280</v>
      </c>
      <c r="J191" s="62">
        <v>112000000</v>
      </c>
      <c r="K191" s="62">
        <v>1</v>
      </c>
      <c r="P191" s="63">
        <f t="shared" si="0"/>
        <v>120</v>
      </c>
      <c r="Q191" s="64">
        <f t="shared" si="1"/>
        <v>313.66666666666669</v>
      </c>
      <c r="R191" s="64">
        <f t="shared" si="2"/>
        <v>26.702880859375</v>
      </c>
      <c r="S191" s="64">
        <f t="shared" si="3"/>
        <v>19</v>
      </c>
      <c r="T191" s="64">
        <f t="shared" si="4"/>
        <v>73.188888888888897</v>
      </c>
      <c r="U191" s="64" t="str">
        <f t="shared" si="5"/>
        <v>61-90</v>
      </c>
      <c r="V191" s="64" t="str">
        <f t="shared" si="6"/>
        <v>21-30 Гб</v>
      </c>
    </row>
    <row r="192" spans="1:22" ht="15.75" customHeight="1" x14ac:dyDescent="0.25">
      <c r="A192" s="62" t="s">
        <v>283</v>
      </c>
      <c r="B192" s="56">
        <v>37419</v>
      </c>
      <c r="C192" s="62" t="s">
        <v>88</v>
      </c>
      <c r="D192" s="62" t="s">
        <v>84</v>
      </c>
      <c r="E192" s="62" t="s">
        <v>85</v>
      </c>
      <c r="F192" s="62" t="s">
        <v>100</v>
      </c>
      <c r="G192" s="56">
        <v>44060</v>
      </c>
      <c r="H192" s="62">
        <v>5</v>
      </c>
      <c r="I192" s="62">
        <v>61700</v>
      </c>
      <c r="J192" s="62">
        <v>120000000</v>
      </c>
      <c r="P192" s="63">
        <f t="shared" si="0"/>
        <v>120</v>
      </c>
      <c r="Q192" s="64">
        <f t="shared" si="1"/>
        <v>257.08333333333331</v>
      </c>
      <c r="R192" s="64">
        <f t="shared" si="2"/>
        <v>28.6102294921875</v>
      </c>
      <c r="S192" s="64">
        <f t="shared" si="3"/>
        <v>19</v>
      </c>
      <c r="T192" s="64">
        <f t="shared" si="4"/>
        <v>59.986111111111107</v>
      </c>
      <c r="U192" s="64" t="str">
        <f t="shared" si="5"/>
        <v>35-60</v>
      </c>
      <c r="V192" s="64" t="str">
        <f t="shared" si="6"/>
        <v>21-30 Гб</v>
      </c>
    </row>
    <row r="193" spans="1:22" ht="15.75" customHeight="1" x14ac:dyDescent="0.25">
      <c r="A193" s="62" t="s">
        <v>284</v>
      </c>
      <c r="B193" s="56">
        <v>37417</v>
      </c>
      <c r="C193" s="62" t="s">
        <v>88</v>
      </c>
      <c r="D193" s="62" t="s">
        <v>84</v>
      </c>
      <c r="E193" s="62" t="s">
        <v>92</v>
      </c>
      <c r="F193" s="62" t="s">
        <v>100</v>
      </c>
      <c r="G193" s="56">
        <v>42995</v>
      </c>
      <c r="H193" s="62">
        <v>5</v>
      </c>
      <c r="I193" s="62">
        <v>24964</v>
      </c>
      <c r="J193" s="62">
        <v>48000000</v>
      </c>
      <c r="P193" s="63">
        <f t="shared" si="0"/>
        <v>120</v>
      </c>
      <c r="Q193" s="64">
        <f t="shared" si="1"/>
        <v>104.01666666666667</v>
      </c>
      <c r="R193" s="64">
        <f t="shared" si="2"/>
        <v>11.444091796875</v>
      </c>
      <c r="S193" s="64">
        <f t="shared" si="3"/>
        <v>19</v>
      </c>
      <c r="T193" s="64">
        <f t="shared" si="4"/>
        <v>24.270555555555557</v>
      </c>
      <c r="U193" s="64" t="str">
        <f t="shared" si="5"/>
        <v>&lt;35</v>
      </c>
      <c r="V193" s="64" t="str">
        <f t="shared" si="6"/>
        <v>10-20 Гб</v>
      </c>
    </row>
    <row r="194" spans="1:22" ht="15.75" customHeight="1" x14ac:dyDescent="0.25">
      <c r="A194" s="62" t="s">
        <v>285</v>
      </c>
      <c r="B194" s="56">
        <v>37416</v>
      </c>
      <c r="C194" s="62" t="s">
        <v>83</v>
      </c>
      <c r="D194" s="62" t="s">
        <v>84</v>
      </c>
      <c r="E194" s="62" t="s">
        <v>85</v>
      </c>
      <c r="F194" s="62" t="s">
        <v>89</v>
      </c>
      <c r="G194" s="56">
        <v>44042</v>
      </c>
      <c r="H194" s="62">
        <v>5</v>
      </c>
      <c r="I194" s="62">
        <v>2768</v>
      </c>
      <c r="J194" s="62">
        <v>160000000</v>
      </c>
      <c r="P194" s="63">
        <f t="shared" si="0"/>
        <v>120</v>
      </c>
      <c r="Q194" s="64">
        <f t="shared" si="1"/>
        <v>11.533333333333333</v>
      </c>
      <c r="R194" s="64">
        <f t="shared" si="2"/>
        <v>38.14697265625</v>
      </c>
      <c r="S194" s="64">
        <f t="shared" si="3"/>
        <v>19</v>
      </c>
      <c r="T194" s="64">
        <f t="shared" si="4"/>
        <v>2.6911111111111112</v>
      </c>
      <c r="U194" s="64" t="str">
        <f t="shared" si="5"/>
        <v>&lt;35</v>
      </c>
      <c r="V194" s="64" t="str">
        <f t="shared" si="6"/>
        <v>31-40 Гб</v>
      </c>
    </row>
    <row r="195" spans="1:22" ht="15.75" customHeight="1" x14ac:dyDescent="0.25">
      <c r="A195" s="62" t="s">
        <v>286</v>
      </c>
      <c r="B195" s="56">
        <v>37407</v>
      </c>
      <c r="C195" s="62" t="s">
        <v>88</v>
      </c>
      <c r="D195" s="62" t="s">
        <v>84</v>
      </c>
      <c r="E195" s="62" t="s">
        <v>85</v>
      </c>
      <c r="F195" s="62" t="s">
        <v>89</v>
      </c>
      <c r="G195" s="56">
        <v>44431</v>
      </c>
      <c r="H195" s="62">
        <v>5</v>
      </c>
      <c r="I195" s="62">
        <v>13476</v>
      </c>
      <c r="J195" s="62">
        <v>156000000</v>
      </c>
      <c r="P195" s="63">
        <f t="shared" si="0"/>
        <v>120</v>
      </c>
      <c r="Q195" s="64">
        <f t="shared" si="1"/>
        <v>56.15</v>
      </c>
      <c r="R195" s="64">
        <f t="shared" si="2"/>
        <v>37.19329833984375</v>
      </c>
      <c r="S195" s="64">
        <f t="shared" si="3"/>
        <v>19</v>
      </c>
      <c r="T195" s="64">
        <f t="shared" si="4"/>
        <v>13.101666666666667</v>
      </c>
      <c r="U195" s="64" t="str">
        <f t="shared" si="5"/>
        <v>&lt;35</v>
      </c>
      <c r="V195" s="64" t="str">
        <f t="shared" si="6"/>
        <v>31-40 Гб</v>
      </c>
    </row>
    <row r="196" spans="1:22" ht="15.75" customHeight="1" x14ac:dyDescent="0.25">
      <c r="A196" s="62" t="s">
        <v>287</v>
      </c>
      <c r="B196" s="56">
        <v>37406</v>
      </c>
      <c r="C196" s="62" t="s">
        <v>83</v>
      </c>
      <c r="D196" s="62" t="s">
        <v>84</v>
      </c>
      <c r="E196" s="62" t="s">
        <v>92</v>
      </c>
      <c r="F196" s="62" t="s">
        <v>89</v>
      </c>
      <c r="G196" s="56">
        <v>43564</v>
      </c>
      <c r="H196" s="62">
        <v>5</v>
      </c>
      <c r="I196" s="62">
        <v>26608</v>
      </c>
      <c r="J196" s="62">
        <v>156000000</v>
      </c>
      <c r="K196" s="62">
        <v>1</v>
      </c>
      <c r="L196" s="62">
        <v>1</v>
      </c>
      <c r="P196" s="63">
        <f t="shared" si="0"/>
        <v>120</v>
      </c>
      <c r="Q196" s="64">
        <f t="shared" si="1"/>
        <v>110.86666666666666</v>
      </c>
      <c r="R196" s="64">
        <f t="shared" si="2"/>
        <v>37.19329833984375</v>
      </c>
      <c r="S196" s="64">
        <f t="shared" si="3"/>
        <v>19</v>
      </c>
      <c r="T196" s="64">
        <f t="shared" si="4"/>
        <v>25.868888888888886</v>
      </c>
      <c r="U196" s="64" t="str">
        <f t="shared" si="5"/>
        <v>&lt;35</v>
      </c>
      <c r="V196" s="64" t="str">
        <f t="shared" si="6"/>
        <v>31-40 Гб</v>
      </c>
    </row>
    <row r="197" spans="1:22" ht="15.75" customHeight="1" x14ac:dyDescent="0.25">
      <c r="A197" s="62" t="s">
        <v>288</v>
      </c>
      <c r="B197" s="56">
        <v>37403</v>
      </c>
      <c r="C197" s="62" t="s">
        <v>83</v>
      </c>
      <c r="D197" s="62" t="s">
        <v>84</v>
      </c>
      <c r="E197" s="62" t="s">
        <v>92</v>
      </c>
      <c r="F197" s="62" t="s">
        <v>86</v>
      </c>
      <c r="G197" s="56">
        <v>44592</v>
      </c>
      <c r="H197" s="62">
        <v>3</v>
      </c>
      <c r="I197" s="62">
        <v>126000</v>
      </c>
      <c r="J197" s="62">
        <v>135000000</v>
      </c>
      <c r="P197" s="63">
        <f t="shared" si="0"/>
        <v>90</v>
      </c>
      <c r="Q197" s="64">
        <f t="shared" si="1"/>
        <v>700</v>
      </c>
      <c r="R197" s="64">
        <f t="shared" si="2"/>
        <v>42.91534423828125</v>
      </c>
      <c r="S197" s="64">
        <f t="shared" si="3"/>
        <v>19</v>
      </c>
      <c r="T197" s="64">
        <f t="shared" si="4"/>
        <v>163.33333333333334</v>
      </c>
      <c r="U197" s="64" t="str">
        <f t="shared" si="5"/>
        <v>120+</v>
      </c>
      <c r="V197" s="64" t="str">
        <f t="shared" si="6"/>
        <v>40+ Гб</v>
      </c>
    </row>
    <row r="198" spans="1:22" ht="15.75" customHeight="1" x14ac:dyDescent="0.25">
      <c r="A198" s="62" t="s">
        <v>289</v>
      </c>
      <c r="B198" s="56">
        <v>37395</v>
      </c>
      <c r="C198" s="62" t="s">
        <v>88</v>
      </c>
      <c r="D198" s="62" t="s">
        <v>84</v>
      </c>
      <c r="E198" s="62" t="s">
        <v>85</v>
      </c>
      <c r="F198" s="62" t="s">
        <v>89</v>
      </c>
      <c r="G198" s="56">
        <v>43183</v>
      </c>
      <c r="H198" s="62">
        <v>5</v>
      </c>
      <c r="I198" s="62">
        <v>23984</v>
      </c>
      <c r="J198" s="62">
        <v>124000000</v>
      </c>
      <c r="P198" s="63">
        <f t="shared" si="0"/>
        <v>120</v>
      </c>
      <c r="Q198" s="64">
        <f t="shared" si="1"/>
        <v>99.933333333333337</v>
      </c>
      <c r="R198" s="64">
        <f t="shared" si="2"/>
        <v>29.56390380859375</v>
      </c>
      <c r="S198" s="64">
        <f t="shared" si="3"/>
        <v>19</v>
      </c>
      <c r="T198" s="64">
        <f t="shared" si="4"/>
        <v>23.317777777777778</v>
      </c>
      <c r="U198" s="64" t="str">
        <f t="shared" si="5"/>
        <v>&lt;35</v>
      </c>
      <c r="V198" s="64" t="str">
        <f t="shared" si="6"/>
        <v>21-30 Гб</v>
      </c>
    </row>
    <row r="199" spans="1:22" ht="15.75" customHeight="1" x14ac:dyDescent="0.25">
      <c r="A199" s="62" t="s">
        <v>290</v>
      </c>
      <c r="B199" s="56">
        <v>37392</v>
      </c>
      <c r="C199" s="62" t="s">
        <v>88</v>
      </c>
      <c r="D199" s="62" t="s">
        <v>84</v>
      </c>
      <c r="E199" s="62" t="s">
        <v>85</v>
      </c>
      <c r="F199" s="62" t="s">
        <v>100</v>
      </c>
      <c r="G199" s="56">
        <v>44045</v>
      </c>
      <c r="H199" s="62">
        <v>5</v>
      </c>
      <c r="I199" s="62">
        <v>35272</v>
      </c>
      <c r="J199" s="62">
        <v>120000000</v>
      </c>
      <c r="L199" s="62">
        <v>1</v>
      </c>
      <c r="P199" s="63">
        <f t="shared" si="0"/>
        <v>120</v>
      </c>
      <c r="Q199" s="64">
        <f t="shared" si="1"/>
        <v>146.96666666666667</v>
      </c>
      <c r="R199" s="64">
        <f t="shared" si="2"/>
        <v>28.6102294921875</v>
      </c>
      <c r="S199" s="64">
        <f t="shared" si="3"/>
        <v>19</v>
      </c>
      <c r="T199" s="64">
        <f t="shared" si="4"/>
        <v>34.292222222222222</v>
      </c>
      <c r="U199" s="64" t="str">
        <f t="shared" si="5"/>
        <v>&lt;35</v>
      </c>
      <c r="V199" s="64" t="str">
        <f t="shared" si="6"/>
        <v>21-30 Гб</v>
      </c>
    </row>
    <row r="200" spans="1:22" ht="15.75" customHeight="1" x14ac:dyDescent="0.25">
      <c r="A200" s="62" t="s">
        <v>291</v>
      </c>
      <c r="B200" s="56">
        <v>37391</v>
      </c>
      <c r="C200" s="62" t="s">
        <v>83</v>
      </c>
      <c r="D200" s="62" t="s">
        <v>84</v>
      </c>
      <c r="E200" s="62" t="s">
        <v>92</v>
      </c>
      <c r="F200" s="62" t="s">
        <v>100</v>
      </c>
      <c r="G200" s="56">
        <v>43328</v>
      </c>
      <c r="H200" s="62">
        <v>5</v>
      </c>
      <c r="I200" s="62">
        <v>72196</v>
      </c>
      <c r="J200" s="62">
        <v>48000000</v>
      </c>
      <c r="P200" s="63">
        <f t="shared" si="0"/>
        <v>120</v>
      </c>
      <c r="Q200" s="64">
        <f t="shared" si="1"/>
        <v>300.81666666666666</v>
      </c>
      <c r="R200" s="64">
        <f t="shared" si="2"/>
        <v>11.444091796875</v>
      </c>
      <c r="S200" s="64">
        <f t="shared" si="3"/>
        <v>19</v>
      </c>
      <c r="T200" s="64">
        <f t="shared" si="4"/>
        <v>70.190555555555562</v>
      </c>
      <c r="U200" s="64" t="str">
        <f t="shared" si="5"/>
        <v>61-90</v>
      </c>
      <c r="V200" s="64" t="str">
        <f t="shared" si="6"/>
        <v>10-20 Гб</v>
      </c>
    </row>
    <row r="201" spans="1:22" ht="15.75" customHeight="1" x14ac:dyDescent="0.25">
      <c r="A201" s="62" t="s">
        <v>292</v>
      </c>
      <c r="B201" s="56">
        <v>37390</v>
      </c>
      <c r="C201" s="62" t="s">
        <v>83</v>
      </c>
      <c r="D201" s="62" t="s">
        <v>84</v>
      </c>
      <c r="E201" s="62" t="s">
        <v>92</v>
      </c>
      <c r="F201" s="62" t="s">
        <v>100</v>
      </c>
      <c r="G201" s="56">
        <v>44400</v>
      </c>
      <c r="H201" s="62">
        <v>5</v>
      </c>
      <c r="I201" s="62">
        <v>115388</v>
      </c>
      <c r="J201" s="62">
        <v>132000000</v>
      </c>
      <c r="L201" s="62">
        <v>1</v>
      </c>
      <c r="P201" s="63">
        <f t="shared" si="0"/>
        <v>120</v>
      </c>
      <c r="Q201" s="64">
        <f t="shared" si="1"/>
        <v>480.78333333333342</v>
      </c>
      <c r="R201" s="64">
        <f t="shared" si="2"/>
        <v>31.47125244140625</v>
      </c>
      <c r="S201" s="64">
        <f t="shared" si="3"/>
        <v>19</v>
      </c>
      <c r="T201" s="64">
        <f t="shared" si="4"/>
        <v>112.1827777777778</v>
      </c>
      <c r="U201" s="64" t="str">
        <f t="shared" si="5"/>
        <v>91-120</v>
      </c>
      <c r="V201" s="64" t="str">
        <f t="shared" si="6"/>
        <v>31-40 Гб</v>
      </c>
    </row>
    <row r="202" spans="1:22" ht="15.75" customHeight="1" x14ac:dyDescent="0.25">
      <c r="A202" s="62" t="s">
        <v>293</v>
      </c>
      <c r="B202" s="56">
        <v>37390</v>
      </c>
      <c r="C202" s="62" t="s">
        <v>83</v>
      </c>
      <c r="D202" s="62" t="s">
        <v>84</v>
      </c>
      <c r="E202" s="62" t="s">
        <v>92</v>
      </c>
      <c r="F202" s="62" t="s">
        <v>96</v>
      </c>
      <c r="G202" s="56">
        <v>44364</v>
      </c>
      <c r="H202" s="62">
        <v>5</v>
      </c>
      <c r="I202" s="62">
        <v>14664</v>
      </c>
      <c r="J202" s="62">
        <v>104000000</v>
      </c>
      <c r="P202" s="63">
        <f t="shared" si="0"/>
        <v>120</v>
      </c>
      <c r="Q202" s="64">
        <f t="shared" si="1"/>
        <v>61.1</v>
      </c>
      <c r="R202" s="64">
        <f t="shared" si="2"/>
        <v>24.7955322265625</v>
      </c>
      <c r="S202" s="64">
        <f t="shared" si="3"/>
        <v>19</v>
      </c>
      <c r="T202" s="64">
        <f t="shared" si="4"/>
        <v>14.256666666666666</v>
      </c>
      <c r="U202" s="64" t="str">
        <f t="shared" si="5"/>
        <v>&lt;35</v>
      </c>
      <c r="V202" s="64" t="str">
        <f t="shared" si="6"/>
        <v>21-30 Гб</v>
      </c>
    </row>
    <row r="203" spans="1:22" ht="15.75" customHeight="1" x14ac:dyDescent="0.25">
      <c r="A203" s="62" t="s">
        <v>294</v>
      </c>
      <c r="B203" s="56">
        <v>37386</v>
      </c>
      <c r="C203" s="62" t="s">
        <v>83</v>
      </c>
      <c r="D203" s="62" t="s">
        <v>84</v>
      </c>
      <c r="E203" s="62" t="s">
        <v>85</v>
      </c>
      <c r="F203" s="62" t="s">
        <v>89</v>
      </c>
      <c r="G203" s="56">
        <v>43528</v>
      </c>
      <c r="H203" s="62">
        <v>5</v>
      </c>
      <c r="I203" s="62">
        <v>24124</v>
      </c>
      <c r="J203" s="62">
        <v>132000000</v>
      </c>
      <c r="P203" s="63">
        <f t="shared" si="0"/>
        <v>120</v>
      </c>
      <c r="Q203" s="64">
        <f t="shared" si="1"/>
        <v>100.51666666666667</v>
      </c>
      <c r="R203" s="64">
        <f t="shared" si="2"/>
        <v>31.47125244140625</v>
      </c>
      <c r="S203" s="64">
        <f t="shared" si="3"/>
        <v>19</v>
      </c>
      <c r="T203" s="64">
        <f t="shared" si="4"/>
        <v>23.453888888888891</v>
      </c>
      <c r="U203" s="64" t="str">
        <f t="shared" si="5"/>
        <v>&lt;35</v>
      </c>
      <c r="V203" s="64" t="str">
        <f t="shared" si="6"/>
        <v>31-40 Гб</v>
      </c>
    </row>
    <row r="204" spans="1:22" ht="15.75" customHeight="1" x14ac:dyDescent="0.25">
      <c r="A204" s="62" t="s">
        <v>295</v>
      </c>
      <c r="B204" s="56">
        <v>37385</v>
      </c>
      <c r="C204" s="62" t="s">
        <v>88</v>
      </c>
      <c r="D204" s="62" t="s">
        <v>84</v>
      </c>
      <c r="E204" s="62" t="s">
        <v>85</v>
      </c>
      <c r="F204" s="62" t="s">
        <v>89</v>
      </c>
      <c r="G204" s="56">
        <v>44565</v>
      </c>
      <c r="H204" s="62">
        <v>3</v>
      </c>
      <c r="I204" s="62">
        <v>5105</v>
      </c>
      <c r="J204" s="62">
        <v>128700000</v>
      </c>
      <c r="P204" s="63">
        <f t="shared" si="0"/>
        <v>117</v>
      </c>
      <c r="Q204" s="64">
        <f t="shared" si="1"/>
        <v>21.816239316239315</v>
      </c>
      <c r="R204" s="64">
        <f t="shared" si="2"/>
        <v>31.47125244140625</v>
      </c>
      <c r="S204" s="64">
        <f t="shared" si="3"/>
        <v>19</v>
      </c>
      <c r="T204" s="64">
        <f t="shared" si="4"/>
        <v>5.0904558404558404</v>
      </c>
      <c r="U204" s="64" t="str">
        <f t="shared" si="5"/>
        <v>&lt;35</v>
      </c>
      <c r="V204" s="64" t="str">
        <f t="shared" si="6"/>
        <v>31-40 Гб</v>
      </c>
    </row>
    <row r="205" spans="1:22" ht="15.75" customHeight="1" x14ac:dyDescent="0.25">
      <c r="A205" s="62" t="s">
        <v>296</v>
      </c>
      <c r="B205" s="56">
        <v>37381</v>
      </c>
      <c r="C205" s="62" t="s">
        <v>83</v>
      </c>
      <c r="D205" s="62" t="s">
        <v>84</v>
      </c>
      <c r="E205" s="62" t="s">
        <v>92</v>
      </c>
      <c r="F205" s="62" t="s">
        <v>89</v>
      </c>
      <c r="G205" s="56">
        <v>44671</v>
      </c>
      <c r="H205" s="62">
        <v>0</v>
      </c>
      <c r="I205" s="62">
        <v>2091</v>
      </c>
      <c r="J205" s="62">
        <v>13200000</v>
      </c>
      <c r="L205" s="62">
        <v>1</v>
      </c>
      <c r="N205" s="62">
        <v>1</v>
      </c>
      <c r="P205" s="63">
        <f t="shared" si="0"/>
        <v>11</v>
      </c>
      <c r="Q205" s="64">
        <f t="shared" si="1"/>
        <v>95.045454545454547</v>
      </c>
      <c r="R205" s="64">
        <f t="shared" si="2"/>
        <v>34.332275390625</v>
      </c>
      <c r="S205" s="64">
        <f t="shared" si="3"/>
        <v>19</v>
      </c>
      <c r="T205" s="64">
        <f t="shared" si="4"/>
        <v>22.177272727272729</v>
      </c>
      <c r="U205" s="64" t="str">
        <f t="shared" si="5"/>
        <v>&lt;35</v>
      </c>
      <c r="V205" s="64" t="str">
        <f t="shared" si="6"/>
        <v>31-40 Гб</v>
      </c>
    </row>
    <row r="206" spans="1:22" ht="15.75" customHeight="1" x14ac:dyDescent="0.25">
      <c r="A206" s="62" t="s">
        <v>297</v>
      </c>
      <c r="B206" s="56">
        <v>37380</v>
      </c>
      <c r="C206" s="62" t="s">
        <v>88</v>
      </c>
      <c r="D206" s="62" t="s">
        <v>84</v>
      </c>
      <c r="E206" s="62" t="s">
        <v>92</v>
      </c>
      <c r="F206" s="62" t="s">
        <v>100</v>
      </c>
      <c r="G206" s="56">
        <v>42802</v>
      </c>
      <c r="H206" s="62">
        <v>5</v>
      </c>
      <c r="I206" s="62">
        <v>116016</v>
      </c>
      <c r="J206" s="62">
        <v>116000000</v>
      </c>
      <c r="K206" s="62">
        <v>1</v>
      </c>
      <c r="P206" s="63">
        <f t="shared" si="0"/>
        <v>120</v>
      </c>
      <c r="Q206" s="64">
        <f t="shared" si="1"/>
        <v>483.4</v>
      </c>
      <c r="R206" s="64">
        <f t="shared" si="2"/>
        <v>27.65655517578125</v>
      </c>
      <c r="S206" s="64">
        <f t="shared" si="3"/>
        <v>19</v>
      </c>
      <c r="T206" s="64">
        <f t="shared" si="4"/>
        <v>112.79333333333332</v>
      </c>
      <c r="U206" s="64" t="str">
        <f t="shared" si="5"/>
        <v>91-120</v>
      </c>
      <c r="V206" s="64" t="str">
        <f t="shared" si="6"/>
        <v>21-30 Гб</v>
      </c>
    </row>
    <row r="207" spans="1:22" ht="15.75" customHeight="1" x14ac:dyDescent="0.25">
      <c r="A207" s="62" t="s">
        <v>298</v>
      </c>
      <c r="B207" s="56">
        <v>37380</v>
      </c>
      <c r="C207" s="62" t="s">
        <v>88</v>
      </c>
      <c r="D207" s="62" t="s">
        <v>84</v>
      </c>
      <c r="E207" s="62" t="s">
        <v>85</v>
      </c>
      <c r="F207" s="62" t="s">
        <v>89</v>
      </c>
      <c r="G207" s="56">
        <v>43207</v>
      </c>
      <c r="H207" s="62">
        <v>5</v>
      </c>
      <c r="I207" s="62">
        <v>20160</v>
      </c>
      <c r="J207" s="62">
        <v>32000000</v>
      </c>
      <c r="P207" s="63">
        <f t="shared" si="0"/>
        <v>120</v>
      </c>
      <c r="Q207" s="64">
        <f t="shared" si="1"/>
        <v>84</v>
      </c>
      <c r="R207" s="64">
        <f t="shared" si="2"/>
        <v>7.6293945312500009</v>
      </c>
      <c r="S207" s="64">
        <f t="shared" si="3"/>
        <v>19</v>
      </c>
      <c r="T207" s="64">
        <f t="shared" si="4"/>
        <v>19.600000000000001</v>
      </c>
      <c r="U207" s="64" t="str">
        <f t="shared" si="5"/>
        <v>&lt;35</v>
      </c>
      <c r="V207" s="64" t="str">
        <f t="shared" si="6"/>
        <v>&lt;10 Гб</v>
      </c>
    </row>
    <row r="208" spans="1:22" ht="15.75" customHeight="1" x14ac:dyDescent="0.25">
      <c r="A208" s="62" t="s">
        <v>299</v>
      </c>
      <c r="B208" s="56">
        <v>37379</v>
      </c>
      <c r="C208" s="62" t="s">
        <v>88</v>
      </c>
      <c r="D208" s="62" t="s">
        <v>84</v>
      </c>
      <c r="E208" s="62" t="s">
        <v>85</v>
      </c>
      <c r="F208" s="62" t="s">
        <v>89</v>
      </c>
      <c r="G208" s="56">
        <v>43416</v>
      </c>
      <c r="H208" s="62">
        <v>5</v>
      </c>
      <c r="I208" s="62">
        <v>35740</v>
      </c>
      <c r="J208" s="62">
        <v>144000000</v>
      </c>
      <c r="L208" s="62">
        <v>1</v>
      </c>
      <c r="P208" s="63">
        <f t="shared" si="0"/>
        <v>120</v>
      </c>
      <c r="Q208" s="64">
        <f t="shared" si="1"/>
        <v>148.91666666666666</v>
      </c>
      <c r="R208" s="64">
        <f t="shared" si="2"/>
        <v>34.332275390625</v>
      </c>
      <c r="S208" s="64">
        <f t="shared" si="3"/>
        <v>19</v>
      </c>
      <c r="T208" s="64">
        <f t="shared" si="4"/>
        <v>34.74722222222222</v>
      </c>
      <c r="U208" s="64" t="str">
        <f t="shared" si="5"/>
        <v>&lt;35</v>
      </c>
      <c r="V208" s="64" t="str">
        <f t="shared" si="6"/>
        <v>31-40 Гб</v>
      </c>
    </row>
    <row r="209" spans="1:22" ht="15.75" customHeight="1" x14ac:dyDescent="0.25">
      <c r="A209" s="62" t="s">
        <v>300</v>
      </c>
      <c r="B209" s="56">
        <v>37372</v>
      </c>
      <c r="C209" s="62" t="s">
        <v>88</v>
      </c>
      <c r="D209" s="62" t="s">
        <v>84</v>
      </c>
      <c r="E209" s="62" t="s">
        <v>92</v>
      </c>
      <c r="F209" s="62" t="s">
        <v>89</v>
      </c>
      <c r="G209" s="56">
        <v>44452</v>
      </c>
      <c r="H209" s="62">
        <v>5</v>
      </c>
      <c r="I209" s="62">
        <v>15580</v>
      </c>
      <c r="J209" s="62">
        <v>120000000</v>
      </c>
      <c r="P209" s="63">
        <f t="shared" si="0"/>
        <v>120</v>
      </c>
      <c r="Q209" s="64">
        <f t="shared" si="1"/>
        <v>64.916666666666671</v>
      </c>
      <c r="R209" s="64">
        <f t="shared" si="2"/>
        <v>28.6102294921875</v>
      </c>
      <c r="S209" s="64">
        <f t="shared" si="3"/>
        <v>20</v>
      </c>
      <c r="T209" s="64">
        <f t="shared" si="4"/>
        <v>15.147222222222222</v>
      </c>
      <c r="U209" s="64" t="str">
        <f t="shared" si="5"/>
        <v>&lt;35</v>
      </c>
      <c r="V209" s="64" t="str">
        <f t="shared" si="6"/>
        <v>21-30 Гб</v>
      </c>
    </row>
    <row r="210" spans="1:22" ht="15.75" customHeight="1" x14ac:dyDescent="0.25">
      <c r="A210" s="62" t="s">
        <v>301</v>
      </c>
      <c r="B210" s="56">
        <v>37372</v>
      </c>
      <c r="C210" s="62" t="s">
        <v>88</v>
      </c>
      <c r="D210" s="62" t="s">
        <v>84</v>
      </c>
      <c r="E210" s="62" t="s">
        <v>85</v>
      </c>
      <c r="F210" s="62" t="s">
        <v>89</v>
      </c>
      <c r="G210" s="56">
        <v>42760</v>
      </c>
      <c r="H210" s="62">
        <v>5</v>
      </c>
      <c r="I210" s="62">
        <v>2668</v>
      </c>
      <c r="J210" s="62">
        <v>148000000</v>
      </c>
      <c r="O210" s="62">
        <v>1</v>
      </c>
      <c r="P210" s="63">
        <f t="shared" si="0"/>
        <v>120</v>
      </c>
      <c r="Q210" s="64">
        <f t="shared" si="1"/>
        <v>11.116666666666667</v>
      </c>
      <c r="R210" s="64">
        <f t="shared" si="2"/>
        <v>35.28594970703125</v>
      </c>
      <c r="S210" s="64">
        <f t="shared" si="3"/>
        <v>20</v>
      </c>
      <c r="T210" s="64">
        <f t="shared" si="4"/>
        <v>2.5938888888888889</v>
      </c>
      <c r="U210" s="64" t="str">
        <f t="shared" si="5"/>
        <v>&lt;35</v>
      </c>
      <c r="V210" s="64" t="str">
        <f t="shared" si="6"/>
        <v>31-40 Гб</v>
      </c>
    </row>
    <row r="211" spans="1:22" ht="15.75" customHeight="1" x14ac:dyDescent="0.25">
      <c r="A211" s="62" t="s">
        <v>302</v>
      </c>
      <c r="B211" s="56">
        <v>37369</v>
      </c>
      <c r="C211" s="62" t="s">
        <v>83</v>
      </c>
      <c r="D211" s="62" t="s">
        <v>84</v>
      </c>
      <c r="E211" s="62" t="s">
        <v>85</v>
      </c>
      <c r="F211" s="62" t="s">
        <v>86</v>
      </c>
      <c r="G211" s="56">
        <v>43997</v>
      </c>
      <c r="H211" s="62">
        <v>5</v>
      </c>
      <c r="I211" s="62">
        <v>112440</v>
      </c>
      <c r="J211" s="62">
        <v>72000000</v>
      </c>
      <c r="M211" s="62">
        <v>1</v>
      </c>
      <c r="P211" s="63">
        <f t="shared" si="0"/>
        <v>120</v>
      </c>
      <c r="Q211" s="64">
        <f t="shared" si="1"/>
        <v>468.5</v>
      </c>
      <c r="R211" s="64">
        <f t="shared" si="2"/>
        <v>17.1661376953125</v>
      </c>
      <c r="S211" s="64">
        <f t="shared" si="3"/>
        <v>20</v>
      </c>
      <c r="T211" s="64">
        <f t="shared" si="4"/>
        <v>109.31666666666666</v>
      </c>
      <c r="U211" s="64" t="str">
        <f t="shared" si="5"/>
        <v>91-120</v>
      </c>
      <c r="V211" s="64" t="str">
        <f t="shared" si="6"/>
        <v>10-20 Гб</v>
      </c>
    </row>
    <row r="212" spans="1:22" ht="15.75" customHeight="1" x14ac:dyDescent="0.25">
      <c r="A212" s="62" t="s">
        <v>303</v>
      </c>
      <c r="B212" s="56">
        <v>37368</v>
      </c>
      <c r="C212" s="62" t="s">
        <v>88</v>
      </c>
      <c r="D212" s="62" t="s">
        <v>84</v>
      </c>
      <c r="E212" s="62" t="s">
        <v>85</v>
      </c>
      <c r="F212" s="62" t="s">
        <v>89</v>
      </c>
      <c r="G212" s="56">
        <v>43469</v>
      </c>
      <c r="H212" s="62">
        <v>5</v>
      </c>
      <c r="I212" s="62">
        <v>16904</v>
      </c>
      <c r="J212" s="62">
        <v>44000000</v>
      </c>
      <c r="M212" s="62">
        <v>1</v>
      </c>
      <c r="P212" s="63">
        <f t="shared" si="0"/>
        <v>120</v>
      </c>
      <c r="Q212" s="64">
        <f t="shared" si="1"/>
        <v>70.433333333333337</v>
      </c>
      <c r="R212" s="64">
        <f t="shared" si="2"/>
        <v>10.49041748046875</v>
      </c>
      <c r="S212" s="64">
        <f t="shared" si="3"/>
        <v>20</v>
      </c>
      <c r="T212" s="64">
        <f t="shared" si="4"/>
        <v>16.434444444444445</v>
      </c>
      <c r="U212" s="64" t="str">
        <f t="shared" si="5"/>
        <v>&lt;35</v>
      </c>
      <c r="V212" s="64" t="str">
        <f t="shared" si="6"/>
        <v>10-20 Гб</v>
      </c>
    </row>
    <row r="213" spans="1:22" ht="15.75" customHeight="1" x14ac:dyDescent="0.25">
      <c r="A213" s="62" t="s">
        <v>304</v>
      </c>
      <c r="B213" s="56">
        <v>37364</v>
      </c>
      <c r="C213" s="62" t="s">
        <v>88</v>
      </c>
      <c r="D213" s="62" t="s">
        <v>84</v>
      </c>
      <c r="E213" s="62" t="s">
        <v>92</v>
      </c>
      <c r="F213" s="62" t="s">
        <v>89</v>
      </c>
      <c r="G213" s="56">
        <v>43635</v>
      </c>
      <c r="H213" s="62">
        <v>5</v>
      </c>
      <c r="I213" s="62">
        <v>8144</v>
      </c>
      <c r="J213" s="62">
        <v>24000000</v>
      </c>
      <c r="P213" s="63">
        <f t="shared" si="0"/>
        <v>120</v>
      </c>
      <c r="Q213" s="64">
        <f t="shared" si="1"/>
        <v>33.93333333333333</v>
      </c>
      <c r="R213" s="64">
        <f t="shared" si="2"/>
        <v>5.7220458984375</v>
      </c>
      <c r="S213" s="64">
        <f t="shared" si="3"/>
        <v>20</v>
      </c>
      <c r="T213" s="64">
        <f t="shared" si="4"/>
        <v>7.9177777777777765</v>
      </c>
      <c r="U213" s="64" t="str">
        <f t="shared" si="5"/>
        <v>&lt;35</v>
      </c>
      <c r="V213" s="64" t="str">
        <f t="shared" si="6"/>
        <v>&lt;10 Гб</v>
      </c>
    </row>
    <row r="214" spans="1:22" ht="15.75" customHeight="1" x14ac:dyDescent="0.25">
      <c r="A214" s="62" t="s">
        <v>305</v>
      </c>
      <c r="B214" s="56">
        <v>37363</v>
      </c>
      <c r="C214" s="62" t="s">
        <v>88</v>
      </c>
      <c r="D214" s="62" t="s">
        <v>84</v>
      </c>
      <c r="E214" s="62" t="s">
        <v>85</v>
      </c>
      <c r="F214" s="62" t="s">
        <v>96</v>
      </c>
      <c r="G214" s="56">
        <v>42925</v>
      </c>
      <c r="H214" s="62">
        <v>5</v>
      </c>
      <c r="I214" s="62">
        <v>82064</v>
      </c>
      <c r="J214" s="62">
        <v>100000000</v>
      </c>
      <c r="P214" s="63">
        <f t="shared" si="0"/>
        <v>120</v>
      </c>
      <c r="Q214" s="64">
        <f t="shared" si="1"/>
        <v>341.93333333333334</v>
      </c>
      <c r="R214" s="64">
        <f t="shared" si="2"/>
        <v>23.84185791015625</v>
      </c>
      <c r="S214" s="64">
        <f t="shared" si="3"/>
        <v>20</v>
      </c>
      <c r="T214" s="64">
        <f t="shared" si="4"/>
        <v>79.784444444444446</v>
      </c>
      <c r="U214" s="64" t="str">
        <f t="shared" si="5"/>
        <v>61-90</v>
      </c>
      <c r="V214" s="64" t="str">
        <f t="shared" si="6"/>
        <v>21-30 Гб</v>
      </c>
    </row>
    <row r="215" spans="1:22" ht="15.75" customHeight="1" x14ac:dyDescent="0.25">
      <c r="A215" s="62" t="s">
        <v>306</v>
      </c>
      <c r="B215" s="56">
        <v>37359</v>
      </c>
      <c r="C215" s="62" t="s">
        <v>88</v>
      </c>
      <c r="D215" s="62" t="s">
        <v>84</v>
      </c>
      <c r="E215" s="62" t="s">
        <v>92</v>
      </c>
      <c r="F215" s="62" t="s">
        <v>89</v>
      </c>
      <c r="G215" s="56">
        <v>44393</v>
      </c>
      <c r="H215" s="62">
        <v>5</v>
      </c>
      <c r="I215" s="62">
        <v>32788</v>
      </c>
      <c r="J215" s="62">
        <v>52000000</v>
      </c>
      <c r="L215" s="62">
        <v>1</v>
      </c>
      <c r="P215" s="63">
        <f t="shared" si="0"/>
        <v>120</v>
      </c>
      <c r="Q215" s="64">
        <f t="shared" si="1"/>
        <v>136.61666666666667</v>
      </c>
      <c r="R215" s="64">
        <f t="shared" si="2"/>
        <v>12.39776611328125</v>
      </c>
      <c r="S215" s="64">
        <f t="shared" si="3"/>
        <v>20</v>
      </c>
      <c r="T215" s="64">
        <f t="shared" si="4"/>
        <v>31.877222222222223</v>
      </c>
      <c r="U215" s="64" t="str">
        <f t="shared" si="5"/>
        <v>&lt;35</v>
      </c>
      <c r="V215" s="64" t="str">
        <f t="shared" si="6"/>
        <v>10-20 Гб</v>
      </c>
    </row>
    <row r="216" spans="1:22" ht="15.75" customHeight="1" x14ac:dyDescent="0.25">
      <c r="A216" s="62" t="s">
        <v>307</v>
      </c>
      <c r="B216" s="56">
        <v>37358</v>
      </c>
      <c r="C216" s="62" t="s">
        <v>83</v>
      </c>
      <c r="D216" s="62" t="s">
        <v>84</v>
      </c>
      <c r="E216" s="62" t="s">
        <v>92</v>
      </c>
      <c r="F216" s="62" t="s">
        <v>89</v>
      </c>
      <c r="G216" s="56">
        <v>44646</v>
      </c>
      <c r="H216" s="62">
        <v>1</v>
      </c>
      <c r="I216" s="62">
        <v>3704</v>
      </c>
      <c r="J216" s="62">
        <v>36000000</v>
      </c>
      <c r="P216" s="63">
        <f t="shared" si="0"/>
        <v>36</v>
      </c>
      <c r="Q216" s="64">
        <f t="shared" si="1"/>
        <v>51.444444444444443</v>
      </c>
      <c r="R216" s="64">
        <f t="shared" si="2"/>
        <v>28.6102294921875</v>
      </c>
      <c r="S216" s="64">
        <f t="shared" si="3"/>
        <v>20</v>
      </c>
      <c r="T216" s="64">
        <f t="shared" si="4"/>
        <v>12.003703703703703</v>
      </c>
      <c r="U216" s="64" t="str">
        <f t="shared" si="5"/>
        <v>&lt;35</v>
      </c>
      <c r="V216" s="64" t="str">
        <f t="shared" si="6"/>
        <v>21-30 Гб</v>
      </c>
    </row>
    <row r="217" spans="1:22" ht="15.75" customHeight="1" x14ac:dyDescent="0.25">
      <c r="A217" s="62" t="s">
        <v>308</v>
      </c>
      <c r="B217" s="56">
        <v>37352</v>
      </c>
      <c r="C217" s="62" t="s">
        <v>88</v>
      </c>
      <c r="D217" s="62" t="s">
        <v>84</v>
      </c>
      <c r="E217" s="62" t="s">
        <v>85</v>
      </c>
      <c r="F217" s="62" t="s">
        <v>100</v>
      </c>
      <c r="G217" s="56">
        <v>43874</v>
      </c>
      <c r="H217" s="62">
        <v>5</v>
      </c>
      <c r="I217" s="62">
        <v>93200</v>
      </c>
      <c r="J217" s="62">
        <v>128000000</v>
      </c>
      <c r="P217" s="63">
        <f t="shared" si="0"/>
        <v>120</v>
      </c>
      <c r="Q217" s="64">
        <f t="shared" si="1"/>
        <v>388.33333333333331</v>
      </c>
      <c r="R217" s="64">
        <f t="shared" si="2"/>
        <v>30.517578125000004</v>
      </c>
      <c r="S217" s="64">
        <f t="shared" si="3"/>
        <v>20</v>
      </c>
      <c r="T217" s="64">
        <f t="shared" si="4"/>
        <v>90.6111111111111</v>
      </c>
      <c r="U217" s="64" t="str">
        <f t="shared" si="5"/>
        <v>91-120</v>
      </c>
      <c r="V217" s="64" t="str">
        <f t="shared" si="6"/>
        <v>31-40 Гб</v>
      </c>
    </row>
    <row r="218" spans="1:22" ht="15.75" customHeight="1" x14ac:dyDescent="0.25">
      <c r="A218" s="62" t="s">
        <v>309</v>
      </c>
      <c r="B218" s="56">
        <v>37351</v>
      </c>
      <c r="C218" s="62" t="s">
        <v>83</v>
      </c>
      <c r="D218" s="62" t="s">
        <v>84</v>
      </c>
      <c r="E218" s="62" t="s">
        <v>92</v>
      </c>
      <c r="F218" s="62" t="s">
        <v>89</v>
      </c>
      <c r="G218" s="56">
        <v>42938</v>
      </c>
      <c r="H218" s="62">
        <v>5</v>
      </c>
      <c r="I218" s="62">
        <v>33896</v>
      </c>
      <c r="J218" s="62">
        <v>24000000</v>
      </c>
      <c r="N218" s="62">
        <v>1</v>
      </c>
      <c r="P218" s="63">
        <f t="shared" si="0"/>
        <v>120</v>
      </c>
      <c r="Q218" s="64">
        <f t="shared" si="1"/>
        <v>141.23333333333332</v>
      </c>
      <c r="R218" s="64">
        <f t="shared" si="2"/>
        <v>5.7220458984375</v>
      </c>
      <c r="S218" s="64">
        <f t="shared" si="3"/>
        <v>20</v>
      </c>
      <c r="T218" s="64">
        <f t="shared" si="4"/>
        <v>32.954444444444441</v>
      </c>
      <c r="U218" s="64" t="str">
        <f t="shared" si="5"/>
        <v>&lt;35</v>
      </c>
      <c r="V218" s="64" t="str">
        <f t="shared" si="6"/>
        <v>&lt;10 Гб</v>
      </c>
    </row>
    <row r="219" spans="1:22" ht="15.75" customHeight="1" x14ac:dyDescent="0.25">
      <c r="A219" s="62" t="s">
        <v>310</v>
      </c>
      <c r="B219" s="56">
        <v>37351</v>
      </c>
      <c r="C219" s="62" t="s">
        <v>88</v>
      </c>
      <c r="D219" s="62" t="s">
        <v>84</v>
      </c>
      <c r="E219" s="62" t="s">
        <v>92</v>
      </c>
      <c r="F219" s="62" t="s">
        <v>89</v>
      </c>
      <c r="G219" s="56">
        <v>43892</v>
      </c>
      <c r="H219" s="62">
        <v>5</v>
      </c>
      <c r="I219" s="62">
        <v>812</v>
      </c>
      <c r="J219" s="62">
        <v>140000000</v>
      </c>
      <c r="K219" s="62">
        <v>1</v>
      </c>
      <c r="L219" s="62">
        <v>1</v>
      </c>
      <c r="P219" s="63">
        <f t="shared" si="0"/>
        <v>120</v>
      </c>
      <c r="Q219" s="64">
        <f t="shared" si="1"/>
        <v>3.3833333333333333</v>
      </c>
      <c r="R219" s="64">
        <f t="shared" si="2"/>
        <v>33.37860107421875</v>
      </c>
      <c r="S219" s="64">
        <f t="shared" si="3"/>
        <v>20</v>
      </c>
      <c r="T219" s="64">
        <f t="shared" si="4"/>
        <v>0.7894444444444445</v>
      </c>
      <c r="U219" s="64" t="str">
        <f t="shared" si="5"/>
        <v>&lt;35</v>
      </c>
      <c r="V219" s="64" t="str">
        <f t="shared" si="6"/>
        <v>31-40 Гб</v>
      </c>
    </row>
    <row r="220" spans="1:22" ht="15.75" customHeight="1" x14ac:dyDescent="0.25">
      <c r="A220" s="62" t="s">
        <v>311</v>
      </c>
      <c r="B220" s="56">
        <v>37350</v>
      </c>
      <c r="C220" s="62" t="s">
        <v>83</v>
      </c>
      <c r="D220" s="62" t="s">
        <v>84</v>
      </c>
      <c r="E220" s="62" t="s">
        <v>85</v>
      </c>
      <c r="F220" s="62" t="s">
        <v>89</v>
      </c>
      <c r="G220" s="56">
        <v>43664</v>
      </c>
      <c r="H220" s="62">
        <v>5</v>
      </c>
      <c r="I220" s="62">
        <v>20076</v>
      </c>
      <c r="J220" s="62">
        <v>116000000</v>
      </c>
      <c r="P220" s="63">
        <f t="shared" si="0"/>
        <v>120</v>
      </c>
      <c r="Q220" s="64">
        <f t="shared" si="1"/>
        <v>83.65</v>
      </c>
      <c r="R220" s="64">
        <f t="shared" si="2"/>
        <v>27.65655517578125</v>
      </c>
      <c r="S220" s="64">
        <f t="shared" si="3"/>
        <v>20</v>
      </c>
      <c r="T220" s="64">
        <f t="shared" si="4"/>
        <v>19.518333333333334</v>
      </c>
      <c r="U220" s="64" t="str">
        <f t="shared" si="5"/>
        <v>&lt;35</v>
      </c>
      <c r="V220" s="64" t="str">
        <f t="shared" si="6"/>
        <v>21-30 Гб</v>
      </c>
    </row>
    <row r="221" spans="1:22" ht="15.75" customHeight="1" x14ac:dyDescent="0.25">
      <c r="A221" s="62" t="s">
        <v>312</v>
      </c>
      <c r="B221" s="56">
        <v>37347</v>
      </c>
      <c r="C221" s="62" t="s">
        <v>83</v>
      </c>
      <c r="D221" s="62" t="s">
        <v>84</v>
      </c>
      <c r="E221" s="62" t="s">
        <v>85</v>
      </c>
      <c r="F221" s="62" t="s">
        <v>96</v>
      </c>
      <c r="G221" s="56">
        <v>44596</v>
      </c>
      <c r="H221" s="62">
        <v>2</v>
      </c>
      <c r="I221" s="62">
        <v>68800</v>
      </c>
      <c r="J221" s="62">
        <v>74533333</v>
      </c>
      <c r="P221" s="63">
        <f t="shared" si="0"/>
        <v>86</v>
      </c>
      <c r="Q221" s="64">
        <f t="shared" si="1"/>
        <v>400</v>
      </c>
      <c r="R221" s="64">
        <f t="shared" si="2"/>
        <v>24.795532115670138</v>
      </c>
      <c r="S221" s="64">
        <f t="shared" si="3"/>
        <v>20</v>
      </c>
      <c r="T221" s="64">
        <f t="shared" si="4"/>
        <v>93.333333333333329</v>
      </c>
      <c r="U221" s="64" t="str">
        <f t="shared" si="5"/>
        <v>91-120</v>
      </c>
      <c r="V221" s="64" t="str">
        <f t="shared" si="6"/>
        <v>21-30 Гб</v>
      </c>
    </row>
    <row r="222" spans="1:22" ht="15.75" customHeight="1" x14ac:dyDescent="0.25">
      <c r="A222" s="62" t="s">
        <v>313</v>
      </c>
      <c r="B222" s="56">
        <v>37347</v>
      </c>
      <c r="C222" s="62" t="s">
        <v>83</v>
      </c>
      <c r="D222" s="62" t="s">
        <v>84</v>
      </c>
      <c r="E222" s="62" t="s">
        <v>85</v>
      </c>
      <c r="F222" s="62" t="s">
        <v>89</v>
      </c>
      <c r="G222" s="56">
        <v>42889</v>
      </c>
      <c r="H222" s="62">
        <v>5</v>
      </c>
      <c r="I222" s="62">
        <v>11944</v>
      </c>
      <c r="J222" s="62">
        <v>144000000</v>
      </c>
      <c r="P222" s="63">
        <f t="shared" si="0"/>
        <v>120</v>
      </c>
      <c r="Q222" s="64">
        <f t="shared" si="1"/>
        <v>49.766666666666666</v>
      </c>
      <c r="R222" s="64">
        <f t="shared" si="2"/>
        <v>34.332275390625</v>
      </c>
      <c r="S222" s="64">
        <f t="shared" si="3"/>
        <v>20</v>
      </c>
      <c r="T222" s="64">
        <f t="shared" si="4"/>
        <v>11.612222222222222</v>
      </c>
      <c r="U222" s="64" t="str">
        <f t="shared" si="5"/>
        <v>&lt;35</v>
      </c>
      <c r="V222" s="64" t="str">
        <f t="shared" si="6"/>
        <v>31-40 Гб</v>
      </c>
    </row>
    <row r="223" spans="1:22" ht="15.75" customHeight="1" x14ac:dyDescent="0.25">
      <c r="A223" s="62" t="s">
        <v>314</v>
      </c>
      <c r="B223" s="56">
        <v>37346</v>
      </c>
      <c r="C223" s="62" t="s">
        <v>83</v>
      </c>
      <c r="D223" s="62" t="s">
        <v>84</v>
      </c>
      <c r="E223" s="62" t="s">
        <v>85</v>
      </c>
      <c r="F223" s="62" t="s">
        <v>96</v>
      </c>
      <c r="G223" s="56">
        <v>43476</v>
      </c>
      <c r="H223" s="62">
        <v>5</v>
      </c>
      <c r="I223" s="62">
        <v>37924</v>
      </c>
      <c r="J223" s="62">
        <v>60000000</v>
      </c>
      <c r="L223" s="62">
        <v>1</v>
      </c>
      <c r="N223" s="62">
        <v>1</v>
      </c>
      <c r="P223" s="63">
        <f t="shared" si="0"/>
        <v>120</v>
      </c>
      <c r="Q223" s="64">
        <f t="shared" si="1"/>
        <v>158.01666666666668</v>
      </c>
      <c r="R223" s="64">
        <f t="shared" si="2"/>
        <v>14.30511474609375</v>
      </c>
      <c r="S223" s="64">
        <f t="shared" si="3"/>
        <v>20</v>
      </c>
      <c r="T223" s="64">
        <f t="shared" si="4"/>
        <v>36.870555555555562</v>
      </c>
      <c r="U223" s="64" t="str">
        <f t="shared" si="5"/>
        <v>35-60</v>
      </c>
      <c r="V223" s="64" t="str">
        <f t="shared" si="6"/>
        <v>10-20 Гб</v>
      </c>
    </row>
    <row r="224" spans="1:22" ht="15.75" customHeight="1" x14ac:dyDescent="0.25">
      <c r="A224" s="62" t="s">
        <v>315</v>
      </c>
      <c r="B224" s="56">
        <v>37345</v>
      </c>
      <c r="C224" s="62" t="s">
        <v>88</v>
      </c>
      <c r="D224" s="62" t="s">
        <v>84</v>
      </c>
      <c r="E224" s="62" t="s">
        <v>92</v>
      </c>
      <c r="F224" s="62" t="s">
        <v>100</v>
      </c>
      <c r="G224" s="56">
        <v>44285</v>
      </c>
      <c r="H224" s="62">
        <v>5</v>
      </c>
      <c r="I224" s="62">
        <v>89824</v>
      </c>
      <c r="J224" s="62">
        <v>136000000</v>
      </c>
      <c r="P224" s="63">
        <f t="shared" si="0"/>
        <v>120</v>
      </c>
      <c r="Q224" s="64">
        <f t="shared" si="1"/>
        <v>374.26666666666665</v>
      </c>
      <c r="R224" s="64">
        <f t="shared" si="2"/>
        <v>32.4249267578125</v>
      </c>
      <c r="S224" s="64">
        <f t="shared" si="3"/>
        <v>20</v>
      </c>
      <c r="T224" s="64">
        <f t="shared" si="4"/>
        <v>87.328888888888898</v>
      </c>
      <c r="U224" s="64" t="str">
        <f t="shared" si="5"/>
        <v>61-90</v>
      </c>
      <c r="V224" s="64" t="str">
        <f t="shared" si="6"/>
        <v>31-40 Гб</v>
      </c>
    </row>
    <row r="225" spans="1:22" ht="15.75" customHeight="1" x14ac:dyDescent="0.25">
      <c r="A225" s="62" t="s">
        <v>316</v>
      </c>
      <c r="B225" s="56">
        <v>37345</v>
      </c>
      <c r="C225" s="62" t="s">
        <v>88</v>
      </c>
      <c r="D225" s="62" t="s">
        <v>84</v>
      </c>
      <c r="E225" s="62" t="s">
        <v>92</v>
      </c>
      <c r="F225" s="62" t="s">
        <v>89</v>
      </c>
      <c r="G225" s="56">
        <v>44383</v>
      </c>
      <c r="H225" s="62">
        <v>5</v>
      </c>
      <c r="I225" s="62">
        <v>10216</v>
      </c>
      <c r="J225" s="62">
        <v>144000000</v>
      </c>
      <c r="N225" s="62">
        <v>1</v>
      </c>
      <c r="P225" s="63">
        <f t="shared" si="0"/>
        <v>120</v>
      </c>
      <c r="Q225" s="64">
        <f t="shared" si="1"/>
        <v>42.56666666666667</v>
      </c>
      <c r="R225" s="64">
        <f t="shared" si="2"/>
        <v>34.332275390625</v>
      </c>
      <c r="S225" s="64">
        <f t="shared" si="3"/>
        <v>20</v>
      </c>
      <c r="T225" s="64">
        <f t="shared" si="4"/>
        <v>9.9322222222222241</v>
      </c>
      <c r="U225" s="64" t="str">
        <f t="shared" si="5"/>
        <v>&lt;35</v>
      </c>
      <c r="V225" s="64" t="str">
        <f t="shared" si="6"/>
        <v>31-40 Гб</v>
      </c>
    </row>
    <row r="226" spans="1:22" ht="15.75" customHeight="1" x14ac:dyDescent="0.25">
      <c r="A226" s="62" t="s">
        <v>317</v>
      </c>
      <c r="B226" s="56">
        <v>37343</v>
      </c>
      <c r="C226" s="62" t="s">
        <v>88</v>
      </c>
      <c r="D226" s="62" t="s">
        <v>84</v>
      </c>
      <c r="E226" s="62" t="s">
        <v>85</v>
      </c>
      <c r="F226" s="62" t="s">
        <v>100</v>
      </c>
      <c r="G226" s="56">
        <v>43188</v>
      </c>
      <c r="H226" s="62">
        <v>5</v>
      </c>
      <c r="I226" s="62">
        <v>98048</v>
      </c>
      <c r="J226" s="62">
        <v>120000000</v>
      </c>
      <c r="P226" s="63">
        <f t="shared" si="0"/>
        <v>120</v>
      </c>
      <c r="Q226" s="64">
        <f t="shared" si="1"/>
        <v>408.53333333333336</v>
      </c>
      <c r="R226" s="64">
        <f t="shared" si="2"/>
        <v>28.6102294921875</v>
      </c>
      <c r="S226" s="64">
        <f t="shared" si="3"/>
        <v>20</v>
      </c>
      <c r="T226" s="64">
        <f t="shared" si="4"/>
        <v>95.324444444444453</v>
      </c>
      <c r="U226" s="64" t="str">
        <f t="shared" si="5"/>
        <v>91-120</v>
      </c>
      <c r="V226" s="64" t="str">
        <f t="shared" si="6"/>
        <v>21-30 Гб</v>
      </c>
    </row>
    <row r="227" spans="1:22" ht="15.75" customHeight="1" x14ac:dyDescent="0.25">
      <c r="A227" s="62" t="s">
        <v>318</v>
      </c>
      <c r="B227" s="56">
        <v>37343</v>
      </c>
      <c r="C227" s="62" t="s">
        <v>88</v>
      </c>
      <c r="D227" s="62" t="s">
        <v>84</v>
      </c>
      <c r="E227" s="62" t="s">
        <v>85</v>
      </c>
      <c r="F227" s="62" t="s">
        <v>89</v>
      </c>
      <c r="G227" s="56">
        <v>43017</v>
      </c>
      <c r="H227" s="62">
        <v>5</v>
      </c>
      <c r="I227" s="62">
        <v>23276</v>
      </c>
      <c r="J227" s="62">
        <v>48000000</v>
      </c>
      <c r="P227" s="63">
        <f t="shared" si="0"/>
        <v>120</v>
      </c>
      <c r="Q227" s="64">
        <f t="shared" si="1"/>
        <v>96.983333333333334</v>
      </c>
      <c r="R227" s="64">
        <f t="shared" si="2"/>
        <v>11.444091796875</v>
      </c>
      <c r="S227" s="64">
        <f t="shared" si="3"/>
        <v>20</v>
      </c>
      <c r="T227" s="64">
        <f t="shared" si="4"/>
        <v>22.629444444444445</v>
      </c>
      <c r="U227" s="64" t="str">
        <f t="shared" si="5"/>
        <v>&lt;35</v>
      </c>
      <c r="V227" s="64" t="str">
        <f t="shared" si="6"/>
        <v>10-20 Гб</v>
      </c>
    </row>
    <row r="228" spans="1:22" ht="15.75" customHeight="1" x14ac:dyDescent="0.25">
      <c r="A228" s="62" t="s">
        <v>319</v>
      </c>
      <c r="B228" s="56">
        <v>37342</v>
      </c>
      <c r="C228" s="62" t="s">
        <v>88</v>
      </c>
      <c r="D228" s="62" t="s">
        <v>84</v>
      </c>
      <c r="E228" s="62" t="s">
        <v>85</v>
      </c>
      <c r="F228" s="62" t="s">
        <v>100</v>
      </c>
      <c r="G228" s="56">
        <v>42791</v>
      </c>
      <c r="H228" s="62">
        <v>5</v>
      </c>
      <c r="I228" s="62">
        <v>108472</v>
      </c>
      <c r="J228" s="62">
        <v>28000000</v>
      </c>
      <c r="M228" s="62">
        <v>1</v>
      </c>
      <c r="P228" s="63">
        <f t="shared" si="0"/>
        <v>120</v>
      </c>
      <c r="Q228" s="64">
        <f t="shared" si="1"/>
        <v>451.96666666666664</v>
      </c>
      <c r="R228" s="64">
        <f t="shared" si="2"/>
        <v>6.67572021484375</v>
      </c>
      <c r="S228" s="64">
        <f t="shared" si="3"/>
        <v>20</v>
      </c>
      <c r="T228" s="64">
        <f t="shared" si="4"/>
        <v>105.45888888888888</v>
      </c>
      <c r="U228" s="64" t="str">
        <f t="shared" si="5"/>
        <v>91-120</v>
      </c>
      <c r="V228" s="64" t="str">
        <f t="shared" si="6"/>
        <v>&lt;10 Гб</v>
      </c>
    </row>
    <row r="229" spans="1:22" ht="15.75" customHeight="1" x14ac:dyDescent="0.25">
      <c r="A229" s="62" t="s">
        <v>320</v>
      </c>
      <c r="B229" s="56">
        <v>37342</v>
      </c>
      <c r="C229" s="62" t="s">
        <v>83</v>
      </c>
      <c r="D229" s="62" t="s">
        <v>84</v>
      </c>
      <c r="E229" s="62" t="s">
        <v>85</v>
      </c>
      <c r="F229" s="62" t="s">
        <v>89</v>
      </c>
      <c r="G229" s="56">
        <v>44313</v>
      </c>
      <c r="H229" s="62">
        <v>5</v>
      </c>
      <c r="I229" s="62">
        <v>24824</v>
      </c>
      <c r="J229" s="62">
        <v>144000000</v>
      </c>
      <c r="L229" s="62">
        <v>1</v>
      </c>
      <c r="P229" s="63">
        <f t="shared" si="0"/>
        <v>120</v>
      </c>
      <c r="Q229" s="64">
        <f t="shared" si="1"/>
        <v>103.43333333333334</v>
      </c>
      <c r="R229" s="64">
        <f t="shared" si="2"/>
        <v>34.332275390625</v>
      </c>
      <c r="S229" s="64">
        <f t="shared" si="3"/>
        <v>20</v>
      </c>
      <c r="T229" s="64">
        <f t="shared" si="4"/>
        <v>24.134444444444444</v>
      </c>
      <c r="U229" s="64" t="str">
        <f t="shared" si="5"/>
        <v>&lt;35</v>
      </c>
      <c r="V229" s="64" t="str">
        <f t="shared" si="6"/>
        <v>31-40 Гб</v>
      </c>
    </row>
    <row r="230" spans="1:22" ht="15.75" customHeight="1" x14ac:dyDescent="0.25">
      <c r="A230" s="62" t="s">
        <v>321</v>
      </c>
      <c r="B230" s="56">
        <v>37340</v>
      </c>
      <c r="C230" s="62" t="s">
        <v>83</v>
      </c>
      <c r="D230" s="62" t="s">
        <v>84</v>
      </c>
      <c r="E230" s="62" t="s">
        <v>92</v>
      </c>
      <c r="F230" s="62" t="s">
        <v>96</v>
      </c>
      <c r="G230" s="56">
        <v>43787</v>
      </c>
      <c r="H230" s="62">
        <v>5</v>
      </c>
      <c r="I230" s="62">
        <v>48884</v>
      </c>
      <c r="J230" s="62">
        <v>68000000</v>
      </c>
      <c r="P230" s="63">
        <f t="shared" si="0"/>
        <v>120</v>
      </c>
      <c r="Q230" s="64">
        <f t="shared" si="1"/>
        <v>203.68333333333334</v>
      </c>
      <c r="R230" s="64">
        <f t="shared" si="2"/>
        <v>16.21246337890625</v>
      </c>
      <c r="S230" s="64">
        <f t="shared" si="3"/>
        <v>20</v>
      </c>
      <c r="T230" s="64">
        <f t="shared" si="4"/>
        <v>47.526111111111113</v>
      </c>
      <c r="U230" s="64" t="str">
        <f t="shared" si="5"/>
        <v>35-60</v>
      </c>
      <c r="V230" s="64" t="str">
        <f t="shared" si="6"/>
        <v>10-20 Гб</v>
      </c>
    </row>
    <row r="231" spans="1:22" ht="15.75" customHeight="1" x14ac:dyDescent="0.25">
      <c r="A231" s="62" t="s">
        <v>322</v>
      </c>
      <c r="B231" s="56">
        <v>37338</v>
      </c>
      <c r="C231" s="62" t="s">
        <v>88</v>
      </c>
      <c r="D231" s="62" t="s">
        <v>84</v>
      </c>
      <c r="E231" s="62" t="s">
        <v>92</v>
      </c>
      <c r="F231" s="62" t="s">
        <v>89</v>
      </c>
      <c r="G231" s="56">
        <v>43115</v>
      </c>
      <c r="H231" s="62">
        <v>5</v>
      </c>
      <c r="I231" s="62">
        <v>8828</v>
      </c>
      <c r="J231" s="62">
        <v>124000000</v>
      </c>
      <c r="P231" s="63">
        <f t="shared" si="0"/>
        <v>120</v>
      </c>
      <c r="Q231" s="64">
        <f t="shared" si="1"/>
        <v>36.783333333333331</v>
      </c>
      <c r="R231" s="64">
        <f t="shared" si="2"/>
        <v>29.56390380859375</v>
      </c>
      <c r="S231" s="64">
        <f t="shared" si="3"/>
        <v>20</v>
      </c>
      <c r="T231" s="64">
        <f t="shared" si="4"/>
        <v>8.5827777777777783</v>
      </c>
      <c r="U231" s="64" t="str">
        <f t="shared" si="5"/>
        <v>&lt;35</v>
      </c>
      <c r="V231" s="64" t="str">
        <f t="shared" si="6"/>
        <v>21-30 Гб</v>
      </c>
    </row>
    <row r="232" spans="1:22" ht="15.75" customHeight="1" x14ac:dyDescent="0.25">
      <c r="A232" s="62" t="s">
        <v>323</v>
      </c>
      <c r="B232" s="56">
        <v>37337</v>
      </c>
      <c r="C232" s="62" t="s">
        <v>83</v>
      </c>
      <c r="D232" s="62" t="s">
        <v>84</v>
      </c>
      <c r="E232" s="62" t="s">
        <v>92</v>
      </c>
      <c r="F232" s="62" t="s">
        <v>100</v>
      </c>
      <c r="G232" s="56">
        <v>44409</v>
      </c>
      <c r="H232" s="62">
        <v>5</v>
      </c>
      <c r="I232" s="62">
        <v>60100</v>
      </c>
      <c r="J232" s="62">
        <v>28000000</v>
      </c>
      <c r="L232" s="62">
        <v>1</v>
      </c>
      <c r="P232" s="63">
        <f t="shared" si="0"/>
        <v>120</v>
      </c>
      <c r="Q232" s="64">
        <f t="shared" si="1"/>
        <v>250.41666666666663</v>
      </c>
      <c r="R232" s="64">
        <f t="shared" si="2"/>
        <v>6.67572021484375</v>
      </c>
      <c r="S232" s="64">
        <f t="shared" si="3"/>
        <v>20</v>
      </c>
      <c r="T232" s="64">
        <f t="shared" si="4"/>
        <v>58.43055555555555</v>
      </c>
      <c r="U232" s="64" t="str">
        <f t="shared" si="5"/>
        <v>35-60</v>
      </c>
      <c r="V232" s="64" t="str">
        <f t="shared" si="6"/>
        <v>&lt;10 Гб</v>
      </c>
    </row>
    <row r="233" spans="1:22" ht="15.75" customHeight="1" x14ac:dyDescent="0.25">
      <c r="A233" s="62" t="s">
        <v>324</v>
      </c>
      <c r="B233" s="56">
        <v>37336</v>
      </c>
      <c r="C233" s="62" t="s">
        <v>88</v>
      </c>
      <c r="D233" s="62" t="s">
        <v>84</v>
      </c>
      <c r="E233" s="62" t="s">
        <v>85</v>
      </c>
      <c r="F233" s="62" t="s">
        <v>96</v>
      </c>
      <c r="G233" s="56">
        <v>43851</v>
      </c>
      <c r="H233" s="62">
        <v>5</v>
      </c>
      <c r="I233" s="62">
        <v>48332</v>
      </c>
      <c r="J233" s="62">
        <v>80000000</v>
      </c>
      <c r="P233" s="63">
        <f t="shared" si="0"/>
        <v>120</v>
      </c>
      <c r="Q233" s="64">
        <f t="shared" si="1"/>
        <v>201.38333333333333</v>
      </c>
      <c r="R233" s="64">
        <f t="shared" si="2"/>
        <v>19.073486328125</v>
      </c>
      <c r="S233" s="64">
        <f t="shared" si="3"/>
        <v>20</v>
      </c>
      <c r="T233" s="64">
        <f t="shared" si="4"/>
        <v>46.989444444444445</v>
      </c>
      <c r="U233" s="64" t="str">
        <f t="shared" si="5"/>
        <v>35-60</v>
      </c>
      <c r="V233" s="64" t="str">
        <f t="shared" si="6"/>
        <v>10-20 Гб</v>
      </c>
    </row>
    <row r="234" spans="1:22" ht="15.75" customHeight="1" x14ac:dyDescent="0.25">
      <c r="A234" s="62" t="s">
        <v>325</v>
      </c>
      <c r="B234" s="56">
        <v>37335</v>
      </c>
      <c r="C234" s="62" t="s">
        <v>88</v>
      </c>
      <c r="D234" s="62" t="s">
        <v>84</v>
      </c>
      <c r="E234" s="62" t="s">
        <v>92</v>
      </c>
      <c r="F234" s="62" t="s">
        <v>100</v>
      </c>
      <c r="G234" s="56">
        <v>44458</v>
      </c>
      <c r="H234" s="62">
        <v>5</v>
      </c>
      <c r="I234" s="62">
        <v>87992</v>
      </c>
      <c r="J234" s="62">
        <v>108000000</v>
      </c>
      <c r="P234" s="63">
        <f t="shared" si="0"/>
        <v>120</v>
      </c>
      <c r="Q234" s="64">
        <f t="shared" si="1"/>
        <v>366.63333333333333</v>
      </c>
      <c r="R234" s="64">
        <f t="shared" si="2"/>
        <v>25.74920654296875</v>
      </c>
      <c r="S234" s="64">
        <f t="shared" si="3"/>
        <v>20</v>
      </c>
      <c r="T234" s="64">
        <f t="shared" si="4"/>
        <v>85.547777777777782</v>
      </c>
      <c r="U234" s="64" t="str">
        <f t="shared" si="5"/>
        <v>61-90</v>
      </c>
      <c r="V234" s="64" t="str">
        <f t="shared" si="6"/>
        <v>21-30 Гб</v>
      </c>
    </row>
    <row r="235" spans="1:22" ht="15.75" customHeight="1" x14ac:dyDescent="0.25">
      <c r="A235" s="62" t="s">
        <v>326</v>
      </c>
      <c r="B235" s="56">
        <v>37330</v>
      </c>
      <c r="C235" s="62" t="s">
        <v>83</v>
      </c>
      <c r="D235" s="62" t="s">
        <v>84</v>
      </c>
      <c r="E235" s="62" t="s">
        <v>85</v>
      </c>
      <c r="F235" s="62" t="s">
        <v>96</v>
      </c>
      <c r="G235" s="56">
        <v>44127</v>
      </c>
      <c r="H235" s="62">
        <v>5</v>
      </c>
      <c r="I235" s="62">
        <v>38112</v>
      </c>
      <c r="J235" s="62">
        <v>52000000</v>
      </c>
      <c r="P235" s="63">
        <f t="shared" si="0"/>
        <v>120</v>
      </c>
      <c r="Q235" s="64">
        <f t="shared" si="1"/>
        <v>158.80000000000001</v>
      </c>
      <c r="R235" s="64">
        <f t="shared" si="2"/>
        <v>12.39776611328125</v>
      </c>
      <c r="S235" s="64">
        <f t="shared" si="3"/>
        <v>20</v>
      </c>
      <c r="T235" s="64">
        <f t="shared" si="4"/>
        <v>37.053333333333335</v>
      </c>
      <c r="U235" s="64" t="str">
        <f t="shared" si="5"/>
        <v>35-60</v>
      </c>
      <c r="V235" s="64" t="str">
        <f t="shared" si="6"/>
        <v>10-20 Гб</v>
      </c>
    </row>
    <row r="236" spans="1:22" ht="15.75" customHeight="1" x14ac:dyDescent="0.25">
      <c r="A236" s="62" t="s">
        <v>327</v>
      </c>
      <c r="B236" s="56">
        <v>37330</v>
      </c>
      <c r="C236" s="62" t="s">
        <v>88</v>
      </c>
      <c r="D236" s="62" t="s">
        <v>84</v>
      </c>
      <c r="E236" s="62" t="s">
        <v>85</v>
      </c>
      <c r="F236" s="62" t="s">
        <v>96</v>
      </c>
      <c r="G236" s="56">
        <v>43926</v>
      </c>
      <c r="H236" s="62">
        <v>5</v>
      </c>
      <c r="I236" s="62">
        <v>61508</v>
      </c>
      <c r="J236" s="62">
        <v>100000000</v>
      </c>
      <c r="K236" s="62">
        <v>1</v>
      </c>
      <c r="P236" s="63">
        <f t="shared" si="0"/>
        <v>120</v>
      </c>
      <c r="Q236" s="64">
        <f t="shared" si="1"/>
        <v>256.28333333333336</v>
      </c>
      <c r="R236" s="64">
        <f t="shared" si="2"/>
        <v>23.84185791015625</v>
      </c>
      <c r="S236" s="64">
        <f t="shared" si="3"/>
        <v>20</v>
      </c>
      <c r="T236" s="64">
        <f t="shared" si="4"/>
        <v>59.799444444444454</v>
      </c>
      <c r="U236" s="64" t="str">
        <f t="shared" si="5"/>
        <v>35-60</v>
      </c>
      <c r="V236" s="64" t="str">
        <f t="shared" si="6"/>
        <v>21-30 Гб</v>
      </c>
    </row>
    <row r="237" spans="1:22" ht="15.75" customHeight="1" x14ac:dyDescent="0.25">
      <c r="A237" s="62" t="s">
        <v>328</v>
      </c>
      <c r="B237" s="56">
        <v>37330</v>
      </c>
      <c r="C237" s="62" t="s">
        <v>88</v>
      </c>
      <c r="D237" s="62" t="s">
        <v>84</v>
      </c>
      <c r="E237" s="62" t="s">
        <v>92</v>
      </c>
      <c r="F237" s="62" t="s">
        <v>89</v>
      </c>
      <c r="G237" s="56">
        <v>43205</v>
      </c>
      <c r="H237" s="62">
        <v>5</v>
      </c>
      <c r="I237" s="62">
        <v>30108</v>
      </c>
      <c r="J237" s="62">
        <v>144000000</v>
      </c>
      <c r="P237" s="63">
        <f t="shared" si="0"/>
        <v>120</v>
      </c>
      <c r="Q237" s="64">
        <f t="shared" si="1"/>
        <v>125.45</v>
      </c>
      <c r="R237" s="64">
        <f t="shared" si="2"/>
        <v>34.332275390625</v>
      </c>
      <c r="S237" s="64">
        <f t="shared" si="3"/>
        <v>20</v>
      </c>
      <c r="T237" s="64">
        <f t="shared" si="4"/>
        <v>29.271666666666665</v>
      </c>
      <c r="U237" s="64" t="str">
        <f t="shared" si="5"/>
        <v>&lt;35</v>
      </c>
      <c r="V237" s="64" t="str">
        <f t="shared" si="6"/>
        <v>31-40 Гб</v>
      </c>
    </row>
    <row r="238" spans="1:22" ht="15.75" customHeight="1" x14ac:dyDescent="0.25">
      <c r="A238" s="62" t="s">
        <v>329</v>
      </c>
      <c r="B238" s="56">
        <v>37325</v>
      </c>
      <c r="C238" s="62" t="s">
        <v>88</v>
      </c>
      <c r="D238" s="62" t="s">
        <v>84</v>
      </c>
      <c r="E238" s="62" t="s">
        <v>92</v>
      </c>
      <c r="F238" s="62" t="s">
        <v>96</v>
      </c>
      <c r="G238" s="56">
        <v>44247</v>
      </c>
      <c r="H238" s="62">
        <v>5</v>
      </c>
      <c r="I238" s="62">
        <v>28656</v>
      </c>
      <c r="J238" s="62">
        <v>64000000</v>
      </c>
      <c r="O238" s="62">
        <v>1</v>
      </c>
      <c r="P238" s="63">
        <f t="shared" si="0"/>
        <v>120</v>
      </c>
      <c r="Q238" s="64">
        <f t="shared" si="1"/>
        <v>119.4</v>
      </c>
      <c r="R238" s="64">
        <f t="shared" si="2"/>
        <v>15.258789062500002</v>
      </c>
      <c r="S238" s="64">
        <f t="shared" si="3"/>
        <v>20</v>
      </c>
      <c r="T238" s="64">
        <f t="shared" si="4"/>
        <v>27.860000000000003</v>
      </c>
      <c r="U238" s="64" t="str">
        <f t="shared" si="5"/>
        <v>&lt;35</v>
      </c>
      <c r="V238" s="64" t="str">
        <f t="shared" si="6"/>
        <v>10-20 Гб</v>
      </c>
    </row>
    <row r="239" spans="1:22" ht="15.75" customHeight="1" x14ac:dyDescent="0.25">
      <c r="A239" s="62" t="s">
        <v>330</v>
      </c>
      <c r="B239" s="56">
        <v>37321</v>
      </c>
      <c r="C239" s="62" t="s">
        <v>83</v>
      </c>
      <c r="D239" s="62" t="s">
        <v>84</v>
      </c>
      <c r="E239" s="62" t="s">
        <v>85</v>
      </c>
      <c r="F239" s="62" t="s">
        <v>96</v>
      </c>
      <c r="G239" s="56">
        <v>43929</v>
      </c>
      <c r="H239" s="62">
        <v>5</v>
      </c>
      <c r="I239" s="62">
        <v>82784</v>
      </c>
      <c r="J239" s="62">
        <v>116000000</v>
      </c>
      <c r="M239" s="62">
        <v>1</v>
      </c>
      <c r="P239" s="63">
        <f t="shared" si="0"/>
        <v>120</v>
      </c>
      <c r="Q239" s="64">
        <f t="shared" si="1"/>
        <v>344.93333333333334</v>
      </c>
      <c r="R239" s="64">
        <f t="shared" si="2"/>
        <v>27.65655517578125</v>
      </c>
      <c r="S239" s="64">
        <f t="shared" si="3"/>
        <v>20</v>
      </c>
      <c r="T239" s="64">
        <f t="shared" si="4"/>
        <v>80.484444444444449</v>
      </c>
      <c r="U239" s="64" t="str">
        <f t="shared" si="5"/>
        <v>61-90</v>
      </c>
      <c r="V239" s="64" t="str">
        <f t="shared" si="6"/>
        <v>21-30 Гб</v>
      </c>
    </row>
    <row r="240" spans="1:22" ht="15.75" customHeight="1" x14ac:dyDescent="0.25">
      <c r="A240" s="62" t="s">
        <v>331</v>
      </c>
      <c r="B240" s="56">
        <v>37321</v>
      </c>
      <c r="C240" s="62" t="s">
        <v>83</v>
      </c>
      <c r="D240" s="62" t="s">
        <v>84</v>
      </c>
      <c r="E240" s="62" t="s">
        <v>92</v>
      </c>
      <c r="F240" s="62" t="s">
        <v>96</v>
      </c>
      <c r="G240" s="56">
        <v>44241</v>
      </c>
      <c r="H240" s="62">
        <v>5</v>
      </c>
      <c r="I240" s="62">
        <v>76332</v>
      </c>
      <c r="J240" s="62">
        <v>104000000</v>
      </c>
      <c r="P240" s="63">
        <f t="shared" si="0"/>
        <v>120</v>
      </c>
      <c r="Q240" s="64">
        <f t="shared" si="1"/>
        <v>318.05</v>
      </c>
      <c r="R240" s="64">
        <f t="shared" si="2"/>
        <v>24.7955322265625</v>
      </c>
      <c r="S240" s="64">
        <f t="shared" si="3"/>
        <v>20</v>
      </c>
      <c r="T240" s="64">
        <f t="shared" si="4"/>
        <v>74.211666666666659</v>
      </c>
      <c r="U240" s="64" t="str">
        <f t="shared" si="5"/>
        <v>61-90</v>
      </c>
      <c r="V240" s="64" t="str">
        <f t="shared" si="6"/>
        <v>21-30 Гб</v>
      </c>
    </row>
    <row r="241" spans="1:22" ht="15.75" customHeight="1" x14ac:dyDescent="0.25">
      <c r="A241" s="62" t="s">
        <v>332</v>
      </c>
      <c r="B241" s="56">
        <v>37320</v>
      </c>
      <c r="C241" s="62" t="s">
        <v>83</v>
      </c>
      <c r="D241" s="62" t="s">
        <v>84</v>
      </c>
      <c r="E241" s="62" t="s">
        <v>92</v>
      </c>
      <c r="F241" s="62" t="s">
        <v>89</v>
      </c>
      <c r="G241" s="56">
        <v>44120</v>
      </c>
      <c r="H241" s="62">
        <v>5</v>
      </c>
      <c r="I241" s="62">
        <v>27052</v>
      </c>
      <c r="J241" s="62">
        <v>28000000</v>
      </c>
      <c r="L241" s="62">
        <v>1</v>
      </c>
      <c r="N241" s="62">
        <v>1</v>
      </c>
      <c r="P241" s="63">
        <f t="shared" si="0"/>
        <v>120</v>
      </c>
      <c r="Q241" s="64">
        <f t="shared" si="1"/>
        <v>112.71666666666667</v>
      </c>
      <c r="R241" s="64">
        <f t="shared" si="2"/>
        <v>6.67572021484375</v>
      </c>
      <c r="S241" s="64">
        <f t="shared" si="3"/>
        <v>20</v>
      </c>
      <c r="T241" s="64">
        <f t="shared" si="4"/>
        <v>26.300555555555555</v>
      </c>
      <c r="U241" s="64" t="str">
        <f t="shared" si="5"/>
        <v>&lt;35</v>
      </c>
      <c r="V241" s="64" t="str">
        <f t="shared" si="6"/>
        <v>&lt;10 Гб</v>
      </c>
    </row>
    <row r="242" spans="1:22" ht="15.75" customHeight="1" x14ac:dyDescent="0.25">
      <c r="A242" s="62" t="s">
        <v>333</v>
      </c>
      <c r="B242" s="56">
        <v>37318</v>
      </c>
      <c r="C242" s="62" t="s">
        <v>83</v>
      </c>
      <c r="D242" s="62" t="s">
        <v>84</v>
      </c>
      <c r="E242" s="62" t="s">
        <v>85</v>
      </c>
      <c r="F242" s="62" t="s">
        <v>86</v>
      </c>
      <c r="G242" s="56">
        <v>42858</v>
      </c>
      <c r="H242" s="62">
        <v>5</v>
      </c>
      <c r="I242" s="62">
        <v>73432</v>
      </c>
      <c r="J242" s="62">
        <v>124000000</v>
      </c>
      <c r="K242" s="62">
        <v>1</v>
      </c>
      <c r="P242" s="63">
        <f t="shared" si="0"/>
        <v>120</v>
      </c>
      <c r="Q242" s="64">
        <f t="shared" si="1"/>
        <v>305.96666666666664</v>
      </c>
      <c r="R242" s="64">
        <f t="shared" si="2"/>
        <v>29.56390380859375</v>
      </c>
      <c r="S242" s="64">
        <f t="shared" si="3"/>
        <v>20</v>
      </c>
      <c r="T242" s="64">
        <f t="shared" si="4"/>
        <v>71.392222222222216</v>
      </c>
      <c r="U242" s="64" t="str">
        <f t="shared" si="5"/>
        <v>61-90</v>
      </c>
      <c r="V242" s="64" t="str">
        <f t="shared" si="6"/>
        <v>21-30 Гб</v>
      </c>
    </row>
    <row r="243" spans="1:22" ht="15.75" customHeight="1" x14ac:dyDescent="0.25">
      <c r="A243" s="62" t="s">
        <v>334</v>
      </c>
      <c r="B243" s="56">
        <v>37316</v>
      </c>
      <c r="C243" s="62" t="s">
        <v>83</v>
      </c>
      <c r="D243" s="62" t="s">
        <v>84</v>
      </c>
      <c r="E243" s="62" t="s">
        <v>85</v>
      </c>
      <c r="F243" s="62" t="s">
        <v>96</v>
      </c>
      <c r="G243" s="56">
        <v>43903</v>
      </c>
      <c r="H243" s="62">
        <v>5</v>
      </c>
      <c r="I243" s="62">
        <v>4340</v>
      </c>
      <c r="J243" s="62">
        <v>92000000</v>
      </c>
      <c r="M243" s="62">
        <v>1</v>
      </c>
      <c r="P243" s="63">
        <f t="shared" si="0"/>
        <v>120</v>
      </c>
      <c r="Q243" s="64">
        <f t="shared" si="1"/>
        <v>18.083333333333332</v>
      </c>
      <c r="R243" s="64">
        <f t="shared" si="2"/>
        <v>21.93450927734375</v>
      </c>
      <c r="S243" s="64">
        <f t="shared" si="3"/>
        <v>20</v>
      </c>
      <c r="T243" s="64">
        <f t="shared" si="4"/>
        <v>4.2194444444444441</v>
      </c>
      <c r="U243" s="64" t="str">
        <f t="shared" si="5"/>
        <v>&lt;35</v>
      </c>
      <c r="V243" s="64" t="str">
        <f t="shared" si="6"/>
        <v>21-30 Гб</v>
      </c>
    </row>
    <row r="244" spans="1:22" ht="15.75" customHeight="1" x14ac:dyDescent="0.25">
      <c r="A244" s="62" t="s">
        <v>335</v>
      </c>
      <c r="B244" s="56">
        <v>37312</v>
      </c>
      <c r="C244" s="62" t="s">
        <v>83</v>
      </c>
      <c r="D244" s="62" t="s">
        <v>84</v>
      </c>
      <c r="E244" s="62" t="s">
        <v>85</v>
      </c>
      <c r="F244" s="62" t="s">
        <v>89</v>
      </c>
      <c r="G244" s="56">
        <v>43883</v>
      </c>
      <c r="H244" s="62">
        <v>5</v>
      </c>
      <c r="I244" s="62">
        <v>26892</v>
      </c>
      <c r="J244" s="62">
        <v>136000000</v>
      </c>
      <c r="P244" s="63">
        <f t="shared" si="0"/>
        <v>120</v>
      </c>
      <c r="Q244" s="64">
        <f t="shared" si="1"/>
        <v>112.05</v>
      </c>
      <c r="R244" s="64">
        <f t="shared" si="2"/>
        <v>32.4249267578125</v>
      </c>
      <c r="S244" s="64">
        <f t="shared" si="3"/>
        <v>20</v>
      </c>
      <c r="T244" s="64">
        <f t="shared" si="4"/>
        <v>26.145</v>
      </c>
      <c r="U244" s="64" t="str">
        <f t="shared" si="5"/>
        <v>&lt;35</v>
      </c>
      <c r="V244" s="64" t="str">
        <f t="shared" si="6"/>
        <v>31-40 Гб</v>
      </c>
    </row>
    <row r="245" spans="1:22" ht="15.75" customHeight="1" x14ac:dyDescent="0.25">
      <c r="A245" s="62" t="s">
        <v>336</v>
      </c>
      <c r="B245" s="56">
        <v>37311</v>
      </c>
      <c r="C245" s="62" t="s">
        <v>88</v>
      </c>
      <c r="D245" s="62" t="s">
        <v>84</v>
      </c>
      <c r="E245" s="62" t="s">
        <v>85</v>
      </c>
      <c r="F245" s="62" t="s">
        <v>89</v>
      </c>
      <c r="G245" s="56">
        <v>43599</v>
      </c>
      <c r="H245" s="62">
        <v>5</v>
      </c>
      <c r="I245" s="62">
        <v>23828</v>
      </c>
      <c r="J245" s="62">
        <v>156000000</v>
      </c>
      <c r="P245" s="63">
        <f t="shared" si="0"/>
        <v>120</v>
      </c>
      <c r="Q245" s="64">
        <f t="shared" si="1"/>
        <v>99.283333333333331</v>
      </c>
      <c r="R245" s="64">
        <f t="shared" si="2"/>
        <v>37.19329833984375</v>
      </c>
      <c r="S245" s="64">
        <f t="shared" si="3"/>
        <v>20</v>
      </c>
      <c r="T245" s="64">
        <f t="shared" si="4"/>
        <v>23.16611111111111</v>
      </c>
      <c r="U245" s="64" t="str">
        <f t="shared" si="5"/>
        <v>&lt;35</v>
      </c>
      <c r="V245" s="64" t="str">
        <f t="shared" si="6"/>
        <v>31-40 Гб</v>
      </c>
    </row>
    <row r="246" spans="1:22" ht="15.75" customHeight="1" x14ac:dyDescent="0.25">
      <c r="A246" s="62" t="s">
        <v>337</v>
      </c>
      <c r="B246" s="56">
        <v>37309</v>
      </c>
      <c r="C246" s="62" t="s">
        <v>88</v>
      </c>
      <c r="D246" s="62" t="s">
        <v>84</v>
      </c>
      <c r="E246" s="62" t="s">
        <v>92</v>
      </c>
      <c r="F246" s="62" t="s">
        <v>100</v>
      </c>
      <c r="G246" s="56">
        <v>44415</v>
      </c>
      <c r="H246" s="62">
        <v>5</v>
      </c>
      <c r="I246" s="62">
        <v>118816</v>
      </c>
      <c r="J246" s="62">
        <v>128000000</v>
      </c>
      <c r="P246" s="63">
        <f t="shared" si="0"/>
        <v>120</v>
      </c>
      <c r="Q246" s="64">
        <f t="shared" si="1"/>
        <v>495.06666666666666</v>
      </c>
      <c r="R246" s="64">
        <f t="shared" si="2"/>
        <v>30.517578125000004</v>
      </c>
      <c r="S246" s="64">
        <f t="shared" si="3"/>
        <v>20</v>
      </c>
      <c r="T246" s="64">
        <f t="shared" si="4"/>
        <v>115.51555555555555</v>
      </c>
      <c r="U246" s="64" t="str">
        <f t="shared" si="5"/>
        <v>91-120</v>
      </c>
      <c r="V246" s="64" t="str">
        <f t="shared" si="6"/>
        <v>31-40 Гб</v>
      </c>
    </row>
    <row r="247" spans="1:22" ht="15.75" customHeight="1" x14ac:dyDescent="0.25">
      <c r="A247" s="62" t="s">
        <v>338</v>
      </c>
      <c r="B247" s="56">
        <v>37307</v>
      </c>
      <c r="C247" s="62" t="s">
        <v>83</v>
      </c>
      <c r="D247" s="62" t="s">
        <v>84</v>
      </c>
      <c r="E247" s="62" t="s">
        <v>85</v>
      </c>
      <c r="F247" s="62" t="s">
        <v>89</v>
      </c>
      <c r="G247" s="56">
        <v>43058</v>
      </c>
      <c r="H247" s="62">
        <v>5</v>
      </c>
      <c r="I247" s="62">
        <v>30244</v>
      </c>
      <c r="J247" s="62">
        <v>120000000</v>
      </c>
      <c r="P247" s="63">
        <f t="shared" si="0"/>
        <v>120</v>
      </c>
      <c r="Q247" s="64">
        <f t="shared" si="1"/>
        <v>126.01666666666668</v>
      </c>
      <c r="R247" s="64">
        <f t="shared" si="2"/>
        <v>28.6102294921875</v>
      </c>
      <c r="S247" s="64">
        <f t="shared" si="3"/>
        <v>20</v>
      </c>
      <c r="T247" s="64">
        <f t="shared" si="4"/>
        <v>29.403888888888893</v>
      </c>
      <c r="U247" s="64" t="str">
        <f t="shared" si="5"/>
        <v>&lt;35</v>
      </c>
      <c r="V247" s="64" t="str">
        <f t="shared" si="6"/>
        <v>21-30 Гб</v>
      </c>
    </row>
    <row r="248" spans="1:22" ht="15.75" customHeight="1" x14ac:dyDescent="0.25">
      <c r="A248" s="62" t="s">
        <v>339</v>
      </c>
      <c r="B248" s="56">
        <v>37304</v>
      </c>
      <c r="C248" s="62" t="s">
        <v>88</v>
      </c>
      <c r="D248" s="62" t="s">
        <v>84</v>
      </c>
      <c r="E248" s="62" t="s">
        <v>92</v>
      </c>
      <c r="F248" s="62" t="s">
        <v>86</v>
      </c>
      <c r="G248" s="56">
        <v>44131</v>
      </c>
      <c r="H248" s="62">
        <v>5</v>
      </c>
      <c r="I248" s="62">
        <v>130388</v>
      </c>
      <c r="J248" s="62">
        <v>180000000</v>
      </c>
      <c r="O248" s="62">
        <v>1</v>
      </c>
      <c r="P248" s="63">
        <f t="shared" si="0"/>
        <v>120</v>
      </c>
      <c r="Q248" s="64">
        <f t="shared" si="1"/>
        <v>543.2833333333333</v>
      </c>
      <c r="R248" s="64">
        <f t="shared" si="2"/>
        <v>42.91534423828125</v>
      </c>
      <c r="S248" s="64">
        <f t="shared" si="3"/>
        <v>20</v>
      </c>
      <c r="T248" s="64">
        <f t="shared" si="4"/>
        <v>126.7661111111111</v>
      </c>
      <c r="U248" s="64" t="str">
        <f t="shared" si="5"/>
        <v>120+</v>
      </c>
      <c r="V248" s="64" t="str">
        <f t="shared" si="6"/>
        <v>40+ Гб</v>
      </c>
    </row>
    <row r="249" spans="1:22" ht="15.75" customHeight="1" x14ac:dyDescent="0.25">
      <c r="A249" s="62" t="s">
        <v>340</v>
      </c>
      <c r="B249" s="56">
        <v>37301</v>
      </c>
      <c r="C249" s="62" t="s">
        <v>83</v>
      </c>
      <c r="D249" s="62" t="s">
        <v>84</v>
      </c>
      <c r="E249" s="62" t="s">
        <v>85</v>
      </c>
      <c r="F249" s="62" t="s">
        <v>100</v>
      </c>
      <c r="G249" s="56">
        <v>42883</v>
      </c>
      <c r="H249" s="62">
        <v>5</v>
      </c>
      <c r="I249" s="62">
        <v>80092</v>
      </c>
      <c r="J249" s="62">
        <v>132000000</v>
      </c>
      <c r="P249" s="63">
        <f t="shared" si="0"/>
        <v>120</v>
      </c>
      <c r="Q249" s="64">
        <f t="shared" si="1"/>
        <v>333.71666666666664</v>
      </c>
      <c r="R249" s="64">
        <f t="shared" si="2"/>
        <v>31.47125244140625</v>
      </c>
      <c r="S249" s="64">
        <f t="shared" si="3"/>
        <v>20</v>
      </c>
      <c r="T249" s="64">
        <f t="shared" si="4"/>
        <v>77.86722222222221</v>
      </c>
      <c r="U249" s="64" t="str">
        <f t="shared" si="5"/>
        <v>61-90</v>
      </c>
      <c r="V249" s="64" t="str">
        <f t="shared" si="6"/>
        <v>31-40 Гб</v>
      </c>
    </row>
    <row r="250" spans="1:22" ht="15.75" customHeight="1" x14ac:dyDescent="0.25">
      <c r="A250" s="62" t="s">
        <v>341</v>
      </c>
      <c r="B250" s="56">
        <v>37298</v>
      </c>
      <c r="C250" s="62" t="s">
        <v>83</v>
      </c>
      <c r="D250" s="62" t="s">
        <v>84</v>
      </c>
      <c r="E250" s="62" t="s">
        <v>85</v>
      </c>
      <c r="F250" s="62" t="s">
        <v>89</v>
      </c>
      <c r="G250" s="56">
        <v>44473</v>
      </c>
      <c r="H250" s="62">
        <v>5</v>
      </c>
      <c r="I250" s="62">
        <v>33352</v>
      </c>
      <c r="J250" s="62">
        <v>144000000</v>
      </c>
      <c r="P250" s="63">
        <f t="shared" si="0"/>
        <v>120</v>
      </c>
      <c r="Q250" s="64">
        <f t="shared" si="1"/>
        <v>138.96666666666667</v>
      </c>
      <c r="R250" s="64">
        <f t="shared" si="2"/>
        <v>34.332275390625</v>
      </c>
      <c r="S250" s="64">
        <f t="shared" si="3"/>
        <v>20</v>
      </c>
      <c r="T250" s="64">
        <f t="shared" si="4"/>
        <v>32.425555555555555</v>
      </c>
      <c r="U250" s="64" t="str">
        <f t="shared" si="5"/>
        <v>&lt;35</v>
      </c>
      <c r="V250" s="64" t="str">
        <f t="shared" si="6"/>
        <v>31-40 Гб</v>
      </c>
    </row>
    <row r="251" spans="1:22" ht="15.75" customHeight="1" x14ac:dyDescent="0.25">
      <c r="A251" s="62" t="s">
        <v>342</v>
      </c>
      <c r="B251" s="56">
        <v>37297</v>
      </c>
      <c r="C251" s="62" t="s">
        <v>83</v>
      </c>
      <c r="D251" s="62" t="s">
        <v>84</v>
      </c>
      <c r="E251" s="62" t="s">
        <v>92</v>
      </c>
      <c r="F251" s="62" t="s">
        <v>100</v>
      </c>
      <c r="G251" s="56">
        <v>42752</v>
      </c>
      <c r="H251" s="62">
        <v>5</v>
      </c>
      <c r="I251" s="62">
        <v>112628</v>
      </c>
      <c r="J251" s="62">
        <v>132000000</v>
      </c>
      <c r="P251" s="63">
        <f t="shared" si="0"/>
        <v>120</v>
      </c>
      <c r="Q251" s="64">
        <f t="shared" si="1"/>
        <v>469.28333333333336</v>
      </c>
      <c r="R251" s="64">
        <f t="shared" si="2"/>
        <v>31.47125244140625</v>
      </c>
      <c r="S251" s="64">
        <f t="shared" si="3"/>
        <v>20</v>
      </c>
      <c r="T251" s="64">
        <f t="shared" si="4"/>
        <v>109.49944444444445</v>
      </c>
      <c r="U251" s="64" t="str">
        <f t="shared" si="5"/>
        <v>91-120</v>
      </c>
      <c r="V251" s="64" t="str">
        <f t="shared" si="6"/>
        <v>31-40 Гб</v>
      </c>
    </row>
    <row r="252" spans="1:22" ht="15.75" customHeight="1" x14ac:dyDescent="0.25">
      <c r="A252" s="62" t="s">
        <v>343</v>
      </c>
      <c r="B252" s="56">
        <v>37295</v>
      </c>
      <c r="C252" s="62" t="s">
        <v>83</v>
      </c>
      <c r="D252" s="62" t="s">
        <v>84</v>
      </c>
      <c r="E252" s="62" t="s">
        <v>85</v>
      </c>
      <c r="F252" s="62" t="s">
        <v>96</v>
      </c>
      <c r="G252" s="56">
        <v>44477</v>
      </c>
      <c r="H252" s="62">
        <v>5</v>
      </c>
      <c r="I252" s="62">
        <v>10868</v>
      </c>
      <c r="J252" s="62">
        <v>60000000</v>
      </c>
      <c r="P252" s="63">
        <f t="shared" si="0"/>
        <v>120</v>
      </c>
      <c r="Q252" s="64">
        <f t="shared" si="1"/>
        <v>45.283333333333331</v>
      </c>
      <c r="R252" s="64">
        <f t="shared" si="2"/>
        <v>14.30511474609375</v>
      </c>
      <c r="S252" s="64">
        <f t="shared" si="3"/>
        <v>20</v>
      </c>
      <c r="T252" s="64">
        <f t="shared" si="4"/>
        <v>10.566111111111111</v>
      </c>
      <c r="U252" s="64" t="str">
        <f t="shared" si="5"/>
        <v>&lt;35</v>
      </c>
      <c r="V252" s="64" t="str">
        <f t="shared" si="6"/>
        <v>10-20 Гб</v>
      </c>
    </row>
    <row r="253" spans="1:22" ht="15.75" customHeight="1" x14ac:dyDescent="0.25">
      <c r="A253" s="62" t="s">
        <v>344</v>
      </c>
      <c r="B253" s="56">
        <v>37295</v>
      </c>
      <c r="C253" s="62" t="s">
        <v>88</v>
      </c>
      <c r="D253" s="62" t="s">
        <v>84</v>
      </c>
      <c r="E253" s="62" t="s">
        <v>85</v>
      </c>
      <c r="F253" s="62" t="s">
        <v>89</v>
      </c>
      <c r="G253" s="56">
        <v>42815</v>
      </c>
      <c r="H253" s="62">
        <v>5</v>
      </c>
      <c r="I253" s="62">
        <v>10724</v>
      </c>
      <c r="J253" s="62">
        <v>148000000</v>
      </c>
      <c r="L253" s="62">
        <v>1</v>
      </c>
      <c r="N253" s="62">
        <v>1</v>
      </c>
      <c r="P253" s="63">
        <f t="shared" si="0"/>
        <v>120</v>
      </c>
      <c r="Q253" s="64">
        <f t="shared" si="1"/>
        <v>44.68333333333333</v>
      </c>
      <c r="R253" s="64">
        <f t="shared" si="2"/>
        <v>35.28594970703125</v>
      </c>
      <c r="S253" s="64">
        <f t="shared" si="3"/>
        <v>20</v>
      </c>
      <c r="T253" s="64">
        <f t="shared" si="4"/>
        <v>10.42611111111111</v>
      </c>
      <c r="U253" s="64" t="str">
        <f t="shared" si="5"/>
        <v>&lt;35</v>
      </c>
      <c r="V253" s="64" t="str">
        <f t="shared" si="6"/>
        <v>31-40 Гб</v>
      </c>
    </row>
    <row r="254" spans="1:22" ht="15.75" customHeight="1" x14ac:dyDescent="0.25">
      <c r="A254" s="62" t="s">
        <v>345</v>
      </c>
      <c r="B254" s="56">
        <v>37292</v>
      </c>
      <c r="C254" s="62" t="s">
        <v>83</v>
      </c>
      <c r="D254" s="62" t="s">
        <v>84</v>
      </c>
      <c r="E254" s="62" t="s">
        <v>85</v>
      </c>
      <c r="F254" s="62" t="s">
        <v>96</v>
      </c>
      <c r="G254" s="56">
        <v>43766</v>
      </c>
      <c r="H254" s="62">
        <v>5</v>
      </c>
      <c r="I254" s="62">
        <v>92664</v>
      </c>
      <c r="J254" s="62">
        <v>28000000</v>
      </c>
      <c r="P254" s="63">
        <f t="shared" si="0"/>
        <v>120</v>
      </c>
      <c r="Q254" s="64">
        <f t="shared" si="1"/>
        <v>386.1</v>
      </c>
      <c r="R254" s="64">
        <f t="shared" si="2"/>
        <v>6.67572021484375</v>
      </c>
      <c r="S254" s="64">
        <f t="shared" si="3"/>
        <v>20</v>
      </c>
      <c r="T254" s="64">
        <f t="shared" si="4"/>
        <v>90.09</v>
      </c>
      <c r="U254" s="64" t="str">
        <f t="shared" si="5"/>
        <v>91-120</v>
      </c>
      <c r="V254" s="64" t="str">
        <f t="shared" si="6"/>
        <v>&lt;10 Гб</v>
      </c>
    </row>
    <row r="255" spans="1:22" ht="15.75" customHeight="1" x14ac:dyDescent="0.25">
      <c r="A255" s="62" t="s">
        <v>346</v>
      </c>
      <c r="B255" s="56">
        <v>37291</v>
      </c>
      <c r="C255" s="62" t="s">
        <v>88</v>
      </c>
      <c r="D255" s="62" t="s">
        <v>84</v>
      </c>
      <c r="E255" s="62" t="s">
        <v>85</v>
      </c>
      <c r="F255" s="62" t="s">
        <v>96</v>
      </c>
      <c r="G255" s="56">
        <v>42740</v>
      </c>
      <c r="H255" s="62">
        <v>5</v>
      </c>
      <c r="I255" s="62">
        <v>45296</v>
      </c>
      <c r="J255" s="62">
        <v>0</v>
      </c>
      <c r="L255" s="62">
        <v>1</v>
      </c>
      <c r="P255" s="63">
        <f t="shared" si="0"/>
        <v>120</v>
      </c>
      <c r="Q255" s="64">
        <f t="shared" si="1"/>
        <v>188.73333333333332</v>
      </c>
      <c r="R255" s="64">
        <f t="shared" si="2"/>
        <v>0</v>
      </c>
      <c r="S255" s="64">
        <f t="shared" si="3"/>
        <v>20</v>
      </c>
      <c r="T255" s="64">
        <f t="shared" si="4"/>
        <v>44.037777777777777</v>
      </c>
      <c r="U255" s="64" t="str">
        <f t="shared" si="5"/>
        <v>35-60</v>
      </c>
      <c r="V255" s="64" t="str">
        <f t="shared" si="6"/>
        <v>&lt;10 Гб</v>
      </c>
    </row>
    <row r="256" spans="1:22" ht="15.75" customHeight="1" x14ac:dyDescent="0.25">
      <c r="A256" s="62" t="s">
        <v>347</v>
      </c>
      <c r="B256" s="56">
        <v>37289</v>
      </c>
      <c r="C256" s="62" t="s">
        <v>88</v>
      </c>
      <c r="D256" s="62" t="s">
        <v>84</v>
      </c>
      <c r="E256" s="62" t="s">
        <v>85</v>
      </c>
      <c r="F256" s="62" t="s">
        <v>89</v>
      </c>
      <c r="G256" s="56">
        <v>43833</v>
      </c>
      <c r="H256" s="62">
        <v>5</v>
      </c>
      <c r="I256" s="62">
        <v>17192</v>
      </c>
      <c r="J256" s="62">
        <v>88000000</v>
      </c>
      <c r="P256" s="63">
        <f t="shared" si="0"/>
        <v>120</v>
      </c>
      <c r="Q256" s="64">
        <f t="shared" si="1"/>
        <v>71.63333333333334</v>
      </c>
      <c r="R256" s="64">
        <f t="shared" si="2"/>
        <v>20.9808349609375</v>
      </c>
      <c r="S256" s="64">
        <f t="shared" si="3"/>
        <v>20</v>
      </c>
      <c r="T256" s="64">
        <f t="shared" si="4"/>
        <v>16.714444444444446</v>
      </c>
      <c r="U256" s="64" t="str">
        <f t="shared" si="5"/>
        <v>&lt;35</v>
      </c>
      <c r="V256" s="64" t="str">
        <f t="shared" si="6"/>
        <v>21-30 Гб</v>
      </c>
    </row>
    <row r="257" spans="1:22" ht="15.75" customHeight="1" x14ac:dyDescent="0.25">
      <c r="A257" s="62" t="s">
        <v>348</v>
      </c>
      <c r="B257" s="56">
        <v>37287</v>
      </c>
      <c r="C257" s="62" t="s">
        <v>88</v>
      </c>
      <c r="D257" s="62" t="s">
        <v>84</v>
      </c>
      <c r="E257" s="62" t="s">
        <v>92</v>
      </c>
      <c r="F257" s="62" t="s">
        <v>89</v>
      </c>
      <c r="G257" s="56">
        <v>43696</v>
      </c>
      <c r="H257" s="62">
        <v>5</v>
      </c>
      <c r="I257" s="62">
        <v>3480</v>
      </c>
      <c r="J257" s="62">
        <v>156000000</v>
      </c>
      <c r="P257" s="63">
        <f t="shared" si="0"/>
        <v>120</v>
      </c>
      <c r="Q257" s="64">
        <f t="shared" si="1"/>
        <v>14.5</v>
      </c>
      <c r="R257" s="64">
        <f t="shared" si="2"/>
        <v>37.19329833984375</v>
      </c>
      <c r="S257" s="64">
        <f t="shared" si="3"/>
        <v>20</v>
      </c>
      <c r="T257" s="64">
        <f t="shared" si="4"/>
        <v>3.3833333333333333</v>
      </c>
      <c r="U257" s="64" t="str">
        <f t="shared" si="5"/>
        <v>&lt;35</v>
      </c>
      <c r="V257" s="64" t="str">
        <f t="shared" si="6"/>
        <v>31-40 Гб</v>
      </c>
    </row>
    <row r="258" spans="1:22" ht="15.75" customHeight="1" x14ac:dyDescent="0.25">
      <c r="A258" s="62" t="s">
        <v>349</v>
      </c>
      <c r="B258" s="56">
        <v>37284</v>
      </c>
      <c r="C258" s="62" t="s">
        <v>83</v>
      </c>
      <c r="D258" s="62" t="s">
        <v>84</v>
      </c>
      <c r="E258" s="62" t="s">
        <v>92</v>
      </c>
      <c r="F258" s="62" t="s">
        <v>96</v>
      </c>
      <c r="G258" s="56">
        <v>43098</v>
      </c>
      <c r="H258" s="62">
        <v>5</v>
      </c>
      <c r="I258" s="62">
        <v>59120</v>
      </c>
      <c r="J258" s="62">
        <v>116000000</v>
      </c>
      <c r="P258" s="63">
        <f t="shared" si="0"/>
        <v>120</v>
      </c>
      <c r="Q258" s="64">
        <f t="shared" si="1"/>
        <v>246.33333333333337</v>
      </c>
      <c r="R258" s="64">
        <f t="shared" si="2"/>
        <v>27.65655517578125</v>
      </c>
      <c r="S258" s="64">
        <f t="shared" si="3"/>
        <v>20</v>
      </c>
      <c r="T258" s="64">
        <f t="shared" si="4"/>
        <v>57.477777777777781</v>
      </c>
      <c r="U258" s="64" t="str">
        <f t="shared" si="5"/>
        <v>35-60</v>
      </c>
      <c r="V258" s="64" t="str">
        <f t="shared" si="6"/>
        <v>21-30 Гб</v>
      </c>
    </row>
    <row r="259" spans="1:22" ht="15.75" customHeight="1" x14ac:dyDescent="0.25">
      <c r="A259" s="62" t="s">
        <v>350</v>
      </c>
      <c r="B259" s="56">
        <v>37284</v>
      </c>
      <c r="C259" s="62" t="s">
        <v>83</v>
      </c>
      <c r="D259" s="62" t="s">
        <v>84</v>
      </c>
      <c r="E259" s="62" t="s">
        <v>85</v>
      </c>
      <c r="F259" s="62" t="s">
        <v>93</v>
      </c>
      <c r="G259" s="56">
        <v>43442</v>
      </c>
      <c r="H259" s="62">
        <v>5</v>
      </c>
      <c r="I259" s="62">
        <v>15784</v>
      </c>
      <c r="J259" s="62">
        <v>16000000</v>
      </c>
      <c r="P259" s="63">
        <f t="shared" si="0"/>
        <v>120</v>
      </c>
      <c r="Q259" s="64">
        <f t="shared" si="1"/>
        <v>65.766666666666666</v>
      </c>
      <c r="R259" s="64">
        <f t="shared" si="2"/>
        <v>3.8146972656250004</v>
      </c>
      <c r="S259" s="64">
        <f t="shared" si="3"/>
        <v>20</v>
      </c>
      <c r="T259" s="64">
        <f t="shared" si="4"/>
        <v>15.345555555555556</v>
      </c>
      <c r="U259" s="64" t="str">
        <f t="shared" si="5"/>
        <v>&lt;35</v>
      </c>
      <c r="V259" s="64" t="str">
        <f t="shared" si="6"/>
        <v>&lt;10 Гб</v>
      </c>
    </row>
    <row r="260" spans="1:22" ht="15.75" customHeight="1" x14ac:dyDescent="0.25">
      <c r="A260" s="62" t="s">
        <v>351</v>
      </c>
      <c r="B260" s="56">
        <v>37281</v>
      </c>
      <c r="C260" s="62" t="s">
        <v>83</v>
      </c>
      <c r="D260" s="62" t="s">
        <v>84</v>
      </c>
      <c r="E260" s="62" t="s">
        <v>85</v>
      </c>
      <c r="F260" s="62" t="s">
        <v>96</v>
      </c>
      <c r="G260" s="56">
        <v>43172</v>
      </c>
      <c r="H260" s="62">
        <v>5</v>
      </c>
      <c r="I260" s="62">
        <v>14960</v>
      </c>
      <c r="J260" s="62">
        <v>112000000</v>
      </c>
      <c r="P260" s="63">
        <f t="shared" si="0"/>
        <v>120</v>
      </c>
      <c r="Q260" s="64">
        <f t="shared" si="1"/>
        <v>62.333333333333336</v>
      </c>
      <c r="R260" s="64">
        <f t="shared" si="2"/>
        <v>26.702880859375</v>
      </c>
      <c r="S260" s="64">
        <f t="shared" si="3"/>
        <v>20</v>
      </c>
      <c r="T260" s="64">
        <f t="shared" si="4"/>
        <v>14.544444444444446</v>
      </c>
      <c r="U260" s="64" t="str">
        <f t="shared" si="5"/>
        <v>&lt;35</v>
      </c>
      <c r="V260" s="64" t="str">
        <f t="shared" si="6"/>
        <v>21-30 Гб</v>
      </c>
    </row>
    <row r="261" spans="1:22" ht="15.75" customHeight="1" x14ac:dyDescent="0.25">
      <c r="A261" s="62" t="s">
        <v>352</v>
      </c>
      <c r="B261" s="56">
        <v>37281</v>
      </c>
      <c r="C261" s="62" t="s">
        <v>83</v>
      </c>
      <c r="D261" s="62" t="s">
        <v>84</v>
      </c>
      <c r="E261" s="62" t="s">
        <v>85</v>
      </c>
      <c r="F261" s="62" t="s">
        <v>89</v>
      </c>
      <c r="G261" s="56">
        <v>43427</v>
      </c>
      <c r="H261" s="62">
        <v>5</v>
      </c>
      <c r="I261" s="62">
        <v>20108</v>
      </c>
      <c r="J261" s="62">
        <v>56000000</v>
      </c>
      <c r="P261" s="63">
        <f t="shared" ref="P261:P515" si="7">IF(G261&gt;$C$3,DATEDIF(G261,$C$2,"D"),DATEDIF($C$3,$C$2,"D"))</f>
        <v>120</v>
      </c>
      <c r="Q261" s="64">
        <f t="shared" ref="Q261:Q515" si="8">I261/60/P261*30</f>
        <v>83.783333333333331</v>
      </c>
      <c r="R261" s="64">
        <f t="shared" ref="R261:R515" si="9">J261/1024^2/P261*30</f>
        <v>13.3514404296875</v>
      </c>
      <c r="S261" s="64">
        <f t="shared" ref="S261:S515" si="10">DATEDIF(B261,$C$2,"Y")</f>
        <v>20</v>
      </c>
      <c r="T261" s="64">
        <f t="shared" ref="T261:T515" si="11">(Q261*7)/30</f>
        <v>19.549444444444443</v>
      </c>
      <c r="U261" s="64" t="str">
        <f t="shared" ref="U261:U515" si="12">IF(T261&gt;120,"120+",IF(T261&gt;90,"91-120",IF(T261&gt;60,"61-90",IF(T261&gt;35,"35-60","&lt;35"))))</f>
        <v>&lt;35</v>
      </c>
      <c r="V261" s="64" t="str">
        <f t="shared" ref="V261:V515" si="13">IF(R261&gt;40,"40+ Гб",IF(R261&gt;30,"31-40 Гб",IF(R261&gt;20,"21-30 Гб",IF(R261&gt;10,"10-20 Гб","&lt;10 Гб"))))</f>
        <v>10-20 Гб</v>
      </c>
    </row>
    <row r="262" spans="1:22" ht="15.75" customHeight="1" x14ac:dyDescent="0.25">
      <c r="A262" s="62" t="s">
        <v>353</v>
      </c>
      <c r="B262" s="56">
        <v>37277</v>
      </c>
      <c r="C262" s="62" t="s">
        <v>88</v>
      </c>
      <c r="D262" s="62" t="s">
        <v>84</v>
      </c>
      <c r="E262" s="62" t="s">
        <v>85</v>
      </c>
      <c r="F262" s="62" t="s">
        <v>96</v>
      </c>
      <c r="G262" s="56">
        <v>43404</v>
      </c>
      <c r="H262" s="62">
        <v>5</v>
      </c>
      <c r="I262" s="62">
        <v>70396</v>
      </c>
      <c r="J262" s="62">
        <v>64000000</v>
      </c>
      <c r="K262" s="62">
        <v>1</v>
      </c>
      <c r="P262" s="63">
        <f t="shared" si="7"/>
        <v>120</v>
      </c>
      <c r="Q262" s="64">
        <f t="shared" si="8"/>
        <v>293.31666666666666</v>
      </c>
      <c r="R262" s="64">
        <f t="shared" si="9"/>
        <v>15.258789062500002</v>
      </c>
      <c r="S262" s="64">
        <f t="shared" si="10"/>
        <v>20</v>
      </c>
      <c r="T262" s="64">
        <f t="shared" si="11"/>
        <v>68.440555555555562</v>
      </c>
      <c r="U262" s="64" t="str">
        <f t="shared" si="12"/>
        <v>61-90</v>
      </c>
      <c r="V262" s="64" t="str">
        <f t="shared" si="13"/>
        <v>10-20 Гб</v>
      </c>
    </row>
    <row r="263" spans="1:22" ht="15.75" customHeight="1" x14ac:dyDescent="0.25">
      <c r="A263" s="62" t="s">
        <v>354</v>
      </c>
      <c r="B263" s="56">
        <v>37277</v>
      </c>
      <c r="C263" s="62" t="s">
        <v>83</v>
      </c>
      <c r="D263" s="62" t="s">
        <v>84</v>
      </c>
      <c r="E263" s="62" t="s">
        <v>85</v>
      </c>
      <c r="F263" s="62" t="s">
        <v>89</v>
      </c>
      <c r="G263" s="56">
        <v>43765</v>
      </c>
      <c r="H263" s="62">
        <v>5</v>
      </c>
      <c r="I263" s="62">
        <v>11752</v>
      </c>
      <c r="J263" s="62">
        <v>140000000</v>
      </c>
      <c r="P263" s="63">
        <f t="shared" si="7"/>
        <v>120</v>
      </c>
      <c r="Q263" s="64">
        <f t="shared" si="8"/>
        <v>48.966666666666669</v>
      </c>
      <c r="R263" s="64">
        <f t="shared" si="9"/>
        <v>33.37860107421875</v>
      </c>
      <c r="S263" s="64">
        <f t="shared" si="10"/>
        <v>20</v>
      </c>
      <c r="T263" s="64">
        <f t="shared" si="11"/>
        <v>11.425555555555555</v>
      </c>
      <c r="U263" s="64" t="str">
        <f t="shared" si="12"/>
        <v>&lt;35</v>
      </c>
      <c r="V263" s="64" t="str">
        <f t="shared" si="13"/>
        <v>31-40 Гб</v>
      </c>
    </row>
    <row r="264" spans="1:22" ht="15.75" customHeight="1" x14ac:dyDescent="0.25">
      <c r="A264" s="62" t="s">
        <v>355</v>
      </c>
      <c r="B264" s="56">
        <v>37277</v>
      </c>
      <c r="C264" s="62" t="s">
        <v>83</v>
      </c>
      <c r="D264" s="62" t="s">
        <v>84</v>
      </c>
      <c r="E264" s="62" t="s">
        <v>92</v>
      </c>
      <c r="F264" s="62" t="s">
        <v>89</v>
      </c>
      <c r="G264" s="56">
        <v>44461</v>
      </c>
      <c r="H264" s="62">
        <v>5</v>
      </c>
      <c r="I264" s="62">
        <v>29928</v>
      </c>
      <c r="J264" s="62">
        <v>52000000</v>
      </c>
      <c r="K264" s="62">
        <v>1</v>
      </c>
      <c r="L264" s="62">
        <v>1</v>
      </c>
      <c r="P264" s="63">
        <f t="shared" si="7"/>
        <v>120</v>
      </c>
      <c r="Q264" s="64">
        <f t="shared" si="8"/>
        <v>124.70000000000002</v>
      </c>
      <c r="R264" s="64">
        <f t="shared" si="9"/>
        <v>12.39776611328125</v>
      </c>
      <c r="S264" s="64">
        <f t="shared" si="10"/>
        <v>20</v>
      </c>
      <c r="T264" s="64">
        <f t="shared" si="11"/>
        <v>29.096666666666671</v>
      </c>
      <c r="U264" s="64" t="str">
        <f t="shared" si="12"/>
        <v>&lt;35</v>
      </c>
      <c r="V264" s="64" t="str">
        <f t="shared" si="13"/>
        <v>10-20 Гб</v>
      </c>
    </row>
    <row r="265" spans="1:22" ht="15.75" customHeight="1" x14ac:dyDescent="0.25">
      <c r="A265" s="62" t="s">
        <v>356</v>
      </c>
      <c r="B265" s="56">
        <v>37272</v>
      </c>
      <c r="C265" s="62" t="s">
        <v>83</v>
      </c>
      <c r="D265" s="62" t="s">
        <v>84</v>
      </c>
      <c r="E265" s="62" t="s">
        <v>92</v>
      </c>
      <c r="F265" s="62" t="s">
        <v>89</v>
      </c>
      <c r="G265" s="56">
        <v>44214</v>
      </c>
      <c r="H265" s="62">
        <v>5</v>
      </c>
      <c r="I265" s="62">
        <v>28104</v>
      </c>
      <c r="J265" s="62">
        <v>104000000</v>
      </c>
      <c r="M265" s="62">
        <v>1</v>
      </c>
      <c r="P265" s="63">
        <f t="shared" si="7"/>
        <v>120</v>
      </c>
      <c r="Q265" s="64">
        <f t="shared" si="8"/>
        <v>117.1</v>
      </c>
      <c r="R265" s="64">
        <f t="shared" si="9"/>
        <v>24.7955322265625</v>
      </c>
      <c r="S265" s="64">
        <f t="shared" si="10"/>
        <v>20</v>
      </c>
      <c r="T265" s="64">
        <f t="shared" si="11"/>
        <v>27.323333333333331</v>
      </c>
      <c r="U265" s="64" t="str">
        <f t="shared" si="12"/>
        <v>&lt;35</v>
      </c>
      <c r="V265" s="64" t="str">
        <f t="shared" si="13"/>
        <v>21-30 Гб</v>
      </c>
    </row>
    <row r="266" spans="1:22" ht="15.75" customHeight="1" x14ac:dyDescent="0.25">
      <c r="A266" s="62" t="s">
        <v>357</v>
      </c>
      <c r="B266" s="56">
        <v>37269</v>
      </c>
      <c r="C266" s="62" t="s">
        <v>83</v>
      </c>
      <c r="D266" s="62" t="s">
        <v>84</v>
      </c>
      <c r="E266" s="62" t="s">
        <v>85</v>
      </c>
      <c r="F266" s="62" t="s">
        <v>89</v>
      </c>
      <c r="G266" s="56">
        <v>44141</v>
      </c>
      <c r="H266" s="62">
        <v>5</v>
      </c>
      <c r="I266" s="62">
        <v>7344</v>
      </c>
      <c r="J266" s="62">
        <v>160000000</v>
      </c>
      <c r="P266" s="63">
        <f t="shared" si="7"/>
        <v>120</v>
      </c>
      <c r="Q266" s="64">
        <f t="shared" si="8"/>
        <v>30.6</v>
      </c>
      <c r="R266" s="64">
        <f t="shared" si="9"/>
        <v>38.14697265625</v>
      </c>
      <c r="S266" s="64">
        <f t="shared" si="10"/>
        <v>20</v>
      </c>
      <c r="T266" s="64">
        <f t="shared" si="11"/>
        <v>7.1400000000000006</v>
      </c>
      <c r="U266" s="64" t="str">
        <f t="shared" si="12"/>
        <v>&lt;35</v>
      </c>
      <c r="V266" s="64" t="str">
        <f t="shared" si="13"/>
        <v>31-40 Гб</v>
      </c>
    </row>
    <row r="267" spans="1:22" ht="15.75" customHeight="1" x14ac:dyDescent="0.25">
      <c r="A267" s="62" t="s">
        <v>358</v>
      </c>
      <c r="B267" s="56">
        <v>37268</v>
      </c>
      <c r="C267" s="62" t="s">
        <v>88</v>
      </c>
      <c r="D267" s="62" t="s">
        <v>84</v>
      </c>
      <c r="E267" s="62" t="s">
        <v>92</v>
      </c>
      <c r="F267" s="62" t="s">
        <v>100</v>
      </c>
      <c r="G267" s="56">
        <v>43848</v>
      </c>
      <c r="H267" s="62">
        <v>5</v>
      </c>
      <c r="I267" s="62">
        <v>96780</v>
      </c>
      <c r="J267" s="62">
        <v>108000000</v>
      </c>
      <c r="P267" s="63">
        <f t="shared" si="7"/>
        <v>120</v>
      </c>
      <c r="Q267" s="64">
        <f t="shared" si="8"/>
        <v>403.25</v>
      </c>
      <c r="R267" s="64">
        <f t="shared" si="9"/>
        <v>25.74920654296875</v>
      </c>
      <c r="S267" s="64">
        <f t="shared" si="10"/>
        <v>20</v>
      </c>
      <c r="T267" s="64">
        <f t="shared" si="11"/>
        <v>94.091666666666669</v>
      </c>
      <c r="U267" s="64" t="str">
        <f t="shared" si="12"/>
        <v>91-120</v>
      </c>
      <c r="V267" s="64" t="str">
        <f t="shared" si="13"/>
        <v>21-30 Гб</v>
      </c>
    </row>
    <row r="268" spans="1:22" ht="15.75" customHeight="1" x14ac:dyDescent="0.25">
      <c r="A268" s="62" t="s">
        <v>359</v>
      </c>
      <c r="B268" s="56">
        <v>37261</v>
      </c>
      <c r="C268" s="62" t="s">
        <v>88</v>
      </c>
      <c r="D268" s="62" t="s">
        <v>84</v>
      </c>
      <c r="E268" s="62" t="s">
        <v>85</v>
      </c>
      <c r="F268" s="62" t="s">
        <v>89</v>
      </c>
      <c r="G268" s="56">
        <v>44188</v>
      </c>
      <c r="H268" s="62">
        <v>5</v>
      </c>
      <c r="I268" s="62">
        <v>26188</v>
      </c>
      <c r="J268" s="62">
        <v>136000000</v>
      </c>
      <c r="P268" s="63">
        <f t="shared" si="7"/>
        <v>120</v>
      </c>
      <c r="Q268" s="64">
        <f t="shared" si="8"/>
        <v>109.11666666666666</v>
      </c>
      <c r="R268" s="64">
        <f t="shared" si="9"/>
        <v>32.4249267578125</v>
      </c>
      <c r="S268" s="64">
        <f t="shared" si="10"/>
        <v>20</v>
      </c>
      <c r="T268" s="64">
        <f t="shared" si="11"/>
        <v>25.460555555555555</v>
      </c>
      <c r="U268" s="64" t="str">
        <f t="shared" si="12"/>
        <v>&lt;35</v>
      </c>
      <c r="V268" s="64" t="str">
        <f t="shared" si="13"/>
        <v>31-40 Гб</v>
      </c>
    </row>
    <row r="269" spans="1:22" ht="15.75" customHeight="1" x14ac:dyDescent="0.25">
      <c r="A269" s="62" t="s">
        <v>360</v>
      </c>
      <c r="B269" s="56">
        <v>37250</v>
      </c>
      <c r="C269" s="62" t="s">
        <v>88</v>
      </c>
      <c r="D269" s="62" t="s">
        <v>84</v>
      </c>
      <c r="E269" s="62" t="s">
        <v>85</v>
      </c>
      <c r="F269" s="62" t="s">
        <v>86</v>
      </c>
      <c r="G269" s="56">
        <v>42765</v>
      </c>
      <c r="H269" s="62">
        <v>5</v>
      </c>
      <c r="I269" s="62">
        <v>127200</v>
      </c>
      <c r="J269" s="62">
        <v>172000000</v>
      </c>
      <c r="O269" s="62">
        <v>1</v>
      </c>
      <c r="P269" s="63">
        <f t="shared" si="7"/>
        <v>120</v>
      </c>
      <c r="Q269" s="64">
        <f t="shared" si="8"/>
        <v>530</v>
      </c>
      <c r="R269" s="64">
        <f t="shared" si="9"/>
        <v>41.00799560546875</v>
      </c>
      <c r="S269" s="64">
        <f t="shared" si="10"/>
        <v>20</v>
      </c>
      <c r="T269" s="64">
        <f t="shared" si="11"/>
        <v>123.66666666666667</v>
      </c>
      <c r="U269" s="64" t="str">
        <f t="shared" si="12"/>
        <v>120+</v>
      </c>
      <c r="V269" s="64" t="str">
        <f t="shared" si="13"/>
        <v>40+ Гб</v>
      </c>
    </row>
    <row r="270" spans="1:22" ht="15.75" customHeight="1" x14ac:dyDescent="0.25">
      <c r="A270" s="62" t="s">
        <v>361</v>
      </c>
      <c r="B270" s="56">
        <v>37246</v>
      </c>
      <c r="C270" s="62" t="s">
        <v>83</v>
      </c>
      <c r="D270" s="62" t="s">
        <v>84</v>
      </c>
      <c r="E270" s="62" t="s">
        <v>85</v>
      </c>
      <c r="F270" s="62" t="s">
        <v>96</v>
      </c>
      <c r="G270" s="56">
        <v>44110</v>
      </c>
      <c r="H270" s="62">
        <v>5</v>
      </c>
      <c r="I270" s="62">
        <v>90516</v>
      </c>
      <c r="J270" s="62">
        <v>96000000</v>
      </c>
      <c r="P270" s="63">
        <f t="shared" si="7"/>
        <v>120</v>
      </c>
      <c r="Q270" s="64">
        <f t="shared" si="8"/>
        <v>377.15</v>
      </c>
      <c r="R270" s="64">
        <f t="shared" si="9"/>
        <v>22.88818359375</v>
      </c>
      <c r="S270" s="64">
        <f t="shared" si="10"/>
        <v>20</v>
      </c>
      <c r="T270" s="64">
        <f t="shared" si="11"/>
        <v>88.001666666666651</v>
      </c>
      <c r="U270" s="64" t="str">
        <f t="shared" si="12"/>
        <v>61-90</v>
      </c>
      <c r="V270" s="64" t="str">
        <f t="shared" si="13"/>
        <v>21-30 Гб</v>
      </c>
    </row>
    <row r="271" spans="1:22" ht="15.75" customHeight="1" x14ac:dyDescent="0.25">
      <c r="A271" s="62" t="s">
        <v>362</v>
      </c>
      <c r="B271" s="56">
        <v>37246</v>
      </c>
      <c r="C271" s="62" t="s">
        <v>88</v>
      </c>
      <c r="D271" s="62" t="s">
        <v>84</v>
      </c>
      <c r="E271" s="62" t="s">
        <v>85</v>
      </c>
      <c r="F271" s="62" t="s">
        <v>89</v>
      </c>
      <c r="G271" s="56">
        <v>42906</v>
      </c>
      <c r="H271" s="62">
        <v>5</v>
      </c>
      <c r="I271" s="62">
        <v>14292</v>
      </c>
      <c r="J271" s="62">
        <v>152000000</v>
      </c>
      <c r="M271" s="62">
        <v>1</v>
      </c>
      <c r="P271" s="63">
        <f t="shared" si="7"/>
        <v>120</v>
      </c>
      <c r="Q271" s="64">
        <f t="shared" si="8"/>
        <v>59.55</v>
      </c>
      <c r="R271" s="64">
        <f t="shared" si="9"/>
        <v>36.2396240234375</v>
      </c>
      <c r="S271" s="64">
        <f t="shared" si="10"/>
        <v>20</v>
      </c>
      <c r="T271" s="64">
        <f t="shared" si="11"/>
        <v>13.895</v>
      </c>
      <c r="U271" s="64" t="str">
        <f t="shared" si="12"/>
        <v>&lt;35</v>
      </c>
      <c r="V271" s="64" t="str">
        <f t="shared" si="13"/>
        <v>31-40 Гб</v>
      </c>
    </row>
    <row r="272" spans="1:22" ht="15.75" customHeight="1" x14ac:dyDescent="0.25">
      <c r="A272" s="62" t="s">
        <v>363</v>
      </c>
      <c r="B272" s="56">
        <v>37242</v>
      </c>
      <c r="C272" s="62" t="s">
        <v>88</v>
      </c>
      <c r="D272" s="62" t="s">
        <v>84</v>
      </c>
      <c r="E272" s="62" t="s">
        <v>85</v>
      </c>
      <c r="F272" s="62" t="s">
        <v>100</v>
      </c>
      <c r="G272" s="56">
        <v>44420</v>
      </c>
      <c r="H272" s="62">
        <v>5</v>
      </c>
      <c r="I272" s="62">
        <v>96692</v>
      </c>
      <c r="J272" s="62">
        <v>116000000</v>
      </c>
      <c r="K272" s="62">
        <v>1</v>
      </c>
      <c r="P272" s="63">
        <f t="shared" si="7"/>
        <v>120</v>
      </c>
      <c r="Q272" s="64">
        <f t="shared" si="8"/>
        <v>402.88333333333333</v>
      </c>
      <c r="R272" s="64">
        <f t="shared" si="9"/>
        <v>27.65655517578125</v>
      </c>
      <c r="S272" s="64">
        <f t="shared" si="10"/>
        <v>20</v>
      </c>
      <c r="T272" s="64">
        <f t="shared" si="11"/>
        <v>94.00611111111111</v>
      </c>
      <c r="U272" s="64" t="str">
        <f t="shared" si="12"/>
        <v>91-120</v>
      </c>
      <c r="V272" s="64" t="str">
        <f t="shared" si="13"/>
        <v>21-30 Гб</v>
      </c>
    </row>
    <row r="273" spans="1:22" ht="15.75" customHeight="1" x14ac:dyDescent="0.25">
      <c r="A273" s="62" t="s">
        <v>364</v>
      </c>
      <c r="B273" s="56">
        <v>37242</v>
      </c>
      <c r="C273" s="62" t="s">
        <v>83</v>
      </c>
      <c r="D273" s="62" t="s">
        <v>84</v>
      </c>
      <c r="E273" s="62" t="s">
        <v>92</v>
      </c>
      <c r="F273" s="62" t="s">
        <v>100</v>
      </c>
      <c r="G273" s="56">
        <v>43980</v>
      </c>
      <c r="H273" s="62">
        <v>5</v>
      </c>
      <c r="I273" s="62">
        <v>55052</v>
      </c>
      <c r="J273" s="62">
        <v>56000000</v>
      </c>
      <c r="N273" s="62">
        <v>1</v>
      </c>
      <c r="P273" s="63">
        <f t="shared" si="7"/>
        <v>120</v>
      </c>
      <c r="Q273" s="64">
        <f t="shared" si="8"/>
        <v>229.38333333333333</v>
      </c>
      <c r="R273" s="64">
        <f t="shared" si="9"/>
        <v>13.3514404296875</v>
      </c>
      <c r="S273" s="64">
        <f t="shared" si="10"/>
        <v>20</v>
      </c>
      <c r="T273" s="64">
        <f t="shared" si="11"/>
        <v>53.522777777777783</v>
      </c>
      <c r="U273" s="64" t="str">
        <f t="shared" si="12"/>
        <v>35-60</v>
      </c>
      <c r="V273" s="64" t="str">
        <f t="shared" si="13"/>
        <v>10-20 Гб</v>
      </c>
    </row>
    <row r="274" spans="1:22" ht="15.75" customHeight="1" x14ac:dyDescent="0.25">
      <c r="A274" s="62" t="s">
        <v>365</v>
      </c>
      <c r="B274" s="56">
        <v>37240</v>
      </c>
      <c r="C274" s="62" t="s">
        <v>88</v>
      </c>
      <c r="D274" s="62" t="s">
        <v>84</v>
      </c>
      <c r="E274" s="62" t="s">
        <v>92</v>
      </c>
      <c r="F274" s="62" t="s">
        <v>96</v>
      </c>
      <c r="G274" s="56">
        <v>44532</v>
      </c>
      <c r="H274" s="62">
        <v>4</v>
      </c>
      <c r="I274" s="62">
        <v>120000</v>
      </c>
      <c r="J274" s="62">
        <v>112000000</v>
      </c>
      <c r="K274" s="62">
        <v>1</v>
      </c>
      <c r="L274" s="62">
        <v>1</v>
      </c>
      <c r="P274" s="63">
        <f t="shared" si="7"/>
        <v>120</v>
      </c>
      <c r="Q274" s="64">
        <f t="shared" si="8"/>
        <v>500.00000000000006</v>
      </c>
      <c r="R274" s="64">
        <f t="shared" si="9"/>
        <v>26.702880859375</v>
      </c>
      <c r="S274" s="64">
        <f t="shared" si="10"/>
        <v>20</v>
      </c>
      <c r="T274" s="64">
        <f t="shared" si="11"/>
        <v>116.66666666666669</v>
      </c>
      <c r="U274" s="64" t="str">
        <f t="shared" si="12"/>
        <v>91-120</v>
      </c>
      <c r="V274" s="64" t="str">
        <f t="shared" si="13"/>
        <v>21-30 Гб</v>
      </c>
    </row>
    <row r="275" spans="1:22" ht="15.75" customHeight="1" x14ac:dyDescent="0.25">
      <c r="A275" s="62" t="s">
        <v>366</v>
      </c>
      <c r="B275" s="56">
        <v>37237</v>
      </c>
      <c r="C275" s="62" t="s">
        <v>83</v>
      </c>
      <c r="D275" s="62" t="s">
        <v>84</v>
      </c>
      <c r="E275" s="62" t="s">
        <v>85</v>
      </c>
      <c r="F275" s="62" t="s">
        <v>96</v>
      </c>
      <c r="G275" s="56">
        <v>43589</v>
      </c>
      <c r="H275" s="62">
        <v>5</v>
      </c>
      <c r="I275" s="62">
        <v>95320</v>
      </c>
      <c r="J275" s="62">
        <v>24000000</v>
      </c>
      <c r="P275" s="63">
        <f t="shared" si="7"/>
        <v>120</v>
      </c>
      <c r="Q275" s="64">
        <f t="shared" si="8"/>
        <v>397.16666666666669</v>
      </c>
      <c r="R275" s="64">
        <f t="shared" si="9"/>
        <v>5.7220458984375</v>
      </c>
      <c r="S275" s="64">
        <f t="shared" si="10"/>
        <v>20</v>
      </c>
      <c r="T275" s="64">
        <f t="shared" si="11"/>
        <v>92.672222222222231</v>
      </c>
      <c r="U275" s="64" t="str">
        <f t="shared" si="12"/>
        <v>91-120</v>
      </c>
      <c r="V275" s="64" t="str">
        <f t="shared" si="13"/>
        <v>&lt;10 Гб</v>
      </c>
    </row>
    <row r="276" spans="1:22" ht="15.75" customHeight="1" x14ac:dyDescent="0.25">
      <c r="A276" s="62" t="s">
        <v>367</v>
      </c>
      <c r="B276" s="56">
        <v>37228</v>
      </c>
      <c r="C276" s="62" t="s">
        <v>83</v>
      </c>
      <c r="D276" s="62" t="s">
        <v>84</v>
      </c>
      <c r="E276" s="62" t="s">
        <v>85</v>
      </c>
      <c r="F276" s="62" t="s">
        <v>89</v>
      </c>
      <c r="G276" s="56">
        <v>44428</v>
      </c>
      <c r="H276" s="62">
        <v>5</v>
      </c>
      <c r="I276" s="62">
        <v>10864</v>
      </c>
      <c r="J276" s="62">
        <v>148000000</v>
      </c>
      <c r="K276" s="62">
        <v>1</v>
      </c>
      <c r="P276" s="63">
        <f t="shared" si="7"/>
        <v>120</v>
      </c>
      <c r="Q276" s="64">
        <f t="shared" si="8"/>
        <v>45.266666666666666</v>
      </c>
      <c r="R276" s="64">
        <f t="shared" si="9"/>
        <v>35.28594970703125</v>
      </c>
      <c r="S276" s="64">
        <f t="shared" si="10"/>
        <v>20</v>
      </c>
      <c r="T276" s="64">
        <f t="shared" si="11"/>
        <v>10.562222222222223</v>
      </c>
      <c r="U276" s="64" t="str">
        <f t="shared" si="12"/>
        <v>&lt;35</v>
      </c>
      <c r="V276" s="64" t="str">
        <f t="shared" si="13"/>
        <v>31-40 Гб</v>
      </c>
    </row>
    <row r="277" spans="1:22" ht="15.75" customHeight="1" x14ac:dyDescent="0.25">
      <c r="A277" s="62" t="s">
        <v>368</v>
      </c>
      <c r="B277" s="56">
        <v>37226</v>
      </c>
      <c r="C277" s="62" t="s">
        <v>88</v>
      </c>
      <c r="D277" s="62" t="s">
        <v>84</v>
      </c>
      <c r="E277" s="62" t="s">
        <v>85</v>
      </c>
      <c r="F277" s="62" t="s">
        <v>93</v>
      </c>
      <c r="G277" s="56">
        <v>42820</v>
      </c>
      <c r="H277" s="62">
        <v>5</v>
      </c>
      <c r="I277" s="62">
        <v>21716</v>
      </c>
      <c r="J277" s="62">
        <v>16000000</v>
      </c>
      <c r="L277" s="62">
        <v>1</v>
      </c>
      <c r="P277" s="63">
        <f t="shared" si="7"/>
        <v>120</v>
      </c>
      <c r="Q277" s="64">
        <f t="shared" si="8"/>
        <v>90.483333333333334</v>
      </c>
      <c r="R277" s="64">
        <f t="shared" si="9"/>
        <v>3.8146972656250004</v>
      </c>
      <c r="S277" s="64">
        <f t="shared" si="10"/>
        <v>20</v>
      </c>
      <c r="T277" s="64">
        <f t="shared" si="11"/>
        <v>21.112777777777776</v>
      </c>
      <c r="U277" s="64" t="str">
        <f t="shared" si="12"/>
        <v>&lt;35</v>
      </c>
      <c r="V277" s="64" t="str">
        <f t="shared" si="13"/>
        <v>&lt;10 Гб</v>
      </c>
    </row>
    <row r="278" spans="1:22" ht="15.75" customHeight="1" x14ac:dyDescent="0.25">
      <c r="A278" s="62" t="s">
        <v>369</v>
      </c>
      <c r="B278" s="56">
        <v>37226</v>
      </c>
      <c r="C278" s="62" t="s">
        <v>83</v>
      </c>
      <c r="D278" s="62" t="s">
        <v>84</v>
      </c>
      <c r="E278" s="62" t="s">
        <v>85</v>
      </c>
      <c r="F278" s="62" t="s">
        <v>93</v>
      </c>
      <c r="G278" s="56">
        <v>42853</v>
      </c>
      <c r="H278" s="62">
        <v>5</v>
      </c>
      <c r="I278" s="62">
        <v>26172</v>
      </c>
      <c r="J278" s="62">
        <v>4000000</v>
      </c>
      <c r="M278" s="62">
        <v>1</v>
      </c>
      <c r="P278" s="63">
        <f t="shared" si="7"/>
        <v>120</v>
      </c>
      <c r="Q278" s="64">
        <f t="shared" si="8"/>
        <v>109.05</v>
      </c>
      <c r="R278" s="64">
        <f t="shared" si="9"/>
        <v>0.95367431640625011</v>
      </c>
      <c r="S278" s="64">
        <f t="shared" si="10"/>
        <v>20</v>
      </c>
      <c r="T278" s="64">
        <f t="shared" si="11"/>
        <v>25.445</v>
      </c>
      <c r="U278" s="64" t="str">
        <f t="shared" si="12"/>
        <v>&lt;35</v>
      </c>
      <c r="V278" s="64" t="str">
        <f t="shared" si="13"/>
        <v>&lt;10 Гб</v>
      </c>
    </row>
    <row r="279" spans="1:22" ht="15.75" customHeight="1" x14ac:dyDescent="0.25">
      <c r="A279" s="62" t="s">
        <v>370</v>
      </c>
      <c r="B279" s="56">
        <v>37223</v>
      </c>
      <c r="C279" s="62" t="s">
        <v>83</v>
      </c>
      <c r="D279" s="62" t="s">
        <v>84</v>
      </c>
      <c r="E279" s="62" t="s">
        <v>92</v>
      </c>
      <c r="F279" s="62" t="s">
        <v>100</v>
      </c>
      <c r="G279" s="56">
        <v>44597</v>
      </c>
      <c r="H279" s="62">
        <v>2</v>
      </c>
      <c r="I279" s="62">
        <v>85000</v>
      </c>
      <c r="J279" s="62">
        <v>87833333</v>
      </c>
      <c r="K279" s="62">
        <v>1</v>
      </c>
      <c r="N279" s="62">
        <v>1</v>
      </c>
      <c r="P279" s="63">
        <f t="shared" si="7"/>
        <v>85</v>
      </c>
      <c r="Q279" s="64">
        <f t="shared" si="8"/>
        <v>500.00000000000006</v>
      </c>
      <c r="R279" s="64">
        <f t="shared" si="9"/>
        <v>29.563903696396771</v>
      </c>
      <c r="S279" s="64">
        <f t="shared" si="10"/>
        <v>20</v>
      </c>
      <c r="T279" s="64">
        <f t="shared" si="11"/>
        <v>116.66666666666669</v>
      </c>
      <c r="U279" s="64" t="str">
        <f t="shared" si="12"/>
        <v>91-120</v>
      </c>
      <c r="V279" s="64" t="str">
        <f t="shared" si="13"/>
        <v>21-30 Гб</v>
      </c>
    </row>
    <row r="280" spans="1:22" ht="15.75" customHeight="1" x14ac:dyDescent="0.25">
      <c r="A280" s="62" t="s">
        <v>371</v>
      </c>
      <c r="B280" s="56">
        <v>37222</v>
      </c>
      <c r="C280" s="62" t="s">
        <v>83</v>
      </c>
      <c r="D280" s="62" t="s">
        <v>84</v>
      </c>
      <c r="E280" s="62" t="s">
        <v>92</v>
      </c>
      <c r="F280" s="62" t="s">
        <v>89</v>
      </c>
      <c r="G280" s="56">
        <v>43764</v>
      </c>
      <c r="H280" s="62">
        <v>5</v>
      </c>
      <c r="I280" s="62">
        <v>16220</v>
      </c>
      <c r="J280" s="62">
        <v>144000000</v>
      </c>
      <c r="P280" s="63">
        <f t="shared" si="7"/>
        <v>120</v>
      </c>
      <c r="Q280" s="64">
        <f t="shared" si="8"/>
        <v>67.583333333333329</v>
      </c>
      <c r="R280" s="64">
        <f t="shared" si="9"/>
        <v>34.332275390625</v>
      </c>
      <c r="S280" s="64">
        <f t="shared" si="10"/>
        <v>20</v>
      </c>
      <c r="T280" s="64">
        <f t="shared" si="11"/>
        <v>15.769444444444444</v>
      </c>
      <c r="U280" s="64" t="str">
        <f t="shared" si="12"/>
        <v>&lt;35</v>
      </c>
      <c r="V280" s="64" t="str">
        <f t="shared" si="13"/>
        <v>31-40 Гб</v>
      </c>
    </row>
    <row r="281" spans="1:22" ht="15.75" customHeight="1" x14ac:dyDescent="0.25">
      <c r="A281" s="62" t="s">
        <v>372</v>
      </c>
      <c r="B281" s="56">
        <v>37221</v>
      </c>
      <c r="C281" s="62" t="s">
        <v>83</v>
      </c>
      <c r="D281" s="62" t="s">
        <v>84</v>
      </c>
      <c r="E281" s="62" t="s">
        <v>92</v>
      </c>
      <c r="F281" s="62" t="s">
        <v>89</v>
      </c>
      <c r="G281" s="56">
        <v>43991</v>
      </c>
      <c r="H281" s="62">
        <v>5</v>
      </c>
      <c r="I281" s="62">
        <v>11448</v>
      </c>
      <c r="J281" s="62">
        <v>144000000</v>
      </c>
      <c r="P281" s="63">
        <f t="shared" si="7"/>
        <v>120</v>
      </c>
      <c r="Q281" s="64">
        <f t="shared" si="8"/>
        <v>47.7</v>
      </c>
      <c r="R281" s="64">
        <f t="shared" si="9"/>
        <v>34.332275390625</v>
      </c>
      <c r="S281" s="64">
        <f t="shared" si="10"/>
        <v>20</v>
      </c>
      <c r="T281" s="64">
        <f t="shared" si="11"/>
        <v>11.13</v>
      </c>
      <c r="U281" s="64" t="str">
        <f t="shared" si="12"/>
        <v>&lt;35</v>
      </c>
      <c r="V281" s="64" t="str">
        <f t="shared" si="13"/>
        <v>31-40 Гб</v>
      </c>
    </row>
    <row r="282" spans="1:22" ht="15.75" customHeight="1" x14ac:dyDescent="0.25">
      <c r="A282" s="62" t="s">
        <v>373</v>
      </c>
      <c r="B282" s="56">
        <v>37220</v>
      </c>
      <c r="C282" s="62" t="s">
        <v>83</v>
      </c>
      <c r="D282" s="62" t="s">
        <v>84</v>
      </c>
      <c r="E282" s="62" t="s">
        <v>92</v>
      </c>
      <c r="F282" s="62" t="s">
        <v>89</v>
      </c>
      <c r="G282" s="56">
        <v>42746</v>
      </c>
      <c r="H282" s="62">
        <v>5</v>
      </c>
      <c r="I282" s="62">
        <v>19040</v>
      </c>
      <c r="J282" s="62">
        <v>156000000</v>
      </c>
      <c r="K282" s="62">
        <v>1</v>
      </c>
      <c r="N282" s="62">
        <v>1</v>
      </c>
      <c r="P282" s="63">
        <f t="shared" si="7"/>
        <v>120</v>
      </c>
      <c r="Q282" s="64">
        <f t="shared" si="8"/>
        <v>79.333333333333329</v>
      </c>
      <c r="R282" s="64">
        <f t="shared" si="9"/>
        <v>37.19329833984375</v>
      </c>
      <c r="S282" s="64">
        <f t="shared" si="10"/>
        <v>20</v>
      </c>
      <c r="T282" s="64">
        <f t="shared" si="11"/>
        <v>18.511111111111109</v>
      </c>
      <c r="U282" s="64" t="str">
        <f t="shared" si="12"/>
        <v>&lt;35</v>
      </c>
      <c r="V282" s="64" t="str">
        <f t="shared" si="13"/>
        <v>31-40 Гб</v>
      </c>
    </row>
    <row r="283" spans="1:22" ht="15.75" customHeight="1" x14ac:dyDescent="0.25">
      <c r="A283" s="62" t="s">
        <v>374</v>
      </c>
      <c r="B283" s="56">
        <v>37217</v>
      </c>
      <c r="C283" s="62" t="s">
        <v>83</v>
      </c>
      <c r="D283" s="62" t="s">
        <v>84</v>
      </c>
      <c r="E283" s="62" t="s">
        <v>85</v>
      </c>
      <c r="F283" s="62" t="s">
        <v>89</v>
      </c>
      <c r="G283" s="56">
        <v>44193</v>
      </c>
      <c r="H283" s="62">
        <v>5</v>
      </c>
      <c r="I283" s="62">
        <v>11268</v>
      </c>
      <c r="J283" s="62">
        <v>160000000</v>
      </c>
      <c r="P283" s="63">
        <f t="shared" si="7"/>
        <v>120</v>
      </c>
      <c r="Q283" s="64">
        <f t="shared" si="8"/>
        <v>46.95</v>
      </c>
      <c r="R283" s="64">
        <f t="shared" si="9"/>
        <v>38.14697265625</v>
      </c>
      <c r="S283" s="64">
        <f t="shared" si="10"/>
        <v>20</v>
      </c>
      <c r="T283" s="64">
        <f t="shared" si="11"/>
        <v>10.955000000000002</v>
      </c>
      <c r="U283" s="64" t="str">
        <f t="shared" si="12"/>
        <v>&lt;35</v>
      </c>
      <c r="V283" s="64" t="str">
        <f t="shared" si="13"/>
        <v>31-40 Гб</v>
      </c>
    </row>
    <row r="284" spans="1:22" ht="15.75" customHeight="1" x14ac:dyDescent="0.25">
      <c r="A284" s="62" t="s">
        <v>375</v>
      </c>
      <c r="B284" s="56">
        <v>37216</v>
      </c>
      <c r="C284" s="62" t="s">
        <v>88</v>
      </c>
      <c r="D284" s="62" t="s">
        <v>84</v>
      </c>
      <c r="E284" s="62" t="s">
        <v>92</v>
      </c>
      <c r="F284" s="62" t="s">
        <v>86</v>
      </c>
      <c r="G284" s="56">
        <v>43281</v>
      </c>
      <c r="H284" s="62">
        <v>5</v>
      </c>
      <c r="I284" s="62">
        <v>161264</v>
      </c>
      <c r="J284" s="62">
        <v>60000000</v>
      </c>
      <c r="P284" s="63">
        <f t="shared" si="7"/>
        <v>120</v>
      </c>
      <c r="Q284" s="64">
        <f t="shared" si="8"/>
        <v>671.93333333333328</v>
      </c>
      <c r="R284" s="64">
        <f t="shared" si="9"/>
        <v>14.30511474609375</v>
      </c>
      <c r="S284" s="64">
        <f t="shared" si="10"/>
        <v>20</v>
      </c>
      <c r="T284" s="64">
        <f t="shared" si="11"/>
        <v>156.78444444444443</v>
      </c>
      <c r="U284" s="64" t="str">
        <f t="shared" si="12"/>
        <v>120+</v>
      </c>
      <c r="V284" s="64" t="str">
        <f t="shared" si="13"/>
        <v>10-20 Гб</v>
      </c>
    </row>
    <row r="285" spans="1:22" ht="15.75" customHeight="1" x14ac:dyDescent="0.25">
      <c r="A285" s="62" t="s">
        <v>376</v>
      </c>
      <c r="B285" s="56">
        <v>37214</v>
      </c>
      <c r="C285" s="62" t="s">
        <v>88</v>
      </c>
      <c r="D285" s="62" t="s">
        <v>84</v>
      </c>
      <c r="E285" s="62" t="s">
        <v>85</v>
      </c>
      <c r="F285" s="62" t="s">
        <v>86</v>
      </c>
      <c r="G285" s="56">
        <v>44035</v>
      </c>
      <c r="H285" s="62">
        <v>5</v>
      </c>
      <c r="I285" s="62">
        <v>25644</v>
      </c>
      <c r="J285" s="62">
        <v>192000000</v>
      </c>
      <c r="K285" s="62">
        <v>1</v>
      </c>
      <c r="M285" s="62">
        <v>1</v>
      </c>
      <c r="P285" s="63">
        <f t="shared" si="7"/>
        <v>120</v>
      </c>
      <c r="Q285" s="64">
        <f t="shared" si="8"/>
        <v>106.85</v>
      </c>
      <c r="R285" s="64">
        <f t="shared" si="9"/>
        <v>45.7763671875</v>
      </c>
      <c r="S285" s="64">
        <f t="shared" si="10"/>
        <v>20</v>
      </c>
      <c r="T285" s="64">
        <f t="shared" si="11"/>
        <v>24.931666666666665</v>
      </c>
      <c r="U285" s="64" t="str">
        <f t="shared" si="12"/>
        <v>&lt;35</v>
      </c>
      <c r="V285" s="64" t="str">
        <f t="shared" si="13"/>
        <v>40+ Гб</v>
      </c>
    </row>
    <row r="286" spans="1:22" ht="15.75" customHeight="1" x14ac:dyDescent="0.25">
      <c r="A286" s="62" t="s">
        <v>377</v>
      </c>
      <c r="B286" s="56">
        <v>37213</v>
      </c>
      <c r="C286" s="62" t="s">
        <v>83</v>
      </c>
      <c r="D286" s="62" t="s">
        <v>84</v>
      </c>
      <c r="E286" s="62" t="s">
        <v>92</v>
      </c>
      <c r="F286" s="62" t="s">
        <v>100</v>
      </c>
      <c r="G286" s="56">
        <v>42908</v>
      </c>
      <c r="H286" s="62">
        <v>5</v>
      </c>
      <c r="I286" s="62">
        <v>73848</v>
      </c>
      <c r="J286" s="62">
        <v>128000000</v>
      </c>
      <c r="P286" s="63">
        <f t="shared" si="7"/>
        <v>120</v>
      </c>
      <c r="Q286" s="64">
        <f t="shared" si="8"/>
        <v>307.7</v>
      </c>
      <c r="R286" s="64">
        <f t="shared" si="9"/>
        <v>30.517578125000004</v>
      </c>
      <c r="S286" s="64">
        <f t="shared" si="10"/>
        <v>20</v>
      </c>
      <c r="T286" s="64">
        <f t="shared" si="11"/>
        <v>71.796666666666667</v>
      </c>
      <c r="U286" s="64" t="str">
        <f t="shared" si="12"/>
        <v>61-90</v>
      </c>
      <c r="V286" s="64" t="str">
        <f t="shared" si="13"/>
        <v>31-40 Гб</v>
      </c>
    </row>
    <row r="287" spans="1:22" ht="15.75" customHeight="1" x14ac:dyDescent="0.25">
      <c r="A287" s="62" t="s">
        <v>378</v>
      </c>
      <c r="B287" s="56">
        <v>37212</v>
      </c>
      <c r="C287" s="62" t="s">
        <v>83</v>
      </c>
      <c r="D287" s="62" t="s">
        <v>84</v>
      </c>
      <c r="E287" s="62" t="s">
        <v>92</v>
      </c>
      <c r="F287" s="62" t="s">
        <v>96</v>
      </c>
      <c r="G287" s="56">
        <v>43317</v>
      </c>
      <c r="H287" s="62">
        <v>5</v>
      </c>
      <c r="I287" s="62">
        <v>72340</v>
      </c>
      <c r="J287" s="62">
        <v>68000000</v>
      </c>
      <c r="K287" s="62">
        <v>1</v>
      </c>
      <c r="P287" s="63">
        <f t="shared" si="7"/>
        <v>120</v>
      </c>
      <c r="Q287" s="64">
        <f t="shared" si="8"/>
        <v>301.41666666666669</v>
      </c>
      <c r="R287" s="64">
        <f t="shared" si="9"/>
        <v>16.21246337890625</v>
      </c>
      <c r="S287" s="64">
        <f t="shared" si="10"/>
        <v>20</v>
      </c>
      <c r="T287" s="64">
        <f t="shared" si="11"/>
        <v>70.330555555555563</v>
      </c>
      <c r="U287" s="64" t="str">
        <f t="shared" si="12"/>
        <v>61-90</v>
      </c>
      <c r="V287" s="64" t="str">
        <f t="shared" si="13"/>
        <v>10-20 Гб</v>
      </c>
    </row>
    <row r="288" spans="1:22" ht="15.75" customHeight="1" x14ac:dyDescent="0.25">
      <c r="A288" s="62" t="s">
        <v>379</v>
      </c>
      <c r="B288" s="56">
        <v>37212</v>
      </c>
      <c r="C288" s="62" t="s">
        <v>83</v>
      </c>
      <c r="D288" s="62" t="s">
        <v>84</v>
      </c>
      <c r="E288" s="62" t="s">
        <v>85</v>
      </c>
      <c r="F288" s="62" t="s">
        <v>96</v>
      </c>
      <c r="G288" s="56">
        <v>42741</v>
      </c>
      <c r="H288" s="62">
        <v>5</v>
      </c>
      <c r="I288" s="62">
        <v>42924</v>
      </c>
      <c r="J288" s="62">
        <v>32000000</v>
      </c>
      <c r="N288" s="62">
        <v>1</v>
      </c>
      <c r="P288" s="63">
        <f t="shared" si="7"/>
        <v>120</v>
      </c>
      <c r="Q288" s="64">
        <f t="shared" si="8"/>
        <v>178.85</v>
      </c>
      <c r="R288" s="64">
        <f t="shared" si="9"/>
        <v>7.6293945312500009</v>
      </c>
      <c r="S288" s="64">
        <f t="shared" si="10"/>
        <v>20</v>
      </c>
      <c r="T288" s="64">
        <f t="shared" si="11"/>
        <v>41.731666666666669</v>
      </c>
      <c r="U288" s="64" t="str">
        <f t="shared" si="12"/>
        <v>35-60</v>
      </c>
      <c r="V288" s="64" t="str">
        <f t="shared" si="13"/>
        <v>&lt;10 Гб</v>
      </c>
    </row>
    <row r="289" spans="1:22" ht="15.75" customHeight="1" x14ac:dyDescent="0.25">
      <c r="A289" s="62" t="s">
        <v>380</v>
      </c>
      <c r="B289" s="56">
        <v>37207</v>
      </c>
      <c r="C289" s="62" t="s">
        <v>83</v>
      </c>
      <c r="D289" s="62" t="s">
        <v>84</v>
      </c>
      <c r="E289" s="62" t="s">
        <v>85</v>
      </c>
      <c r="F289" s="62" t="s">
        <v>89</v>
      </c>
      <c r="G289" s="56">
        <v>43164</v>
      </c>
      <c r="H289" s="62">
        <v>5</v>
      </c>
      <c r="I289" s="62">
        <v>13768</v>
      </c>
      <c r="J289" s="62">
        <v>120000000</v>
      </c>
      <c r="L289" s="62">
        <v>1</v>
      </c>
      <c r="P289" s="63">
        <f t="shared" si="7"/>
        <v>120</v>
      </c>
      <c r="Q289" s="64">
        <f t="shared" si="8"/>
        <v>57.366666666666667</v>
      </c>
      <c r="R289" s="64">
        <f t="shared" si="9"/>
        <v>28.6102294921875</v>
      </c>
      <c r="S289" s="64">
        <f t="shared" si="10"/>
        <v>20</v>
      </c>
      <c r="T289" s="64">
        <f t="shared" si="11"/>
        <v>13.385555555555555</v>
      </c>
      <c r="U289" s="64" t="str">
        <f t="shared" si="12"/>
        <v>&lt;35</v>
      </c>
      <c r="V289" s="64" t="str">
        <f t="shared" si="13"/>
        <v>21-30 Гб</v>
      </c>
    </row>
    <row r="290" spans="1:22" ht="15.75" customHeight="1" x14ac:dyDescent="0.25">
      <c r="A290" s="62" t="s">
        <v>381</v>
      </c>
      <c r="B290" s="56">
        <v>37206</v>
      </c>
      <c r="C290" s="62" t="s">
        <v>88</v>
      </c>
      <c r="D290" s="62" t="s">
        <v>84</v>
      </c>
      <c r="E290" s="62" t="s">
        <v>85</v>
      </c>
      <c r="F290" s="62" t="s">
        <v>89</v>
      </c>
      <c r="G290" s="56">
        <v>43619</v>
      </c>
      <c r="H290" s="62">
        <v>5</v>
      </c>
      <c r="I290" s="62">
        <v>17872</v>
      </c>
      <c r="J290" s="62">
        <v>132000000</v>
      </c>
      <c r="P290" s="63">
        <f t="shared" si="7"/>
        <v>120</v>
      </c>
      <c r="Q290" s="64">
        <f t="shared" si="8"/>
        <v>74.466666666666669</v>
      </c>
      <c r="R290" s="64">
        <f t="shared" si="9"/>
        <v>31.47125244140625</v>
      </c>
      <c r="S290" s="64">
        <f t="shared" si="10"/>
        <v>20</v>
      </c>
      <c r="T290" s="64">
        <f t="shared" si="11"/>
        <v>17.375555555555554</v>
      </c>
      <c r="U290" s="64" t="str">
        <f t="shared" si="12"/>
        <v>&lt;35</v>
      </c>
      <c r="V290" s="64" t="str">
        <f t="shared" si="13"/>
        <v>31-40 Гб</v>
      </c>
    </row>
    <row r="291" spans="1:22" ht="15.75" customHeight="1" x14ac:dyDescent="0.25">
      <c r="A291" s="62" t="s">
        <v>382</v>
      </c>
      <c r="B291" s="56">
        <v>37199</v>
      </c>
      <c r="C291" s="62" t="s">
        <v>88</v>
      </c>
      <c r="D291" s="62" t="s">
        <v>84</v>
      </c>
      <c r="E291" s="62" t="s">
        <v>92</v>
      </c>
      <c r="F291" s="62" t="s">
        <v>96</v>
      </c>
      <c r="G291" s="56">
        <v>44500</v>
      </c>
      <c r="H291" s="62">
        <v>5</v>
      </c>
      <c r="I291" s="62">
        <v>15016</v>
      </c>
      <c r="J291" s="62">
        <v>108000000</v>
      </c>
      <c r="P291" s="63">
        <f t="shared" si="7"/>
        <v>120</v>
      </c>
      <c r="Q291" s="64">
        <f t="shared" si="8"/>
        <v>62.56666666666667</v>
      </c>
      <c r="R291" s="64">
        <f t="shared" si="9"/>
        <v>25.74920654296875</v>
      </c>
      <c r="S291" s="64">
        <f t="shared" si="10"/>
        <v>20</v>
      </c>
      <c r="T291" s="64">
        <f t="shared" si="11"/>
        <v>14.59888888888889</v>
      </c>
      <c r="U291" s="64" t="str">
        <f t="shared" si="12"/>
        <v>&lt;35</v>
      </c>
      <c r="V291" s="64" t="str">
        <f t="shared" si="13"/>
        <v>21-30 Гб</v>
      </c>
    </row>
    <row r="292" spans="1:22" ht="15.75" customHeight="1" x14ac:dyDescent="0.25">
      <c r="A292" s="62" t="s">
        <v>383</v>
      </c>
      <c r="B292" s="56">
        <v>37198</v>
      </c>
      <c r="C292" s="62" t="s">
        <v>88</v>
      </c>
      <c r="D292" s="62" t="s">
        <v>84</v>
      </c>
      <c r="E292" s="62" t="s">
        <v>85</v>
      </c>
      <c r="F292" s="62" t="s">
        <v>96</v>
      </c>
      <c r="G292" s="56">
        <v>43046</v>
      </c>
      <c r="H292" s="62">
        <v>5</v>
      </c>
      <c r="I292" s="62">
        <v>73660</v>
      </c>
      <c r="J292" s="62">
        <v>16000000</v>
      </c>
      <c r="P292" s="63">
        <f t="shared" si="7"/>
        <v>120</v>
      </c>
      <c r="Q292" s="64">
        <f t="shared" si="8"/>
        <v>306.91666666666669</v>
      </c>
      <c r="R292" s="64">
        <f t="shared" si="9"/>
        <v>3.8146972656250004</v>
      </c>
      <c r="S292" s="64">
        <f t="shared" si="10"/>
        <v>20</v>
      </c>
      <c r="T292" s="64">
        <f t="shared" si="11"/>
        <v>71.613888888888894</v>
      </c>
      <c r="U292" s="64" t="str">
        <f t="shared" si="12"/>
        <v>61-90</v>
      </c>
      <c r="V292" s="64" t="str">
        <f t="shared" si="13"/>
        <v>&lt;10 Гб</v>
      </c>
    </row>
    <row r="293" spans="1:22" ht="15.75" customHeight="1" x14ac:dyDescent="0.25">
      <c r="A293" s="62" t="s">
        <v>384</v>
      </c>
      <c r="B293" s="56">
        <v>37196</v>
      </c>
      <c r="C293" s="62" t="s">
        <v>83</v>
      </c>
      <c r="D293" s="62" t="s">
        <v>84</v>
      </c>
      <c r="E293" s="62" t="s">
        <v>92</v>
      </c>
      <c r="F293" s="62" t="s">
        <v>86</v>
      </c>
      <c r="G293" s="56">
        <v>43619</v>
      </c>
      <c r="H293" s="62">
        <v>5</v>
      </c>
      <c r="I293" s="62">
        <v>109452</v>
      </c>
      <c r="J293" s="62">
        <v>140000000</v>
      </c>
      <c r="P293" s="63">
        <f t="shared" si="7"/>
        <v>120</v>
      </c>
      <c r="Q293" s="64">
        <f t="shared" si="8"/>
        <v>456.05</v>
      </c>
      <c r="R293" s="64">
        <f t="shared" si="9"/>
        <v>33.37860107421875</v>
      </c>
      <c r="S293" s="64">
        <f t="shared" si="10"/>
        <v>20</v>
      </c>
      <c r="T293" s="64">
        <f t="shared" si="11"/>
        <v>106.41166666666666</v>
      </c>
      <c r="U293" s="64" t="str">
        <f t="shared" si="12"/>
        <v>91-120</v>
      </c>
      <c r="V293" s="64" t="str">
        <f t="shared" si="13"/>
        <v>31-40 Гб</v>
      </c>
    </row>
    <row r="294" spans="1:22" ht="15.75" customHeight="1" x14ac:dyDescent="0.25">
      <c r="A294" s="62" t="s">
        <v>385</v>
      </c>
      <c r="B294" s="56">
        <v>37196</v>
      </c>
      <c r="C294" s="62" t="s">
        <v>83</v>
      </c>
      <c r="D294" s="62" t="s">
        <v>84</v>
      </c>
      <c r="E294" s="62" t="s">
        <v>85</v>
      </c>
      <c r="F294" s="62" t="s">
        <v>100</v>
      </c>
      <c r="G294" s="56">
        <v>42838</v>
      </c>
      <c r="H294" s="62">
        <v>5</v>
      </c>
      <c r="I294" s="62">
        <v>118168</v>
      </c>
      <c r="J294" s="62">
        <v>116000000</v>
      </c>
      <c r="N294" s="62">
        <v>1</v>
      </c>
      <c r="P294" s="63">
        <f t="shared" si="7"/>
        <v>120</v>
      </c>
      <c r="Q294" s="64">
        <f t="shared" si="8"/>
        <v>492.36666666666667</v>
      </c>
      <c r="R294" s="64">
        <f t="shared" si="9"/>
        <v>27.65655517578125</v>
      </c>
      <c r="S294" s="64">
        <f t="shared" si="10"/>
        <v>20</v>
      </c>
      <c r="T294" s="64">
        <f t="shared" si="11"/>
        <v>114.88555555555556</v>
      </c>
      <c r="U294" s="64" t="str">
        <f t="shared" si="12"/>
        <v>91-120</v>
      </c>
      <c r="V294" s="64" t="str">
        <f t="shared" si="13"/>
        <v>21-30 Гб</v>
      </c>
    </row>
    <row r="295" spans="1:22" ht="15.75" customHeight="1" x14ac:dyDescent="0.25">
      <c r="A295" s="62" t="s">
        <v>386</v>
      </c>
      <c r="B295" s="56">
        <v>37194</v>
      </c>
      <c r="C295" s="62" t="s">
        <v>83</v>
      </c>
      <c r="D295" s="62" t="s">
        <v>84</v>
      </c>
      <c r="E295" s="62" t="s">
        <v>85</v>
      </c>
      <c r="F295" s="62" t="s">
        <v>100</v>
      </c>
      <c r="G295" s="56">
        <v>44076</v>
      </c>
      <c r="H295" s="62">
        <v>5</v>
      </c>
      <c r="I295" s="62">
        <v>7692</v>
      </c>
      <c r="J295" s="62">
        <v>104000000</v>
      </c>
      <c r="P295" s="63">
        <f t="shared" si="7"/>
        <v>120</v>
      </c>
      <c r="Q295" s="64">
        <f t="shared" si="8"/>
        <v>32.049999999999997</v>
      </c>
      <c r="R295" s="64">
        <f t="shared" si="9"/>
        <v>24.7955322265625</v>
      </c>
      <c r="S295" s="64">
        <f t="shared" si="10"/>
        <v>20</v>
      </c>
      <c r="T295" s="64">
        <f t="shared" si="11"/>
        <v>7.4783333333333326</v>
      </c>
      <c r="U295" s="64" t="str">
        <f t="shared" si="12"/>
        <v>&lt;35</v>
      </c>
      <c r="V295" s="64" t="str">
        <f t="shared" si="13"/>
        <v>21-30 Гб</v>
      </c>
    </row>
    <row r="296" spans="1:22" ht="15.75" customHeight="1" x14ac:dyDescent="0.25">
      <c r="A296" s="62" t="s">
        <v>387</v>
      </c>
      <c r="B296" s="56">
        <v>37190</v>
      </c>
      <c r="C296" s="62" t="s">
        <v>83</v>
      </c>
      <c r="D296" s="62" t="s">
        <v>84</v>
      </c>
      <c r="E296" s="62" t="s">
        <v>92</v>
      </c>
      <c r="F296" s="62" t="s">
        <v>100</v>
      </c>
      <c r="G296" s="56">
        <v>42805</v>
      </c>
      <c r="H296" s="62">
        <v>5</v>
      </c>
      <c r="I296" s="62">
        <v>65400</v>
      </c>
      <c r="J296" s="62">
        <v>120000000</v>
      </c>
      <c r="P296" s="63">
        <f t="shared" si="7"/>
        <v>120</v>
      </c>
      <c r="Q296" s="64">
        <f t="shared" si="8"/>
        <v>272.5</v>
      </c>
      <c r="R296" s="64">
        <f t="shared" si="9"/>
        <v>28.6102294921875</v>
      </c>
      <c r="S296" s="64">
        <f t="shared" si="10"/>
        <v>20</v>
      </c>
      <c r="T296" s="64">
        <f t="shared" si="11"/>
        <v>63.583333333333336</v>
      </c>
      <c r="U296" s="64" t="str">
        <f t="shared" si="12"/>
        <v>61-90</v>
      </c>
      <c r="V296" s="64" t="str">
        <f t="shared" si="13"/>
        <v>21-30 Гб</v>
      </c>
    </row>
    <row r="297" spans="1:22" ht="15.75" customHeight="1" x14ac:dyDescent="0.25">
      <c r="A297" s="62" t="s">
        <v>388</v>
      </c>
      <c r="B297" s="56">
        <v>37189</v>
      </c>
      <c r="C297" s="62" t="s">
        <v>88</v>
      </c>
      <c r="D297" s="62" t="s">
        <v>84</v>
      </c>
      <c r="E297" s="62" t="s">
        <v>92</v>
      </c>
      <c r="F297" s="62" t="s">
        <v>96</v>
      </c>
      <c r="G297" s="56">
        <v>44289</v>
      </c>
      <c r="H297" s="62">
        <v>5</v>
      </c>
      <c r="I297" s="62">
        <v>17176</v>
      </c>
      <c r="J297" s="62">
        <v>112000000</v>
      </c>
      <c r="K297" s="62">
        <v>1</v>
      </c>
      <c r="P297" s="63">
        <f t="shared" si="7"/>
        <v>120</v>
      </c>
      <c r="Q297" s="64">
        <f t="shared" si="8"/>
        <v>71.566666666666663</v>
      </c>
      <c r="R297" s="64">
        <f t="shared" si="9"/>
        <v>26.702880859375</v>
      </c>
      <c r="S297" s="64">
        <f t="shared" si="10"/>
        <v>20</v>
      </c>
      <c r="T297" s="64">
        <f t="shared" si="11"/>
        <v>16.698888888888888</v>
      </c>
      <c r="U297" s="64" t="str">
        <f t="shared" si="12"/>
        <v>&lt;35</v>
      </c>
      <c r="V297" s="64" t="str">
        <f t="shared" si="13"/>
        <v>21-30 Гб</v>
      </c>
    </row>
    <row r="298" spans="1:22" ht="15.75" customHeight="1" x14ac:dyDescent="0.25">
      <c r="A298" s="62" t="s">
        <v>389</v>
      </c>
      <c r="B298" s="56">
        <v>37187</v>
      </c>
      <c r="C298" s="62" t="s">
        <v>83</v>
      </c>
      <c r="D298" s="62" t="s">
        <v>84</v>
      </c>
      <c r="E298" s="62" t="s">
        <v>85</v>
      </c>
      <c r="F298" s="62" t="s">
        <v>96</v>
      </c>
      <c r="G298" s="56">
        <v>43558</v>
      </c>
      <c r="H298" s="62">
        <v>5</v>
      </c>
      <c r="I298" s="62">
        <v>76268</v>
      </c>
      <c r="J298" s="62">
        <v>84000000</v>
      </c>
      <c r="P298" s="63">
        <f t="shared" si="7"/>
        <v>120</v>
      </c>
      <c r="Q298" s="64">
        <f t="shared" si="8"/>
        <v>317.78333333333336</v>
      </c>
      <c r="R298" s="64">
        <f t="shared" si="9"/>
        <v>20.02716064453125</v>
      </c>
      <c r="S298" s="64">
        <f t="shared" si="10"/>
        <v>20</v>
      </c>
      <c r="T298" s="64">
        <f t="shared" si="11"/>
        <v>74.149444444444455</v>
      </c>
      <c r="U298" s="64" t="str">
        <f t="shared" si="12"/>
        <v>61-90</v>
      </c>
      <c r="V298" s="64" t="str">
        <f t="shared" si="13"/>
        <v>21-30 Гб</v>
      </c>
    </row>
    <row r="299" spans="1:22" ht="15.75" customHeight="1" x14ac:dyDescent="0.25">
      <c r="A299" s="62" t="s">
        <v>390</v>
      </c>
      <c r="B299" s="56">
        <v>37186</v>
      </c>
      <c r="C299" s="62" t="s">
        <v>83</v>
      </c>
      <c r="D299" s="62" t="s">
        <v>84</v>
      </c>
      <c r="E299" s="62" t="s">
        <v>92</v>
      </c>
      <c r="F299" s="62" t="s">
        <v>100</v>
      </c>
      <c r="G299" s="56">
        <v>43190</v>
      </c>
      <c r="H299" s="62">
        <v>5</v>
      </c>
      <c r="I299" s="62">
        <v>101364</v>
      </c>
      <c r="J299" s="62">
        <v>132000000</v>
      </c>
      <c r="P299" s="63">
        <f t="shared" si="7"/>
        <v>120</v>
      </c>
      <c r="Q299" s="64">
        <f t="shared" si="8"/>
        <v>422.35</v>
      </c>
      <c r="R299" s="64">
        <f t="shared" si="9"/>
        <v>31.47125244140625</v>
      </c>
      <c r="S299" s="64">
        <f t="shared" si="10"/>
        <v>20</v>
      </c>
      <c r="T299" s="64">
        <f t="shared" si="11"/>
        <v>98.548333333333346</v>
      </c>
      <c r="U299" s="64" t="str">
        <f t="shared" si="12"/>
        <v>91-120</v>
      </c>
      <c r="V299" s="64" t="str">
        <f t="shared" si="13"/>
        <v>31-40 Гб</v>
      </c>
    </row>
    <row r="300" spans="1:22" ht="15.75" customHeight="1" x14ac:dyDescent="0.25">
      <c r="A300" s="62" t="s">
        <v>391</v>
      </c>
      <c r="B300" s="56">
        <v>37186</v>
      </c>
      <c r="C300" s="62" t="s">
        <v>88</v>
      </c>
      <c r="D300" s="62" t="s">
        <v>84</v>
      </c>
      <c r="E300" s="62" t="s">
        <v>92</v>
      </c>
      <c r="F300" s="62" t="s">
        <v>89</v>
      </c>
      <c r="G300" s="56">
        <v>44416</v>
      </c>
      <c r="H300" s="62">
        <v>5</v>
      </c>
      <c r="I300" s="62">
        <v>9152</v>
      </c>
      <c r="J300" s="62">
        <v>156000000</v>
      </c>
      <c r="P300" s="63">
        <f t="shared" si="7"/>
        <v>120</v>
      </c>
      <c r="Q300" s="64">
        <f t="shared" si="8"/>
        <v>38.133333333333333</v>
      </c>
      <c r="R300" s="64">
        <f t="shared" si="9"/>
        <v>37.19329833984375</v>
      </c>
      <c r="S300" s="64">
        <f t="shared" si="10"/>
        <v>20</v>
      </c>
      <c r="T300" s="64">
        <f t="shared" si="11"/>
        <v>8.8977777777777778</v>
      </c>
      <c r="U300" s="64" t="str">
        <f t="shared" si="12"/>
        <v>&lt;35</v>
      </c>
      <c r="V300" s="64" t="str">
        <f t="shared" si="13"/>
        <v>31-40 Гб</v>
      </c>
    </row>
    <row r="301" spans="1:22" ht="15.75" customHeight="1" x14ac:dyDescent="0.25">
      <c r="A301" s="62" t="s">
        <v>392</v>
      </c>
      <c r="B301" s="56">
        <v>37183</v>
      </c>
      <c r="C301" s="62" t="s">
        <v>83</v>
      </c>
      <c r="D301" s="62" t="s">
        <v>84</v>
      </c>
      <c r="E301" s="62" t="s">
        <v>85</v>
      </c>
      <c r="F301" s="62" t="s">
        <v>89</v>
      </c>
      <c r="G301" s="56">
        <v>44556</v>
      </c>
      <c r="H301" s="62">
        <v>4</v>
      </c>
      <c r="I301" s="62">
        <v>35</v>
      </c>
      <c r="J301" s="62">
        <v>160000000</v>
      </c>
      <c r="P301" s="63">
        <f t="shared" si="7"/>
        <v>120</v>
      </c>
      <c r="Q301" s="64">
        <f t="shared" si="8"/>
        <v>0.14583333333333334</v>
      </c>
      <c r="R301" s="64">
        <f t="shared" si="9"/>
        <v>38.14697265625</v>
      </c>
      <c r="S301" s="64">
        <f t="shared" si="10"/>
        <v>20</v>
      </c>
      <c r="T301" s="64">
        <f t="shared" si="11"/>
        <v>3.4027777777777782E-2</v>
      </c>
      <c r="U301" s="64" t="str">
        <f t="shared" si="12"/>
        <v>&lt;35</v>
      </c>
      <c r="V301" s="64" t="str">
        <f t="shared" si="13"/>
        <v>31-40 Гб</v>
      </c>
    </row>
    <row r="302" spans="1:22" ht="15.75" customHeight="1" x14ac:dyDescent="0.25">
      <c r="A302" s="62" t="s">
        <v>393</v>
      </c>
      <c r="B302" s="56">
        <v>37178</v>
      </c>
      <c r="C302" s="62" t="s">
        <v>83</v>
      </c>
      <c r="D302" s="62" t="s">
        <v>84</v>
      </c>
      <c r="E302" s="62" t="s">
        <v>92</v>
      </c>
      <c r="F302" s="62" t="s">
        <v>100</v>
      </c>
      <c r="G302" s="56">
        <v>42974</v>
      </c>
      <c r="H302" s="62">
        <v>5</v>
      </c>
      <c r="I302" s="62">
        <v>81120</v>
      </c>
      <c r="J302" s="62">
        <v>132000000</v>
      </c>
      <c r="K302" s="62">
        <v>1</v>
      </c>
      <c r="P302" s="63">
        <f t="shared" si="7"/>
        <v>120</v>
      </c>
      <c r="Q302" s="64">
        <f t="shared" si="8"/>
        <v>338</v>
      </c>
      <c r="R302" s="64">
        <f t="shared" si="9"/>
        <v>31.47125244140625</v>
      </c>
      <c r="S302" s="64">
        <f t="shared" si="10"/>
        <v>20</v>
      </c>
      <c r="T302" s="64">
        <f t="shared" si="11"/>
        <v>78.86666666666666</v>
      </c>
      <c r="U302" s="64" t="str">
        <f t="shared" si="12"/>
        <v>61-90</v>
      </c>
      <c r="V302" s="64" t="str">
        <f t="shared" si="13"/>
        <v>31-40 Гб</v>
      </c>
    </row>
    <row r="303" spans="1:22" ht="15.75" customHeight="1" x14ac:dyDescent="0.25">
      <c r="A303" s="62" t="s">
        <v>394</v>
      </c>
      <c r="B303" s="56">
        <v>37178</v>
      </c>
      <c r="C303" s="62" t="s">
        <v>88</v>
      </c>
      <c r="D303" s="62" t="s">
        <v>84</v>
      </c>
      <c r="E303" s="62" t="s">
        <v>92</v>
      </c>
      <c r="F303" s="62" t="s">
        <v>100</v>
      </c>
      <c r="G303" s="56">
        <v>44232</v>
      </c>
      <c r="H303" s="62">
        <v>5</v>
      </c>
      <c r="I303" s="62">
        <v>64584</v>
      </c>
      <c r="J303" s="62">
        <v>108000000</v>
      </c>
      <c r="P303" s="63">
        <f t="shared" si="7"/>
        <v>120</v>
      </c>
      <c r="Q303" s="64">
        <f t="shared" si="8"/>
        <v>269.10000000000002</v>
      </c>
      <c r="R303" s="64">
        <f t="shared" si="9"/>
        <v>25.74920654296875</v>
      </c>
      <c r="S303" s="64">
        <f t="shared" si="10"/>
        <v>20</v>
      </c>
      <c r="T303" s="64">
        <f t="shared" si="11"/>
        <v>62.790000000000006</v>
      </c>
      <c r="U303" s="64" t="str">
        <f t="shared" si="12"/>
        <v>61-90</v>
      </c>
      <c r="V303" s="64" t="str">
        <f t="shared" si="13"/>
        <v>21-30 Гб</v>
      </c>
    </row>
    <row r="304" spans="1:22" ht="15.75" customHeight="1" x14ac:dyDescent="0.25">
      <c r="A304" s="62" t="s">
        <v>395</v>
      </c>
      <c r="B304" s="56">
        <v>37172</v>
      </c>
      <c r="C304" s="62" t="s">
        <v>88</v>
      </c>
      <c r="D304" s="62" t="s">
        <v>84</v>
      </c>
      <c r="E304" s="62" t="s">
        <v>92</v>
      </c>
      <c r="F304" s="62" t="s">
        <v>96</v>
      </c>
      <c r="G304" s="56">
        <v>43863</v>
      </c>
      <c r="H304" s="62">
        <v>5</v>
      </c>
      <c r="I304" s="62">
        <v>17180</v>
      </c>
      <c r="J304" s="62">
        <v>28000000</v>
      </c>
      <c r="P304" s="63">
        <f t="shared" si="7"/>
        <v>120</v>
      </c>
      <c r="Q304" s="64">
        <f t="shared" si="8"/>
        <v>71.583333333333329</v>
      </c>
      <c r="R304" s="64">
        <f t="shared" si="9"/>
        <v>6.67572021484375</v>
      </c>
      <c r="S304" s="64">
        <f t="shared" si="10"/>
        <v>20</v>
      </c>
      <c r="T304" s="64">
        <f t="shared" si="11"/>
        <v>16.702777777777776</v>
      </c>
      <c r="U304" s="64" t="str">
        <f t="shared" si="12"/>
        <v>&lt;35</v>
      </c>
      <c r="V304" s="64" t="str">
        <f t="shared" si="13"/>
        <v>&lt;10 Гб</v>
      </c>
    </row>
    <row r="305" spans="1:22" ht="15.75" customHeight="1" x14ac:dyDescent="0.25">
      <c r="A305" s="62" t="s">
        <v>396</v>
      </c>
      <c r="B305" s="56">
        <v>37172</v>
      </c>
      <c r="C305" s="62" t="s">
        <v>88</v>
      </c>
      <c r="D305" s="62" t="s">
        <v>84</v>
      </c>
      <c r="E305" s="62" t="s">
        <v>85</v>
      </c>
      <c r="F305" s="62" t="s">
        <v>89</v>
      </c>
      <c r="G305" s="56">
        <v>43347</v>
      </c>
      <c r="H305" s="62">
        <v>5</v>
      </c>
      <c r="I305" s="62">
        <v>2348</v>
      </c>
      <c r="J305" s="62">
        <v>148000000</v>
      </c>
      <c r="P305" s="63">
        <f t="shared" si="7"/>
        <v>120</v>
      </c>
      <c r="Q305" s="64">
        <f t="shared" si="8"/>
        <v>9.7833333333333332</v>
      </c>
      <c r="R305" s="64">
        <f t="shared" si="9"/>
        <v>35.28594970703125</v>
      </c>
      <c r="S305" s="64">
        <f t="shared" si="10"/>
        <v>20</v>
      </c>
      <c r="T305" s="64">
        <f t="shared" si="11"/>
        <v>2.282777777777778</v>
      </c>
      <c r="U305" s="64" t="str">
        <f t="shared" si="12"/>
        <v>&lt;35</v>
      </c>
      <c r="V305" s="64" t="str">
        <f t="shared" si="13"/>
        <v>31-40 Гб</v>
      </c>
    </row>
    <row r="306" spans="1:22" ht="15.75" customHeight="1" x14ac:dyDescent="0.25">
      <c r="A306" s="62" t="s">
        <v>397</v>
      </c>
      <c r="B306" s="56">
        <v>37167</v>
      </c>
      <c r="C306" s="62" t="s">
        <v>88</v>
      </c>
      <c r="D306" s="62" t="s">
        <v>84</v>
      </c>
      <c r="E306" s="62" t="s">
        <v>85</v>
      </c>
      <c r="F306" s="62" t="s">
        <v>96</v>
      </c>
      <c r="G306" s="56">
        <v>44572</v>
      </c>
      <c r="H306" s="62">
        <v>3</v>
      </c>
      <c r="I306" s="62">
        <v>6290</v>
      </c>
      <c r="J306" s="62">
        <v>36666667</v>
      </c>
      <c r="K306" s="62">
        <v>1</v>
      </c>
      <c r="P306" s="63">
        <f t="shared" si="7"/>
        <v>110</v>
      </c>
      <c r="Q306" s="64">
        <f t="shared" si="8"/>
        <v>28.59090909090909</v>
      </c>
      <c r="R306" s="64">
        <f t="shared" si="9"/>
        <v>9.5367432507601659</v>
      </c>
      <c r="S306" s="64">
        <f t="shared" si="10"/>
        <v>20</v>
      </c>
      <c r="T306" s="64">
        <f t="shared" si="11"/>
        <v>6.6712121212121209</v>
      </c>
      <c r="U306" s="64" t="str">
        <f t="shared" si="12"/>
        <v>&lt;35</v>
      </c>
      <c r="V306" s="64" t="str">
        <f t="shared" si="13"/>
        <v>&lt;10 Гб</v>
      </c>
    </row>
    <row r="307" spans="1:22" ht="15.75" customHeight="1" x14ac:dyDescent="0.25">
      <c r="A307" s="62" t="s">
        <v>398</v>
      </c>
      <c r="B307" s="56">
        <v>37166</v>
      </c>
      <c r="C307" s="62" t="s">
        <v>83</v>
      </c>
      <c r="D307" s="62" t="s">
        <v>84</v>
      </c>
      <c r="E307" s="62" t="s">
        <v>92</v>
      </c>
      <c r="F307" s="62" t="s">
        <v>96</v>
      </c>
      <c r="G307" s="56">
        <v>44433</v>
      </c>
      <c r="H307" s="62">
        <v>5</v>
      </c>
      <c r="I307" s="62">
        <v>25440</v>
      </c>
      <c r="J307" s="62">
        <v>28000000</v>
      </c>
      <c r="P307" s="63">
        <f t="shared" si="7"/>
        <v>120</v>
      </c>
      <c r="Q307" s="64">
        <f t="shared" si="8"/>
        <v>106</v>
      </c>
      <c r="R307" s="64">
        <f t="shared" si="9"/>
        <v>6.67572021484375</v>
      </c>
      <c r="S307" s="64">
        <f t="shared" si="10"/>
        <v>20</v>
      </c>
      <c r="T307" s="64">
        <f t="shared" si="11"/>
        <v>24.733333333333334</v>
      </c>
      <c r="U307" s="64" t="str">
        <f t="shared" si="12"/>
        <v>&lt;35</v>
      </c>
      <c r="V307" s="64" t="str">
        <f t="shared" si="13"/>
        <v>&lt;10 Гб</v>
      </c>
    </row>
    <row r="308" spans="1:22" ht="15.75" customHeight="1" x14ac:dyDescent="0.25">
      <c r="A308" s="62" t="s">
        <v>399</v>
      </c>
      <c r="B308" s="56">
        <v>37165</v>
      </c>
      <c r="C308" s="62" t="s">
        <v>83</v>
      </c>
      <c r="D308" s="62" t="s">
        <v>84</v>
      </c>
      <c r="E308" s="62" t="s">
        <v>85</v>
      </c>
      <c r="F308" s="62" t="s">
        <v>96</v>
      </c>
      <c r="G308" s="56">
        <v>44286</v>
      </c>
      <c r="H308" s="62">
        <v>5</v>
      </c>
      <c r="I308" s="62">
        <v>59088</v>
      </c>
      <c r="J308" s="62">
        <v>60000000</v>
      </c>
      <c r="P308" s="63">
        <f t="shared" si="7"/>
        <v>120</v>
      </c>
      <c r="Q308" s="64">
        <f t="shared" si="8"/>
        <v>246.20000000000002</v>
      </c>
      <c r="R308" s="64">
        <f t="shared" si="9"/>
        <v>14.30511474609375</v>
      </c>
      <c r="S308" s="64">
        <f t="shared" si="10"/>
        <v>20</v>
      </c>
      <c r="T308" s="64">
        <f t="shared" si="11"/>
        <v>57.446666666666673</v>
      </c>
      <c r="U308" s="64" t="str">
        <f t="shared" si="12"/>
        <v>35-60</v>
      </c>
      <c r="V308" s="64" t="str">
        <f t="shared" si="13"/>
        <v>10-20 Гб</v>
      </c>
    </row>
    <row r="309" spans="1:22" ht="15.75" customHeight="1" x14ac:dyDescent="0.25">
      <c r="A309" s="62" t="s">
        <v>400</v>
      </c>
      <c r="B309" s="56">
        <v>37163</v>
      </c>
      <c r="C309" s="62" t="s">
        <v>83</v>
      </c>
      <c r="D309" s="62" t="s">
        <v>84</v>
      </c>
      <c r="E309" s="62" t="s">
        <v>85</v>
      </c>
      <c r="F309" s="62" t="s">
        <v>89</v>
      </c>
      <c r="G309" s="56">
        <v>43599</v>
      </c>
      <c r="H309" s="62">
        <v>5</v>
      </c>
      <c r="I309" s="62">
        <v>33520</v>
      </c>
      <c r="J309" s="62">
        <v>156000000</v>
      </c>
      <c r="L309" s="62">
        <v>1</v>
      </c>
      <c r="P309" s="63">
        <f t="shared" si="7"/>
        <v>120</v>
      </c>
      <c r="Q309" s="64">
        <f t="shared" si="8"/>
        <v>139.66666666666666</v>
      </c>
      <c r="R309" s="64">
        <f t="shared" si="9"/>
        <v>37.19329833984375</v>
      </c>
      <c r="S309" s="64">
        <f t="shared" si="10"/>
        <v>20</v>
      </c>
      <c r="T309" s="64">
        <f t="shared" si="11"/>
        <v>32.588888888888889</v>
      </c>
      <c r="U309" s="64" t="str">
        <f t="shared" si="12"/>
        <v>&lt;35</v>
      </c>
      <c r="V309" s="64" t="str">
        <f t="shared" si="13"/>
        <v>31-40 Гб</v>
      </c>
    </row>
    <row r="310" spans="1:22" ht="15.75" customHeight="1" x14ac:dyDescent="0.25">
      <c r="A310" s="62" t="s">
        <v>401</v>
      </c>
      <c r="B310" s="56">
        <v>37161</v>
      </c>
      <c r="C310" s="62" t="s">
        <v>88</v>
      </c>
      <c r="D310" s="62" t="s">
        <v>84</v>
      </c>
      <c r="E310" s="62" t="s">
        <v>85</v>
      </c>
      <c r="F310" s="62" t="s">
        <v>93</v>
      </c>
      <c r="G310" s="56">
        <v>44537</v>
      </c>
      <c r="H310" s="62">
        <v>4</v>
      </c>
      <c r="I310" s="62">
        <v>8380</v>
      </c>
      <c r="J310" s="62">
        <v>8000000</v>
      </c>
      <c r="P310" s="63">
        <f t="shared" si="7"/>
        <v>120</v>
      </c>
      <c r="Q310" s="64">
        <f t="shared" si="8"/>
        <v>34.916666666666664</v>
      </c>
      <c r="R310" s="64">
        <f t="shared" si="9"/>
        <v>1.9073486328125002</v>
      </c>
      <c r="S310" s="64">
        <f t="shared" si="10"/>
        <v>20</v>
      </c>
      <c r="T310" s="64">
        <f t="shared" si="11"/>
        <v>8.1472222222222221</v>
      </c>
      <c r="U310" s="64" t="str">
        <f t="shared" si="12"/>
        <v>&lt;35</v>
      </c>
      <c r="V310" s="64" t="str">
        <f t="shared" si="13"/>
        <v>&lt;10 Гб</v>
      </c>
    </row>
    <row r="311" spans="1:22" ht="15.75" customHeight="1" x14ac:dyDescent="0.25">
      <c r="A311" s="62" t="s">
        <v>402</v>
      </c>
      <c r="B311" s="56">
        <v>37159</v>
      </c>
      <c r="C311" s="62" t="s">
        <v>83</v>
      </c>
      <c r="D311" s="62" t="s">
        <v>84</v>
      </c>
      <c r="E311" s="62" t="s">
        <v>92</v>
      </c>
      <c r="F311" s="62" t="s">
        <v>100</v>
      </c>
      <c r="G311" s="56">
        <v>43320</v>
      </c>
      <c r="H311" s="62">
        <v>5</v>
      </c>
      <c r="I311" s="62">
        <v>46260</v>
      </c>
      <c r="J311" s="62">
        <v>72000000</v>
      </c>
      <c r="L311" s="62">
        <v>1</v>
      </c>
      <c r="P311" s="63">
        <f t="shared" si="7"/>
        <v>120</v>
      </c>
      <c r="Q311" s="64">
        <f t="shared" si="8"/>
        <v>192.75</v>
      </c>
      <c r="R311" s="64">
        <f t="shared" si="9"/>
        <v>17.1661376953125</v>
      </c>
      <c r="S311" s="64">
        <f t="shared" si="10"/>
        <v>20</v>
      </c>
      <c r="T311" s="64">
        <f t="shared" si="11"/>
        <v>44.975000000000001</v>
      </c>
      <c r="U311" s="64" t="str">
        <f t="shared" si="12"/>
        <v>35-60</v>
      </c>
      <c r="V311" s="64" t="str">
        <f t="shared" si="13"/>
        <v>10-20 Гб</v>
      </c>
    </row>
    <row r="312" spans="1:22" ht="15.75" customHeight="1" x14ac:dyDescent="0.25">
      <c r="A312" s="62" t="s">
        <v>403</v>
      </c>
      <c r="B312" s="56">
        <v>37158</v>
      </c>
      <c r="C312" s="62" t="s">
        <v>83</v>
      </c>
      <c r="D312" s="62" t="s">
        <v>84</v>
      </c>
      <c r="E312" s="62" t="s">
        <v>85</v>
      </c>
      <c r="F312" s="62" t="s">
        <v>89</v>
      </c>
      <c r="G312" s="56">
        <v>42859</v>
      </c>
      <c r="H312" s="62">
        <v>5</v>
      </c>
      <c r="I312" s="62">
        <v>29500</v>
      </c>
      <c r="J312" s="62">
        <v>144000000</v>
      </c>
      <c r="M312" s="62">
        <v>1</v>
      </c>
      <c r="P312" s="63">
        <f t="shared" si="7"/>
        <v>120</v>
      </c>
      <c r="Q312" s="64">
        <f t="shared" si="8"/>
        <v>122.91666666666667</v>
      </c>
      <c r="R312" s="64">
        <f t="shared" si="9"/>
        <v>34.332275390625</v>
      </c>
      <c r="S312" s="64">
        <f t="shared" si="10"/>
        <v>20</v>
      </c>
      <c r="T312" s="64">
        <f t="shared" si="11"/>
        <v>28.680555555555557</v>
      </c>
      <c r="U312" s="64" t="str">
        <f t="shared" si="12"/>
        <v>&lt;35</v>
      </c>
      <c r="V312" s="64" t="str">
        <f t="shared" si="13"/>
        <v>31-40 Гб</v>
      </c>
    </row>
    <row r="313" spans="1:22" ht="15.75" customHeight="1" x14ac:dyDescent="0.25">
      <c r="A313" s="62" t="s">
        <v>404</v>
      </c>
      <c r="B313" s="56">
        <v>37157</v>
      </c>
      <c r="C313" s="62" t="s">
        <v>83</v>
      </c>
      <c r="D313" s="62" t="s">
        <v>84</v>
      </c>
      <c r="E313" s="62" t="s">
        <v>85</v>
      </c>
      <c r="F313" s="62" t="s">
        <v>100</v>
      </c>
      <c r="G313" s="56">
        <v>43453</v>
      </c>
      <c r="H313" s="62">
        <v>5</v>
      </c>
      <c r="I313" s="62">
        <v>108092</v>
      </c>
      <c r="J313" s="62">
        <v>120000000</v>
      </c>
      <c r="L313" s="62">
        <v>1</v>
      </c>
      <c r="P313" s="63">
        <f t="shared" si="7"/>
        <v>120</v>
      </c>
      <c r="Q313" s="64">
        <f t="shared" si="8"/>
        <v>450.38333333333333</v>
      </c>
      <c r="R313" s="64">
        <f t="shared" si="9"/>
        <v>28.6102294921875</v>
      </c>
      <c r="S313" s="64">
        <f t="shared" si="10"/>
        <v>20</v>
      </c>
      <c r="T313" s="64">
        <f t="shared" si="11"/>
        <v>105.08944444444445</v>
      </c>
      <c r="U313" s="64" t="str">
        <f t="shared" si="12"/>
        <v>91-120</v>
      </c>
      <c r="V313" s="64" t="str">
        <f t="shared" si="13"/>
        <v>21-30 Гб</v>
      </c>
    </row>
    <row r="314" spans="1:22" ht="15.75" customHeight="1" x14ac:dyDescent="0.25">
      <c r="A314" s="62" t="s">
        <v>405</v>
      </c>
      <c r="B314" s="56">
        <v>37156</v>
      </c>
      <c r="C314" s="62" t="s">
        <v>88</v>
      </c>
      <c r="D314" s="62" t="s">
        <v>84</v>
      </c>
      <c r="E314" s="62" t="s">
        <v>92</v>
      </c>
      <c r="F314" s="62" t="s">
        <v>100</v>
      </c>
      <c r="G314" s="56">
        <v>43521</v>
      </c>
      <c r="H314" s="62">
        <v>5</v>
      </c>
      <c r="I314" s="62">
        <v>16580</v>
      </c>
      <c r="J314" s="62">
        <v>132000000</v>
      </c>
      <c r="K314" s="62">
        <v>1</v>
      </c>
      <c r="P314" s="63">
        <f t="shared" si="7"/>
        <v>120</v>
      </c>
      <c r="Q314" s="64">
        <f t="shared" si="8"/>
        <v>69.083333333333329</v>
      </c>
      <c r="R314" s="64">
        <f t="shared" si="9"/>
        <v>31.47125244140625</v>
      </c>
      <c r="S314" s="64">
        <f t="shared" si="10"/>
        <v>20</v>
      </c>
      <c r="T314" s="64">
        <f t="shared" si="11"/>
        <v>16.119444444444444</v>
      </c>
      <c r="U314" s="64" t="str">
        <f t="shared" si="12"/>
        <v>&lt;35</v>
      </c>
      <c r="V314" s="64" t="str">
        <f t="shared" si="13"/>
        <v>31-40 Гб</v>
      </c>
    </row>
    <row r="315" spans="1:22" ht="15.75" customHeight="1" x14ac:dyDescent="0.25">
      <c r="A315" s="62" t="s">
        <v>406</v>
      </c>
      <c r="B315" s="56">
        <v>37156</v>
      </c>
      <c r="C315" s="62" t="s">
        <v>83</v>
      </c>
      <c r="D315" s="62" t="s">
        <v>84</v>
      </c>
      <c r="E315" s="62" t="s">
        <v>92</v>
      </c>
      <c r="F315" s="62" t="s">
        <v>96</v>
      </c>
      <c r="G315" s="56">
        <v>44305</v>
      </c>
      <c r="H315" s="62">
        <v>5</v>
      </c>
      <c r="I315" s="62">
        <v>16648</v>
      </c>
      <c r="J315" s="62">
        <v>32000000</v>
      </c>
      <c r="O315" s="62">
        <v>1</v>
      </c>
      <c r="P315" s="63">
        <f t="shared" si="7"/>
        <v>120</v>
      </c>
      <c r="Q315" s="64">
        <f t="shared" si="8"/>
        <v>69.36666666666666</v>
      </c>
      <c r="R315" s="64">
        <f t="shared" si="9"/>
        <v>7.6293945312500009</v>
      </c>
      <c r="S315" s="64">
        <f t="shared" si="10"/>
        <v>20</v>
      </c>
      <c r="T315" s="64">
        <f t="shared" si="11"/>
        <v>16.185555555555553</v>
      </c>
      <c r="U315" s="64" t="str">
        <f t="shared" si="12"/>
        <v>&lt;35</v>
      </c>
      <c r="V315" s="64" t="str">
        <f t="shared" si="13"/>
        <v>&lt;10 Гб</v>
      </c>
    </row>
    <row r="316" spans="1:22" ht="15.75" customHeight="1" x14ac:dyDescent="0.25">
      <c r="A316" s="62" t="s">
        <v>407</v>
      </c>
      <c r="B316" s="56">
        <v>37151</v>
      </c>
      <c r="C316" s="62" t="s">
        <v>83</v>
      </c>
      <c r="D316" s="62" t="s">
        <v>84</v>
      </c>
      <c r="E316" s="62" t="s">
        <v>85</v>
      </c>
      <c r="F316" s="62" t="s">
        <v>89</v>
      </c>
      <c r="G316" s="56">
        <v>43981</v>
      </c>
      <c r="H316" s="62">
        <v>5</v>
      </c>
      <c r="I316" s="62">
        <v>30064</v>
      </c>
      <c r="J316" s="62">
        <v>144000000</v>
      </c>
      <c r="P316" s="63">
        <f t="shared" si="7"/>
        <v>120</v>
      </c>
      <c r="Q316" s="64">
        <f t="shared" si="8"/>
        <v>125.26666666666667</v>
      </c>
      <c r="R316" s="64">
        <f t="shared" si="9"/>
        <v>34.332275390625</v>
      </c>
      <c r="S316" s="64">
        <f t="shared" si="10"/>
        <v>20</v>
      </c>
      <c r="T316" s="64">
        <f t="shared" si="11"/>
        <v>29.228888888888889</v>
      </c>
      <c r="U316" s="64" t="str">
        <f t="shared" si="12"/>
        <v>&lt;35</v>
      </c>
      <c r="V316" s="64" t="str">
        <f t="shared" si="13"/>
        <v>31-40 Гб</v>
      </c>
    </row>
    <row r="317" spans="1:22" ht="15.75" customHeight="1" x14ac:dyDescent="0.25">
      <c r="A317" s="62" t="s">
        <v>408</v>
      </c>
      <c r="B317" s="56">
        <v>37147</v>
      </c>
      <c r="C317" s="62" t="s">
        <v>83</v>
      </c>
      <c r="D317" s="62" t="s">
        <v>84</v>
      </c>
      <c r="E317" s="62" t="s">
        <v>85</v>
      </c>
      <c r="F317" s="62" t="s">
        <v>96</v>
      </c>
      <c r="G317" s="56">
        <v>42752</v>
      </c>
      <c r="H317" s="62">
        <v>5</v>
      </c>
      <c r="I317" s="62">
        <v>84432</v>
      </c>
      <c r="J317" s="62">
        <v>48000000</v>
      </c>
      <c r="P317" s="63">
        <f t="shared" si="7"/>
        <v>120</v>
      </c>
      <c r="Q317" s="64">
        <f t="shared" si="8"/>
        <v>351.8</v>
      </c>
      <c r="R317" s="64">
        <f t="shared" si="9"/>
        <v>11.444091796875</v>
      </c>
      <c r="S317" s="64">
        <f t="shared" si="10"/>
        <v>20</v>
      </c>
      <c r="T317" s="64">
        <f t="shared" si="11"/>
        <v>82.086666666666659</v>
      </c>
      <c r="U317" s="64" t="str">
        <f t="shared" si="12"/>
        <v>61-90</v>
      </c>
      <c r="V317" s="64" t="str">
        <f t="shared" si="13"/>
        <v>10-20 Гб</v>
      </c>
    </row>
    <row r="318" spans="1:22" ht="15.75" customHeight="1" x14ac:dyDescent="0.25">
      <c r="A318" s="62" t="s">
        <v>409</v>
      </c>
      <c r="B318" s="56">
        <v>37146</v>
      </c>
      <c r="C318" s="62" t="s">
        <v>88</v>
      </c>
      <c r="D318" s="62" t="s">
        <v>84</v>
      </c>
      <c r="E318" s="62" t="s">
        <v>85</v>
      </c>
      <c r="F318" s="62" t="s">
        <v>100</v>
      </c>
      <c r="G318" s="56">
        <v>44255</v>
      </c>
      <c r="H318" s="62">
        <v>5</v>
      </c>
      <c r="I318" s="62">
        <v>106364</v>
      </c>
      <c r="J318" s="62">
        <v>140000000</v>
      </c>
      <c r="P318" s="63">
        <f t="shared" si="7"/>
        <v>120</v>
      </c>
      <c r="Q318" s="64">
        <f t="shared" si="8"/>
        <v>443.18333333333334</v>
      </c>
      <c r="R318" s="64">
        <f t="shared" si="9"/>
        <v>33.37860107421875</v>
      </c>
      <c r="S318" s="64">
        <f t="shared" si="10"/>
        <v>20</v>
      </c>
      <c r="T318" s="64">
        <f t="shared" si="11"/>
        <v>103.40944444444445</v>
      </c>
      <c r="U318" s="64" t="str">
        <f t="shared" si="12"/>
        <v>91-120</v>
      </c>
      <c r="V318" s="64" t="str">
        <f t="shared" si="13"/>
        <v>31-40 Гб</v>
      </c>
    </row>
    <row r="319" spans="1:22" ht="15.75" customHeight="1" x14ac:dyDescent="0.25">
      <c r="A319" s="62" t="s">
        <v>410</v>
      </c>
      <c r="B319" s="56">
        <v>37146</v>
      </c>
      <c r="C319" s="62" t="s">
        <v>83</v>
      </c>
      <c r="D319" s="62" t="s">
        <v>84</v>
      </c>
      <c r="E319" s="62" t="s">
        <v>85</v>
      </c>
      <c r="F319" s="62" t="s">
        <v>89</v>
      </c>
      <c r="G319" s="56">
        <v>42975</v>
      </c>
      <c r="H319" s="62">
        <v>5</v>
      </c>
      <c r="I319" s="62">
        <v>22960</v>
      </c>
      <c r="J319" s="62">
        <v>108000000</v>
      </c>
      <c r="P319" s="63">
        <f t="shared" si="7"/>
        <v>120</v>
      </c>
      <c r="Q319" s="64">
        <f t="shared" si="8"/>
        <v>95.666666666666671</v>
      </c>
      <c r="R319" s="64">
        <f t="shared" si="9"/>
        <v>25.74920654296875</v>
      </c>
      <c r="S319" s="64">
        <f t="shared" si="10"/>
        <v>20</v>
      </c>
      <c r="T319" s="64">
        <f t="shared" si="11"/>
        <v>22.322222222222226</v>
      </c>
      <c r="U319" s="64" t="str">
        <f t="shared" si="12"/>
        <v>&lt;35</v>
      </c>
      <c r="V319" s="64" t="str">
        <f t="shared" si="13"/>
        <v>21-30 Гб</v>
      </c>
    </row>
    <row r="320" spans="1:22" ht="15.75" customHeight="1" x14ac:dyDescent="0.25">
      <c r="A320" s="62" t="s">
        <v>411</v>
      </c>
      <c r="B320" s="56">
        <v>37139</v>
      </c>
      <c r="C320" s="62" t="s">
        <v>88</v>
      </c>
      <c r="D320" s="62" t="s">
        <v>84</v>
      </c>
      <c r="E320" s="62" t="s">
        <v>92</v>
      </c>
      <c r="F320" s="62" t="s">
        <v>100</v>
      </c>
      <c r="G320" s="56">
        <v>43745</v>
      </c>
      <c r="H320" s="62">
        <v>5</v>
      </c>
      <c r="I320" s="62">
        <v>27784</v>
      </c>
      <c r="J320" s="62">
        <v>40000000</v>
      </c>
      <c r="K320" s="62">
        <v>1</v>
      </c>
      <c r="P320" s="63">
        <f t="shared" si="7"/>
        <v>120</v>
      </c>
      <c r="Q320" s="64">
        <f t="shared" si="8"/>
        <v>115.76666666666667</v>
      </c>
      <c r="R320" s="64">
        <f t="shared" si="9"/>
        <v>9.5367431640625</v>
      </c>
      <c r="S320" s="64">
        <f t="shared" si="10"/>
        <v>20</v>
      </c>
      <c r="T320" s="64">
        <f t="shared" si="11"/>
        <v>27.012222222222224</v>
      </c>
      <c r="U320" s="64" t="str">
        <f t="shared" si="12"/>
        <v>&lt;35</v>
      </c>
      <c r="V320" s="64" t="str">
        <f t="shared" si="13"/>
        <v>&lt;10 Гб</v>
      </c>
    </row>
    <row r="321" spans="1:22" ht="15.75" customHeight="1" x14ac:dyDescent="0.25">
      <c r="A321" s="62" t="s">
        <v>412</v>
      </c>
      <c r="B321" s="56">
        <v>37139</v>
      </c>
      <c r="C321" s="62" t="s">
        <v>88</v>
      </c>
      <c r="D321" s="62" t="s">
        <v>84</v>
      </c>
      <c r="E321" s="62" t="s">
        <v>85</v>
      </c>
      <c r="F321" s="62" t="s">
        <v>100</v>
      </c>
      <c r="G321" s="56">
        <v>43589</v>
      </c>
      <c r="H321" s="62">
        <v>5</v>
      </c>
      <c r="I321" s="62">
        <v>76108</v>
      </c>
      <c r="J321" s="62">
        <v>92000000</v>
      </c>
      <c r="K321" s="62">
        <v>1</v>
      </c>
      <c r="P321" s="63">
        <f t="shared" si="7"/>
        <v>120</v>
      </c>
      <c r="Q321" s="64">
        <f t="shared" si="8"/>
        <v>317.11666666666667</v>
      </c>
      <c r="R321" s="64">
        <f t="shared" si="9"/>
        <v>21.93450927734375</v>
      </c>
      <c r="S321" s="64">
        <f t="shared" si="10"/>
        <v>20</v>
      </c>
      <c r="T321" s="64">
        <f t="shared" si="11"/>
        <v>73.99388888888889</v>
      </c>
      <c r="U321" s="64" t="str">
        <f t="shared" si="12"/>
        <v>61-90</v>
      </c>
      <c r="V321" s="64" t="str">
        <f t="shared" si="13"/>
        <v>21-30 Гб</v>
      </c>
    </row>
    <row r="322" spans="1:22" ht="15.75" customHeight="1" x14ac:dyDescent="0.25">
      <c r="A322" s="62" t="s">
        <v>413</v>
      </c>
      <c r="B322" s="56">
        <v>37138</v>
      </c>
      <c r="C322" s="62" t="s">
        <v>88</v>
      </c>
      <c r="D322" s="62" t="s">
        <v>84</v>
      </c>
      <c r="E322" s="62" t="s">
        <v>92</v>
      </c>
      <c r="F322" s="62" t="s">
        <v>96</v>
      </c>
      <c r="G322" s="56">
        <v>44233</v>
      </c>
      <c r="H322" s="62">
        <v>5</v>
      </c>
      <c r="I322" s="62">
        <v>18360</v>
      </c>
      <c r="J322" s="62">
        <v>8000000</v>
      </c>
      <c r="M322" s="62">
        <v>1</v>
      </c>
      <c r="P322" s="63">
        <f t="shared" si="7"/>
        <v>120</v>
      </c>
      <c r="Q322" s="64">
        <f t="shared" si="8"/>
        <v>76.5</v>
      </c>
      <c r="R322" s="64">
        <f t="shared" si="9"/>
        <v>1.9073486328125002</v>
      </c>
      <c r="S322" s="64">
        <f t="shared" si="10"/>
        <v>20</v>
      </c>
      <c r="T322" s="64">
        <f t="shared" si="11"/>
        <v>17.850000000000001</v>
      </c>
      <c r="U322" s="64" t="str">
        <f t="shared" si="12"/>
        <v>&lt;35</v>
      </c>
      <c r="V322" s="64" t="str">
        <f t="shared" si="13"/>
        <v>&lt;10 Гб</v>
      </c>
    </row>
    <row r="323" spans="1:22" ht="15.75" customHeight="1" x14ac:dyDescent="0.25">
      <c r="A323" s="62" t="s">
        <v>414</v>
      </c>
      <c r="B323" s="56">
        <v>37134</v>
      </c>
      <c r="C323" s="62" t="s">
        <v>83</v>
      </c>
      <c r="D323" s="62" t="s">
        <v>84</v>
      </c>
      <c r="E323" s="62" t="s">
        <v>85</v>
      </c>
      <c r="F323" s="62" t="s">
        <v>89</v>
      </c>
      <c r="G323" s="56">
        <v>42746</v>
      </c>
      <c r="H323" s="62">
        <v>5</v>
      </c>
      <c r="I323" s="62">
        <v>7620</v>
      </c>
      <c r="J323" s="62">
        <v>160000000</v>
      </c>
      <c r="M323" s="62">
        <v>1</v>
      </c>
      <c r="P323" s="63">
        <f t="shared" si="7"/>
        <v>120</v>
      </c>
      <c r="Q323" s="64">
        <f t="shared" si="8"/>
        <v>31.75</v>
      </c>
      <c r="R323" s="64">
        <f t="shared" si="9"/>
        <v>38.14697265625</v>
      </c>
      <c r="S323" s="64">
        <f t="shared" si="10"/>
        <v>20</v>
      </c>
      <c r="T323" s="64">
        <f t="shared" si="11"/>
        <v>7.4083333333333332</v>
      </c>
      <c r="U323" s="64" t="str">
        <f t="shared" si="12"/>
        <v>&lt;35</v>
      </c>
      <c r="V323" s="64" t="str">
        <f t="shared" si="13"/>
        <v>31-40 Гб</v>
      </c>
    </row>
    <row r="324" spans="1:22" ht="15.75" customHeight="1" x14ac:dyDescent="0.25">
      <c r="A324" s="62" t="s">
        <v>415</v>
      </c>
      <c r="B324" s="56">
        <v>37126</v>
      </c>
      <c r="C324" s="62" t="s">
        <v>83</v>
      </c>
      <c r="D324" s="62" t="s">
        <v>84</v>
      </c>
      <c r="E324" s="62" t="s">
        <v>85</v>
      </c>
      <c r="F324" s="62" t="s">
        <v>100</v>
      </c>
      <c r="G324" s="56">
        <v>42999</v>
      </c>
      <c r="H324" s="62">
        <v>5</v>
      </c>
      <c r="I324" s="62">
        <v>69856</v>
      </c>
      <c r="J324" s="62">
        <v>132000000</v>
      </c>
      <c r="P324" s="63">
        <f t="shared" si="7"/>
        <v>120</v>
      </c>
      <c r="Q324" s="64">
        <f t="shared" si="8"/>
        <v>291.06666666666666</v>
      </c>
      <c r="R324" s="64">
        <f t="shared" si="9"/>
        <v>31.47125244140625</v>
      </c>
      <c r="S324" s="64">
        <f t="shared" si="10"/>
        <v>20</v>
      </c>
      <c r="T324" s="64">
        <f t="shared" si="11"/>
        <v>67.915555555555557</v>
      </c>
      <c r="U324" s="64" t="str">
        <f t="shared" si="12"/>
        <v>61-90</v>
      </c>
      <c r="V324" s="64" t="str">
        <f t="shared" si="13"/>
        <v>31-40 Гб</v>
      </c>
    </row>
    <row r="325" spans="1:22" ht="15.75" customHeight="1" x14ac:dyDescent="0.25">
      <c r="A325" s="62" t="s">
        <v>416</v>
      </c>
      <c r="B325" s="56">
        <v>37126</v>
      </c>
      <c r="C325" s="62" t="s">
        <v>88</v>
      </c>
      <c r="D325" s="62" t="s">
        <v>84</v>
      </c>
      <c r="E325" s="62" t="s">
        <v>85</v>
      </c>
      <c r="F325" s="62" t="s">
        <v>89</v>
      </c>
      <c r="G325" s="56">
        <v>43946</v>
      </c>
      <c r="H325" s="62">
        <v>5</v>
      </c>
      <c r="I325" s="62">
        <v>16768</v>
      </c>
      <c r="J325" s="62">
        <v>128000000</v>
      </c>
      <c r="L325" s="62">
        <v>1</v>
      </c>
      <c r="P325" s="63">
        <f t="shared" si="7"/>
        <v>120</v>
      </c>
      <c r="Q325" s="64">
        <f t="shared" si="8"/>
        <v>69.86666666666666</v>
      </c>
      <c r="R325" s="64">
        <f t="shared" si="9"/>
        <v>30.517578125000004</v>
      </c>
      <c r="S325" s="64">
        <f t="shared" si="10"/>
        <v>20</v>
      </c>
      <c r="T325" s="64">
        <f t="shared" si="11"/>
        <v>16.30222222222222</v>
      </c>
      <c r="U325" s="64" t="str">
        <f t="shared" si="12"/>
        <v>&lt;35</v>
      </c>
      <c r="V325" s="64" t="str">
        <f t="shared" si="13"/>
        <v>31-40 Гб</v>
      </c>
    </row>
    <row r="326" spans="1:22" ht="15.75" customHeight="1" x14ac:dyDescent="0.25">
      <c r="A326" s="62" t="s">
        <v>417</v>
      </c>
      <c r="B326" s="56">
        <v>37122</v>
      </c>
      <c r="C326" s="62" t="s">
        <v>83</v>
      </c>
      <c r="D326" s="62" t="s">
        <v>84</v>
      </c>
      <c r="E326" s="62" t="s">
        <v>85</v>
      </c>
      <c r="F326" s="62" t="s">
        <v>100</v>
      </c>
      <c r="G326" s="56">
        <v>44345</v>
      </c>
      <c r="H326" s="62">
        <v>5</v>
      </c>
      <c r="I326" s="62">
        <v>96840</v>
      </c>
      <c r="J326" s="62">
        <v>124000000</v>
      </c>
      <c r="O326" s="62">
        <v>1</v>
      </c>
      <c r="P326" s="63">
        <f t="shared" si="7"/>
        <v>120</v>
      </c>
      <c r="Q326" s="64">
        <f t="shared" si="8"/>
        <v>403.5</v>
      </c>
      <c r="R326" s="64">
        <f t="shared" si="9"/>
        <v>29.56390380859375</v>
      </c>
      <c r="S326" s="64">
        <f t="shared" si="10"/>
        <v>20</v>
      </c>
      <c r="T326" s="64">
        <f t="shared" si="11"/>
        <v>94.15</v>
      </c>
      <c r="U326" s="64" t="str">
        <f t="shared" si="12"/>
        <v>91-120</v>
      </c>
      <c r="V326" s="64" t="str">
        <f t="shared" si="13"/>
        <v>21-30 Гб</v>
      </c>
    </row>
    <row r="327" spans="1:22" ht="15.75" customHeight="1" x14ac:dyDescent="0.25">
      <c r="A327" s="62" t="s">
        <v>418</v>
      </c>
      <c r="B327" s="56">
        <v>37120</v>
      </c>
      <c r="C327" s="62" t="s">
        <v>83</v>
      </c>
      <c r="D327" s="62" t="s">
        <v>84</v>
      </c>
      <c r="E327" s="62" t="s">
        <v>85</v>
      </c>
      <c r="F327" s="62" t="s">
        <v>86</v>
      </c>
      <c r="G327" s="56">
        <v>42997</v>
      </c>
      <c r="H327" s="62">
        <v>5</v>
      </c>
      <c r="I327" s="62">
        <v>166580</v>
      </c>
      <c r="J327" s="62">
        <v>8000000</v>
      </c>
      <c r="L327" s="62">
        <v>1</v>
      </c>
      <c r="N327" s="62">
        <v>1</v>
      </c>
      <c r="P327" s="63">
        <f t="shared" si="7"/>
        <v>120</v>
      </c>
      <c r="Q327" s="64">
        <f t="shared" si="8"/>
        <v>694.08333333333337</v>
      </c>
      <c r="R327" s="64">
        <f t="shared" si="9"/>
        <v>1.9073486328125002</v>
      </c>
      <c r="S327" s="64">
        <f t="shared" si="10"/>
        <v>20</v>
      </c>
      <c r="T327" s="64">
        <f t="shared" si="11"/>
        <v>161.95277777777781</v>
      </c>
      <c r="U327" s="64" t="str">
        <f t="shared" si="12"/>
        <v>120+</v>
      </c>
      <c r="V327" s="64" t="str">
        <f t="shared" si="13"/>
        <v>&lt;10 Гб</v>
      </c>
    </row>
    <row r="328" spans="1:22" ht="15.75" customHeight="1" x14ac:dyDescent="0.25">
      <c r="A328" s="62" t="s">
        <v>419</v>
      </c>
      <c r="B328" s="56">
        <v>37119</v>
      </c>
      <c r="C328" s="62" t="s">
        <v>83</v>
      </c>
      <c r="D328" s="62" t="s">
        <v>84</v>
      </c>
      <c r="E328" s="62" t="s">
        <v>85</v>
      </c>
      <c r="F328" s="62" t="s">
        <v>96</v>
      </c>
      <c r="G328" s="56">
        <v>44170</v>
      </c>
      <c r="H328" s="62">
        <v>5</v>
      </c>
      <c r="I328" s="62">
        <v>45584</v>
      </c>
      <c r="J328" s="62">
        <v>16000000</v>
      </c>
      <c r="P328" s="63">
        <f t="shared" si="7"/>
        <v>120</v>
      </c>
      <c r="Q328" s="64">
        <f t="shared" si="8"/>
        <v>189.93333333333334</v>
      </c>
      <c r="R328" s="64">
        <f t="shared" si="9"/>
        <v>3.8146972656250004</v>
      </c>
      <c r="S328" s="64">
        <f t="shared" si="10"/>
        <v>20</v>
      </c>
      <c r="T328" s="64">
        <f t="shared" si="11"/>
        <v>44.317777777777778</v>
      </c>
      <c r="U328" s="64" t="str">
        <f t="shared" si="12"/>
        <v>35-60</v>
      </c>
      <c r="V328" s="64" t="str">
        <f t="shared" si="13"/>
        <v>&lt;10 Гб</v>
      </c>
    </row>
    <row r="329" spans="1:22" ht="15.75" customHeight="1" x14ac:dyDescent="0.25">
      <c r="A329" s="62" t="s">
        <v>420</v>
      </c>
      <c r="B329" s="56">
        <v>37118</v>
      </c>
      <c r="C329" s="62" t="s">
        <v>83</v>
      </c>
      <c r="D329" s="62" t="s">
        <v>84</v>
      </c>
      <c r="E329" s="62" t="s">
        <v>85</v>
      </c>
      <c r="F329" s="62" t="s">
        <v>96</v>
      </c>
      <c r="G329" s="56">
        <v>43045</v>
      </c>
      <c r="H329" s="62">
        <v>5</v>
      </c>
      <c r="I329" s="62">
        <v>91736</v>
      </c>
      <c r="J329" s="62">
        <v>116000000</v>
      </c>
      <c r="P329" s="63">
        <f t="shared" si="7"/>
        <v>120</v>
      </c>
      <c r="Q329" s="64">
        <f t="shared" si="8"/>
        <v>382.23333333333335</v>
      </c>
      <c r="R329" s="64">
        <f t="shared" si="9"/>
        <v>27.65655517578125</v>
      </c>
      <c r="S329" s="64">
        <f t="shared" si="10"/>
        <v>20</v>
      </c>
      <c r="T329" s="64">
        <f t="shared" si="11"/>
        <v>89.187777777777768</v>
      </c>
      <c r="U329" s="64" t="str">
        <f t="shared" si="12"/>
        <v>61-90</v>
      </c>
      <c r="V329" s="64" t="str">
        <f t="shared" si="13"/>
        <v>21-30 Гб</v>
      </c>
    </row>
    <row r="330" spans="1:22" ht="15.75" customHeight="1" x14ac:dyDescent="0.25">
      <c r="A330" s="62" t="s">
        <v>421</v>
      </c>
      <c r="B330" s="56">
        <v>37117</v>
      </c>
      <c r="C330" s="62" t="s">
        <v>83</v>
      </c>
      <c r="D330" s="62" t="s">
        <v>84</v>
      </c>
      <c r="E330" s="62" t="s">
        <v>85</v>
      </c>
      <c r="F330" s="62" t="s">
        <v>89</v>
      </c>
      <c r="G330" s="56">
        <v>42972</v>
      </c>
      <c r="H330" s="62">
        <v>5</v>
      </c>
      <c r="I330" s="62">
        <v>14384</v>
      </c>
      <c r="J330" s="62">
        <v>136000000</v>
      </c>
      <c r="M330" s="62">
        <v>1</v>
      </c>
      <c r="P330" s="63">
        <f t="shared" si="7"/>
        <v>120</v>
      </c>
      <c r="Q330" s="64">
        <f t="shared" si="8"/>
        <v>59.93333333333333</v>
      </c>
      <c r="R330" s="64">
        <f t="shared" si="9"/>
        <v>32.4249267578125</v>
      </c>
      <c r="S330" s="64">
        <f t="shared" si="10"/>
        <v>20</v>
      </c>
      <c r="T330" s="64">
        <f t="shared" si="11"/>
        <v>13.984444444444444</v>
      </c>
      <c r="U330" s="64" t="str">
        <f t="shared" si="12"/>
        <v>&lt;35</v>
      </c>
      <c r="V330" s="64" t="str">
        <f t="shared" si="13"/>
        <v>31-40 Гб</v>
      </c>
    </row>
    <row r="331" spans="1:22" ht="15.75" customHeight="1" x14ac:dyDescent="0.25">
      <c r="A331" s="62" t="s">
        <v>422</v>
      </c>
      <c r="B331" s="56">
        <v>37113</v>
      </c>
      <c r="C331" s="62" t="s">
        <v>83</v>
      </c>
      <c r="D331" s="62" t="s">
        <v>84</v>
      </c>
      <c r="E331" s="62" t="s">
        <v>92</v>
      </c>
      <c r="F331" s="62" t="s">
        <v>89</v>
      </c>
      <c r="G331" s="56">
        <v>42928</v>
      </c>
      <c r="H331" s="62">
        <v>5</v>
      </c>
      <c r="I331" s="62">
        <v>22796</v>
      </c>
      <c r="J331" s="62">
        <v>56000000</v>
      </c>
      <c r="P331" s="63">
        <f t="shared" si="7"/>
        <v>120</v>
      </c>
      <c r="Q331" s="64">
        <f t="shared" si="8"/>
        <v>94.983333333333334</v>
      </c>
      <c r="R331" s="64">
        <f t="shared" si="9"/>
        <v>13.3514404296875</v>
      </c>
      <c r="S331" s="64">
        <f t="shared" si="10"/>
        <v>20</v>
      </c>
      <c r="T331" s="64">
        <f t="shared" si="11"/>
        <v>22.162777777777777</v>
      </c>
      <c r="U331" s="64" t="str">
        <f t="shared" si="12"/>
        <v>&lt;35</v>
      </c>
      <c r="V331" s="64" t="str">
        <f t="shared" si="13"/>
        <v>10-20 Гб</v>
      </c>
    </row>
    <row r="332" spans="1:22" ht="15.75" customHeight="1" x14ac:dyDescent="0.25">
      <c r="A332" s="62" t="s">
        <v>423</v>
      </c>
      <c r="B332" s="56">
        <v>37110</v>
      </c>
      <c r="C332" s="62" t="s">
        <v>83</v>
      </c>
      <c r="D332" s="62" t="s">
        <v>84</v>
      </c>
      <c r="E332" s="62" t="s">
        <v>85</v>
      </c>
      <c r="F332" s="62" t="s">
        <v>89</v>
      </c>
      <c r="G332" s="56">
        <v>43350</v>
      </c>
      <c r="H332" s="62">
        <v>5</v>
      </c>
      <c r="I332" s="62">
        <v>32844</v>
      </c>
      <c r="J332" s="62">
        <v>156000000</v>
      </c>
      <c r="N332" s="62">
        <v>1</v>
      </c>
      <c r="P332" s="63">
        <f t="shared" si="7"/>
        <v>120</v>
      </c>
      <c r="Q332" s="64">
        <f t="shared" si="8"/>
        <v>136.85</v>
      </c>
      <c r="R332" s="64">
        <f t="shared" si="9"/>
        <v>37.19329833984375</v>
      </c>
      <c r="S332" s="64">
        <f t="shared" si="10"/>
        <v>20</v>
      </c>
      <c r="T332" s="64">
        <f t="shared" si="11"/>
        <v>31.931666666666665</v>
      </c>
      <c r="U332" s="64" t="str">
        <f t="shared" si="12"/>
        <v>&lt;35</v>
      </c>
      <c r="V332" s="64" t="str">
        <f t="shared" si="13"/>
        <v>31-40 Гб</v>
      </c>
    </row>
    <row r="333" spans="1:22" ht="15.75" customHeight="1" x14ac:dyDescent="0.25">
      <c r="A333" s="62" t="s">
        <v>424</v>
      </c>
      <c r="B333" s="56">
        <v>37101</v>
      </c>
      <c r="C333" s="62" t="s">
        <v>83</v>
      </c>
      <c r="D333" s="62" t="s">
        <v>84</v>
      </c>
      <c r="E333" s="62" t="s">
        <v>92</v>
      </c>
      <c r="F333" s="62" t="s">
        <v>89</v>
      </c>
      <c r="G333" s="56">
        <v>43286</v>
      </c>
      <c r="H333" s="62">
        <v>5</v>
      </c>
      <c r="I333" s="62">
        <v>5056</v>
      </c>
      <c r="J333" s="62">
        <v>152000000</v>
      </c>
      <c r="K333" s="62">
        <v>1</v>
      </c>
      <c r="P333" s="63">
        <f t="shared" si="7"/>
        <v>120</v>
      </c>
      <c r="Q333" s="64">
        <f t="shared" si="8"/>
        <v>21.066666666666666</v>
      </c>
      <c r="R333" s="64">
        <f t="shared" si="9"/>
        <v>36.2396240234375</v>
      </c>
      <c r="S333" s="64">
        <f t="shared" si="10"/>
        <v>20</v>
      </c>
      <c r="T333" s="64">
        <f t="shared" si="11"/>
        <v>4.9155555555555557</v>
      </c>
      <c r="U333" s="64" t="str">
        <f t="shared" si="12"/>
        <v>&lt;35</v>
      </c>
      <c r="V333" s="64" t="str">
        <f t="shared" si="13"/>
        <v>31-40 Гб</v>
      </c>
    </row>
    <row r="334" spans="1:22" ht="15.75" customHeight="1" x14ac:dyDescent="0.25">
      <c r="A334" s="62" t="s">
        <v>425</v>
      </c>
      <c r="B334" s="56">
        <v>37099</v>
      </c>
      <c r="C334" s="62" t="s">
        <v>83</v>
      </c>
      <c r="D334" s="62" t="s">
        <v>84</v>
      </c>
      <c r="E334" s="62" t="s">
        <v>85</v>
      </c>
      <c r="F334" s="62" t="s">
        <v>96</v>
      </c>
      <c r="G334" s="56">
        <v>44632</v>
      </c>
      <c r="H334" s="62">
        <v>1</v>
      </c>
      <c r="I334" s="62">
        <v>22811</v>
      </c>
      <c r="J334" s="62">
        <v>35000000</v>
      </c>
      <c r="M334" s="62">
        <v>1</v>
      </c>
      <c r="P334" s="63">
        <f t="shared" si="7"/>
        <v>50</v>
      </c>
      <c r="Q334" s="64">
        <f t="shared" si="8"/>
        <v>228.10999999999999</v>
      </c>
      <c r="R334" s="64">
        <f t="shared" si="9"/>
        <v>20.02716064453125</v>
      </c>
      <c r="S334" s="64">
        <f t="shared" si="10"/>
        <v>20</v>
      </c>
      <c r="T334" s="64">
        <f t="shared" si="11"/>
        <v>53.225666666666669</v>
      </c>
      <c r="U334" s="64" t="str">
        <f t="shared" si="12"/>
        <v>35-60</v>
      </c>
      <c r="V334" s="64" t="str">
        <f t="shared" si="13"/>
        <v>21-30 Гб</v>
      </c>
    </row>
    <row r="335" spans="1:22" ht="15.75" customHeight="1" x14ac:dyDescent="0.25">
      <c r="A335" s="62" t="s">
        <v>426</v>
      </c>
      <c r="B335" s="56">
        <v>37099</v>
      </c>
      <c r="C335" s="62" t="s">
        <v>88</v>
      </c>
      <c r="D335" s="62" t="s">
        <v>84</v>
      </c>
      <c r="E335" s="62" t="s">
        <v>92</v>
      </c>
      <c r="F335" s="62" t="s">
        <v>96</v>
      </c>
      <c r="G335" s="56">
        <v>43178</v>
      </c>
      <c r="H335" s="62">
        <v>5</v>
      </c>
      <c r="I335" s="62">
        <v>28312</v>
      </c>
      <c r="J335" s="62">
        <v>108000000</v>
      </c>
      <c r="P335" s="63">
        <f t="shared" si="7"/>
        <v>120</v>
      </c>
      <c r="Q335" s="64">
        <f t="shared" si="8"/>
        <v>117.96666666666667</v>
      </c>
      <c r="R335" s="64">
        <f t="shared" si="9"/>
        <v>25.74920654296875</v>
      </c>
      <c r="S335" s="64">
        <f t="shared" si="10"/>
        <v>20</v>
      </c>
      <c r="T335" s="64">
        <f t="shared" si="11"/>
        <v>27.525555555555556</v>
      </c>
      <c r="U335" s="64" t="str">
        <f t="shared" si="12"/>
        <v>&lt;35</v>
      </c>
      <c r="V335" s="64" t="str">
        <f t="shared" si="13"/>
        <v>21-30 Гб</v>
      </c>
    </row>
    <row r="336" spans="1:22" ht="15.75" customHeight="1" x14ac:dyDescent="0.25">
      <c r="A336" s="62" t="s">
        <v>427</v>
      </c>
      <c r="B336" s="56">
        <v>37098</v>
      </c>
      <c r="C336" s="62" t="s">
        <v>88</v>
      </c>
      <c r="D336" s="62" t="s">
        <v>84</v>
      </c>
      <c r="E336" s="62" t="s">
        <v>85</v>
      </c>
      <c r="F336" s="62" t="s">
        <v>89</v>
      </c>
      <c r="G336" s="56">
        <v>43975</v>
      </c>
      <c r="H336" s="62">
        <v>5</v>
      </c>
      <c r="I336" s="62">
        <v>5280</v>
      </c>
      <c r="J336" s="62">
        <v>152000000</v>
      </c>
      <c r="P336" s="63">
        <f t="shared" si="7"/>
        <v>120</v>
      </c>
      <c r="Q336" s="64">
        <f t="shared" si="8"/>
        <v>22</v>
      </c>
      <c r="R336" s="64">
        <f t="shared" si="9"/>
        <v>36.2396240234375</v>
      </c>
      <c r="S336" s="64">
        <f t="shared" si="10"/>
        <v>20</v>
      </c>
      <c r="T336" s="64">
        <f t="shared" si="11"/>
        <v>5.1333333333333337</v>
      </c>
      <c r="U336" s="64" t="str">
        <f t="shared" si="12"/>
        <v>&lt;35</v>
      </c>
      <c r="V336" s="64" t="str">
        <f t="shared" si="13"/>
        <v>31-40 Гб</v>
      </c>
    </row>
    <row r="337" spans="1:22" ht="15.75" customHeight="1" x14ac:dyDescent="0.25">
      <c r="A337" s="62" t="s">
        <v>428</v>
      </c>
      <c r="B337" s="56">
        <v>37097</v>
      </c>
      <c r="C337" s="62" t="s">
        <v>88</v>
      </c>
      <c r="D337" s="62" t="s">
        <v>84</v>
      </c>
      <c r="E337" s="62" t="s">
        <v>92</v>
      </c>
      <c r="F337" s="62" t="s">
        <v>100</v>
      </c>
      <c r="G337" s="56">
        <v>44665</v>
      </c>
      <c r="H337" s="62">
        <v>0</v>
      </c>
      <c r="I337" s="62">
        <v>1629</v>
      </c>
      <c r="J337" s="62">
        <v>18700000</v>
      </c>
      <c r="O337" s="62">
        <v>1</v>
      </c>
      <c r="P337" s="63">
        <f t="shared" si="7"/>
        <v>17</v>
      </c>
      <c r="Q337" s="64">
        <f t="shared" si="8"/>
        <v>47.911764705882348</v>
      </c>
      <c r="R337" s="64">
        <f t="shared" si="9"/>
        <v>31.47125244140625</v>
      </c>
      <c r="S337" s="64">
        <f t="shared" si="10"/>
        <v>20</v>
      </c>
      <c r="T337" s="64">
        <f t="shared" si="11"/>
        <v>11.179411764705883</v>
      </c>
      <c r="U337" s="64" t="str">
        <f t="shared" si="12"/>
        <v>&lt;35</v>
      </c>
      <c r="V337" s="64" t="str">
        <f t="shared" si="13"/>
        <v>31-40 Гб</v>
      </c>
    </row>
    <row r="338" spans="1:22" ht="15.75" customHeight="1" x14ac:dyDescent="0.25">
      <c r="A338" s="62" t="s">
        <v>429</v>
      </c>
      <c r="B338" s="56">
        <v>37097</v>
      </c>
      <c r="C338" s="62" t="s">
        <v>83</v>
      </c>
      <c r="D338" s="62" t="s">
        <v>84</v>
      </c>
      <c r="E338" s="62" t="s">
        <v>92</v>
      </c>
      <c r="F338" s="62" t="s">
        <v>89</v>
      </c>
      <c r="G338" s="56">
        <v>44621</v>
      </c>
      <c r="H338" s="62">
        <v>2</v>
      </c>
      <c r="I338" s="62">
        <v>9810</v>
      </c>
      <c r="J338" s="62">
        <v>61000000</v>
      </c>
      <c r="P338" s="63">
        <f t="shared" si="7"/>
        <v>61</v>
      </c>
      <c r="Q338" s="64">
        <f t="shared" si="8"/>
        <v>80.409836065573771</v>
      </c>
      <c r="R338" s="64">
        <f t="shared" si="9"/>
        <v>28.6102294921875</v>
      </c>
      <c r="S338" s="64">
        <f t="shared" si="10"/>
        <v>20</v>
      </c>
      <c r="T338" s="64">
        <f t="shared" si="11"/>
        <v>18.762295081967213</v>
      </c>
      <c r="U338" s="64" t="str">
        <f t="shared" si="12"/>
        <v>&lt;35</v>
      </c>
      <c r="V338" s="64" t="str">
        <f t="shared" si="13"/>
        <v>21-30 Гб</v>
      </c>
    </row>
    <row r="339" spans="1:22" ht="15.75" customHeight="1" x14ac:dyDescent="0.25">
      <c r="A339" s="62" t="s">
        <v>430</v>
      </c>
      <c r="B339" s="56">
        <v>37097</v>
      </c>
      <c r="C339" s="62" t="s">
        <v>83</v>
      </c>
      <c r="D339" s="62" t="s">
        <v>84</v>
      </c>
      <c r="E339" s="62" t="s">
        <v>92</v>
      </c>
      <c r="F339" s="62" t="s">
        <v>89</v>
      </c>
      <c r="G339" s="56">
        <v>44107</v>
      </c>
      <c r="H339" s="62">
        <v>5</v>
      </c>
      <c r="I339" s="62">
        <v>12580</v>
      </c>
      <c r="J339" s="62">
        <v>132000000</v>
      </c>
      <c r="N339" s="62">
        <v>1</v>
      </c>
      <c r="P339" s="63">
        <f t="shared" si="7"/>
        <v>120</v>
      </c>
      <c r="Q339" s="64">
        <f t="shared" si="8"/>
        <v>52.416666666666664</v>
      </c>
      <c r="R339" s="64">
        <f t="shared" si="9"/>
        <v>31.47125244140625</v>
      </c>
      <c r="S339" s="64">
        <f t="shared" si="10"/>
        <v>20</v>
      </c>
      <c r="T339" s="64">
        <f t="shared" si="11"/>
        <v>12.230555555555554</v>
      </c>
      <c r="U339" s="64" t="str">
        <f t="shared" si="12"/>
        <v>&lt;35</v>
      </c>
      <c r="V339" s="64" t="str">
        <f t="shared" si="13"/>
        <v>31-40 Гб</v>
      </c>
    </row>
    <row r="340" spans="1:22" ht="15.75" customHeight="1" x14ac:dyDescent="0.25">
      <c r="A340" s="62" t="s">
        <v>431</v>
      </c>
      <c r="B340" s="56">
        <v>37088</v>
      </c>
      <c r="C340" s="62" t="s">
        <v>88</v>
      </c>
      <c r="D340" s="62" t="s">
        <v>84</v>
      </c>
      <c r="E340" s="62" t="s">
        <v>92</v>
      </c>
      <c r="F340" s="62" t="s">
        <v>89</v>
      </c>
      <c r="G340" s="56">
        <v>44364</v>
      </c>
      <c r="H340" s="62">
        <v>5</v>
      </c>
      <c r="I340" s="62">
        <v>20356</v>
      </c>
      <c r="J340" s="62">
        <v>132000000</v>
      </c>
      <c r="P340" s="63">
        <f t="shared" si="7"/>
        <v>120</v>
      </c>
      <c r="Q340" s="64">
        <f t="shared" si="8"/>
        <v>84.816666666666663</v>
      </c>
      <c r="R340" s="64">
        <f t="shared" si="9"/>
        <v>31.47125244140625</v>
      </c>
      <c r="S340" s="64">
        <f t="shared" si="10"/>
        <v>20</v>
      </c>
      <c r="T340" s="64">
        <f t="shared" si="11"/>
        <v>19.790555555555557</v>
      </c>
      <c r="U340" s="64" t="str">
        <f t="shared" si="12"/>
        <v>&lt;35</v>
      </c>
      <c r="V340" s="64" t="str">
        <f t="shared" si="13"/>
        <v>31-40 Гб</v>
      </c>
    </row>
    <row r="341" spans="1:22" ht="15.75" customHeight="1" x14ac:dyDescent="0.25">
      <c r="A341" s="62" t="s">
        <v>432</v>
      </c>
      <c r="B341" s="56">
        <v>37084</v>
      </c>
      <c r="C341" s="62" t="s">
        <v>88</v>
      </c>
      <c r="D341" s="62" t="s">
        <v>84</v>
      </c>
      <c r="E341" s="62" t="s">
        <v>92</v>
      </c>
      <c r="F341" s="62" t="s">
        <v>89</v>
      </c>
      <c r="G341" s="56">
        <v>44461</v>
      </c>
      <c r="H341" s="62">
        <v>5</v>
      </c>
      <c r="I341" s="62">
        <v>19948</v>
      </c>
      <c r="J341" s="62">
        <v>144000000</v>
      </c>
      <c r="P341" s="63">
        <f t="shared" si="7"/>
        <v>120</v>
      </c>
      <c r="Q341" s="64">
        <f t="shared" si="8"/>
        <v>83.11666666666666</v>
      </c>
      <c r="R341" s="64">
        <f t="shared" si="9"/>
        <v>34.332275390625</v>
      </c>
      <c r="S341" s="64">
        <f t="shared" si="10"/>
        <v>20</v>
      </c>
      <c r="T341" s="64">
        <f t="shared" si="11"/>
        <v>19.393888888888888</v>
      </c>
      <c r="U341" s="64" t="str">
        <f t="shared" si="12"/>
        <v>&lt;35</v>
      </c>
      <c r="V341" s="64" t="str">
        <f t="shared" si="13"/>
        <v>31-40 Гб</v>
      </c>
    </row>
    <row r="342" spans="1:22" ht="15.75" customHeight="1" x14ac:dyDescent="0.25">
      <c r="A342" s="62" t="s">
        <v>433</v>
      </c>
      <c r="B342" s="56">
        <v>37082</v>
      </c>
      <c r="C342" s="62" t="s">
        <v>83</v>
      </c>
      <c r="D342" s="62" t="s">
        <v>84</v>
      </c>
      <c r="E342" s="62" t="s">
        <v>85</v>
      </c>
      <c r="F342" s="62" t="s">
        <v>96</v>
      </c>
      <c r="G342" s="56">
        <v>44257</v>
      </c>
      <c r="H342" s="62">
        <v>5</v>
      </c>
      <c r="I342" s="62">
        <v>36992</v>
      </c>
      <c r="J342" s="62">
        <v>112000000</v>
      </c>
      <c r="L342" s="62">
        <v>1</v>
      </c>
      <c r="P342" s="63">
        <f t="shared" si="7"/>
        <v>120</v>
      </c>
      <c r="Q342" s="64">
        <f t="shared" si="8"/>
        <v>154.13333333333333</v>
      </c>
      <c r="R342" s="64">
        <f t="shared" si="9"/>
        <v>26.702880859375</v>
      </c>
      <c r="S342" s="64">
        <f t="shared" si="10"/>
        <v>20</v>
      </c>
      <c r="T342" s="64">
        <f t="shared" si="11"/>
        <v>35.964444444444446</v>
      </c>
      <c r="U342" s="64" t="str">
        <f t="shared" si="12"/>
        <v>35-60</v>
      </c>
      <c r="V342" s="64" t="str">
        <f t="shared" si="13"/>
        <v>21-30 Гб</v>
      </c>
    </row>
    <row r="343" spans="1:22" ht="15.75" customHeight="1" x14ac:dyDescent="0.25">
      <c r="A343" s="62" t="s">
        <v>434</v>
      </c>
      <c r="B343" s="56">
        <v>37077</v>
      </c>
      <c r="C343" s="62" t="s">
        <v>83</v>
      </c>
      <c r="D343" s="62" t="s">
        <v>84</v>
      </c>
      <c r="E343" s="62" t="s">
        <v>85</v>
      </c>
      <c r="F343" s="62" t="s">
        <v>89</v>
      </c>
      <c r="G343" s="56">
        <v>44209</v>
      </c>
      <c r="H343" s="62">
        <v>5</v>
      </c>
      <c r="I343" s="62">
        <v>11724</v>
      </c>
      <c r="J343" s="62">
        <v>140000000</v>
      </c>
      <c r="P343" s="63">
        <f t="shared" si="7"/>
        <v>120</v>
      </c>
      <c r="Q343" s="64">
        <f t="shared" si="8"/>
        <v>48.85</v>
      </c>
      <c r="R343" s="64">
        <f t="shared" si="9"/>
        <v>33.37860107421875</v>
      </c>
      <c r="S343" s="64">
        <f t="shared" si="10"/>
        <v>20</v>
      </c>
      <c r="T343" s="64">
        <f t="shared" si="11"/>
        <v>11.398333333333333</v>
      </c>
      <c r="U343" s="64" t="str">
        <f t="shared" si="12"/>
        <v>&lt;35</v>
      </c>
      <c r="V343" s="64" t="str">
        <f t="shared" si="13"/>
        <v>31-40 Гб</v>
      </c>
    </row>
    <row r="344" spans="1:22" ht="15.75" customHeight="1" x14ac:dyDescent="0.25">
      <c r="A344" s="62" t="s">
        <v>435</v>
      </c>
      <c r="B344" s="56">
        <v>37074</v>
      </c>
      <c r="C344" s="62" t="s">
        <v>88</v>
      </c>
      <c r="D344" s="62" t="s">
        <v>84</v>
      </c>
      <c r="E344" s="62" t="s">
        <v>85</v>
      </c>
      <c r="F344" s="62" t="s">
        <v>89</v>
      </c>
      <c r="G344" s="56">
        <v>44050</v>
      </c>
      <c r="H344" s="62">
        <v>5</v>
      </c>
      <c r="I344" s="62">
        <v>17284</v>
      </c>
      <c r="J344" s="62">
        <v>132000000</v>
      </c>
      <c r="P344" s="63">
        <f t="shared" si="7"/>
        <v>120</v>
      </c>
      <c r="Q344" s="64">
        <f t="shared" si="8"/>
        <v>72.016666666666666</v>
      </c>
      <c r="R344" s="64">
        <f t="shared" si="9"/>
        <v>31.47125244140625</v>
      </c>
      <c r="S344" s="64">
        <f t="shared" si="10"/>
        <v>20</v>
      </c>
      <c r="T344" s="64">
        <f t="shared" si="11"/>
        <v>16.803888888888888</v>
      </c>
      <c r="U344" s="64" t="str">
        <f t="shared" si="12"/>
        <v>&lt;35</v>
      </c>
      <c r="V344" s="64" t="str">
        <f t="shared" si="13"/>
        <v>31-40 Гб</v>
      </c>
    </row>
    <row r="345" spans="1:22" ht="15.75" customHeight="1" x14ac:dyDescent="0.25">
      <c r="A345" s="62" t="s">
        <v>436</v>
      </c>
      <c r="B345" s="56">
        <v>37073</v>
      </c>
      <c r="C345" s="62" t="s">
        <v>83</v>
      </c>
      <c r="D345" s="62" t="s">
        <v>84</v>
      </c>
      <c r="E345" s="62" t="s">
        <v>85</v>
      </c>
      <c r="F345" s="62" t="s">
        <v>93</v>
      </c>
      <c r="G345" s="56">
        <v>43936</v>
      </c>
      <c r="H345" s="62">
        <v>5</v>
      </c>
      <c r="I345" s="62">
        <v>22228</v>
      </c>
      <c r="J345" s="62">
        <v>12000000</v>
      </c>
      <c r="P345" s="63">
        <f t="shared" si="7"/>
        <v>120</v>
      </c>
      <c r="Q345" s="64">
        <f t="shared" si="8"/>
        <v>92.61666666666666</v>
      </c>
      <c r="R345" s="64">
        <f t="shared" si="9"/>
        <v>2.86102294921875</v>
      </c>
      <c r="S345" s="64">
        <f t="shared" si="10"/>
        <v>20</v>
      </c>
      <c r="T345" s="64">
        <f t="shared" si="11"/>
        <v>21.610555555555553</v>
      </c>
      <c r="U345" s="64" t="str">
        <f t="shared" si="12"/>
        <v>&lt;35</v>
      </c>
      <c r="V345" s="64" t="str">
        <f t="shared" si="13"/>
        <v>&lt;10 Гб</v>
      </c>
    </row>
    <row r="346" spans="1:22" ht="15.75" customHeight="1" x14ac:dyDescent="0.25">
      <c r="A346" s="62" t="s">
        <v>437</v>
      </c>
      <c r="B346" s="56">
        <v>37071</v>
      </c>
      <c r="C346" s="62" t="s">
        <v>88</v>
      </c>
      <c r="D346" s="62" t="s">
        <v>84</v>
      </c>
      <c r="E346" s="62" t="s">
        <v>85</v>
      </c>
      <c r="F346" s="62" t="s">
        <v>89</v>
      </c>
      <c r="G346" s="56">
        <v>43900</v>
      </c>
      <c r="H346" s="62">
        <v>5</v>
      </c>
      <c r="I346" s="62">
        <v>33900</v>
      </c>
      <c r="J346" s="62">
        <v>144000000</v>
      </c>
      <c r="K346" s="62">
        <v>1</v>
      </c>
      <c r="P346" s="63">
        <f t="shared" si="7"/>
        <v>120</v>
      </c>
      <c r="Q346" s="64">
        <f t="shared" si="8"/>
        <v>141.25</v>
      </c>
      <c r="R346" s="64">
        <f t="shared" si="9"/>
        <v>34.332275390625</v>
      </c>
      <c r="S346" s="64">
        <f t="shared" si="10"/>
        <v>20</v>
      </c>
      <c r="T346" s="64">
        <f t="shared" si="11"/>
        <v>32.958333333333336</v>
      </c>
      <c r="U346" s="64" t="str">
        <f t="shared" si="12"/>
        <v>&lt;35</v>
      </c>
      <c r="V346" s="64" t="str">
        <f t="shared" si="13"/>
        <v>31-40 Гб</v>
      </c>
    </row>
    <row r="347" spans="1:22" ht="15.75" customHeight="1" x14ac:dyDescent="0.25">
      <c r="A347" s="62" t="s">
        <v>438</v>
      </c>
      <c r="B347" s="56">
        <v>37069</v>
      </c>
      <c r="C347" s="62" t="s">
        <v>83</v>
      </c>
      <c r="D347" s="62" t="s">
        <v>84</v>
      </c>
      <c r="E347" s="62" t="s">
        <v>92</v>
      </c>
      <c r="F347" s="62" t="s">
        <v>96</v>
      </c>
      <c r="G347" s="56">
        <v>44054</v>
      </c>
      <c r="H347" s="62">
        <v>5</v>
      </c>
      <c r="I347" s="62">
        <v>7876</v>
      </c>
      <c r="J347" s="62">
        <v>56000000</v>
      </c>
      <c r="K347" s="62">
        <v>1</v>
      </c>
      <c r="P347" s="63">
        <f t="shared" si="7"/>
        <v>120</v>
      </c>
      <c r="Q347" s="64">
        <f t="shared" si="8"/>
        <v>32.81666666666667</v>
      </c>
      <c r="R347" s="64">
        <f t="shared" si="9"/>
        <v>13.3514404296875</v>
      </c>
      <c r="S347" s="64">
        <f t="shared" si="10"/>
        <v>20</v>
      </c>
      <c r="T347" s="64">
        <f t="shared" si="11"/>
        <v>7.6572222222222228</v>
      </c>
      <c r="U347" s="64" t="str">
        <f t="shared" si="12"/>
        <v>&lt;35</v>
      </c>
      <c r="V347" s="64" t="str">
        <f t="shared" si="13"/>
        <v>10-20 Гб</v>
      </c>
    </row>
    <row r="348" spans="1:22" ht="15.75" customHeight="1" x14ac:dyDescent="0.25">
      <c r="A348" s="62" t="s">
        <v>439</v>
      </c>
      <c r="B348" s="56">
        <v>37069</v>
      </c>
      <c r="C348" s="62" t="s">
        <v>88</v>
      </c>
      <c r="D348" s="62" t="s">
        <v>84</v>
      </c>
      <c r="E348" s="62" t="s">
        <v>85</v>
      </c>
      <c r="F348" s="62" t="s">
        <v>89</v>
      </c>
      <c r="G348" s="56">
        <v>43440</v>
      </c>
      <c r="H348" s="62">
        <v>5</v>
      </c>
      <c r="I348" s="62">
        <v>22372</v>
      </c>
      <c r="J348" s="62">
        <v>124000000</v>
      </c>
      <c r="P348" s="63">
        <f t="shared" si="7"/>
        <v>120</v>
      </c>
      <c r="Q348" s="64">
        <f t="shared" si="8"/>
        <v>93.216666666666669</v>
      </c>
      <c r="R348" s="64">
        <f t="shared" si="9"/>
        <v>29.56390380859375</v>
      </c>
      <c r="S348" s="64">
        <f t="shared" si="10"/>
        <v>20</v>
      </c>
      <c r="T348" s="64">
        <f t="shared" si="11"/>
        <v>21.750555555555554</v>
      </c>
      <c r="U348" s="64" t="str">
        <f t="shared" si="12"/>
        <v>&lt;35</v>
      </c>
      <c r="V348" s="64" t="str">
        <f t="shared" si="13"/>
        <v>21-30 Гб</v>
      </c>
    </row>
    <row r="349" spans="1:22" ht="15.75" customHeight="1" x14ac:dyDescent="0.25">
      <c r="A349" s="62" t="s">
        <v>440</v>
      </c>
      <c r="B349" s="56">
        <v>37067</v>
      </c>
      <c r="C349" s="62" t="s">
        <v>83</v>
      </c>
      <c r="D349" s="62" t="s">
        <v>84</v>
      </c>
      <c r="E349" s="62" t="s">
        <v>85</v>
      </c>
      <c r="F349" s="62" t="s">
        <v>96</v>
      </c>
      <c r="G349" s="56">
        <v>43557</v>
      </c>
      <c r="H349" s="62">
        <v>5</v>
      </c>
      <c r="I349" s="62">
        <v>40308</v>
      </c>
      <c r="J349" s="62">
        <v>88000000</v>
      </c>
      <c r="P349" s="63">
        <f t="shared" si="7"/>
        <v>120</v>
      </c>
      <c r="Q349" s="64">
        <f t="shared" si="8"/>
        <v>167.95</v>
      </c>
      <c r="R349" s="64">
        <f t="shared" si="9"/>
        <v>20.9808349609375</v>
      </c>
      <c r="S349" s="64">
        <f t="shared" si="10"/>
        <v>20</v>
      </c>
      <c r="T349" s="64">
        <f t="shared" si="11"/>
        <v>39.188333333333325</v>
      </c>
      <c r="U349" s="64" t="str">
        <f t="shared" si="12"/>
        <v>35-60</v>
      </c>
      <c r="V349" s="64" t="str">
        <f t="shared" si="13"/>
        <v>21-30 Гб</v>
      </c>
    </row>
    <row r="350" spans="1:22" ht="15.75" customHeight="1" x14ac:dyDescent="0.25">
      <c r="A350" s="62" t="s">
        <v>441</v>
      </c>
      <c r="B350" s="56">
        <v>37066</v>
      </c>
      <c r="C350" s="62" t="s">
        <v>88</v>
      </c>
      <c r="D350" s="62" t="s">
        <v>84</v>
      </c>
      <c r="E350" s="62" t="s">
        <v>85</v>
      </c>
      <c r="F350" s="62" t="s">
        <v>89</v>
      </c>
      <c r="G350" s="56">
        <v>43411</v>
      </c>
      <c r="H350" s="62">
        <v>5</v>
      </c>
      <c r="I350" s="62">
        <v>24420</v>
      </c>
      <c r="J350" s="62">
        <v>144000000</v>
      </c>
      <c r="L350" s="62">
        <v>1</v>
      </c>
      <c r="P350" s="63">
        <f t="shared" si="7"/>
        <v>120</v>
      </c>
      <c r="Q350" s="64">
        <f t="shared" si="8"/>
        <v>101.75</v>
      </c>
      <c r="R350" s="64">
        <f t="shared" si="9"/>
        <v>34.332275390625</v>
      </c>
      <c r="S350" s="64">
        <f t="shared" si="10"/>
        <v>20</v>
      </c>
      <c r="T350" s="64">
        <f t="shared" si="11"/>
        <v>23.741666666666667</v>
      </c>
      <c r="U350" s="64" t="str">
        <f t="shared" si="12"/>
        <v>&lt;35</v>
      </c>
      <c r="V350" s="64" t="str">
        <f t="shared" si="13"/>
        <v>31-40 Гб</v>
      </c>
    </row>
    <row r="351" spans="1:22" ht="15.75" customHeight="1" x14ac:dyDescent="0.25">
      <c r="A351" s="62" t="s">
        <v>442</v>
      </c>
      <c r="B351" s="56">
        <v>37058</v>
      </c>
      <c r="C351" s="62" t="s">
        <v>83</v>
      </c>
      <c r="D351" s="62" t="s">
        <v>84</v>
      </c>
      <c r="E351" s="62" t="s">
        <v>92</v>
      </c>
      <c r="F351" s="62" t="s">
        <v>89</v>
      </c>
      <c r="G351" s="56">
        <v>43774</v>
      </c>
      <c r="H351" s="62">
        <v>5</v>
      </c>
      <c r="I351" s="62">
        <v>15188</v>
      </c>
      <c r="J351" s="62">
        <v>144000000</v>
      </c>
      <c r="K351" s="62">
        <v>1</v>
      </c>
      <c r="P351" s="63">
        <f t="shared" si="7"/>
        <v>120</v>
      </c>
      <c r="Q351" s="64">
        <f t="shared" si="8"/>
        <v>63.283333333333324</v>
      </c>
      <c r="R351" s="64">
        <f t="shared" si="9"/>
        <v>34.332275390625</v>
      </c>
      <c r="S351" s="64">
        <f t="shared" si="10"/>
        <v>20</v>
      </c>
      <c r="T351" s="64">
        <f t="shared" si="11"/>
        <v>14.76611111111111</v>
      </c>
      <c r="U351" s="64" t="str">
        <f t="shared" si="12"/>
        <v>&lt;35</v>
      </c>
      <c r="V351" s="64" t="str">
        <f t="shared" si="13"/>
        <v>31-40 Гб</v>
      </c>
    </row>
    <row r="352" spans="1:22" ht="15.75" customHeight="1" x14ac:dyDescent="0.25">
      <c r="A352" s="62" t="s">
        <v>443</v>
      </c>
      <c r="B352" s="56">
        <v>37056</v>
      </c>
      <c r="C352" s="62" t="s">
        <v>88</v>
      </c>
      <c r="D352" s="62" t="s">
        <v>84</v>
      </c>
      <c r="E352" s="62" t="s">
        <v>85</v>
      </c>
      <c r="F352" s="62" t="s">
        <v>100</v>
      </c>
      <c r="G352" s="56">
        <v>43806</v>
      </c>
      <c r="H352" s="62">
        <v>5</v>
      </c>
      <c r="I352" s="62">
        <v>23576</v>
      </c>
      <c r="J352" s="62">
        <v>116000000</v>
      </c>
      <c r="P352" s="63">
        <f t="shared" si="7"/>
        <v>120</v>
      </c>
      <c r="Q352" s="64">
        <f t="shared" si="8"/>
        <v>98.233333333333334</v>
      </c>
      <c r="R352" s="64">
        <f t="shared" si="9"/>
        <v>27.65655517578125</v>
      </c>
      <c r="S352" s="64">
        <f t="shared" si="10"/>
        <v>20</v>
      </c>
      <c r="T352" s="64">
        <f t="shared" si="11"/>
        <v>22.921111111111109</v>
      </c>
      <c r="U352" s="64" t="str">
        <f t="shared" si="12"/>
        <v>&lt;35</v>
      </c>
      <c r="V352" s="64" t="str">
        <f t="shared" si="13"/>
        <v>21-30 Гб</v>
      </c>
    </row>
    <row r="353" spans="1:22" ht="15.75" customHeight="1" x14ac:dyDescent="0.25">
      <c r="A353" s="62" t="s">
        <v>444</v>
      </c>
      <c r="B353" s="56">
        <v>37055</v>
      </c>
      <c r="C353" s="62" t="s">
        <v>83</v>
      </c>
      <c r="D353" s="62" t="s">
        <v>84</v>
      </c>
      <c r="E353" s="62" t="s">
        <v>92</v>
      </c>
      <c r="F353" s="62" t="s">
        <v>89</v>
      </c>
      <c r="G353" s="56">
        <v>43896</v>
      </c>
      <c r="H353" s="62">
        <v>5</v>
      </c>
      <c r="I353" s="62">
        <v>4772</v>
      </c>
      <c r="J353" s="62">
        <v>52000000</v>
      </c>
      <c r="P353" s="63">
        <f t="shared" si="7"/>
        <v>120</v>
      </c>
      <c r="Q353" s="64">
        <f t="shared" si="8"/>
        <v>19.883333333333333</v>
      </c>
      <c r="R353" s="64">
        <f t="shared" si="9"/>
        <v>12.39776611328125</v>
      </c>
      <c r="S353" s="64">
        <f t="shared" si="10"/>
        <v>20</v>
      </c>
      <c r="T353" s="64">
        <f t="shared" si="11"/>
        <v>4.6394444444444449</v>
      </c>
      <c r="U353" s="64" t="str">
        <f t="shared" si="12"/>
        <v>&lt;35</v>
      </c>
      <c r="V353" s="64" t="str">
        <f t="shared" si="13"/>
        <v>10-20 Гб</v>
      </c>
    </row>
    <row r="354" spans="1:22" ht="15.75" customHeight="1" x14ac:dyDescent="0.25">
      <c r="A354" s="62" t="s">
        <v>445</v>
      </c>
      <c r="B354" s="56">
        <v>37049</v>
      </c>
      <c r="C354" s="62" t="s">
        <v>83</v>
      </c>
      <c r="D354" s="62" t="s">
        <v>84</v>
      </c>
      <c r="E354" s="62" t="s">
        <v>85</v>
      </c>
      <c r="F354" s="62" t="s">
        <v>100</v>
      </c>
      <c r="G354" s="56">
        <v>42950</v>
      </c>
      <c r="H354" s="62">
        <v>5</v>
      </c>
      <c r="I354" s="62">
        <v>75644</v>
      </c>
      <c r="J354" s="62">
        <v>116000000</v>
      </c>
      <c r="P354" s="63">
        <f t="shared" si="7"/>
        <v>120</v>
      </c>
      <c r="Q354" s="64">
        <f t="shared" si="8"/>
        <v>315.18333333333334</v>
      </c>
      <c r="R354" s="64">
        <f t="shared" si="9"/>
        <v>27.65655517578125</v>
      </c>
      <c r="S354" s="64">
        <f t="shared" si="10"/>
        <v>20</v>
      </c>
      <c r="T354" s="64">
        <f t="shared" si="11"/>
        <v>73.542777777777772</v>
      </c>
      <c r="U354" s="64" t="str">
        <f t="shared" si="12"/>
        <v>61-90</v>
      </c>
      <c r="V354" s="64" t="str">
        <f t="shared" si="13"/>
        <v>21-30 Гб</v>
      </c>
    </row>
    <row r="355" spans="1:22" ht="15.75" customHeight="1" x14ac:dyDescent="0.25">
      <c r="A355" s="62" t="s">
        <v>446</v>
      </c>
      <c r="B355" s="56">
        <v>37040</v>
      </c>
      <c r="C355" s="62" t="s">
        <v>88</v>
      </c>
      <c r="D355" s="62" t="s">
        <v>84</v>
      </c>
      <c r="E355" s="62" t="s">
        <v>92</v>
      </c>
      <c r="F355" s="62" t="s">
        <v>89</v>
      </c>
      <c r="G355" s="56">
        <v>43316</v>
      </c>
      <c r="H355" s="62">
        <v>5</v>
      </c>
      <c r="I355" s="62">
        <v>12228</v>
      </c>
      <c r="J355" s="62">
        <v>136000000</v>
      </c>
      <c r="P355" s="63">
        <f t="shared" si="7"/>
        <v>120</v>
      </c>
      <c r="Q355" s="64">
        <f t="shared" si="8"/>
        <v>50.95</v>
      </c>
      <c r="R355" s="64">
        <f t="shared" si="9"/>
        <v>32.4249267578125</v>
      </c>
      <c r="S355" s="64">
        <f t="shared" si="10"/>
        <v>20</v>
      </c>
      <c r="T355" s="64">
        <f t="shared" si="11"/>
        <v>11.888333333333334</v>
      </c>
      <c r="U355" s="64" t="str">
        <f t="shared" si="12"/>
        <v>&lt;35</v>
      </c>
      <c r="V355" s="64" t="str">
        <f t="shared" si="13"/>
        <v>31-40 Гб</v>
      </c>
    </row>
    <row r="356" spans="1:22" ht="15.75" customHeight="1" x14ac:dyDescent="0.25">
      <c r="A356" s="62" t="s">
        <v>447</v>
      </c>
      <c r="B356" s="56">
        <v>37031</v>
      </c>
      <c r="C356" s="62" t="s">
        <v>83</v>
      </c>
      <c r="D356" s="62" t="s">
        <v>84</v>
      </c>
      <c r="E356" s="62" t="s">
        <v>85</v>
      </c>
      <c r="F356" s="62" t="s">
        <v>96</v>
      </c>
      <c r="G356" s="56">
        <v>44452</v>
      </c>
      <c r="H356" s="62">
        <v>5</v>
      </c>
      <c r="I356" s="62">
        <v>60972</v>
      </c>
      <c r="J356" s="62">
        <v>72000000</v>
      </c>
      <c r="K356" s="62">
        <v>1</v>
      </c>
      <c r="M356" s="62">
        <v>1</v>
      </c>
      <c r="P356" s="63">
        <f t="shared" si="7"/>
        <v>120</v>
      </c>
      <c r="Q356" s="64">
        <f t="shared" si="8"/>
        <v>254.05</v>
      </c>
      <c r="R356" s="64">
        <f t="shared" si="9"/>
        <v>17.1661376953125</v>
      </c>
      <c r="S356" s="64">
        <f t="shared" si="10"/>
        <v>20</v>
      </c>
      <c r="T356" s="64">
        <f t="shared" si="11"/>
        <v>59.278333333333336</v>
      </c>
      <c r="U356" s="64" t="str">
        <f t="shared" si="12"/>
        <v>35-60</v>
      </c>
      <c r="V356" s="64" t="str">
        <f t="shared" si="13"/>
        <v>10-20 Гб</v>
      </c>
    </row>
    <row r="357" spans="1:22" ht="15.75" customHeight="1" x14ac:dyDescent="0.25">
      <c r="A357" s="62" t="s">
        <v>448</v>
      </c>
      <c r="B357" s="56">
        <v>37028</v>
      </c>
      <c r="C357" s="62" t="s">
        <v>83</v>
      </c>
      <c r="D357" s="62" t="s">
        <v>84</v>
      </c>
      <c r="E357" s="62" t="s">
        <v>85</v>
      </c>
      <c r="F357" s="62" t="s">
        <v>100</v>
      </c>
      <c r="G357" s="56">
        <v>44127</v>
      </c>
      <c r="H357" s="62">
        <v>5</v>
      </c>
      <c r="I357" s="62">
        <v>40960</v>
      </c>
      <c r="J357" s="62">
        <v>136000000</v>
      </c>
      <c r="K357" s="62">
        <v>1</v>
      </c>
      <c r="P357" s="63">
        <f t="shared" si="7"/>
        <v>120</v>
      </c>
      <c r="Q357" s="64">
        <f t="shared" si="8"/>
        <v>170.66666666666666</v>
      </c>
      <c r="R357" s="64">
        <f t="shared" si="9"/>
        <v>32.4249267578125</v>
      </c>
      <c r="S357" s="64">
        <f t="shared" si="10"/>
        <v>20</v>
      </c>
      <c r="T357" s="64">
        <f t="shared" si="11"/>
        <v>39.822222222222216</v>
      </c>
      <c r="U357" s="64" t="str">
        <f t="shared" si="12"/>
        <v>35-60</v>
      </c>
      <c r="V357" s="64" t="str">
        <f t="shared" si="13"/>
        <v>31-40 Гб</v>
      </c>
    </row>
    <row r="358" spans="1:22" ht="15.75" customHeight="1" x14ac:dyDescent="0.25">
      <c r="A358" s="62" t="s">
        <v>449</v>
      </c>
      <c r="B358" s="56">
        <v>37028</v>
      </c>
      <c r="C358" s="62" t="s">
        <v>83</v>
      </c>
      <c r="D358" s="62" t="s">
        <v>84</v>
      </c>
      <c r="E358" s="62" t="s">
        <v>85</v>
      </c>
      <c r="F358" s="62" t="s">
        <v>93</v>
      </c>
      <c r="G358" s="56">
        <v>43608</v>
      </c>
      <c r="H358" s="62">
        <v>5</v>
      </c>
      <c r="I358" s="62">
        <v>34636</v>
      </c>
      <c r="J358" s="62">
        <v>16000000</v>
      </c>
      <c r="P358" s="63">
        <f t="shared" si="7"/>
        <v>120</v>
      </c>
      <c r="Q358" s="64">
        <f t="shared" si="8"/>
        <v>144.31666666666666</v>
      </c>
      <c r="R358" s="64">
        <f t="shared" si="9"/>
        <v>3.8146972656250004</v>
      </c>
      <c r="S358" s="64">
        <f t="shared" si="10"/>
        <v>20</v>
      </c>
      <c r="T358" s="64">
        <f t="shared" si="11"/>
        <v>33.673888888888889</v>
      </c>
      <c r="U358" s="64" t="str">
        <f t="shared" si="12"/>
        <v>&lt;35</v>
      </c>
      <c r="V358" s="64" t="str">
        <f t="shared" si="13"/>
        <v>&lt;10 Гб</v>
      </c>
    </row>
    <row r="359" spans="1:22" ht="15.75" customHeight="1" x14ac:dyDescent="0.25">
      <c r="A359" s="62" t="s">
        <v>450</v>
      </c>
      <c r="B359" s="56">
        <v>37027</v>
      </c>
      <c r="C359" s="62" t="s">
        <v>88</v>
      </c>
      <c r="D359" s="62" t="s">
        <v>84</v>
      </c>
      <c r="E359" s="62" t="s">
        <v>92</v>
      </c>
      <c r="F359" s="62" t="s">
        <v>100</v>
      </c>
      <c r="G359" s="56">
        <v>44447</v>
      </c>
      <c r="H359" s="62">
        <v>5</v>
      </c>
      <c r="I359" s="62">
        <v>74232</v>
      </c>
      <c r="J359" s="62">
        <v>28000000</v>
      </c>
      <c r="L359" s="62">
        <v>1</v>
      </c>
      <c r="M359" s="62">
        <v>1</v>
      </c>
      <c r="P359" s="63">
        <f t="shared" si="7"/>
        <v>120</v>
      </c>
      <c r="Q359" s="64">
        <f t="shared" si="8"/>
        <v>309.3</v>
      </c>
      <c r="R359" s="64">
        <f t="shared" si="9"/>
        <v>6.67572021484375</v>
      </c>
      <c r="S359" s="64">
        <f t="shared" si="10"/>
        <v>20</v>
      </c>
      <c r="T359" s="64">
        <f t="shared" si="11"/>
        <v>72.17</v>
      </c>
      <c r="U359" s="64" t="str">
        <f t="shared" si="12"/>
        <v>61-90</v>
      </c>
      <c r="V359" s="64" t="str">
        <f t="shared" si="13"/>
        <v>&lt;10 Гб</v>
      </c>
    </row>
    <row r="360" spans="1:22" ht="15.75" customHeight="1" x14ac:dyDescent="0.25">
      <c r="A360" s="62" t="s">
        <v>451</v>
      </c>
      <c r="B360" s="56">
        <v>37027</v>
      </c>
      <c r="C360" s="62" t="s">
        <v>88</v>
      </c>
      <c r="D360" s="62" t="s">
        <v>84</v>
      </c>
      <c r="E360" s="62" t="s">
        <v>92</v>
      </c>
      <c r="F360" s="62" t="s">
        <v>89</v>
      </c>
      <c r="G360" s="56">
        <v>44000</v>
      </c>
      <c r="H360" s="62">
        <v>5</v>
      </c>
      <c r="I360" s="62">
        <v>27340</v>
      </c>
      <c r="J360" s="62">
        <v>156000000</v>
      </c>
      <c r="P360" s="63">
        <f t="shared" si="7"/>
        <v>120</v>
      </c>
      <c r="Q360" s="64">
        <f t="shared" si="8"/>
        <v>113.91666666666667</v>
      </c>
      <c r="R360" s="64">
        <f t="shared" si="9"/>
        <v>37.19329833984375</v>
      </c>
      <c r="S360" s="64">
        <f t="shared" si="10"/>
        <v>20</v>
      </c>
      <c r="T360" s="64">
        <f t="shared" si="11"/>
        <v>26.580555555555559</v>
      </c>
      <c r="U360" s="64" t="str">
        <f t="shared" si="12"/>
        <v>&lt;35</v>
      </c>
      <c r="V360" s="64" t="str">
        <f t="shared" si="13"/>
        <v>31-40 Гб</v>
      </c>
    </row>
    <row r="361" spans="1:22" ht="15.75" customHeight="1" x14ac:dyDescent="0.25">
      <c r="A361" s="62" t="s">
        <v>452</v>
      </c>
      <c r="B361" s="56">
        <v>37026</v>
      </c>
      <c r="C361" s="62" t="s">
        <v>88</v>
      </c>
      <c r="D361" s="62" t="s">
        <v>84</v>
      </c>
      <c r="E361" s="62" t="s">
        <v>92</v>
      </c>
      <c r="F361" s="62" t="s">
        <v>96</v>
      </c>
      <c r="G361" s="56">
        <v>44086</v>
      </c>
      <c r="H361" s="62">
        <v>5</v>
      </c>
      <c r="I361" s="62">
        <v>5048</v>
      </c>
      <c r="J361" s="62">
        <v>84000000</v>
      </c>
      <c r="N361" s="62">
        <v>1</v>
      </c>
      <c r="P361" s="63">
        <f t="shared" si="7"/>
        <v>120</v>
      </c>
      <c r="Q361" s="64">
        <f t="shared" si="8"/>
        <v>21.033333333333335</v>
      </c>
      <c r="R361" s="64">
        <f t="shared" si="9"/>
        <v>20.02716064453125</v>
      </c>
      <c r="S361" s="64">
        <f t="shared" si="10"/>
        <v>20</v>
      </c>
      <c r="T361" s="64">
        <f t="shared" si="11"/>
        <v>4.9077777777777785</v>
      </c>
      <c r="U361" s="64" t="str">
        <f t="shared" si="12"/>
        <v>&lt;35</v>
      </c>
      <c r="V361" s="64" t="str">
        <f t="shared" si="13"/>
        <v>21-30 Гб</v>
      </c>
    </row>
    <row r="362" spans="1:22" ht="15.75" customHeight="1" x14ac:dyDescent="0.25">
      <c r="A362" s="62" t="s">
        <v>453</v>
      </c>
      <c r="B362" s="56">
        <v>37023</v>
      </c>
      <c r="C362" s="62" t="s">
        <v>83</v>
      </c>
      <c r="D362" s="62" t="s">
        <v>84</v>
      </c>
      <c r="E362" s="62" t="s">
        <v>92</v>
      </c>
      <c r="F362" s="62" t="s">
        <v>89</v>
      </c>
      <c r="G362" s="56">
        <v>44511</v>
      </c>
      <c r="H362" s="62">
        <v>5</v>
      </c>
      <c r="I362" s="62">
        <v>33716</v>
      </c>
      <c r="J362" s="62">
        <v>120000000</v>
      </c>
      <c r="P362" s="63">
        <f t="shared" si="7"/>
        <v>120</v>
      </c>
      <c r="Q362" s="64">
        <f t="shared" si="8"/>
        <v>140.48333333333332</v>
      </c>
      <c r="R362" s="64">
        <f t="shared" si="9"/>
        <v>28.6102294921875</v>
      </c>
      <c r="S362" s="64">
        <f t="shared" si="10"/>
        <v>20</v>
      </c>
      <c r="T362" s="64">
        <f t="shared" si="11"/>
        <v>32.779444444444444</v>
      </c>
      <c r="U362" s="64" t="str">
        <f t="shared" si="12"/>
        <v>&lt;35</v>
      </c>
      <c r="V362" s="64" t="str">
        <f t="shared" si="13"/>
        <v>21-30 Гб</v>
      </c>
    </row>
    <row r="363" spans="1:22" ht="15.75" customHeight="1" x14ac:dyDescent="0.25">
      <c r="A363" s="62" t="s">
        <v>454</v>
      </c>
      <c r="B363" s="56">
        <v>37019</v>
      </c>
      <c r="C363" s="62" t="s">
        <v>83</v>
      </c>
      <c r="D363" s="62" t="s">
        <v>84</v>
      </c>
      <c r="E363" s="62" t="s">
        <v>92</v>
      </c>
      <c r="F363" s="62" t="s">
        <v>89</v>
      </c>
      <c r="G363" s="56">
        <v>44039</v>
      </c>
      <c r="H363" s="62">
        <v>5</v>
      </c>
      <c r="I363" s="62">
        <v>22740</v>
      </c>
      <c r="J363" s="62">
        <v>44000000</v>
      </c>
      <c r="K363" s="62">
        <v>1</v>
      </c>
      <c r="P363" s="63">
        <f t="shared" si="7"/>
        <v>120</v>
      </c>
      <c r="Q363" s="64">
        <f t="shared" si="8"/>
        <v>94.75</v>
      </c>
      <c r="R363" s="64">
        <f t="shared" si="9"/>
        <v>10.49041748046875</v>
      </c>
      <c r="S363" s="64">
        <f t="shared" si="10"/>
        <v>20</v>
      </c>
      <c r="T363" s="64">
        <f t="shared" si="11"/>
        <v>22.108333333333334</v>
      </c>
      <c r="U363" s="64" t="str">
        <f t="shared" si="12"/>
        <v>&lt;35</v>
      </c>
      <c r="V363" s="64" t="str">
        <f t="shared" si="13"/>
        <v>10-20 Гб</v>
      </c>
    </row>
    <row r="364" spans="1:22" ht="15.75" customHeight="1" x14ac:dyDescent="0.25">
      <c r="A364" s="62" t="s">
        <v>455</v>
      </c>
      <c r="B364" s="56">
        <v>37019</v>
      </c>
      <c r="C364" s="62" t="s">
        <v>88</v>
      </c>
      <c r="D364" s="62" t="s">
        <v>84</v>
      </c>
      <c r="E364" s="62" t="s">
        <v>92</v>
      </c>
      <c r="F364" s="62" t="s">
        <v>89</v>
      </c>
      <c r="G364" s="56">
        <v>43563</v>
      </c>
      <c r="H364" s="62">
        <v>5</v>
      </c>
      <c r="I364" s="62">
        <v>23132</v>
      </c>
      <c r="J364" s="62">
        <v>136000000</v>
      </c>
      <c r="P364" s="63">
        <f t="shared" si="7"/>
        <v>120</v>
      </c>
      <c r="Q364" s="64">
        <f t="shared" si="8"/>
        <v>96.38333333333334</v>
      </c>
      <c r="R364" s="64">
        <f t="shared" si="9"/>
        <v>32.4249267578125</v>
      </c>
      <c r="S364" s="64">
        <f t="shared" si="10"/>
        <v>20</v>
      </c>
      <c r="T364" s="64">
        <f t="shared" si="11"/>
        <v>22.489444444444448</v>
      </c>
      <c r="U364" s="64" t="str">
        <f t="shared" si="12"/>
        <v>&lt;35</v>
      </c>
      <c r="V364" s="64" t="str">
        <f t="shared" si="13"/>
        <v>31-40 Гб</v>
      </c>
    </row>
    <row r="365" spans="1:22" ht="15.75" customHeight="1" x14ac:dyDescent="0.25">
      <c r="A365" s="62" t="s">
        <v>456</v>
      </c>
      <c r="B365" s="56">
        <v>37015</v>
      </c>
      <c r="C365" s="62" t="s">
        <v>88</v>
      </c>
      <c r="D365" s="62" t="s">
        <v>84</v>
      </c>
      <c r="E365" s="62" t="s">
        <v>92</v>
      </c>
      <c r="F365" s="62" t="s">
        <v>96</v>
      </c>
      <c r="G365" s="56">
        <v>44412</v>
      </c>
      <c r="H365" s="62">
        <v>5</v>
      </c>
      <c r="I365" s="62">
        <v>84112</v>
      </c>
      <c r="J365" s="62">
        <v>8000000</v>
      </c>
      <c r="L365" s="62">
        <v>1</v>
      </c>
      <c r="P365" s="63">
        <f t="shared" si="7"/>
        <v>120</v>
      </c>
      <c r="Q365" s="64">
        <f t="shared" si="8"/>
        <v>350.46666666666664</v>
      </c>
      <c r="R365" s="64">
        <f t="shared" si="9"/>
        <v>1.9073486328125002</v>
      </c>
      <c r="S365" s="64">
        <f t="shared" si="10"/>
        <v>20</v>
      </c>
      <c r="T365" s="64">
        <f t="shared" si="11"/>
        <v>81.775555555555542</v>
      </c>
      <c r="U365" s="64" t="str">
        <f t="shared" si="12"/>
        <v>61-90</v>
      </c>
      <c r="V365" s="64" t="str">
        <f t="shared" si="13"/>
        <v>&lt;10 Гб</v>
      </c>
    </row>
    <row r="366" spans="1:22" ht="15.75" customHeight="1" x14ac:dyDescent="0.25">
      <c r="A366" s="62" t="s">
        <v>457</v>
      </c>
      <c r="B366" s="56">
        <v>37012</v>
      </c>
      <c r="C366" s="62" t="s">
        <v>83</v>
      </c>
      <c r="D366" s="62" t="s">
        <v>84</v>
      </c>
      <c r="E366" s="62" t="s">
        <v>92</v>
      </c>
      <c r="F366" s="62" t="s">
        <v>100</v>
      </c>
      <c r="G366" s="56">
        <v>43790</v>
      </c>
      <c r="H366" s="62">
        <v>5</v>
      </c>
      <c r="I366" s="62">
        <v>83072</v>
      </c>
      <c r="J366" s="62">
        <v>112000000</v>
      </c>
      <c r="P366" s="63">
        <f t="shared" si="7"/>
        <v>120</v>
      </c>
      <c r="Q366" s="64">
        <f t="shared" si="8"/>
        <v>346.13333333333333</v>
      </c>
      <c r="R366" s="64">
        <f t="shared" si="9"/>
        <v>26.702880859375</v>
      </c>
      <c r="S366" s="64">
        <f t="shared" si="10"/>
        <v>21</v>
      </c>
      <c r="T366" s="64">
        <f t="shared" si="11"/>
        <v>80.76444444444445</v>
      </c>
      <c r="U366" s="64" t="str">
        <f t="shared" si="12"/>
        <v>61-90</v>
      </c>
      <c r="V366" s="64" t="str">
        <f t="shared" si="13"/>
        <v>21-30 Гб</v>
      </c>
    </row>
    <row r="367" spans="1:22" ht="15.75" customHeight="1" x14ac:dyDescent="0.25">
      <c r="A367" s="62" t="s">
        <v>458</v>
      </c>
      <c r="B367" s="56">
        <v>37012</v>
      </c>
      <c r="C367" s="62" t="s">
        <v>83</v>
      </c>
      <c r="D367" s="62" t="s">
        <v>84</v>
      </c>
      <c r="E367" s="62" t="s">
        <v>92</v>
      </c>
      <c r="F367" s="62" t="s">
        <v>89</v>
      </c>
      <c r="G367" s="56">
        <v>43374</v>
      </c>
      <c r="H367" s="62">
        <v>5</v>
      </c>
      <c r="I367" s="62">
        <v>21564</v>
      </c>
      <c r="J367" s="62">
        <v>148000000</v>
      </c>
      <c r="P367" s="63">
        <f t="shared" si="7"/>
        <v>120</v>
      </c>
      <c r="Q367" s="64">
        <f t="shared" si="8"/>
        <v>89.85</v>
      </c>
      <c r="R367" s="64">
        <f t="shared" si="9"/>
        <v>35.28594970703125</v>
      </c>
      <c r="S367" s="64">
        <f t="shared" si="10"/>
        <v>21</v>
      </c>
      <c r="T367" s="64">
        <f t="shared" si="11"/>
        <v>20.964999999999996</v>
      </c>
      <c r="U367" s="64" t="str">
        <f t="shared" si="12"/>
        <v>&lt;35</v>
      </c>
      <c r="V367" s="64" t="str">
        <f t="shared" si="13"/>
        <v>31-40 Гб</v>
      </c>
    </row>
    <row r="368" spans="1:22" ht="15.75" customHeight="1" x14ac:dyDescent="0.25">
      <c r="A368" s="62" t="s">
        <v>459</v>
      </c>
      <c r="B368" s="56">
        <v>37010</v>
      </c>
      <c r="C368" s="62" t="s">
        <v>88</v>
      </c>
      <c r="D368" s="62" t="s">
        <v>84</v>
      </c>
      <c r="E368" s="62" t="s">
        <v>85</v>
      </c>
      <c r="F368" s="62" t="s">
        <v>89</v>
      </c>
      <c r="G368" s="56">
        <v>44676</v>
      </c>
      <c r="H368" s="62">
        <v>0</v>
      </c>
      <c r="I368" s="62">
        <v>1243</v>
      </c>
      <c r="J368" s="62">
        <v>7600000</v>
      </c>
      <c r="P368" s="63">
        <f t="shared" si="7"/>
        <v>6</v>
      </c>
      <c r="Q368" s="64">
        <f t="shared" si="8"/>
        <v>103.58333333333333</v>
      </c>
      <c r="R368" s="64">
        <f t="shared" si="9"/>
        <v>36.2396240234375</v>
      </c>
      <c r="S368" s="64">
        <f t="shared" si="10"/>
        <v>21</v>
      </c>
      <c r="T368" s="64">
        <f t="shared" si="11"/>
        <v>24.169444444444441</v>
      </c>
      <c r="U368" s="64" t="str">
        <f t="shared" si="12"/>
        <v>&lt;35</v>
      </c>
      <c r="V368" s="64" t="str">
        <f t="shared" si="13"/>
        <v>31-40 Гб</v>
      </c>
    </row>
    <row r="369" spans="1:22" ht="15.75" customHeight="1" x14ac:dyDescent="0.25">
      <c r="A369" s="62" t="s">
        <v>460</v>
      </c>
      <c r="B369" s="56">
        <v>37009</v>
      </c>
      <c r="C369" s="62" t="s">
        <v>88</v>
      </c>
      <c r="D369" s="62" t="s">
        <v>84</v>
      </c>
      <c r="E369" s="62" t="s">
        <v>85</v>
      </c>
      <c r="F369" s="62" t="s">
        <v>100</v>
      </c>
      <c r="G369" s="56">
        <v>44597</v>
      </c>
      <c r="H369" s="62">
        <v>2</v>
      </c>
      <c r="I369" s="62">
        <v>9813</v>
      </c>
      <c r="J369" s="62">
        <v>79333333</v>
      </c>
      <c r="O369" s="62">
        <v>1</v>
      </c>
      <c r="P369" s="63">
        <f t="shared" si="7"/>
        <v>85</v>
      </c>
      <c r="Q369" s="64">
        <f t="shared" si="8"/>
        <v>57.723529411764709</v>
      </c>
      <c r="R369" s="64">
        <f t="shared" si="9"/>
        <v>26.702880747178021</v>
      </c>
      <c r="S369" s="64">
        <f t="shared" si="10"/>
        <v>21</v>
      </c>
      <c r="T369" s="64">
        <f t="shared" si="11"/>
        <v>13.468823529411765</v>
      </c>
      <c r="U369" s="64" t="str">
        <f t="shared" si="12"/>
        <v>&lt;35</v>
      </c>
      <c r="V369" s="64" t="str">
        <f t="shared" si="13"/>
        <v>21-30 Гб</v>
      </c>
    </row>
    <row r="370" spans="1:22" ht="15.75" customHeight="1" x14ac:dyDescent="0.25">
      <c r="A370" s="62" t="s">
        <v>461</v>
      </c>
      <c r="B370" s="56">
        <v>37003</v>
      </c>
      <c r="C370" s="62" t="s">
        <v>83</v>
      </c>
      <c r="D370" s="62" t="s">
        <v>84</v>
      </c>
      <c r="E370" s="62" t="s">
        <v>85</v>
      </c>
      <c r="F370" s="62" t="s">
        <v>89</v>
      </c>
      <c r="G370" s="56">
        <v>43301</v>
      </c>
      <c r="H370" s="62">
        <v>5</v>
      </c>
      <c r="I370" s="62">
        <v>24184</v>
      </c>
      <c r="J370" s="62">
        <v>156000000</v>
      </c>
      <c r="P370" s="63">
        <f t="shared" si="7"/>
        <v>120</v>
      </c>
      <c r="Q370" s="64">
        <f t="shared" si="8"/>
        <v>100.76666666666667</v>
      </c>
      <c r="R370" s="64">
        <f t="shared" si="9"/>
        <v>37.19329833984375</v>
      </c>
      <c r="S370" s="64">
        <f t="shared" si="10"/>
        <v>21</v>
      </c>
      <c r="T370" s="64">
        <f t="shared" si="11"/>
        <v>23.512222222222224</v>
      </c>
      <c r="U370" s="64" t="str">
        <f t="shared" si="12"/>
        <v>&lt;35</v>
      </c>
      <c r="V370" s="64" t="str">
        <f t="shared" si="13"/>
        <v>31-40 Гб</v>
      </c>
    </row>
    <row r="371" spans="1:22" ht="15.75" customHeight="1" x14ac:dyDescent="0.25">
      <c r="A371" s="62" t="s">
        <v>462</v>
      </c>
      <c r="B371" s="56">
        <v>36999</v>
      </c>
      <c r="C371" s="62" t="s">
        <v>83</v>
      </c>
      <c r="D371" s="62" t="s">
        <v>84</v>
      </c>
      <c r="E371" s="62" t="s">
        <v>92</v>
      </c>
      <c r="F371" s="62" t="s">
        <v>93</v>
      </c>
      <c r="G371" s="56">
        <v>42804</v>
      </c>
      <c r="H371" s="62">
        <v>5</v>
      </c>
      <c r="I371" s="62">
        <v>24408</v>
      </c>
      <c r="J371" s="62">
        <v>8000000</v>
      </c>
      <c r="N371" s="62">
        <v>1</v>
      </c>
      <c r="P371" s="63">
        <f t="shared" si="7"/>
        <v>120</v>
      </c>
      <c r="Q371" s="64">
        <f t="shared" si="8"/>
        <v>101.7</v>
      </c>
      <c r="R371" s="64">
        <f t="shared" si="9"/>
        <v>1.9073486328125002</v>
      </c>
      <c r="S371" s="64">
        <f t="shared" si="10"/>
        <v>21</v>
      </c>
      <c r="T371" s="64">
        <f t="shared" si="11"/>
        <v>23.73</v>
      </c>
      <c r="U371" s="64" t="str">
        <f t="shared" si="12"/>
        <v>&lt;35</v>
      </c>
      <c r="V371" s="64" t="str">
        <f t="shared" si="13"/>
        <v>&lt;10 Гб</v>
      </c>
    </row>
    <row r="372" spans="1:22" ht="15.75" customHeight="1" x14ac:dyDescent="0.25">
      <c r="A372" s="62" t="s">
        <v>463</v>
      </c>
      <c r="B372" s="56">
        <v>36994</v>
      </c>
      <c r="C372" s="62" t="s">
        <v>88</v>
      </c>
      <c r="D372" s="62" t="s">
        <v>84</v>
      </c>
      <c r="E372" s="62" t="s">
        <v>85</v>
      </c>
      <c r="F372" s="62" t="s">
        <v>89</v>
      </c>
      <c r="G372" s="56">
        <v>44600</v>
      </c>
      <c r="H372" s="62">
        <v>2</v>
      </c>
      <c r="I372" s="62">
        <v>24600</v>
      </c>
      <c r="J372" s="62">
        <v>103866667</v>
      </c>
      <c r="K372" s="62">
        <v>1</v>
      </c>
      <c r="P372" s="63">
        <f t="shared" si="7"/>
        <v>82</v>
      </c>
      <c r="Q372" s="64">
        <f t="shared" si="8"/>
        <v>150</v>
      </c>
      <c r="R372" s="64">
        <f t="shared" si="9"/>
        <v>36.239624139739242</v>
      </c>
      <c r="S372" s="64">
        <f t="shared" si="10"/>
        <v>21</v>
      </c>
      <c r="T372" s="64">
        <f t="shared" si="11"/>
        <v>35</v>
      </c>
      <c r="U372" s="64" t="str">
        <f t="shared" si="12"/>
        <v>&lt;35</v>
      </c>
      <c r="V372" s="64" t="str">
        <f t="shared" si="13"/>
        <v>31-40 Гб</v>
      </c>
    </row>
    <row r="373" spans="1:22" ht="15.75" customHeight="1" x14ac:dyDescent="0.25">
      <c r="A373" s="62" t="s">
        <v>464</v>
      </c>
      <c r="B373" s="56">
        <v>36994</v>
      </c>
      <c r="C373" s="62" t="s">
        <v>83</v>
      </c>
      <c r="D373" s="62" t="s">
        <v>84</v>
      </c>
      <c r="E373" s="62" t="s">
        <v>85</v>
      </c>
      <c r="F373" s="62" t="s">
        <v>96</v>
      </c>
      <c r="G373" s="56">
        <v>42884</v>
      </c>
      <c r="H373" s="62">
        <v>5</v>
      </c>
      <c r="I373" s="62">
        <v>80484</v>
      </c>
      <c r="J373" s="62">
        <v>88000000</v>
      </c>
      <c r="P373" s="63">
        <f t="shared" si="7"/>
        <v>120</v>
      </c>
      <c r="Q373" s="64">
        <f t="shared" si="8"/>
        <v>335.35</v>
      </c>
      <c r="R373" s="64">
        <f t="shared" si="9"/>
        <v>20.9808349609375</v>
      </c>
      <c r="S373" s="64">
        <f t="shared" si="10"/>
        <v>21</v>
      </c>
      <c r="T373" s="64">
        <f t="shared" si="11"/>
        <v>78.248333333333349</v>
      </c>
      <c r="U373" s="64" t="str">
        <f t="shared" si="12"/>
        <v>61-90</v>
      </c>
      <c r="V373" s="64" t="str">
        <f t="shared" si="13"/>
        <v>21-30 Гб</v>
      </c>
    </row>
    <row r="374" spans="1:22" ht="15.75" customHeight="1" x14ac:dyDescent="0.25">
      <c r="A374" s="62" t="s">
        <v>465</v>
      </c>
      <c r="B374" s="56">
        <v>36994</v>
      </c>
      <c r="C374" s="62" t="s">
        <v>88</v>
      </c>
      <c r="D374" s="62" t="s">
        <v>84</v>
      </c>
      <c r="E374" s="62" t="s">
        <v>85</v>
      </c>
      <c r="F374" s="62" t="s">
        <v>96</v>
      </c>
      <c r="G374" s="56">
        <v>43868</v>
      </c>
      <c r="H374" s="62">
        <v>5</v>
      </c>
      <c r="I374" s="62">
        <v>84040</v>
      </c>
      <c r="J374" s="62">
        <v>56000000</v>
      </c>
      <c r="P374" s="63">
        <f t="shared" si="7"/>
        <v>120</v>
      </c>
      <c r="Q374" s="64">
        <f t="shared" si="8"/>
        <v>350.16666666666669</v>
      </c>
      <c r="R374" s="64">
        <f t="shared" si="9"/>
        <v>13.3514404296875</v>
      </c>
      <c r="S374" s="64">
        <f t="shared" si="10"/>
        <v>21</v>
      </c>
      <c r="T374" s="64">
        <f t="shared" si="11"/>
        <v>81.705555555555563</v>
      </c>
      <c r="U374" s="64" t="str">
        <f t="shared" si="12"/>
        <v>61-90</v>
      </c>
      <c r="V374" s="64" t="str">
        <f t="shared" si="13"/>
        <v>10-20 Гб</v>
      </c>
    </row>
    <row r="375" spans="1:22" ht="15.75" customHeight="1" x14ac:dyDescent="0.25">
      <c r="A375" s="62" t="s">
        <v>466</v>
      </c>
      <c r="B375" s="56">
        <v>36992</v>
      </c>
      <c r="C375" s="62" t="s">
        <v>83</v>
      </c>
      <c r="D375" s="62" t="s">
        <v>84</v>
      </c>
      <c r="E375" s="62" t="s">
        <v>92</v>
      </c>
      <c r="F375" s="62" t="s">
        <v>96</v>
      </c>
      <c r="G375" s="56">
        <v>44614</v>
      </c>
      <c r="H375" s="62">
        <v>2</v>
      </c>
      <c r="I375" s="62">
        <v>54400</v>
      </c>
      <c r="J375" s="62">
        <v>4533333</v>
      </c>
      <c r="P375" s="63">
        <f t="shared" si="7"/>
        <v>68</v>
      </c>
      <c r="Q375" s="64">
        <f t="shared" si="8"/>
        <v>399.99999999999994</v>
      </c>
      <c r="R375" s="64">
        <f t="shared" si="9"/>
        <v>1.9073484925662771</v>
      </c>
      <c r="S375" s="64">
        <f t="shared" si="10"/>
        <v>21</v>
      </c>
      <c r="T375" s="64">
        <f t="shared" si="11"/>
        <v>93.333333333333314</v>
      </c>
      <c r="U375" s="64" t="str">
        <f t="shared" si="12"/>
        <v>91-120</v>
      </c>
      <c r="V375" s="64" t="str">
        <f t="shared" si="13"/>
        <v>&lt;10 Гб</v>
      </c>
    </row>
    <row r="376" spans="1:22" ht="15.75" customHeight="1" x14ac:dyDescent="0.25">
      <c r="A376" s="62" t="s">
        <v>467</v>
      </c>
      <c r="B376" s="56">
        <v>36988</v>
      </c>
      <c r="C376" s="62" t="s">
        <v>83</v>
      </c>
      <c r="D376" s="62" t="s">
        <v>84</v>
      </c>
      <c r="E376" s="62" t="s">
        <v>92</v>
      </c>
      <c r="F376" s="62" t="s">
        <v>89</v>
      </c>
      <c r="G376" s="56">
        <v>44167</v>
      </c>
      <c r="H376" s="62">
        <v>5</v>
      </c>
      <c r="I376" s="62">
        <v>33520</v>
      </c>
      <c r="J376" s="62">
        <v>52000000</v>
      </c>
      <c r="P376" s="63">
        <f t="shared" si="7"/>
        <v>120</v>
      </c>
      <c r="Q376" s="64">
        <f t="shared" si="8"/>
        <v>139.66666666666666</v>
      </c>
      <c r="R376" s="64">
        <f t="shared" si="9"/>
        <v>12.39776611328125</v>
      </c>
      <c r="S376" s="64">
        <f t="shared" si="10"/>
        <v>21</v>
      </c>
      <c r="T376" s="64">
        <f t="shared" si="11"/>
        <v>32.588888888888889</v>
      </c>
      <c r="U376" s="64" t="str">
        <f t="shared" si="12"/>
        <v>&lt;35</v>
      </c>
      <c r="V376" s="64" t="str">
        <f t="shared" si="13"/>
        <v>10-20 Гб</v>
      </c>
    </row>
    <row r="377" spans="1:22" ht="15.75" customHeight="1" x14ac:dyDescent="0.25">
      <c r="A377" s="62" t="s">
        <v>468</v>
      </c>
      <c r="B377" s="56">
        <v>36986</v>
      </c>
      <c r="C377" s="62" t="s">
        <v>83</v>
      </c>
      <c r="D377" s="62" t="s">
        <v>84</v>
      </c>
      <c r="E377" s="62" t="s">
        <v>92</v>
      </c>
      <c r="F377" s="62" t="s">
        <v>89</v>
      </c>
      <c r="G377" s="56">
        <v>43240</v>
      </c>
      <c r="H377" s="62">
        <v>5</v>
      </c>
      <c r="I377" s="62">
        <v>12896</v>
      </c>
      <c r="J377" s="62">
        <v>108000000</v>
      </c>
      <c r="P377" s="63">
        <f t="shared" si="7"/>
        <v>120</v>
      </c>
      <c r="Q377" s="64">
        <f t="shared" si="8"/>
        <v>53.733333333333334</v>
      </c>
      <c r="R377" s="64">
        <f t="shared" si="9"/>
        <v>25.74920654296875</v>
      </c>
      <c r="S377" s="64">
        <f t="shared" si="10"/>
        <v>21</v>
      </c>
      <c r="T377" s="64">
        <f t="shared" si="11"/>
        <v>12.537777777777778</v>
      </c>
      <c r="U377" s="64" t="str">
        <f t="shared" si="12"/>
        <v>&lt;35</v>
      </c>
      <c r="V377" s="64" t="str">
        <f t="shared" si="13"/>
        <v>21-30 Гб</v>
      </c>
    </row>
    <row r="378" spans="1:22" ht="15.75" customHeight="1" x14ac:dyDescent="0.25">
      <c r="A378" s="62" t="s">
        <v>469</v>
      </c>
      <c r="B378" s="56">
        <v>36983</v>
      </c>
      <c r="C378" s="62" t="s">
        <v>88</v>
      </c>
      <c r="D378" s="62" t="s">
        <v>84</v>
      </c>
      <c r="E378" s="62" t="s">
        <v>85</v>
      </c>
      <c r="F378" s="62" t="s">
        <v>89</v>
      </c>
      <c r="G378" s="56">
        <v>44037</v>
      </c>
      <c r="H378" s="62">
        <v>5</v>
      </c>
      <c r="I378" s="62">
        <v>160</v>
      </c>
      <c r="J378" s="62">
        <v>124000000</v>
      </c>
      <c r="P378" s="63">
        <f t="shared" si="7"/>
        <v>120</v>
      </c>
      <c r="Q378" s="64">
        <f t="shared" si="8"/>
        <v>0.66666666666666663</v>
      </c>
      <c r="R378" s="64">
        <f t="shared" si="9"/>
        <v>29.56390380859375</v>
      </c>
      <c r="S378" s="64">
        <f t="shared" si="10"/>
        <v>21</v>
      </c>
      <c r="T378" s="64">
        <f t="shared" si="11"/>
        <v>0.15555555555555553</v>
      </c>
      <c r="U378" s="64" t="str">
        <f t="shared" si="12"/>
        <v>&lt;35</v>
      </c>
      <c r="V378" s="64" t="str">
        <f t="shared" si="13"/>
        <v>21-30 Гб</v>
      </c>
    </row>
    <row r="379" spans="1:22" ht="15.75" customHeight="1" x14ac:dyDescent="0.25">
      <c r="A379" s="62" t="s">
        <v>470</v>
      </c>
      <c r="B379" s="56">
        <v>36982</v>
      </c>
      <c r="C379" s="62" t="s">
        <v>88</v>
      </c>
      <c r="D379" s="62" t="s">
        <v>84</v>
      </c>
      <c r="E379" s="62" t="s">
        <v>92</v>
      </c>
      <c r="F379" s="62" t="s">
        <v>100</v>
      </c>
      <c r="G379" s="56">
        <v>43698</v>
      </c>
      <c r="H379" s="62">
        <v>5</v>
      </c>
      <c r="I379" s="62">
        <v>95528</v>
      </c>
      <c r="J379" s="62">
        <v>124000000</v>
      </c>
      <c r="P379" s="63">
        <f t="shared" si="7"/>
        <v>120</v>
      </c>
      <c r="Q379" s="64">
        <f t="shared" si="8"/>
        <v>398.03333333333336</v>
      </c>
      <c r="R379" s="64">
        <f t="shared" si="9"/>
        <v>29.56390380859375</v>
      </c>
      <c r="S379" s="64">
        <f t="shared" si="10"/>
        <v>21</v>
      </c>
      <c r="T379" s="64">
        <f t="shared" si="11"/>
        <v>92.87444444444445</v>
      </c>
      <c r="U379" s="64" t="str">
        <f t="shared" si="12"/>
        <v>91-120</v>
      </c>
      <c r="V379" s="64" t="str">
        <f t="shared" si="13"/>
        <v>21-30 Гб</v>
      </c>
    </row>
    <row r="380" spans="1:22" ht="15.75" customHeight="1" x14ac:dyDescent="0.25">
      <c r="A380" s="62" t="s">
        <v>471</v>
      </c>
      <c r="B380" s="56">
        <v>36981</v>
      </c>
      <c r="C380" s="62" t="s">
        <v>88</v>
      </c>
      <c r="D380" s="62" t="s">
        <v>84</v>
      </c>
      <c r="E380" s="62" t="s">
        <v>92</v>
      </c>
      <c r="F380" s="62" t="s">
        <v>96</v>
      </c>
      <c r="G380" s="56">
        <v>42747</v>
      </c>
      <c r="H380" s="62">
        <v>5</v>
      </c>
      <c r="I380" s="62">
        <v>47460</v>
      </c>
      <c r="J380" s="62">
        <v>72000000</v>
      </c>
      <c r="P380" s="63">
        <f t="shared" si="7"/>
        <v>120</v>
      </c>
      <c r="Q380" s="64">
        <f t="shared" si="8"/>
        <v>197.75</v>
      </c>
      <c r="R380" s="64">
        <f t="shared" si="9"/>
        <v>17.1661376953125</v>
      </c>
      <c r="S380" s="64">
        <f t="shared" si="10"/>
        <v>21</v>
      </c>
      <c r="T380" s="64">
        <f t="shared" si="11"/>
        <v>46.141666666666666</v>
      </c>
      <c r="U380" s="64" t="str">
        <f t="shared" si="12"/>
        <v>35-60</v>
      </c>
      <c r="V380" s="64" t="str">
        <f t="shared" si="13"/>
        <v>10-20 Гб</v>
      </c>
    </row>
    <row r="381" spans="1:22" ht="15.75" customHeight="1" x14ac:dyDescent="0.25">
      <c r="A381" s="62" t="s">
        <v>472</v>
      </c>
      <c r="B381" s="56">
        <v>36981</v>
      </c>
      <c r="C381" s="62" t="s">
        <v>88</v>
      </c>
      <c r="D381" s="62" t="s">
        <v>84</v>
      </c>
      <c r="E381" s="62" t="s">
        <v>85</v>
      </c>
      <c r="F381" s="62" t="s">
        <v>89</v>
      </c>
      <c r="G381" s="56">
        <v>43348</v>
      </c>
      <c r="H381" s="62">
        <v>5</v>
      </c>
      <c r="I381" s="62">
        <v>3388</v>
      </c>
      <c r="J381" s="62">
        <v>160000000</v>
      </c>
      <c r="P381" s="63">
        <f t="shared" si="7"/>
        <v>120</v>
      </c>
      <c r="Q381" s="64">
        <f t="shared" si="8"/>
        <v>14.116666666666667</v>
      </c>
      <c r="R381" s="64">
        <f t="shared" si="9"/>
        <v>38.14697265625</v>
      </c>
      <c r="S381" s="64">
        <f t="shared" si="10"/>
        <v>21</v>
      </c>
      <c r="T381" s="64">
        <f t="shared" si="11"/>
        <v>3.2938888888888886</v>
      </c>
      <c r="U381" s="64" t="str">
        <f t="shared" si="12"/>
        <v>&lt;35</v>
      </c>
      <c r="V381" s="64" t="str">
        <f t="shared" si="13"/>
        <v>31-40 Гб</v>
      </c>
    </row>
    <row r="382" spans="1:22" ht="15.75" customHeight="1" x14ac:dyDescent="0.25">
      <c r="A382" s="62" t="s">
        <v>473</v>
      </c>
      <c r="B382" s="56">
        <v>36980</v>
      </c>
      <c r="C382" s="62" t="s">
        <v>83</v>
      </c>
      <c r="D382" s="62" t="s">
        <v>84</v>
      </c>
      <c r="E382" s="62" t="s">
        <v>92</v>
      </c>
      <c r="F382" s="62" t="s">
        <v>86</v>
      </c>
      <c r="G382" s="56">
        <v>44194</v>
      </c>
      <c r="H382" s="62">
        <v>5</v>
      </c>
      <c r="I382" s="62">
        <v>147000</v>
      </c>
      <c r="J382" s="62">
        <v>44000000</v>
      </c>
      <c r="P382" s="63">
        <f t="shared" si="7"/>
        <v>120</v>
      </c>
      <c r="Q382" s="64">
        <f t="shared" si="8"/>
        <v>612.5</v>
      </c>
      <c r="R382" s="64">
        <f t="shared" si="9"/>
        <v>10.49041748046875</v>
      </c>
      <c r="S382" s="64">
        <f t="shared" si="10"/>
        <v>21</v>
      </c>
      <c r="T382" s="64">
        <f t="shared" si="11"/>
        <v>142.91666666666666</v>
      </c>
      <c r="U382" s="64" t="str">
        <f t="shared" si="12"/>
        <v>120+</v>
      </c>
      <c r="V382" s="64" t="str">
        <f t="shared" si="13"/>
        <v>10-20 Гб</v>
      </c>
    </row>
    <row r="383" spans="1:22" ht="15.75" customHeight="1" x14ac:dyDescent="0.25">
      <c r="A383" s="62" t="s">
        <v>474</v>
      </c>
      <c r="B383" s="56">
        <v>36978</v>
      </c>
      <c r="C383" s="62" t="s">
        <v>83</v>
      </c>
      <c r="D383" s="62" t="s">
        <v>84</v>
      </c>
      <c r="E383" s="62" t="s">
        <v>85</v>
      </c>
      <c r="F383" s="62" t="s">
        <v>89</v>
      </c>
      <c r="G383" s="56">
        <v>44560</v>
      </c>
      <c r="H383" s="62">
        <v>4</v>
      </c>
      <c r="I383" s="62">
        <v>35400</v>
      </c>
      <c r="J383" s="62">
        <v>160000000</v>
      </c>
      <c r="K383" s="62">
        <v>1</v>
      </c>
      <c r="P383" s="63">
        <f t="shared" si="7"/>
        <v>120</v>
      </c>
      <c r="Q383" s="64">
        <f t="shared" si="8"/>
        <v>147.5</v>
      </c>
      <c r="R383" s="64">
        <f t="shared" si="9"/>
        <v>38.14697265625</v>
      </c>
      <c r="S383" s="64">
        <f t="shared" si="10"/>
        <v>21</v>
      </c>
      <c r="T383" s="64">
        <f t="shared" si="11"/>
        <v>34.416666666666664</v>
      </c>
      <c r="U383" s="64" t="str">
        <f t="shared" si="12"/>
        <v>&lt;35</v>
      </c>
      <c r="V383" s="64" t="str">
        <f t="shared" si="13"/>
        <v>31-40 Гб</v>
      </c>
    </row>
    <row r="384" spans="1:22" ht="15.75" customHeight="1" x14ac:dyDescent="0.25">
      <c r="A384" s="62" t="s">
        <v>475</v>
      </c>
      <c r="B384" s="56">
        <v>36974</v>
      </c>
      <c r="C384" s="62" t="s">
        <v>83</v>
      </c>
      <c r="D384" s="62" t="s">
        <v>84</v>
      </c>
      <c r="E384" s="62" t="s">
        <v>92</v>
      </c>
      <c r="F384" s="62" t="s">
        <v>100</v>
      </c>
      <c r="G384" s="56">
        <v>44035</v>
      </c>
      <c r="H384" s="62">
        <v>5</v>
      </c>
      <c r="I384" s="62">
        <v>35428</v>
      </c>
      <c r="J384" s="62">
        <v>116000000</v>
      </c>
      <c r="P384" s="63">
        <f t="shared" si="7"/>
        <v>120</v>
      </c>
      <c r="Q384" s="64">
        <f t="shared" si="8"/>
        <v>147.61666666666667</v>
      </c>
      <c r="R384" s="64">
        <f t="shared" si="9"/>
        <v>27.65655517578125</v>
      </c>
      <c r="S384" s="64">
        <f t="shared" si="10"/>
        <v>21</v>
      </c>
      <c r="T384" s="64">
        <f t="shared" si="11"/>
        <v>34.443888888888885</v>
      </c>
      <c r="U384" s="64" t="str">
        <f t="shared" si="12"/>
        <v>&lt;35</v>
      </c>
      <c r="V384" s="64" t="str">
        <f t="shared" si="13"/>
        <v>21-30 Гб</v>
      </c>
    </row>
    <row r="385" spans="1:22" ht="15.75" customHeight="1" x14ac:dyDescent="0.25">
      <c r="A385" s="62" t="s">
        <v>476</v>
      </c>
      <c r="B385" s="56">
        <v>36972</v>
      </c>
      <c r="C385" s="62" t="s">
        <v>88</v>
      </c>
      <c r="D385" s="62" t="s">
        <v>84</v>
      </c>
      <c r="E385" s="62" t="s">
        <v>92</v>
      </c>
      <c r="F385" s="62" t="s">
        <v>89</v>
      </c>
      <c r="G385" s="56">
        <v>43180</v>
      </c>
      <c r="H385" s="62">
        <v>5</v>
      </c>
      <c r="I385" s="62">
        <v>22308</v>
      </c>
      <c r="J385" s="62">
        <v>152000000</v>
      </c>
      <c r="P385" s="63">
        <f t="shared" si="7"/>
        <v>120</v>
      </c>
      <c r="Q385" s="64">
        <f t="shared" si="8"/>
        <v>92.95</v>
      </c>
      <c r="R385" s="64">
        <f t="shared" si="9"/>
        <v>36.2396240234375</v>
      </c>
      <c r="S385" s="64">
        <f t="shared" si="10"/>
        <v>21</v>
      </c>
      <c r="T385" s="64">
        <f t="shared" si="11"/>
        <v>21.688333333333333</v>
      </c>
      <c r="U385" s="64" t="str">
        <f t="shared" si="12"/>
        <v>&lt;35</v>
      </c>
      <c r="V385" s="64" t="str">
        <f t="shared" si="13"/>
        <v>31-40 Гб</v>
      </c>
    </row>
    <row r="386" spans="1:22" ht="15.75" customHeight="1" x14ac:dyDescent="0.25">
      <c r="A386" s="62" t="s">
        <v>477</v>
      </c>
      <c r="B386" s="56">
        <v>36970</v>
      </c>
      <c r="C386" s="62" t="s">
        <v>83</v>
      </c>
      <c r="D386" s="62" t="s">
        <v>84</v>
      </c>
      <c r="E386" s="62" t="s">
        <v>85</v>
      </c>
      <c r="F386" s="62" t="s">
        <v>96</v>
      </c>
      <c r="G386" s="56">
        <v>43644</v>
      </c>
      <c r="H386" s="62">
        <v>5</v>
      </c>
      <c r="I386" s="62">
        <v>15044</v>
      </c>
      <c r="J386" s="62">
        <v>96000000</v>
      </c>
      <c r="K386" s="62">
        <v>1</v>
      </c>
      <c r="O386" s="62">
        <v>1</v>
      </c>
      <c r="P386" s="63">
        <f t="shared" si="7"/>
        <v>120</v>
      </c>
      <c r="Q386" s="64">
        <f t="shared" si="8"/>
        <v>62.683333333333323</v>
      </c>
      <c r="R386" s="64">
        <f t="shared" si="9"/>
        <v>22.88818359375</v>
      </c>
      <c r="S386" s="64">
        <f t="shared" si="10"/>
        <v>21</v>
      </c>
      <c r="T386" s="64">
        <f t="shared" si="11"/>
        <v>14.626111111111108</v>
      </c>
      <c r="U386" s="64" t="str">
        <f t="shared" si="12"/>
        <v>&lt;35</v>
      </c>
      <c r="V386" s="64" t="str">
        <f t="shared" si="13"/>
        <v>21-30 Гб</v>
      </c>
    </row>
    <row r="387" spans="1:22" ht="15.75" customHeight="1" x14ac:dyDescent="0.25">
      <c r="A387" s="62" t="s">
        <v>478</v>
      </c>
      <c r="B387" s="56">
        <v>36965</v>
      </c>
      <c r="C387" s="62" t="s">
        <v>83</v>
      </c>
      <c r="D387" s="62" t="s">
        <v>84</v>
      </c>
      <c r="E387" s="62" t="s">
        <v>85</v>
      </c>
      <c r="F387" s="62" t="s">
        <v>89</v>
      </c>
      <c r="G387" s="56">
        <v>44445</v>
      </c>
      <c r="H387" s="62">
        <v>5</v>
      </c>
      <c r="I387" s="62">
        <v>24640</v>
      </c>
      <c r="J387" s="62">
        <v>68000000</v>
      </c>
      <c r="P387" s="63">
        <f t="shared" si="7"/>
        <v>120</v>
      </c>
      <c r="Q387" s="64">
        <f t="shared" si="8"/>
        <v>102.66666666666667</v>
      </c>
      <c r="R387" s="64">
        <f t="shared" si="9"/>
        <v>16.21246337890625</v>
      </c>
      <c r="S387" s="64">
        <f t="shared" si="10"/>
        <v>21</v>
      </c>
      <c r="T387" s="64">
        <f t="shared" si="11"/>
        <v>23.955555555555559</v>
      </c>
      <c r="U387" s="64" t="str">
        <f t="shared" si="12"/>
        <v>&lt;35</v>
      </c>
      <c r="V387" s="64" t="str">
        <f t="shared" si="13"/>
        <v>10-20 Гб</v>
      </c>
    </row>
    <row r="388" spans="1:22" ht="15.75" customHeight="1" x14ac:dyDescent="0.25">
      <c r="A388" s="62" t="s">
        <v>479</v>
      </c>
      <c r="B388" s="56">
        <v>36964</v>
      </c>
      <c r="C388" s="62" t="s">
        <v>83</v>
      </c>
      <c r="D388" s="62" t="s">
        <v>84</v>
      </c>
      <c r="E388" s="62" t="s">
        <v>85</v>
      </c>
      <c r="F388" s="62" t="s">
        <v>100</v>
      </c>
      <c r="G388" s="56">
        <v>43979</v>
      </c>
      <c r="H388" s="62">
        <v>5</v>
      </c>
      <c r="I388" s="62">
        <v>88568</v>
      </c>
      <c r="J388" s="62">
        <v>44000000</v>
      </c>
      <c r="P388" s="63">
        <f t="shared" si="7"/>
        <v>120</v>
      </c>
      <c r="Q388" s="64">
        <f t="shared" si="8"/>
        <v>369.03333333333336</v>
      </c>
      <c r="R388" s="64">
        <f t="shared" si="9"/>
        <v>10.49041748046875</v>
      </c>
      <c r="S388" s="64">
        <f t="shared" si="10"/>
        <v>21</v>
      </c>
      <c r="T388" s="64">
        <f t="shared" si="11"/>
        <v>86.107777777777784</v>
      </c>
      <c r="U388" s="64" t="str">
        <f t="shared" si="12"/>
        <v>61-90</v>
      </c>
      <c r="V388" s="64" t="str">
        <f t="shared" si="13"/>
        <v>10-20 Гб</v>
      </c>
    </row>
    <row r="389" spans="1:22" ht="15.75" customHeight="1" x14ac:dyDescent="0.25">
      <c r="A389" s="62" t="s">
        <v>480</v>
      </c>
      <c r="B389" s="56">
        <v>36963</v>
      </c>
      <c r="C389" s="62" t="s">
        <v>83</v>
      </c>
      <c r="D389" s="62" t="s">
        <v>84</v>
      </c>
      <c r="E389" s="62" t="s">
        <v>92</v>
      </c>
      <c r="F389" s="62" t="s">
        <v>100</v>
      </c>
      <c r="G389" s="56">
        <v>42768</v>
      </c>
      <c r="H389" s="62">
        <v>5</v>
      </c>
      <c r="I389" s="62">
        <v>53560</v>
      </c>
      <c r="J389" s="62">
        <v>100000000</v>
      </c>
      <c r="P389" s="63">
        <f t="shared" si="7"/>
        <v>120</v>
      </c>
      <c r="Q389" s="64">
        <f t="shared" si="8"/>
        <v>223.16666666666666</v>
      </c>
      <c r="R389" s="64">
        <f t="shared" si="9"/>
        <v>23.84185791015625</v>
      </c>
      <c r="S389" s="64">
        <f t="shared" si="10"/>
        <v>21</v>
      </c>
      <c r="T389" s="64">
        <f t="shared" si="11"/>
        <v>52.072222222222216</v>
      </c>
      <c r="U389" s="64" t="str">
        <f t="shared" si="12"/>
        <v>35-60</v>
      </c>
      <c r="V389" s="64" t="str">
        <f t="shared" si="13"/>
        <v>21-30 Гб</v>
      </c>
    </row>
    <row r="390" spans="1:22" ht="15.75" customHeight="1" x14ac:dyDescent="0.25">
      <c r="A390" s="62" t="s">
        <v>481</v>
      </c>
      <c r="B390" s="56">
        <v>36962</v>
      </c>
      <c r="C390" s="62" t="s">
        <v>88</v>
      </c>
      <c r="D390" s="62" t="s">
        <v>84</v>
      </c>
      <c r="E390" s="62" t="s">
        <v>92</v>
      </c>
      <c r="F390" s="62" t="s">
        <v>89</v>
      </c>
      <c r="G390" s="56">
        <v>44008</v>
      </c>
      <c r="H390" s="62">
        <v>5</v>
      </c>
      <c r="I390" s="62">
        <v>9232</v>
      </c>
      <c r="J390" s="62">
        <v>148000000</v>
      </c>
      <c r="P390" s="63">
        <f t="shared" si="7"/>
        <v>120</v>
      </c>
      <c r="Q390" s="64">
        <f t="shared" si="8"/>
        <v>38.466666666666669</v>
      </c>
      <c r="R390" s="64">
        <f t="shared" si="9"/>
        <v>35.28594970703125</v>
      </c>
      <c r="S390" s="64">
        <f t="shared" si="10"/>
        <v>21</v>
      </c>
      <c r="T390" s="64">
        <f t="shared" si="11"/>
        <v>8.9755555555555553</v>
      </c>
      <c r="U390" s="64" t="str">
        <f t="shared" si="12"/>
        <v>&lt;35</v>
      </c>
      <c r="V390" s="64" t="str">
        <f t="shared" si="13"/>
        <v>31-40 Гб</v>
      </c>
    </row>
    <row r="391" spans="1:22" ht="15.75" customHeight="1" x14ac:dyDescent="0.25">
      <c r="A391" s="62" t="s">
        <v>482</v>
      </c>
      <c r="B391" s="56">
        <v>36959</v>
      </c>
      <c r="C391" s="62" t="s">
        <v>83</v>
      </c>
      <c r="D391" s="62" t="s">
        <v>84</v>
      </c>
      <c r="E391" s="62" t="s">
        <v>85</v>
      </c>
      <c r="F391" s="62" t="s">
        <v>89</v>
      </c>
      <c r="G391" s="56">
        <v>43103</v>
      </c>
      <c r="H391" s="62">
        <v>5</v>
      </c>
      <c r="I391" s="62">
        <v>24796</v>
      </c>
      <c r="J391" s="62">
        <v>128000000</v>
      </c>
      <c r="P391" s="63">
        <f t="shared" si="7"/>
        <v>120</v>
      </c>
      <c r="Q391" s="64">
        <f t="shared" si="8"/>
        <v>103.31666666666666</v>
      </c>
      <c r="R391" s="64">
        <f t="shared" si="9"/>
        <v>30.517578125000004</v>
      </c>
      <c r="S391" s="64">
        <f t="shared" si="10"/>
        <v>21</v>
      </c>
      <c r="T391" s="64">
        <f t="shared" si="11"/>
        <v>24.107222222222223</v>
      </c>
      <c r="U391" s="64" t="str">
        <f t="shared" si="12"/>
        <v>&lt;35</v>
      </c>
      <c r="V391" s="64" t="str">
        <f t="shared" si="13"/>
        <v>31-40 Гб</v>
      </c>
    </row>
    <row r="392" spans="1:22" ht="15.75" customHeight="1" x14ac:dyDescent="0.25">
      <c r="A392" s="62" t="s">
        <v>483</v>
      </c>
      <c r="B392" s="56">
        <v>36956</v>
      </c>
      <c r="C392" s="62" t="s">
        <v>83</v>
      </c>
      <c r="D392" s="62" t="s">
        <v>84</v>
      </c>
      <c r="E392" s="62" t="s">
        <v>92</v>
      </c>
      <c r="F392" s="62" t="s">
        <v>93</v>
      </c>
      <c r="G392" s="56">
        <v>43273</v>
      </c>
      <c r="H392" s="62">
        <v>5</v>
      </c>
      <c r="I392" s="62">
        <v>34308</v>
      </c>
      <c r="J392" s="62">
        <v>4000000</v>
      </c>
      <c r="P392" s="63">
        <f t="shared" si="7"/>
        <v>120</v>
      </c>
      <c r="Q392" s="64">
        <f t="shared" si="8"/>
        <v>142.94999999999999</v>
      </c>
      <c r="R392" s="64">
        <f t="shared" si="9"/>
        <v>0.95367431640625011</v>
      </c>
      <c r="S392" s="64">
        <f t="shared" si="10"/>
        <v>21</v>
      </c>
      <c r="T392" s="64">
        <f t="shared" si="11"/>
        <v>33.354999999999997</v>
      </c>
      <c r="U392" s="64" t="str">
        <f t="shared" si="12"/>
        <v>&lt;35</v>
      </c>
      <c r="V392" s="64" t="str">
        <f t="shared" si="13"/>
        <v>&lt;10 Гб</v>
      </c>
    </row>
    <row r="393" spans="1:22" ht="15.75" customHeight="1" x14ac:dyDescent="0.25">
      <c r="A393" s="62" t="s">
        <v>484</v>
      </c>
      <c r="B393" s="56">
        <v>36950</v>
      </c>
      <c r="C393" s="62" t="s">
        <v>88</v>
      </c>
      <c r="D393" s="62" t="s">
        <v>84</v>
      </c>
      <c r="E393" s="62" t="s">
        <v>92</v>
      </c>
      <c r="F393" s="62" t="s">
        <v>96</v>
      </c>
      <c r="G393" s="56">
        <v>44145</v>
      </c>
      <c r="H393" s="62">
        <v>5</v>
      </c>
      <c r="I393" s="62">
        <v>24020</v>
      </c>
      <c r="J393" s="62">
        <v>104000000</v>
      </c>
      <c r="M393" s="62">
        <v>1</v>
      </c>
      <c r="P393" s="63">
        <f t="shared" si="7"/>
        <v>120</v>
      </c>
      <c r="Q393" s="64">
        <f t="shared" si="8"/>
        <v>100.08333333333333</v>
      </c>
      <c r="R393" s="64">
        <f t="shared" si="9"/>
        <v>24.7955322265625</v>
      </c>
      <c r="S393" s="64">
        <f t="shared" si="10"/>
        <v>21</v>
      </c>
      <c r="T393" s="64">
        <f t="shared" si="11"/>
        <v>23.352777777777774</v>
      </c>
      <c r="U393" s="64" t="str">
        <f t="shared" si="12"/>
        <v>&lt;35</v>
      </c>
      <c r="V393" s="64" t="str">
        <f t="shared" si="13"/>
        <v>21-30 Гб</v>
      </c>
    </row>
    <row r="394" spans="1:22" ht="15.75" customHeight="1" x14ac:dyDescent="0.25">
      <c r="A394" s="62" t="s">
        <v>485</v>
      </c>
      <c r="B394" s="56">
        <v>36948</v>
      </c>
      <c r="C394" s="62" t="s">
        <v>83</v>
      </c>
      <c r="D394" s="62" t="s">
        <v>84</v>
      </c>
      <c r="E394" s="62" t="s">
        <v>92</v>
      </c>
      <c r="F394" s="62" t="s">
        <v>89</v>
      </c>
      <c r="G394" s="56">
        <v>43035</v>
      </c>
      <c r="H394" s="62">
        <v>5</v>
      </c>
      <c r="I394" s="62">
        <v>19548</v>
      </c>
      <c r="J394" s="62">
        <v>88000000</v>
      </c>
      <c r="K394" s="62">
        <v>1</v>
      </c>
      <c r="N394" s="62">
        <v>1</v>
      </c>
      <c r="P394" s="63">
        <f t="shared" si="7"/>
        <v>120</v>
      </c>
      <c r="Q394" s="64">
        <f t="shared" si="8"/>
        <v>81.45</v>
      </c>
      <c r="R394" s="64">
        <f t="shared" si="9"/>
        <v>20.9808349609375</v>
      </c>
      <c r="S394" s="64">
        <f t="shared" si="10"/>
        <v>21</v>
      </c>
      <c r="T394" s="64">
        <f t="shared" si="11"/>
        <v>19.004999999999999</v>
      </c>
      <c r="U394" s="64" t="str">
        <f t="shared" si="12"/>
        <v>&lt;35</v>
      </c>
      <c r="V394" s="64" t="str">
        <f t="shared" si="13"/>
        <v>21-30 Гб</v>
      </c>
    </row>
    <row r="395" spans="1:22" ht="15.75" customHeight="1" x14ac:dyDescent="0.25">
      <c r="A395" s="62" t="s">
        <v>486</v>
      </c>
      <c r="B395" s="56">
        <v>36947</v>
      </c>
      <c r="C395" s="62" t="s">
        <v>83</v>
      </c>
      <c r="D395" s="62" t="s">
        <v>84</v>
      </c>
      <c r="E395" s="62" t="s">
        <v>92</v>
      </c>
      <c r="F395" s="62" t="s">
        <v>100</v>
      </c>
      <c r="G395" s="56">
        <v>44244</v>
      </c>
      <c r="H395" s="62">
        <v>5</v>
      </c>
      <c r="I395" s="62">
        <v>105840</v>
      </c>
      <c r="J395" s="62">
        <v>112000000</v>
      </c>
      <c r="L395" s="62">
        <v>1</v>
      </c>
      <c r="P395" s="63">
        <f t="shared" si="7"/>
        <v>120</v>
      </c>
      <c r="Q395" s="64">
        <f t="shared" si="8"/>
        <v>441</v>
      </c>
      <c r="R395" s="64">
        <f t="shared" si="9"/>
        <v>26.702880859375</v>
      </c>
      <c r="S395" s="64">
        <f t="shared" si="10"/>
        <v>21</v>
      </c>
      <c r="T395" s="64">
        <f t="shared" si="11"/>
        <v>102.9</v>
      </c>
      <c r="U395" s="64" t="str">
        <f t="shared" si="12"/>
        <v>91-120</v>
      </c>
      <c r="V395" s="64" t="str">
        <f t="shared" si="13"/>
        <v>21-30 Гб</v>
      </c>
    </row>
    <row r="396" spans="1:22" ht="15.75" customHeight="1" x14ac:dyDescent="0.25">
      <c r="A396" s="62" t="s">
        <v>487</v>
      </c>
      <c r="B396" s="56">
        <v>36945</v>
      </c>
      <c r="C396" s="62" t="s">
        <v>83</v>
      </c>
      <c r="D396" s="62" t="s">
        <v>84</v>
      </c>
      <c r="E396" s="62" t="s">
        <v>85</v>
      </c>
      <c r="F396" s="62" t="s">
        <v>86</v>
      </c>
      <c r="G396" s="56">
        <v>44660</v>
      </c>
      <c r="H396" s="62">
        <v>0</v>
      </c>
      <c r="I396" s="62">
        <v>28549</v>
      </c>
      <c r="J396" s="62">
        <v>32266667</v>
      </c>
      <c r="K396" s="62">
        <v>1</v>
      </c>
      <c r="P396" s="63">
        <f t="shared" si="7"/>
        <v>22</v>
      </c>
      <c r="Q396" s="64">
        <f t="shared" si="8"/>
        <v>648.84090909090912</v>
      </c>
      <c r="R396" s="64">
        <f t="shared" si="9"/>
        <v>41.961670355363324</v>
      </c>
      <c r="S396" s="64">
        <f t="shared" si="10"/>
        <v>21</v>
      </c>
      <c r="T396" s="64">
        <f t="shared" si="11"/>
        <v>151.39621212121213</v>
      </c>
      <c r="U396" s="64" t="str">
        <f t="shared" si="12"/>
        <v>120+</v>
      </c>
      <c r="V396" s="64" t="str">
        <f t="shared" si="13"/>
        <v>40+ Гб</v>
      </c>
    </row>
    <row r="397" spans="1:22" ht="15.75" customHeight="1" x14ac:dyDescent="0.25">
      <c r="A397" s="62" t="s">
        <v>488</v>
      </c>
      <c r="B397" s="56">
        <v>36945</v>
      </c>
      <c r="C397" s="62" t="s">
        <v>83</v>
      </c>
      <c r="D397" s="62" t="s">
        <v>84</v>
      </c>
      <c r="E397" s="62" t="s">
        <v>85</v>
      </c>
      <c r="F397" s="62" t="s">
        <v>89</v>
      </c>
      <c r="G397" s="56">
        <v>43998</v>
      </c>
      <c r="H397" s="62">
        <v>5</v>
      </c>
      <c r="I397" s="62">
        <v>8828</v>
      </c>
      <c r="J397" s="62">
        <v>116000000</v>
      </c>
      <c r="P397" s="63">
        <f t="shared" si="7"/>
        <v>120</v>
      </c>
      <c r="Q397" s="64">
        <f t="shared" si="8"/>
        <v>36.783333333333331</v>
      </c>
      <c r="R397" s="64">
        <f t="shared" si="9"/>
        <v>27.65655517578125</v>
      </c>
      <c r="S397" s="64">
        <f t="shared" si="10"/>
        <v>21</v>
      </c>
      <c r="T397" s="64">
        <f t="shared" si="11"/>
        <v>8.5827777777777783</v>
      </c>
      <c r="U397" s="64" t="str">
        <f t="shared" si="12"/>
        <v>&lt;35</v>
      </c>
      <c r="V397" s="64" t="str">
        <f t="shared" si="13"/>
        <v>21-30 Гб</v>
      </c>
    </row>
    <row r="398" spans="1:22" ht="15.75" customHeight="1" x14ac:dyDescent="0.25">
      <c r="A398" s="62" t="s">
        <v>489</v>
      </c>
      <c r="B398" s="56">
        <v>36943</v>
      </c>
      <c r="C398" s="62" t="s">
        <v>88</v>
      </c>
      <c r="D398" s="62" t="s">
        <v>84</v>
      </c>
      <c r="E398" s="62" t="s">
        <v>85</v>
      </c>
      <c r="F398" s="62" t="s">
        <v>89</v>
      </c>
      <c r="G398" s="56">
        <v>43378</v>
      </c>
      <c r="H398" s="62">
        <v>5</v>
      </c>
      <c r="I398" s="62">
        <v>6020</v>
      </c>
      <c r="J398" s="62">
        <v>140000000</v>
      </c>
      <c r="K398" s="62">
        <v>1</v>
      </c>
      <c r="P398" s="63">
        <f t="shared" si="7"/>
        <v>120</v>
      </c>
      <c r="Q398" s="64">
        <f t="shared" si="8"/>
        <v>25.083333333333332</v>
      </c>
      <c r="R398" s="64">
        <f t="shared" si="9"/>
        <v>33.37860107421875</v>
      </c>
      <c r="S398" s="64">
        <f t="shared" si="10"/>
        <v>21</v>
      </c>
      <c r="T398" s="64">
        <f t="shared" si="11"/>
        <v>5.852777777777777</v>
      </c>
      <c r="U398" s="64" t="str">
        <f t="shared" si="12"/>
        <v>&lt;35</v>
      </c>
      <c r="V398" s="64" t="str">
        <f t="shared" si="13"/>
        <v>31-40 Гб</v>
      </c>
    </row>
    <row r="399" spans="1:22" ht="15.75" customHeight="1" x14ac:dyDescent="0.25">
      <c r="A399" s="62" t="s">
        <v>490</v>
      </c>
      <c r="B399" s="56">
        <v>36937</v>
      </c>
      <c r="C399" s="62" t="s">
        <v>83</v>
      </c>
      <c r="D399" s="62" t="s">
        <v>84</v>
      </c>
      <c r="E399" s="62" t="s">
        <v>85</v>
      </c>
      <c r="F399" s="62" t="s">
        <v>100</v>
      </c>
      <c r="G399" s="56">
        <v>43669</v>
      </c>
      <c r="H399" s="62">
        <v>5</v>
      </c>
      <c r="I399" s="62">
        <v>103408</v>
      </c>
      <c r="J399" s="62">
        <v>124000000</v>
      </c>
      <c r="P399" s="63">
        <f t="shared" si="7"/>
        <v>120</v>
      </c>
      <c r="Q399" s="64">
        <f t="shared" si="8"/>
        <v>430.86666666666667</v>
      </c>
      <c r="R399" s="64">
        <f t="shared" si="9"/>
        <v>29.56390380859375</v>
      </c>
      <c r="S399" s="64">
        <f t="shared" si="10"/>
        <v>21</v>
      </c>
      <c r="T399" s="64">
        <f t="shared" si="11"/>
        <v>100.53555555555555</v>
      </c>
      <c r="U399" s="64" t="str">
        <f t="shared" si="12"/>
        <v>91-120</v>
      </c>
      <c r="V399" s="64" t="str">
        <f t="shared" si="13"/>
        <v>21-30 Гб</v>
      </c>
    </row>
    <row r="400" spans="1:22" ht="15.75" customHeight="1" x14ac:dyDescent="0.25">
      <c r="A400" s="62" t="s">
        <v>491</v>
      </c>
      <c r="B400" s="56">
        <v>36936</v>
      </c>
      <c r="C400" s="62" t="s">
        <v>83</v>
      </c>
      <c r="D400" s="62" t="s">
        <v>84</v>
      </c>
      <c r="E400" s="62" t="s">
        <v>85</v>
      </c>
      <c r="F400" s="62" t="s">
        <v>96</v>
      </c>
      <c r="G400" s="56">
        <v>44509</v>
      </c>
      <c r="H400" s="62">
        <v>5</v>
      </c>
      <c r="I400" s="62">
        <v>25248</v>
      </c>
      <c r="J400" s="62">
        <v>36000000</v>
      </c>
      <c r="P400" s="63">
        <f t="shared" si="7"/>
        <v>120</v>
      </c>
      <c r="Q400" s="64">
        <f t="shared" si="8"/>
        <v>105.2</v>
      </c>
      <c r="R400" s="64">
        <f t="shared" si="9"/>
        <v>8.58306884765625</v>
      </c>
      <c r="S400" s="64">
        <f t="shared" si="10"/>
        <v>21</v>
      </c>
      <c r="T400" s="64">
        <f t="shared" si="11"/>
        <v>24.546666666666667</v>
      </c>
      <c r="U400" s="64" t="str">
        <f t="shared" si="12"/>
        <v>&lt;35</v>
      </c>
      <c r="V400" s="64" t="str">
        <f t="shared" si="13"/>
        <v>&lt;10 Гб</v>
      </c>
    </row>
    <row r="401" spans="1:22" ht="15.75" customHeight="1" x14ac:dyDescent="0.25">
      <c r="A401" s="62" t="s">
        <v>492</v>
      </c>
      <c r="B401" s="56">
        <v>36933</v>
      </c>
      <c r="C401" s="62" t="s">
        <v>88</v>
      </c>
      <c r="D401" s="62" t="s">
        <v>84</v>
      </c>
      <c r="E401" s="62" t="s">
        <v>85</v>
      </c>
      <c r="F401" s="62" t="s">
        <v>96</v>
      </c>
      <c r="G401" s="56">
        <v>42801</v>
      </c>
      <c r="H401" s="62">
        <v>5</v>
      </c>
      <c r="I401" s="62">
        <v>73380</v>
      </c>
      <c r="J401" s="62">
        <v>100000000</v>
      </c>
      <c r="P401" s="63">
        <f t="shared" si="7"/>
        <v>120</v>
      </c>
      <c r="Q401" s="64">
        <f t="shared" si="8"/>
        <v>305.75</v>
      </c>
      <c r="R401" s="64">
        <f t="shared" si="9"/>
        <v>23.84185791015625</v>
      </c>
      <c r="S401" s="64">
        <f t="shared" si="10"/>
        <v>21</v>
      </c>
      <c r="T401" s="64">
        <f t="shared" si="11"/>
        <v>71.341666666666669</v>
      </c>
      <c r="U401" s="64" t="str">
        <f t="shared" si="12"/>
        <v>61-90</v>
      </c>
      <c r="V401" s="64" t="str">
        <f t="shared" si="13"/>
        <v>21-30 Гб</v>
      </c>
    </row>
    <row r="402" spans="1:22" ht="15.75" customHeight="1" x14ac:dyDescent="0.25">
      <c r="A402" s="62" t="s">
        <v>493</v>
      </c>
      <c r="B402" s="56">
        <v>36932</v>
      </c>
      <c r="C402" s="62" t="s">
        <v>83</v>
      </c>
      <c r="D402" s="62" t="s">
        <v>84</v>
      </c>
      <c r="E402" s="62" t="s">
        <v>85</v>
      </c>
      <c r="F402" s="62" t="s">
        <v>96</v>
      </c>
      <c r="G402" s="56">
        <v>43951</v>
      </c>
      <c r="H402" s="62">
        <v>5</v>
      </c>
      <c r="I402" s="62">
        <v>18728</v>
      </c>
      <c r="J402" s="62">
        <v>104000000</v>
      </c>
      <c r="P402" s="63">
        <f t="shared" si="7"/>
        <v>120</v>
      </c>
      <c r="Q402" s="64">
        <f t="shared" si="8"/>
        <v>78.033333333333331</v>
      </c>
      <c r="R402" s="64">
        <f t="shared" si="9"/>
        <v>24.7955322265625</v>
      </c>
      <c r="S402" s="64">
        <f t="shared" si="10"/>
        <v>21</v>
      </c>
      <c r="T402" s="64">
        <f t="shared" si="11"/>
        <v>18.207777777777778</v>
      </c>
      <c r="U402" s="64" t="str">
        <f t="shared" si="12"/>
        <v>&lt;35</v>
      </c>
      <c r="V402" s="64" t="str">
        <f t="shared" si="13"/>
        <v>21-30 Гб</v>
      </c>
    </row>
    <row r="403" spans="1:22" ht="15.75" customHeight="1" x14ac:dyDescent="0.25">
      <c r="A403" s="62" t="s">
        <v>494</v>
      </c>
      <c r="B403" s="56">
        <v>36931</v>
      </c>
      <c r="C403" s="62" t="s">
        <v>88</v>
      </c>
      <c r="D403" s="62" t="s">
        <v>84</v>
      </c>
      <c r="E403" s="62" t="s">
        <v>85</v>
      </c>
      <c r="F403" s="62" t="s">
        <v>89</v>
      </c>
      <c r="G403" s="56">
        <v>44645</v>
      </c>
      <c r="H403" s="62">
        <v>1</v>
      </c>
      <c r="I403" s="62">
        <v>5720</v>
      </c>
      <c r="J403" s="62">
        <v>49333333</v>
      </c>
      <c r="P403" s="63">
        <f t="shared" si="7"/>
        <v>37</v>
      </c>
      <c r="Q403" s="64">
        <f t="shared" si="8"/>
        <v>77.297297297297291</v>
      </c>
      <c r="R403" s="64">
        <f t="shared" si="9"/>
        <v>38.146972398500182</v>
      </c>
      <c r="S403" s="64">
        <f t="shared" si="10"/>
        <v>21</v>
      </c>
      <c r="T403" s="64">
        <f t="shared" si="11"/>
        <v>18.036036036036034</v>
      </c>
      <c r="U403" s="64" t="str">
        <f t="shared" si="12"/>
        <v>&lt;35</v>
      </c>
      <c r="V403" s="64" t="str">
        <f t="shared" si="13"/>
        <v>31-40 Гб</v>
      </c>
    </row>
    <row r="404" spans="1:22" ht="15.75" customHeight="1" x14ac:dyDescent="0.25">
      <c r="A404" s="62" t="s">
        <v>495</v>
      </c>
      <c r="B404" s="56">
        <v>36921</v>
      </c>
      <c r="C404" s="62" t="s">
        <v>88</v>
      </c>
      <c r="D404" s="62" t="s">
        <v>84</v>
      </c>
      <c r="E404" s="62" t="s">
        <v>85</v>
      </c>
      <c r="F404" s="62" t="s">
        <v>96</v>
      </c>
      <c r="G404" s="56">
        <v>44182</v>
      </c>
      <c r="H404" s="62">
        <v>5</v>
      </c>
      <c r="I404" s="62">
        <v>23740</v>
      </c>
      <c r="J404" s="62">
        <v>52000000</v>
      </c>
      <c r="P404" s="63">
        <f t="shared" si="7"/>
        <v>120</v>
      </c>
      <c r="Q404" s="64">
        <f t="shared" si="8"/>
        <v>98.916666666666671</v>
      </c>
      <c r="R404" s="64">
        <f t="shared" si="9"/>
        <v>12.39776611328125</v>
      </c>
      <c r="S404" s="64">
        <f t="shared" si="10"/>
        <v>21</v>
      </c>
      <c r="T404" s="64">
        <f t="shared" si="11"/>
        <v>23.080555555555559</v>
      </c>
      <c r="U404" s="64" t="str">
        <f t="shared" si="12"/>
        <v>&lt;35</v>
      </c>
      <c r="V404" s="64" t="str">
        <f t="shared" si="13"/>
        <v>10-20 Гб</v>
      </c>
    </row>
    <row r="405" spans="1:22" ht="15.75" customHeight="1" x14ac:dyDescent="0.25">
      <c r="A405" s="62" t="s">
        <v>496</v>
      </c>
      <c r="B405" s="56">
        <v>36921</v>
      </c>
      <c r="C405" s="62" t="s">
        <v>83</v>
      </c>
      <c r="D405" s="62" t="s">
        <v>84</v>
      </c>
      <c r="E405" s="62" t="s">
        <v>92</v>
      </c>
      <c r="F405" s="62" t="s">
        <v>96</v>
      </c>
      <c r="G405" s="56">
        <v>43108</v>
      </c>
      <c r="H405" s="62">
        <v>5</v>
      </c>
      <c r="I405" s="62">
        <v>57928</v>
      </c>
      <c r="J405" s="62">
        <v>92000000</v>
      </c>
      <c r="M405" s="62">
        <v>1</v>
      </c>
      <c r="P405" s="63">
        <f t="shared" si="7"/>
        <v>120</v>
      </c>
      <c r="Q405" s="64">
        <f t="shared" si="8"/>
        <v>241.36666666666667</v>
      </c>
      <c r="R405" s="64">
        <f t="shared" si="9"/>
        <v>21.93450927734375</v>
      </c>
      <c r="S405" s="64">
        <f t="shared" si="10"/>
        <v>21</v>
      </c>
      <c r="T405" s="64">
        <f t="shared" si="11"/>
        <v>56.318888888888885</v>
      </c>
      <c r="U405" s="64" t="str">
        <f t="shared" si="12"/>
        <v>35-60</v>
      </c>
      <c r="V405" s="64" t="str">
        <f t="shared" si="13"/>
        <v>21-30 Гб</v>
      </c>
    </row>
    <row r="406" spans="1:22" ht="15.75" customHeight="1" x14ac:dyDescent="0.25">
      <c r="A406" s="62" t="s">
        <v>497</v>
      </c>
      <c r="B406" s="56">
        <v>36920</v>
      </c>
      <c r="C406" s="62" t="s">
        <v>83</v>
      </c>
      <c r="D406" s="62" t="s">
        <v>84</v>
      </c>
      <c r="E406" s="62" t="s">
        <v>85</v>
      </c>
      <c r="F406" s="62" t="s">
        <v>89</v>
      </c>
      <c r="G406" s="56">
        <v>43930</v>
      </c>
      <c r="H406" s="62">
        <v>5</v>
      </c>
      <c r="I406" s="62">
        <v>11208</v>
      </c>
      <c r="J406" s="62">
        <v>140000000</v>
      </c>
      <c r="L406" s="62">
        <v>1</v>
      </c>
      <c r="P406" s="63">
        <f t="shared" si="7"/>
        <v>120</v>
      </c>
      <c r="Q406" s="64">
        <f t="shared" si="8"/>
        <v>46.7</v>
      </c>
      <c r="R406" s="64">
        <f t="shared" si="9"/>
        <v>33.37860107421875</v>
      </c>
      <c r="S406" s="64">
        <f t="shared" si="10"/>
        <v>21</v>
      </c>
      <c r="T406" s="64">
        <f t="shared" si="11"/>
        <v>10.896666666666668</v>
      </c>
      <c r="U406" s="64" t="str">
        <f t="shared" si="12"/>
        <v>&lt;35</v>
      </c>
      <c r="V406" s="64" t="str">
        <f t="shared" si="13"/>
        <v>31-40 Гб</v>
      </c>
    </row>
    <row r="407" spans="1:22" ht="15.75" customHeight="1" x14ac:dyDescent="0.25">
      <c r="A407" s="62" t="s">
        <v>498</v>
      </c>
      <c r="B407" s="56">
        <v>36910</v>
      </c>
      <c r="C407" s="62" t="s">
        <v>83</v>
      </c>
      <c r="D407" s="62" t="s">
        <v>84</v>
      </c>
      <c r="E407" s="62" t="s">
        <v>92</v>
      </c>
      <c r="F407" s="62" t="s">
        <v>89</v>
      </c>
      <c r="G407" s="56">
        <v>43420</v>
      </c>
      <c r="H407" s="62">
        <v>5</v>
      </c>
      <c r="I407" s="62">
        <v>8748</v>
      </c>
      <c r="J407" s="62">
        <v>112000000</v>
      </c>
      <c r="K407" s="62">
        <v>1</v>
      </c>
      <c r="O407" s="62">
        <v>1</v>
      </c>
      <c r="P407" s="63">
        <f t="shared" si="7"/>
        <v>120</v>
      </c>
      <c r="Q407" s="64">
        <f t="shared" si="8"/>
        <v>36.450000000000003</v>
      </c>
      <c r="R407" s="64">
        <f t="shared" si="9"/>
        <v>26.702880859375</v>
      </c>
      <c r="S407" s="64">
        <f t="shared" si="10"/>
        <v>21</v>
      </c>
      <c r="T407" s="64">
        <f t="shared" si="11"/>
        <v>8.5050000000000008</v>
      </c>
      <c r="U407" s="64" t="str">
        <f t="shared" si="12"/>
        <v>&lt;35</v>
      </c>
      <c r="V407" s="64" t="str">
        <f t="shared" si="13"/>
        <v>21-30 Гб</v>
      </c>
    </row>
    <row r="408" spans="1:22" ht="15.75" customHeight="1" x14ac:dyDescent="0.25">
      <c r="A408" s="62" t="s">
        <v>499</v>
      </c>
      <c r="B408" s="56">
        <v>36907</v>
      </c>
      <c r="C408" s="62" t="s">
        <v>83</v>
      </c>
      <c r="D408" s="62" t="s">
        <v>84</v>
      </c>
      <c r="E408" s="62" t="s">
        <v>92</v>
      </c>
      <c r="F408" s="62" t="s">
        <v>100</v>
      </c>
      <c r="G408" s="56">
        <v>43988</v>
      </c>
      <c r="H408" s="62">
        <v>5</v>
      </c>
      <c r="I408" s="62">
        <v>19696</v>
      </c>
      <c r="J408" s="62">
        <v>60000000</v>
      </c>
      <c r="P408" s="63">
        <f t="shared" si="7"/>
        <v>120</v>
      </c>
      <c r="Q408" s="64">
        <f t="shared" si="8"/>
        <v>82.066666666666663</v>
      </c>
      <c r="R408" s="64">
        <f t="shared" si="9"/>
        <v>14.30511474609375</v>
      </c>
      <c r="S408" s="64">
        <f t="shared" si="10"/>
        <v>21</v>
      </c>
      <c r="T408" s="64">
        <f t="shared" si="11"/>
        <v>19.148888888888891</v>
      </c>
      <c r="U408" s="64" t="str">
        <f t="shared" si="12"/>
        <v>&lt;35</v>
      </c>
      <c r="V408" s="64" t="str">
        <f t="shared" si="13"/>
        <v>10-20 Гб</v>
      </c>
    </row>
    <row r="409" spans="1:22" ht="15.75" customHeight="1" x14ac:dyDescent="0.25">
      <c r="A409" s="62" t="s">
        <v>500</v>
      </c>
      <c r="B409" s="56">
        <v>36907</v>
      </c>
      <c r="C409" s="62" t="s">
        <v>88</v>
      </c>
      <c r="D409" s="62" t="s">
        <v>84</v>
      </c>
      <c r="E409" s="62" t="s">
        <v>92</v>
      </c>
      <c r="F409" s="62" t="s">
        <v>89</v>
      </c>
      <c r="G409" s="56">
        <v>43387</v>
      </c>
      <c r="H409" s="62">
        <v>5</v>
      </c>
      <c r="I409" s="62">
        <v>988</v>
      </c>
      <c r="J409" s="62">
        <v>160000000</v>
      </c>
      <c r="K409" s="62">
        <v>1</v>
      </c>
      <c r="P409" s="63">
        <f t="shared" si="7"/>
        <v>120</v>
      </c>
      <c r="Q409" s="64">
        <f t="shared" si="8"/>
        <v>4.1166666666666663</v>
      </c>
      <c r="R409" s="64">
        <f t="shared" si="9"/>
        <v>38.14697265625</v>
      </c>
      <c r="S409" s="64">
        <f t="shared" si="10"/>
        <v>21</v>
      </c>
      <c r="T409" s="64">
        <f t="shared" si="11"/>
        <v>0.96055555555555538</v>
      </c>
      <c r="U409" s="64" t="str">
        <f t="shared" si="12"/>
        <v>&lt;35</v>
      </c>
      <c r="V409" s="64" t="str">
        <f t="shared" si="13"/>
        <v>31-40 Гб</v>
      </c>
    </row>
    <row r="410" spans="1:22" ht="15.75" customHeight="1" x14ac:dyDescent="0.25">
      <c r="A410" s="62" t="s">
        <v>501</v>
      </c>
      <c r="B410" s="56">
        <v>36901</v>
      </c>
      <c r="C410" s="62" t="s">
        <v>88</v>
      </c>
      <c r="D410" s="62" t="s">
        <v>84</v>
      </c>
      <c r="E410" s="62" t="s">
        <v>92</v>
      </c>
      <c r="F410" s="62" t="s">
        <v>100</v>
      </c>
      <c r="G410" s="56">
        <v>43914</v>
      </c>
      <c r="H410" s="62">
        <v>5</v>
      </c>
      <c r="I410" s="62">
        <v>117968</v>
      </c>
      <c r="J410" s="62">
        <v>120000000</v>
      </c>
      <c r="P410" s="63">
        <f t="shared" si="7"/>
        <v>120</v>
      </c>
      <c r="Q410" s="64">
        <f t="shared" si="8"/>
        <v>491.5333333333333</v>
      </c>
      <c r="R410" s="64">
        <f t="shared" si="9"/>
        <v>28.6102294921875</v>
      </c>
      <c r="S410" s="64">
        <f t="shared" si="10"/>
        <v>21</v>
      </c>
      <c r="T410" s="64">
        <f t="shared" si="11"/>
        <v>114.6911111111111</v>
      </c>
      <c r="U410" s="64" t="str">
        <f t="shared" si="12"/>
        <v>91-120</v>
      </c>
      <c r="V410" s="64" t="str">
        <f t="shared" si="13"/>
        <v>21-30 Гб</v>
      </c>
    </row>
    <row r="411" spans="1:22" ht="15.75" customHeight="1" x14ac:dyDescent="0.25">
      <c r="A411" s="62" t="s">
        <v>502</v>
      </c>
      <c r="B411" s="56">
        <v>36900</v>
      </c>
      <c r="C411" s="62" t="s">
        <v>88</v>
      </c>
      <c r="D411" s="62" t="s">
        <v>84</v>
      </c>
      <c r="E411" s="62" t="s">
        <v>85</v>
      </c>
      <c r="F411" s="62" t="s">
        <v>96</v>
      </c>
      <c r="G411" s="56">
        <v>44070</v>
      </c>
      <c r="H411" s="62">
        <v>5</v>
      </c>
      <c r="I411" s="62">
        <v>89740</v>
      </c>
      <c r="J411" s="62">
        <v>104000000</v>
      </c>
      <c r="O411" s="62">
        <v>1</v>
      </c>
      <c r="P411" s="63">
        <f t="shared" si="7"/>
        <v>120</v>
      </c>
      <c r="Q411" s="64">
        <f t="shared" si="8"/>
        <v>373.91666666666669</v>
      </c>
      <c r="R411" s="64">
        <f t="shared" si="9"/>
        <v>24.7955322265625</v>
      </c>
      <c r="S411" s="64">
        <f t="shared" si="10"/>
        <v>21</v>
      </c>
      <c r="T411" s="64">
        <f t="shared" si="11"/>
        <v>87.247222222222234</v>
      </c>
      <c r="U411" s="64" t="str">
        <f t="shared" si="12"/>
        <v>61-90</v>
      </c>
      <c r="V411" s="64" t="str">
        <f t="shared" si="13"/>
        <v>21-30 Гб</v>
      </c>
    </row>
    <row r="412" spans="1:22" ht="15.75" customHeight="1" x14ac:dyDescent="0.25">
      <c r="A412" s="62" t="s">
        <v>503</v>
      </c>
      <c r="B412" s="56">
        <v>36899</v>
      </c>
      <c r="C412" s="62" t="s">
        <v>88</v>
      </c>
      <c r="D412" s="62" t="s">
        <v>84</v>
      </c>
      <c r="E412" s="62" t="s">
        <v>92</v>
      </c>
      <c r="F412" s="62" t="s">
        <v>96</v>
      </c>
      <c r="G412" s="56">
        <v>43042</v>
      </c>
      <c r="H412" s="62">
        <v>5</v>
      </c>
      <c r="I412" s="62">
        <v>61924</v>
      </c>
      <c r="J412" s="62">
        <v>100000000</v>
      </c>
      <c r="N412" s="62">
        <v>1</v>
      </c>
      <c r="P412" s="63">
        <f t="shared" si="7"/>
        <v>120</v>
      </c>
      <c r="Q412" s="64">
        <f t="shared" si="8"/>
        <v>258.01666666666665</v>
      </c>
      <c r="R412" s="64">
        <f t="shared" si="9"/>
        <v>23.84185791015625</v>
      </c>
      <c r="S412" s="64">
        <f t="shared" si="10"/>
        <v>21</v>
      </c>
      <c r="T412" s="64">
        <f t="shared" si="11"/>
        <v>60.203888888888883</v>
      </c>
      <c r="U412" s="64" t="str">
        <f t="shared" si="12"/>
        <v>61-90</v>
      </c>
      <c r="V412" s="64" t="str">
        <f t="shared" si="13"/>
        <v>21-30 Гб</v>
      </c>
    </row>
    <row r="413" spans="1:22" ht="15.75" customHeight="1" x14ac:dyDescent="0.25">
      <c r="A413" s="62" t="s">
        <v>504</v>
      </c>
      <c r="B413" s="56">
        <v>36894</v>
      </c>
      <c r="C413" s="62" t="s">
        <v>88</v>
      </c>
      <c r="D413" s="62" t="s">
        <v>84</v>
      </c>
      <c r="E413" s="62" t="s">
        <v>85</v>
      </c>
      <c r="F413" s="62" t="s">
        <v>89</v>
      </c>
      <c r="G413" s="56">
        <v>43454</v>
      </c>
      <c r="H413" s="62">
        <v>5</v>
      </c>
      <c r="I413" s="62">
        <v>26168</v>
      </c>
      <c r="J413" s="62">
        <v>104000000</v>
      </c>
      <c r="O413" s="62">
        <v>1</v>
      </c>
      <c r="P413" s="63">
        <f t="shared" si="7"/>
        <v>120</v>
      </c>
      <c r="Q413" s="64">
        <f t="shared" si="8"/>
        <v>109.03333333333333</v>
      </c>
      <c r="R413" s="64">
        <f t="shared" si="9"/>
        <v>24.7955322265625</v>
      </c>
      <c r="S413" s="64">
        <f t="shared" si="10"/>
        <v>21</v>
      </c>
      <c r="T413" s="64">
        <f t="shared" si="11"/>
        <v>25.441111111111113</v>
      </c>
      <c r="U413" s="64" t="str">
        <f t="shared" si="12"/>
        <v>&lt;35</v>
      </c>
      <c r="V413" s="64" t="str">
        <f t="shared" si="13"/>
        <v>21-30 Гб</v>
      </c>
    </row>
    <row r="414" spans="1:22" ht="15.75" customHeight="1" x14ac:dyDescent="0.25">
      <c r="A414" s="62" t="s">
        <v>505</v>
      </c>
      <c r="B414" s="56">
        <v>36893</v>
      </c>
      <c r="C414" s="62" t="s">
        <v>83</v>
      </c>
      <c r="D414" s="62" t="s">
        <v>84</v>
      </c>
      <c r="E414" s="62" t="s">
        <v>85</v>
      </c>
      <c r="F414" s="62" t="s">
        <v>100</v>
      </c>
      <c r="G414" s="56">
        <v>44420</v>
      </c>
      <c r="H414" s="62">
        <v>5</v>
      </c>
      <c r="I414" s="62">
        <v>67408</v>
      </c>
      <c r="J414" s="62">
        <v>104000000</v>
      </c>
      <c r="P414" s="63">
        <f t="shared" si="7"/>
        <v>120</v>
      </c>
      <c r="Q414" s="64">
        <f t="shared" si="8"/>
        <v>280.86666666666667</v>
      </c>
      <c r="R414" s="64">
        <f t="shared" si="9"/>
        <v>24.7955322265625</v>
      </c>
      <c r="S414" s="64">
        <f t="shared" si="10"/>
        <v>21</v>
      </c>
      <c r="T414" s="64">
        <f t="shared" si="11"/>
        <v>65.535555555555547</v>
      </c>
      <c r="U414" s="64" t="str">
        <f t="shared" si="12"/>
        <v>61-90</v>
      </c>
      <c r="V414" s="64" t="str">
        <f t="shared" si="13"/>
        <v>21-30 Гб</v>
      </c>
    </row>
    <row r="415" spans="1:22" ht="15.75" customHeight="1" x14ac:dyDescent="0.25">
      <c r="A415" s="62" t="s">
        <v>506</v>
      </c>
      <c r="B415" s="56">
        <v>36892</v>
      </c>
      <c r="C415" s="62" t="s">
        <v>83</v>
      </c>
      <c r="D415" s="62" t="s">
        <v>84</v>
      </c>
      <c r="E415" s="62" t="s">
        <v>92</v>
      </c>
      <c r="F415" s="62" t="s">
        <v>96</v>
      </c>
      <c r="G415" s="56">
        <v>44559</v>
      </c>
      <c r="H415" s="62">
        <v>4</v>
      </c>
      <c r="I415" s="62">
        <v>57688</v>
      </c>
      <c r="J415" s="62">
        <v>68000000</v>
      </c>
      <c r="O415" s="62">
        <v>1</v>
      </c>
      <c r="P415" s="63">
        <f t="shared" si="7"/>
        <v>120</v>
      </c>
      <c r="Q415" s="64">
        <f t="shared" si="8"/>
        <v>240.36666666666667</v>
      </c>
      <c r="R415" s="64">
        <f t="shared" si="9"/>
        <v>16.21246337890625</v>
      </c>
      <c r="S415" s="64">
        <f t="shared" si="10"/>
        <v>21</v>
      </c>
      <c r="T415" s="64">
        <f t="shared" si="11"/>
        <v>56.085555555555551</v>
      </c>
      <c r="U415" s="64" t="str">
        <f t="shared" si="12"/>
        <v>35-60</v>
      </c>
      <c r="V415" s="64" t="str">
        <f t="shared" si="13"/>
        <v>10-20 Гб</v>
      </c>
    </row>
    <row r="416" spans="1:22" ht="15.75" customHeight="1" x14ac:dyDescent="0.25">
      <c r="A416" s="62" t="s">
        <v>507</v>
      </c>
      <c r="B416" s="56">
        <v>36892</v>
      </c>
      <c r="C416" s="62" t="s">
        <v>83</v>
      </c>
      <c r="D416" s="62" t="s">
        <v>84</v>
      </c>
      <c r="E416" s="62" t="s">
        <v>85</v>
      </c>
      <c r="F416" s="62" t="s">
        <v>100</v>
      </c>
      <c r="G416" s="56">
        <v>44199</v>
      </c>
      <c r="H416" s="62">
        <v>5</v>
      </c>
      <c r="I416" s="62">
        <v>46425</v>
      </c>
      <c r="J416" s="62">
        <v>104000000</v>
      </c>
      <c r="P416" s="63">
        <f t="shared" si="7"/>
        <v>120</v>
      </c>
      <c r="Q416" s="64">
        <f t="shared" si="8"/>
        <v>193.4375</v>
      </c>
      <c r="R416" s="64">
        <f t="shared" si="9"/>
        <v>24.7955322265625</v>
      </c>
      <c r="S416" s="64">
        <f t="shared" si="10"/>
        <v>21</v>
      </c>
      <c r="T416" s="64">
        <f t="shared" si="11"/>
        <v>45.135416666666664</v>
      </c>
      <c r="U416" s="64" t="str">
        <f t="shared" si="12"/>
        <v>35-60</v>
      </c>
      <c r="V416" s="64" t="str">
        <f t="shared" si="13"/>
        <v>21-30 Гб</v>
      </c>
    </row>
    <row r="417" spans="1:22" ht="15.75" customHeight="1" x14ac:dyDescent="0.25">
      <c r="A417" s="62" t="s">
        <v>508</v>
      </c>
      <c r="B417" s="56">
        <v>36881</v>
      </c>
      <c r="C417" s="62" t="s">
        <v>83</v>
      </c>
      <c r="D417" s="62" t="s">
        <v>84</v>
      </c>
      <c r="E417" s="62" t="s">
        <v>92</v>
      </c>
      <c r="F417" s="62" t="s">
        <v>100</v>
      </c>
      <c r="G417" s="56">
        <v>44649</v>
      </c>
      <c r="H417" s="62">
        <v>1</v>
      </c>
      <c r="I417" s="62">
        <v>28852</v>
      </c>
      <c r="J417" s="62">
        <v>28600000</v>
      </c>
      <c r="P417" s="63">
        <f t="shared" si="7"/>
        <v>33</v>
      </c>
      <c r="Q417" s="64">
        <f t="shared" si="8"/>
        <v>437.15151515151513</v>
      </c>
      <c r="R417" s="64">
        <f t="shared" si="9"/>
        <v>24.7955322265625</v>
      </c>
      <c r="S417" s="64">
        <f t="shared" si="10"/>
        <v>21</v>
      </c>
      <c r="T417" s="64">
        <f t="shared" si="11"/>
        <v>102.0020202020202</v>
      </c>
      <c r="U417" s="64" t="str">
        <f t="shared" si="12"/>
        <v>91-120</v>
      </c>
      <c r="V417" s="64" t="str">
        <f t="shared" si="13"/>
        <v>21-30 Гб</v>
      </c>
    </row>
    <row r="418" spans="1:22" ht="15.75" customHeight="1" x14ac:dyDescent="0.25">
      <c r="A418" s="62" t="s">
        <v>509</v>
      </c>
      <c r="B418" s="56">
        <v>36879</v>
      </c>
      <c r="C418" s="62" t="s">
        <v>83</v>
      </c>
      <c r="D418" s="62" t="s">
        <v>84</v>
      </c>
      <c r="E418" s="62" t="s">
        <v>85</v>
      </c>
      <c r="F418" s="62" t="s">
        <v>100</v>
      </c>
      <c r="G418" s="56">
        <v>44509</v>
      </c>
      <c r="H418" s="62">
        <v>5</v>
      </c>
      <c r="I418" s="62">
        <v>94408</v>
      </c>
      <c r="J418" s="62">
        <v>48000000</v>
      </c>
      <c r="K418" s="62">
        <v>1</v>
      </c>
      <c r="O418" s="62">
        <v>1</v>
      </c>
      <c r="P418" s="63">
        <f t="shared" si="7"/>
        <v>120</v>
      </c>
      <c r="Q418" s="64">
        <f t="shared" si="8"/>
        <v>393.36666666666667</v>
      </c>
      <c r="R418" s="64">
        <f t="shared" si="9"/>
        <v>11.444091796875</v>
      </c>
      <c r="S418" s="64">
        <f t="shared" si="10"/>
        <v>21</v>
      </c>
      <c r="T418" s="64">
        <f t="shared" si="11"/>
        <v>91.785555555555547</v>
      </c>
      <c r="U418" s="64" t="str">
        <f t="shared" si="12"/>
        <v>91-120</v>
      </c>
      <c r="V418" s="64" t="str">
        <f t="shared" si="13"/>
        <v>10-20 Гб</v>
      </c>
    </row>
    <row r="419" spans="1:22" ht="15.75" customHeight="1" x14ac:dyDescent="0.25">
      <c r="A419" s="62" t="s">
        <v>510</v>
      </c>
      <c r="B419" s="56">
        <v>36879</v>
      </c>
      <c r="C419" s="62" t="s">
        <v>83</v>
      </c>
      <c r="D419" s="62" t="s">
        <v>84</v>
      </c>
      <c r="E419" s="62" t="s">
        <v>92</v>
      </c>
      <c r="F419" s="62" t="s">
        <v>89</v>
      </c>
      <c r="G419" s="56">
        <v>43268</v>
      </c>
      <c r="H419" s="62">
        <v>5</v>
      </c>
      <c r="I419" s="62">
        <v>34320</v>
      </c>
      <c r="J419" s="62">
        <v>140000000</v>
      </c>
      <c r="P419" s="63">
        <f t="shared" si="7"/>
        <v>120</v>
      </c>
      <c r="Q419" s="64">
        <f t="shared" si="8"/>
        <v>143</v>
      </c>
      <c r="R419" s="64">
        <f t="shared" si="9"/>
        <v>33.37860107421875</v>
      </c>
      <c r="S419" s="64">
        <f t="shared" si="10"/>
        <v>21</v>
      </c>
      <c r="T419" s="64">
        <f t="shared" si="11"/>
        <v>33.366666666666667</v>
      </c>
      <c r="U419" s="64" t="str">
        <f t="shared" si="12"/>
        <v>&lt;35</v>
      </c>
      <c r="V419" s="64" t="str">
        <f t="shared" si="13"/>
        <v>31-40 Гб</v>
      </c>
    </row>
    <row r="420" spans="1:22" ht="15.75" customHeight="1" x14ac:dyDescent="0.25">
      <c r="A420" s="62" t="s">
        <v>511</v>
      </c>
      <c r="B420" s="56">
        <v>36875</v>
      </c>
      <c r="C420" s="62" t="s">
        <v>83</v>
      </c>
      <c r="D420" s="62" t="s">
        <v>84</v>
      </c>
      <c r="E420" s="62" t="s">
        <v>92</v>
      </c>
      <c r="F420" s="62" t="s">
        <v>89</v>
      </c>
      <c r="G420" s="56">
        <v>44655</v>
      </c>
      <c r="H420" s="62">
        <v>0</v>
      </c>
      <c r="I420" s="62">
        <v>454</v>
      </c>
      <c r="J420" s="62">
        <v>16200000</v>
      </c>
      <c r="L420" s="62">
        <v>1</v>
      </c>
      <c r="P420" s="63">
        <f t="shared" si="7"/>
        <v>27</v>
      </c>
      <c r="Q420" s="64">
        <f t="shared" si="8"/>
        <v>8.4074074074074066</v>
      </c>
      <c r="R420" s="64">
        <f t="shared" si="9"/>
        <v>17.1661376953125</v>
      </c>
      <c r="S420" s="64">
        <f t="shared" si="10"/>
        <v>21</v>
      </c>
      <c r="T420" s="64">
        <f t="shared" si="11"/>
        <v>1.9617283950617284</v>
      </c>
      <c r="U420" s="64" t="str">
        <f t="shared" si="12"/>
        <v>&lt;35</v>
      </c>
      <c r="V420" s="64" t="str">
        <f t="shared" si="13"/>
        <v>10-20 Гб</v>
      </c>
    </row>
    <row r="421" spans="1:22" ht="15.75" customHeight="1" x14ac:dyDescent="0.25">
      <c r="A421" s="62" t="s">
        <v>512</v>
      </c>
      <c r="B421" s="56">
        <v>36872</v>
      </c>
      <c r="C421" s="62" t="s">
        <v>88</v>
      </c>
      <c r="D421" s="62" t="s">
        <v>84</v>
      </c>
      <c r="E421" s="62" t="s">
        <v>85</v>
      </c>
      <c r="F421" s="62" t="s">
        <v>89</v>
      </c>
      <c r="G421" s="56">
        <v>43293</v>
      </c>
      <c r="H421" s="62">
        <v>5</v>
      </c>
      <c r="I421" s="62">
        <v>29092</v>
      </c>
      <c r="J421" s="62">
        <v>128000000</v>
      </c>
      <c r="L421" s="62">
        <v>1</v>
      </c>
      <c r="N421" s="62">
        <v>1</v>
      </c>
      <c r="P421" s="63">
        <f t="shared" si="7"/>
        <v>120</v>
      </c>
      <c r="Q421" s="64">
        <f t="shared" si="8"/>
        <v>121.21666666666667</v>
      </c>
      <c r="R421" s="64">
        <f t="shared" si="9"/>
        <v>30.517578125000004</v>
      </c>
      <c r="S421" s="64">
        <f t="shared" si="10"/>
        <v>21</v>
      </c>
      <c r="T421" s="64">
        <f t="shared" si="11"/>
        <v>28.283888888888889</v>
      </c>
      <c r="U421" s="64" t="str">
        <f t="shared" si="12"/>
        <v>&lt;35</v>
      </c>
      <c r="V421" s="64" t="str">
        <f t="shared" si="13"/>
        <v>31-40 Гб</v>
      </c>
    </row>
    <row r="422" spans="1:22" ht="15.75" customHeight="1" x14ac:dyDescent="0.25">
      <c r="A422" s="62" t="s">
        <v>513</v>
      </c>
      <c r="B422" s="56">
        <v>36863</v>
      </c>
      <c r="C422" s="62" t="s">
        <v>88</v>
      </c>
      <c r="D422" s="62" t="s">
        <v>84</v>
      </c>
      <c r="E422" s="62" t="s">
        <v>92</v>
      </c>
      <c r="F422" s="62" t="s">
        <v>89</v>
      </c>
      <c r="G422" s="56">
        <v>43547</v>
      </c>
      <c r="H422" s="62">
        <v>5</v>
      </c>
      <c r="I422" s="62">
        <v>452</v>
      </c>
      <c r="J422" s="62">
        <v>148000000</v>
      </c>
      <c r="K422" s="62">
        <v>1</v>
      </c>
      <c r="O422" s="62">
        <v>1</v>
      </c>
      <c r="P422" s="63">
        <f t="shared" si="7"/>
        <v>120</v>
      </c>
      <c r="Q422" s="64">
        <f t="shared" si="8"/>
        <v>1.8833333333333333</v>
      </c>
      <c r="R422" s="64">
        <f t="shared" si="9"/>
        <v>35.28594970703125</v>
      </c>
      <c r="S422" s="64">
        <f t="shared" si="10"/>
        <v>21</v>
      </c>
      <c r="T422" s="64">
        <f t="shared" si="11"/>
        <v>0.43944444444444447</v>
      </c>
      <c r="U422" s="64" t="str">
        <f t="shared" si="12"/>
        <v>&lt;35</v>
      </c>
      <c r="V422" s="64" t="str">
        <f t="shared" si="13"/>
        <v>31-40 Гб</v>
      </c>
    </row>
    <row r="423" spans="1:22" ht="15.75" customHeight="1" x14ac:dyDescent="0.25">
      <c r="A423" s="62" t="s">
        <v>514</v>
      </c>
      <c r="B423" s="56">
        <v>36862</v>
      </c>
      <c r="C423" s="62" t="s">
        <v>83</v>
      </c>
      <c r="D423" s="62" t="s">
        <v>84</v>
      </c>
      <c r="E423" s="62" t="s">
        <v>92</v>
      </c>
      <c r="F423" s="62" t="s">
        <v>93</v>
      </c>
      <c r="G423" s="56">
        <v>44539</v>
      </c>
      <c r="H423" s="62">
        <v>4</v>
      </c>
      <c r="I423" s="62">
        <v>8828</v>
      </c>
      <c r="J423" s="62">
        <v>32000000</v>
      </c>
      <c r="M423" s="62">
        <v>1</v>
      </c>
      <c r="N423" s="62">
        <v>1</v>
      </c>
      <c r="P423" s="63">
        <f t="shared" si="7"/>
        <v>120</v>
      </c>
      <c r="Q423" s="64">
        <f t="shared" si="8"/>
        <v>36.783333333333331</v>
      </c>
      <c r="R423" s="64">
        <f t="shared" si="9"/>
        <v>7.6293945312500009</v>
      </c>
      <c r="S423" s="64">
        <f t="shared" si="10"/>
        <v>21</v>
      </c>
      <c r="T423" s="64">
        <f t="shared" si="11"/>
        <v>8.5827777777777783</v>
      </c>
      <c r="U423" s="64" t="str">
        <f t="shared" si="12"/>
        <v>&lt;35</v>
      </c>
      <c r="V423" s="64" t="str">
        <f t="shared" si="13"/>
        <v>&lt;10 Гб</v>
      </c>
    </row>
    <row r="424" spans="1:22" ht="15.75" customHeight="1" x14ac:dyDescent="0.25">
      <c r="A424" s="62" t="s">
        <v>515</v>
      </c>
      <c r="B424" s="56">
        <v>36862</v>
      </c>
      <c r="C424" s="62" t="s">
        <v>88</v>
      </c>
      <c r="D424" s="62" t="s">
        <v>84</v>
      </c>
      <c r="E424" s="62" t="s">
        <v>92</v>
      </c>
      <c r="F424" s="62" t="s">
        <v>96</v>
      </c>
      <c r="G424" s="56">
        <v>44275</v>
      </c>
      <c r="H424" s="62">
        <v>5</v>
      </c>
      <c r="I424" s="62">
        <v>21565</v>
      </c>
      <c r="J424" s="62">
        <v>12000000</v>
      </c>
      <c r="P424" s="63">
        <f t="shared" si="7"/>
        <v>120</v>
      </c>
      <c r="Q424" s="64">
        <f t="shared" si="8"/>
        <v>89.854166666666671</v>
      </c>
      <c r="R424" s="64">
        <f t="shared" si="9"/>
        <v>2.86102294921875</v>
      </c>
      <c r="S424" s="64">
        <f t="shared" si="10"/>
        <v>21</v>
      </c>
      <c r="T424" s="64">
        <f t="shared" si="11"/>
        <v>20.965972222222224</v>
      </c>
      <c r="U424" s="64" t="str">
        <f t="shared" si="12"/>
        <v>&lt;35</v>
      </c>
      <c r="V424" s="64" t="str">
        <f t="shared" si="13"/>
        <v>&lt;10 Гб</v>
      </c>
    </row>
    <row r="425" spans="1:22" ht="15.75" customHeight="1" x14ac:dyDescent="0.25">
      <c r="A425" s="62" t="s">
        <v>516</v>
      </c>
      <c r="B425" s="56">
        <v>36855</v>
      </c>
      <c r="C425" s="62" t="s">
        <v>88</v>
      </c>
      <c r="D425" s="62" t="s">
        <v>84</v>
      </c>
      <c r="E425" s="62" t="s">
        <v>85</v>
      </c>
      <c r="F425" s="62" t="s">
        <v>86</v>
      </c>
      <c r="G425" s="56">
        <v>43219</v>
      </c>
      <c r="H425" s="62">
        <v>5</v>
      </c>
      <c r="I425" s="62">
        <v>113052</v>
      </c>
      <c r="J425" s="62">
        <v>72000000</v>
      </c>
      <c r="O425" s="62">
        <v>1</v>
      </c>
      <c r="P425" s="63">
        <f t="shared" si="7"/>
        <v>120</v>
      </c>
      <c r="Q425" s="64">
        <f t="shared" si="8"/>
        <v>471.05</v>
      </c>
      <c r="R425" s="64">
        <f t="shared" si="9"/>
        <v>17.1661376953125</v>
      </c>
      <c r="S425" s="64">
        <f t="shared" si="10"/>
        <v>21</v>
      </c>
      <c r="T425" s="64">
        <f t="shared" si="11"/>
        <v>109.91166666666666</v>
      </c>
      <c r="U425" s="64" t="str">
        <f t="shared" si="12"/>
        <v>91-120</v>
      </c>
      <c r="V425" s="64" t="str">
        <f t="shared" si="13"/>
        <v>10-20 Гб</v>
      </c>
    </row>
    <row r="426" spans="1:22" ht="15.75" customHeight="1" x14ac:dyDescent="0.25">
      <c r="A426" s="62" t="s">
        <v>517</v>
      </c>
      <c r="B426" s="56">
        <v>36853</v>
      </c>
      <c r="C426" s="62" t="s">
        <v>83</v>
      </c>
      <c r="D426" s="62" t="s">
        <v>84</v>
      </c>
      <c r="E426" s="62" t="s">
        <v>92</v>
      </c>
      <c r="F426" s="62" t="s">
        <v>89</v>
      </c>
      <c r="G426" s="56">
        <v>43066</v>
      </c>
      <c r="H426" s="62">
        <v>5</v>
      </c>
      <c r="I426" s="62">
        <v>15020</v>
      </c>
      <c r="J426" s="62">
        <v>152000000</v>
      </c>
      <c r="P426" s="63">
        <f t="shared" si="7"/>
        <v>120</v>
      </c>
      <c r="Q426" s="64">
        <f t="shared" si="8"/>
        <v>62.583333333333336</v>
      </c>
      <c r="R426" s="64">
        <f t="shared" si="9"/>
        <v>36.2396240234375</v>
      </c>
      <c r="S426" s="64">
        <f t="shared" si="10"/>
        <v>21</v>
      </c>
      <c r="T426" s="64">
        <f t="shared" si="11"/>
        <v>14.60277777777778</v>
      </c>
      <c r="U426" s="64" t="str">
        <f t="shared" si="12"/>
        <v>&lt;35</v>
      </c>
      <c r="V426" s="64" t="str">
        <f t="shared" si="13"/>
        <v>31-40 Гб</v>
      </c>
    </row>
    <row r="427" spans="1:22" ht="15.75" customHeight="1" x14ac:dyDescent="0.25">
      <c r="A427" s="62" t="s">
        <v>518</v>
      </c>
      <c r="B427" s="56">
        <v>36850</v>
      </c>
      <c r="C427" s="62" t="s">
        <v>88</v>
      </c>
      <c r="D427" s="62" t="s">
        <v>84</v>
      </c>
      <c r="E427" s="62" t="s">
        <v>92</v>
      </c>
      <c r="F427" s="62" t="s">
        <v>96</v>
      </c>
      <c r="G427" s="56">
        <v>44403</v>
      </c>
      <c r="H427" s="62">
        <v>5</v>
      </c>
      <c r="I427" s="62">
        <v>73604</v>
      </c>
      <c r="J427" s="62">
        <v>64000000</v>
      </c>
      <c r="L427" s="62">
        <v>1</v>
      </c>
      <c r="P427" s="63">
        <f t="shared" si="7"/>
        <v>120</v>
      </c>
      <c r="Q427" s="64">
        <f t="shared" si="8"/>
        <v>306.68333333333334</v>
      </c>
      <c r="R427" s="64">
        <f t="shared" si="9"/>
        <v>15.258789062500002</v>
      </c>
      <c r="S427" s="64">
        <f t="shared" si="10"/>
        <v>21</v>
      </c>
      <c r="T427" s="64">
        <f t="shared" si="11"/>
        <v>71.559444444444438</v>
      </c>
      <c r="U427" s="64" t="str">
        <f t="shared" si="12"/>
        <v>61-90</v>
      </c>
      <c r="V427" s="64" t="str">
        <f t="shared" si="13"/>
        <v>10-20 Гб</v>
      </c>
    </row>
    <row r="428" spans="1:22" ht="15.75" customHeight="1" x14ac:dyDescent="0.25">
      <c r="A428" s="62" t="s">
        <v>519</v>
      </c>
      <c r="B428" s="56">
        <v>36850</v>
      </c>
      <c r="C428" s="62" t="s">
        <v>88</v>
      </c>
      <c r="D428" s="62" t="s">
        <v>84</v>
      </c>
      <c r="E428" s="62" t="s">
        <v>85</v>
      </c>
      <c r="F428" s="62" t="s">
        <v>89</v>
      </c>
      <c r="G428" s="56">
        <v>43530</v>
      </c>
      <c r="H428" s="62">
        <v>5</v>
      </c>
      <c r="I428" s="62">
        <v>20140</v>
      </c>
      <c r="J428" s="62">
        <v>160000000</v>
      </c>
      <c r="M428" s="62">
        <v>1</v>
      </c>
      <c r="P428" s="63">
        <f t="shared" si="7"/>
        <v>120</v>
      </c>
      <c r="Q428" s="64">
        <f t="shared" si="8"/>
        <v>83.916666666666671</v>
      </c>
      <c r="R428" s="64">
        <f t="shared" si="9"/>
        <v>38.14697265625</v>
      </c>
      <c r="S428" s="64">
        <f t="shared" si="10"/>
        <v>21</v>
      </c>
      <c r="T428" s="64">
        <f t="shared" si="11"/>
        <v>19.580555555555559</v>
      </c>
      <c r="U428" s="64" t="str">
        <f t="shared" si="12"/>
        <v>&lt;35</v>
      </c>
      <c r="V428" s="64" t="str">
        <f t="shared" si="13"/>
        <v>31-40 Гб</v>
      </c>
    </row>
    <row r="429" spans="1:22" ht="15.75" customHeight="1" x14ac:dyDescent="0.25">
      <c r="A429" s="62" t="s">
        <v>520</v>
      </c>
      <c r="B429" s="56">
        <v>36846</v>
      </c>
      <c r="C429" s="62" t="s">
        <v>88</v>
      </c>
      <c r="D429" s="62" t="s">
        <v>84</v>
      </c>
      <c r="E429" s="62" t="s">
        <v>92</v>
      </c>
      <c r="F429" s="62" t="s">
        <v>96</v>
      </c>
      <c r="G429" s="56">
        <v>43473</v>
      </c>
      <c r="H429" s="62">
        <v>5</v>
      </c>
      <c r="I429" s="62">
        <v>70660</v>
      </c>
      <c r="J429" s="62">
        <v>100000000</v>
      </c>
      <c r="P429" s="63">
        <f t="shared" si="7"/>
        <v>120</v>
      </c>
      <c r="Q429" s="64">
        <f t="shared" si="8"/>
        <v>294.41666666666669</v>
      </c>
      <c r="R429" s="64">
        <f t="shared" si="9"/>
        <v>23.84185791015625</v>
      </c>
      <c r="S429" s="64">
        <f t="shared" si="10"/>
        <v>21</v>
      </c>
      <c r="T429" s="64">
        <f t="shared" si="11"/>
        <v>68.697222222222237</v>
      </c>
      <c r="U429" s="64" t="str">
        <f t="shared" si="12"/>
        <v>61-90</v>
      </c>
      <c r="V429" s="64" t="str">
        <f t="shared" si="13"/>
        <v>21-30 Гб</v>
      </c>
    </row>
    <row r="430" spans="1:22" ht="15.75" customHeight="1" x14ac:dyDescent="0.25">
      <c r="A430" s="62" t="s">
        <v>521</v>
      </c>
      <c r="B430" s="56">
        <v>36846</v>
      </c>
      <c r="C430" s="62" t="s">
        <v>83</v>
      </c>
      <c r="D430" s="62" t="s">
        <v>84</v>
      </c>
      <c r="E430" s="62" t="s">
        <v>85</v>
      </c>
      <c r="F430" s="62" t="s">
        <v>96</v>
      </c>
      <c r="G430" s="56">
        <v>44070</v>
      </c>
      <c r="H430" s="62">
        <v>5</v>
      </c>
      <c r="I430" s="62">
        <v>28956</v>
      </c>
      <c r="J430" s="62">
        <v>8000000</v>
      </c>
      <c r="P430" s="63">
        <f t="shared" si="7"/>
        <v>120</v>
      </c>
      <c r="Q430" s="64">
        <f t="shared" si="8"/>
        <v>120.64999999999999</v>
      </c>
      <c r="R430" s="64">
        <f t="shared" si="9"/>
        <v>1.9073486328125002</v>
      </c>
      <c r="S430" s="64">
        <f t="shared" si="10"/>
        <v>21</v>
      </c>
      <c r="T430" s="64">
        <f t="shared" si="11"/>
        <v>28.151666666666664</v>
      </c>
      <c r="U430" s="64" t="str">
        <f t="shared" si="12"/>
        <v>&lt;35</v>
      </c>
      <c r="V430" s="64" t="str">
        <f t="shared" si="13"/>
        <v>&lt;10 Гб</v>
      </c>
    </row>
    <row r="431" spans="1:22" ht="15.75" customHeight="1" x14ac:dyDescent="0.25">
      <c r="A431" s="62" t="s">
        <v>522</v>
      </c>
      <c r="B431" s="56">
        <v>36844</v>
      </c>
      <c r="C431" s="62" t="s">
        <v>83</v>
      </c>
      <c r="D431" s="62" t="s">
        <v>84</v>
      </c>
      <c r="E431" s="62" t="s">
        <v>85</v>
      </c>
      <c r="F431" s="62" t="s">
        <v>89</v>
      </c>
      <c r="G431" s="56">
        <v>43304</v>
      </c>
      <c r="H431" s="62">
        <v>5</v>
      </c>
      <c r="I431" s="62">
        <v>28780</v>
      </c>
      <c r="J431" s="62">
        <v>132000000</v>
      </c>
      <c r="M431" s="62">
        <v>1</v>
      </c>
      <c r="P431" s="63">
        <f t="shared" si="7"/>
        <v>120</v>
      </c>
      <c r="Q431" s="64">
        <f t="shared" si="8"/>
        <v>119.91666666666667</v>
      </c>
      <c r="R431" s="64">
        <f t="shared" si="9"/>
        <v>31.47125244140625</v>
      </c>
      <c r="S431" s="64">
        <f t="shared" si="10"/>
        <v>21</v>
      </c>
      <c r="T431" s="64">
        <f t="shared" si="11"/>
        <v>27.980555555555558</v>
      </c>
      <c r="U431" s="64" t="str">
        <f t="shared" si="12"/>
        <v>&lt;35</v>
      </c>
      <c r="V431" s="64" t="str">
        <f t="shared" si="13"/>
        <v>31-40 Гб</v>
      </c>
    </row>
    <row r="432" spans="1:22" ht="15.75" customHeight="1" x14ac:dyDescent="0.25">
      <c r="A432" s="62" t="s">
        <v>523</v>
      </c>
      <c r="B432" s="56">
        <v>36842</v>
      </c>
      <c r="C432" s="62" t="s">
        <v>88</v>
      </c>
      <c r="D432" s="62" t="s">
        <v>84</v>
      </c>
      <c r="E432" s="62" t="s">
        <v>85</v>
      </c>
      <c r="F432" s="62" t="s">
        <v>89</v>
      </c>
      <c r="G432" s="56">
        <v>43963</v>
      </c>
      <c r="H432" s="62">
        <v>5</v>
      </c>
      <c r="I432" s="62">
        <v>31020</v>
      </c>
      <c r="J432" s="62">
        <v>124000000</v>
      </c>
      <c r="K432" s="62">
        <v>1</v>
      </c>
      <c r="O432" s="62">
        <v>1</v>
      </c>
      <c r="P432" s="63">
        <f t="shared" si="7"/>
        <v>120</v>
      </c>
      <c r="Q432" s="64">
        <f t="shared" si="8"/>
        <v>129.25</v>
      </c>
      <c r="R432" s="64">
        <f t="shared" si="9"/>
        <v>29.56390380859375</v>
      </c>
      <c r="S432" s="64">
        <f t="shared" si="10"/>
        <v>21</v>
      </c>
      <c r="T432" s="64">
        <f t="shared" si="11"/>
        <v>30.158333333333335</v>
      </c>
      <c r="U432" s="64" t="str">
        <f t="shared" si="12"/>
        <v>&lt;35</v>
      </c>
      <c r="V432" s="64" t="str">
        <f t="shared" si="13"/>
        <v>21-30 Гб</v>
      </c>
    </row>
    <row r="433" spans="1:22" ht="15.75" customHeight="1" x14ac:dyDescent="0.25">
      <c r="A433" s="62" t="s">
        <v>524</v>
      </c>
      <c r="B433" s="56">
        <v>36841</v>
      </c>
      <c r="C433" s="62" t="s">
        <v>83</v>
      </c>
      <c r="D433" s="62" t="s">
        <v>84</v>
      </c>
      <c r="E433" s="62" t="s">
        <v>92</v>
      </c>
      <c r="F433" s="62" t="s">
        <v>89</v>
      </c>
      <c r="G433" s="56">
        <v>44585</v>
      </c>
      <c r="H433" s="62">
        <v>3</v>
      </c>
      <c r="I433" s="62">
        <v>29100</v>
      </c>
      <c r="J433" s="62">
        <v>100233333</v>
      </c>
      <c r="L433" s="62">
        <v>1</v>
      </c>
      <c r="P433" s="63">
        <f t="shared" si="7"/>
        <v>97</v>
      </c>
      <c r="Q433" s="64">
        <f t="shared" si="8"/>
        <v>150</v>
      </c>
      <c r="R433" s="64">
        <f t="shared" si="9"/>
        <v>29.563903710276811</v>
      </c>
      <c r="S433" s="64">
        <f t="shared" si="10"/>
        <v>21</v>
      </c>
      <c r="T433" s="64">
        <f t="shared" si="11"/>
        <v>35</v>
      </c>
      <c r="U433" s="64" t="str">
        <f t="shared" si="12"/>
        <v>&lt;35</v>
      </c>
      <c r="V433" s="64" t="str">
        <f t="shared" si="13"/>
        <v>21-30 Гб</v>
      </c>
    </row>
    <row r="434" spans="1:22" ht="15.75" customHeight="1" x14ac:dyDescent="0.25">
      <c r="A434" s="62" t="s">
        <v>525</v>
      </c>
      <c r="B434" s="56">
        <v>36840</v>
      </c>
      <c r="C434" s="62" t="s">
        <v>88</v>
      </c>
      <c r="D434" s="62" t="s">
        <v>84</v>
      </c>
      <c r="E434" s="62" t="s">
        <v>92</v>
      </c>
      <c r="F434" s="62" t="s">
        <v>89</v>
      </c>
      <c r="G434" s="56">
        <v>44271</v>
      </c>
      <c r="H434" s="62">
        <v>5</v>
      </c>
      <c r="I434" s="62">
        <v>19420</v>
      </c>
      <c r="J434" s="62">
        <v>132000000</v>
      </c>
      <c r="P434" s="63">
        <f t="shared" si="7"/>
        <v>120</v>
      </c>
      <c r="Q434" s="64">
        <f t="shared" si="8"/>
        <v>80.916666666666671</v>
      </c>
      <c r="R434" s="64">
        <f t="shared" si="9"/>
        <v>31.47125244140625</v>
      </c>
      <c r="S434" s="64">
        <f t="shared" si="10"/>
        <v>21</v>
      </c>
      <c r="T434" s="64">
        <f t="shared" si="11"/>
        <v>18.880555555555556</v>
      </c>
      <c r="U434" s="64" t="str">
        <f t="shared" si="12"/>
        <v>&lt;35</v>
      </c>
      <c r="V434" s="64" t="str">
        <f t="shared" si="13"/>
        <v>31-40 Гб</v>
      </c>
    </row>
    <row r="435" spans="1:22" ht="15.75" customHeight="1" x14ac:dyDescent="0.25">
      <c r="A435" s="62" t="s">
        <v>526</v>
      </c>
      <c r="B435" s="56">
        <v>36839</v>
      </c>
      <c r="C435" s="62" t="s">
        <v>83</v>
      </c>
      <c r="D435" s="62" t="s">
        <v>84</v>
      </c>
      <c r="E435" s="62" t="s">
        <v>85</v>
      </c>
      <c r="F435" s="62" t="s">
        <v>100</v>
      </c>
      <c r="G435" s="56">
        <v>43650</v>
      </c>
      <c r="H435" s="62">
        <v>5</v>
      </c>
      <c r="I435" s="62">
        <v>103096</v>
      </c>
      <c r="J435" s="62">
        <v>124000000</v>
      </c>
      <c r="P435" s="63">
        <f t="shared" si="7"/>
        <v>120</v>
      </c>
      <c r="Q435" s="64">
        <f t="shared" si="8"/>
        <v>429.56666666666666</v>
      </c>
      <c r="R435" s="64">
        <f t="shared" si="9"/>
        <v>29.56390380859375</v>
      </c>
      <c r="S435" s="64">
        <f t="shared" si="10"/>
        <v>21</v>
      </c>
      <c r="T435" s="64">
        <f t="shared" si="11"/>
        <v>100.23222222222222</v>
      </c>
      <c r="U435" s="64" t="str">
        <f t="shared" si="12"/>
        <v>91-120</v>
      </c>
      <c r="V435" s="64" t="str">
        <f t="shared" si="13"/>
        <v>21-30 Гб</v>
      </c>
    </row>
    <row r="436" spans="1:22" ht="15.75" customHeight="1" x14ac:dyDescent="0.25">
      <c r="A436" s="62" t="s">
        <v>527</v>
      </c>
      <c r="B436" s="56">
        <v>36838</v>
      </c>
      <c r="C436" s="62" t="s">
        <v>83</v>
      </c>
      <c r="D436" s="62" t="s">
        <v>84</v>
      </c>
      <c r="E436" s="62" t="s">
        <v>85</v>
      </c>
      <c r="F436" s="62" t="s">
        <v>89</v>
      </c>
      <c r="G436" s="56">
        <v>42843</v>
      </c>
      <c r="H436" s="62">
        <v>5</v>
      </c>
      <c r="I436" s="62">
        <v>9744</v>
      </c>
      <c r="J436" s="62">
        <v>84000000</v>
      </c>
      <c r="P436" s="63">
        <f t="shared" si="7"/>
        <v>120</v>
      </c>
      <c r="Q436" s="64">
        <f t="shared" si="8"/>
        <v>40.6</v>
      </c>
      <c r="R436" s="64">
        <f t="shared" si="9"/>
        <v>20.02716064453125</v>
      </c>
      <c r="S436" s="64">
        <f t="shared" si="10"/>
        <v>21</v>
      </c>
      <c r="T436" s="64">
        <f t="shared" si="11"/>
        <v>9.4733333333333327</v>
      </c>
      <c r="U436" s="64" t="str">
        <f t="shared" si="12"/>
        <v>&lt;35</v>
      </c>
      <c r="V436" s="64" t="str">
        <f t="shared" si="13"/>
        <v>21-30 Гб</v>
      </c>
    </row>
    <row r="437" spans="1:22" ht="15.75" customHeight="1" x14ac:dyDescent="0.25">
      <c r="A437" s="62" t="s">
        <v>528</v>
      </c>
      <c r="B437" s="56">
        <v>36837</v>
      </c>
      <c r="C437" s="62" t="s">
        <v>88</v>
      </c>
      <c r="D437" s="62" t="s">
        <v>84</v>
      </c>
      <c r="E437" s="62" t="s">
        <v>85</v>
      </c>
      <c r="F437" s="62" t="s">
        <v>89</v>
      </c>
      <c r="G437" s="56">
        <v>42857</v>
      </c>
      <c r="H437" s="62">
        <v>5</v>
      </c>
      <c r="I437" s="62">
        <v>15508</v>
      </c>
      <c r="J437" s="62">
        <v>104000000</v>
      </c>
      <c r="L437" s="62">
        <v>1</v>
      </c>
      <c r="N437" s="62">
        <v>1</v>
      </c>
      <c r="P437" s="63">
        <f t="shared" si="7"/>
        <v>120</v>
      </c>
      <c r="Q437" s="64">
        <f t="shared" si="8"/>
        <v>64.61666666666666</v>
      </c>
      <c r="R437" s="64">
        <f t="shared" si="9"/>
        <v>24.7955322265625</v>
      </c>
      <c r="S437" s="64">
        <f t="shared" si="10"/>
        <v>21</v>
      </c>
      <c r="T437" s="64">
        <f t="shared" si="11"/>
        <v>15.07722222222222</v>
      </c>
      <c r="U437" s="64" t="str">
        <f t="shared" si="12"/>
        <v>&lt;35</v>
      </c>
      <c r="V437" s="64" t="str">
        <f t="shared" si="13"/>
        <v>21-30 Гб</v>
      </c>
    </row>
    <row r="438" spans="1:22" ht="15.75" customHeight="1" x14ac:dyDescent="0.25">
      <c r="A438" s="62" t="s">
        <v>529</v>
      </c>
      <c r="B438" s="56">
        <v>36836</v>
      </c>
      <c r="C438" s="62" t="s">
        <v>83</v>
      </c>
      <c r="D438" s="62" t="s">
        <v>84</v>
      </c>
      <c r="E438" s="62" t="s">
        <v>85</v>
      </c>
      <c r="F438" s="62" t="s">
        <v>96</v>
      </c>
      <c r="G438" s="56">
        <v>43220</v>
      </c>
      <c r="H438" s="62">
        <v>5</v>
      </c>
      <c r="I438" s="62">
        <v>94128</v>
      </c>
      <c r="J438" s="62">
        <v>8000000</v>
      </c>
      <c r="P438" s="63">
        <f t="shared" si="7"/>
        <v>120</v>
      </c>
      <c r="Q438" s="64">
        <f t="shared" si="8"/>
        <v>392.2</v>
      </c>
      <c r="R438" s="64">
        <f t="shared" si="9"/>
        <v>1.9073486328125002</v>
      </c>
      <c r="S438" s="64">
        <f t="shared" si="10"/>
        <v>21</v>
      </c>
      <c r="T438" s="64">
        <f t="shared" si="11"/>
        <v>91.513333333333335</v>
      </c>
      <c r="U438" s="64" t="str">
        <f t="shared" si="12"/>
        <v>91-120</v>
      </c>
      <c r="V438" s="64" t="str">
        <f t="shared" si="13"/>
        <v>&lt;10 Гб</v>
      </c>
    </row>
    <row r="439" spans="1:22" ht="15.75" customHeight="1" x14ac:dyDescent="0.25">
      <c r="A439" s="62" t="s">
        <v>530</v>
      </c>
      <c r="B439" s="56">
        <v>36835</v>
      </c>
      <c r="C439" s="62" t="s">
        <v>83</v>
      </c>
      <c r="D439" s="62" t="s">
        <v>84</v>
      </c>
      <c r="E439" s="62" t="s">
        <v>85</v>
      </c>
      <c r="F439" s="62" t="s">
        <v>96</v>
      </c>
      <c r="G439" s="56">
        <v>43176</v>
      </c>
      <c r="H439" s="62">
        <v>5</v>
      </c>
      <c r="I439" s="62">
        <v>33648</v>
      </c>
      <c r="J439" s="62">
        <v>84000000</v>
      </c>
      <c r="L439" s="62">
        <v>1</v>
      </c>
      <c r="P439" s="63">
        <f t="shared" si="7"/>
        <v>120</v>
      </c>
      <c r="Q439" s="64">
        <f t="shared" si="8"/>
        <v>140.19999999999999</v>
      </c>
      <c r="R439" s="64">
        <f t="shared" si="9"/>
        <v>20.02716064453125</v>
      </c>
      <c r="S439" s="64">
        <f t="shared" si="10"/>
        <v>21</v>
      </c>
      <c r="T439" s="64">
        <f t="shared" si="11"/>
        <v>32.713333333333331</v>
      </c>
      <c r="U439" s="64" t="str">
        <f t="shared" si="12"/>
        <v>&lt;35</v>
      </c>
      <c r="V439" s="64" t="str">
        <f t="shared" si="13"/>
        <v>21-30 Гб</v>
      </c>
    </row>
    <row r="440" spans="1:22" ht="15.75" customHeight="1" x14ac:dyDescent="0.25">
      <c r="A440" s="62" t="s">
        <v>531</v>
      </c>
      <c r="B440" s="56">
        <v>36835</v>
      </c>
      <c r="C440" s="62" t="s">
        <v>83</v>
      </c>
      <c r="D440" s="62" t="s">
        <v>84</v>
      </c>
      <c r="E440" s="62" t="s">
        <v>85</v>
      </c>
      <c r="F440" s="62" t="s">
        <v>96</v>
      </c>
      <c r="G440" s="56">
        <v>43300</v>
      </c>
      <c r="H440" s="62">
        <v>5</v>
      </c>
      <c r="I440" s="62">
        <v>19972</v>
      </c>
      <c r="J440" s="62">
        <v>100000000</v>
      </c>
      <c r="N440" s="62">
        <v>1</v>
      </c>
      <c r="P440" s="63">
        <f t="shared" si="7"/>
        <v>120</v>
      </c>
      <c r="Q440" s="64">
        <f t="shared" si="8"/>
        <v>83.216666666666669</v>
      </c>
      <c r="R440" s="64">
        <f t="shared" si="9"/>
        <v>23.84185791015625</v>
      </c>
      <c r="S440" s="64">
        <f t="shared" si="10"/>
        <v>21</v>
      </c>
      <c r="T440" s="64">
        <f t="shared" si="11"/>
        <v>19.417222222222222</v>
      </c>
      <c r="U440" s="64" t="str">
        <f t="shared" si="12"/>
        <v>&lt;35</v>
      </c>
      <c r="V440" s="64" t="str">
        <f t="shared" si="13"/>
        <v>21-30 Гб</v>
      </c>
    </row>
    <row r="441" spans="1:22" ht="15.75" customHeight="1" x14ac:dyDescent="0.25">
      <c r="A441" s="62" t="s">
        <v>532</v>
      </c>
      <c r="B441" s="56">
        <v>36832</v>
      </c>
      <c r="C441" s="62" t="s">
        <v>88</v>
      </c>
      <c r="D441" s="62" t="s">
        <v>84</v>
      </c>
      <c r="E441" s="62" t="s">
        <v>85</v>
      </c>
      <c r="F441" s="62" t="s">
        <v>100</v>
      </c>
      <c r="G441" s="56">
        <v>43577</v>
      </c>
      <c r="H441" s="62">
        <v>5</v>
      </c>
      <c r="I441" s="62">
        <v>55636</v>
      </c>
      <c r="J441" s="62">
        <v>120000000</v>
      </c>
      <c r="P441" s="63">
        <f t="shared" si="7"/>
        <v>120</v>
      </c>
      <c r="Q441" s="64">
        <f t="shared" si="8"/>
        <v>231.81666666666666</v>
      </c>
      <c r="R441" s="64">
        <f t="shared" si="9"/>
        <v>28.6102294921875</v>
      </c>
      <c r="S441" s="64">
        <f t="shared" si="10"/>
        <v>21</v>
      </c>
      <c r="T441" s="64">
        <f t="shared" si="11"/>
        <v>54.090555555555554</v>
      </c>
      <c r="U441" s="64" t="str">
        <f t="shared" si="12"/>
        <v>35-60</v>
      </c>
      <c r="V441" s="64" t="str">
        <f t="shared" si="13"/>
        <v>21-30 Гб</v>
      </c>
    </row>
    <row r="442" spans="1:22" ht="15.75" customHeight="1" x14ac:dyDescent="0.25">
      <c r="A442" s="62" t="s">
        <v>533</v>
      </c>
      <c r="B442" s="56">
        <v>36832</v>
      </c>
      <c r="C442" s="62" t="s">
        <v>88</v>
      </c>
      <c r="D442" s="62" t="s">
        <v>84</v>
      </c>
      <c r="E442" s="62" t="s">
        <v>85</v>
      </c>
      <c r="F442" s="62" t="s">
        <v>89</v>
      </c>
      <c r="G442" s="56">
        <v>43346</v>
      </c>
      <c r="H442" s="62">
        <v>5</v>
      </c>
      <c r="I442" s="62">
        <v>34392</v>
      </c>
      <c r="J442" s="62">
        <v>144000000</v>
      </c>
      <c r="O442" s="62">
        <v>1</v>
      </c>
      <c r="P442" s="63">
        <f t="shared" si="7"/>
        <v>120</v>
      </c>
      <c r="Q442" s="64">
        <f t="shared" si="8"/>
        <v>143.30000000000001</v>
      </c>
      <c r="R442" s="64">
        <f t="shared" si="9"/>
        <v>34.332275390625</v>
      </c>
      <c r="S442" s="64">
        <f t="shared" si="10"/>
        <v>21</v>
      </c>
      <c r="T442" s="64">
        <f t="shared" si="11"/>
        <v>33.436666666666675</v>
      </c>
      <c r="U442" s="64" t="str">
        <f t="shared" si="12"/>
        <v>&lt;35</v>
      </c>
      <c r="V442" s="64" t="str">
        <f t="shared" si="13"/>
        <v>31-40 Гб</v>
      </c>
    </row>
    <row r="443" spans="1:22" ht="15.75" customHeight="1" x14ac:dyDescent="0.25">
      <c r="A443" s="62" t="s">
        <v>534</v>
      </c>
      <c r="B443" s="56">
        <v>36828</v>
      </c>
      <c r="C443" s="62" t="s">
        <v>83</v>
      </c>
      <c r="D443" s="62" t="s">
        <v>84</v>
      </c>
      <c r="E443" s="62" t="s">
        <v>85</v>
      </c>
      <c r="F443" s="62" t="s">
        <v>100</v>
      </c>
      <c r="G443" s="56">
        <v>43098</v>
      </c>
      <c r="H443" s="62">
        <v>5</v>
      </c>
      <c r="I443" s="62">
        <v>105448</v>
      </c>
      <c r="J443" s="62">
        <v>136000000</v>
      </c>
      <c r="P443" s="63">
        <f t="shared" si="7"/>
        <v>120</v>
      </c>
      <c r="Q443" s="64">
        <f t="shared" si="8"/>
        <v>439.36666666666667</v>
      </c>
      <c r="R443" s="64">
        <f t="shared" si="9"/>
        <v>32.4249267578125</v>
      </c>
      <c r="S443" s="64">
        <f t="shared" si="10"/>
        <v>21</v>
      </c>
      <c r="T443" s="64">
        <f t="shared" si="11"/>
        <v>102.51888888888888</v>
      </c>
      <c r="U443" s="64" t="str">
        <f t="shared" si="12"/>
        <v>91-120</v>
      </c>
      <c r="V443" s="64" t="str">
        <f t="shared" si="13"/>
        <v>31-40 Гб</v>
      </c>
    </row>
    <row r="444" spans="1:22" ht="15.75" customHeight="1" x14ac:dyDescent="0.25">
      <c r="A444" s="62" t="s">
        <v>535</v>
      </c>
      <c r="B444" s="56">
        <v>36826</v>
      </c>
      <c r="C444" s="62" t="s">
        <v>88</v>
      </c>
      <c r="D444" s="62" t="s">
        <v>84</v>
      </c>
      <c r="E444" s="62" t="s">
        <v>92</v>
      </c>
      <c r="F444" s="62" t="s">
        <v>89</v>
      </c>
      <c r="G444" s="56">
        <v>43317</v>
      </c>
      <c r="H444" s="62">
        <v>5</v>
      </c>
      <c r="I444" s="62">
        <v>20576</v>
      </c>
      <c r="J444" s="62">
        <v>144000000</v>
      </c>
      <c r="P444" s="63">
        <f t="shared" si="7"/>
        <v>120</v>
      </c>
      <c r="Q444" s="64">
        <f t="shared" si="8"/>
        <v>85.733333333333334</v>
      </c>
      <c r="R444" s="64">
        <f t="shared" si="9"/>
        <v>34.332275390625</v>
      </c>
      <c r="S444" s="64">
        <f t="shared" si="10"/>
        <v>21</v>
      </c>
      <c r="T444" s="64">
        <f t="shared" si="11"/>
        <v>20.004444444444445</v>
      </c>
      <c r="U444" s="64" t="str">
        <f t="shared" si="12"/>
        <v>&lt;35</v>
      </c>
      <c r="V444" s="64" t="str">
        <f t="shared" si="13"/>
        <v>31-40 Гб</v>
      </c>
    </row>
    <row r="445" spans="1:22" ht="15.75" customHeight="1" x14ac:dyDescent="0.25">
      <c r="A445" s="62" t="s">
        <v>536</v>
      </c>
      <c r="B445" s="56">
        <v>36819</v>
      </c>
      <c r="C445" s="62" t="s">
        <v>83</v>
      </c>
      <c r="D445" s="62" t="s">
        <v>84</v>
      </c>
      <c r="E445" s="62" t="s">
        <v>92</v>
      </c>
      <c r="F445" s="62" t="s">
        <v>89</v>
      </c>
      <c r="G445" s="56">
        <v>43419</v>
      </c>
      <c r="H445" s="62">
        <v>5</v>
      </c>
      <c r="I445" s="62">
        <v>27544</v>
      </c>
      <c r="J445" s="62">
        <v>156000000</v>
      </c>
      <c r="P445" s="63">
        <f t="shared" si="7"/>
        <v>120</v>
      </c>
      <c r="Q445" s="64">
        <f t="shared" si="8"/>
        <v>114.76666666666667</v>
      </c>
      <c r="R445" s="64">
        <f t="shared" si="9"/>
        <v>37.19329833984375</v>
      </c>
      <c r="S445" s="64">
        <f t="shared" si="10"/>
        <v>21</v>
      </c>
      <c r="T445" s="64">
        <f t="shared" si="11"/>
        <v>26.77888888888889</v>
      </c>
      <c r="U445" s="64" t="str">
        <f t="shared" si="12"/>
        <v>&lt;35</v>
      </c>
      <c r="V445" s="64" t="str">
        <f t="shared" si="13"/>
        <v>31-40 Гб</v>
      </c>
    </row>
    <row r="446" spans="1:22" ht="15.75" customHeight="1" x14ac:dyDescent="0.25">
      <c r="A446" s="62" t="s">
        <v>537</v>
      </c>
      <c r="B446" s="56">
        <v>36818</v>
      </c>
      <c r="C446" s="62" t="s">
        <v>83</v>
      </c>
      <c r="D446" s="62" t="s">
        <v>84</v>
      </c>
      <c r="E446" s="62" t="s">
        <v>85</v>
      </c>
      <c r="F446" s="62" t="s">
        <v>89</v>
      </c>
      <c r="G446" s="56">
        <v>42994</v>
      </c>
      <c r="H446" s="62">
        <v>5</v>
      </c>
      <c r="I446" s="62">
        <v>23196</v>
      </c>
      <c r="J446" s="62">
        <v>72000000</v>
      </c>
      <c r="K446" s="62">
        <v>1</v>
      </c>
      <c r="P446" s="63">
        <f t="shared" si="7"/>
        <v>120</v>
      </c>
      <c r="Q446" s="64">
        <f t="shared" si="8"/>
        <v>96.65</v>
      </c>
      <c r="R446" s="64">
        <f t="shared" si="9"/>
        <v>17.1661376953125</v>
      </c>
      <c r="S446" s="64">
        <f t="shared" si="10"/>
        <v>21</v>
      </c>
      <c r="T446" s="64">
        <f t="shared" si="11"/>
        <v>22.551666666666669</v>
      </c>
      <c r="U446" s="64" t="str">
        <f t="shared" si="12"/>
        <v>&lt;35</v>
      </c>
      <c r="V446" s="64" t="str">
        <f t="shared" si="13"/>
        <v>10-20 Гб</v>
      </c>
    </row>
    <row r="447" spans="1:22" ht="15.75" customHeight="1" x14ac:dyDescent="0.25">
      <c r="A447" s="62" t="s">
        <v>538</v>
      </c>
      <c r="B447" s="56">
        <v>36817</v>
      </c>
      <c r="C447" s="62" t="s">
        <v>88</v>
      </c>
      <c r="D447" s="62" t="s">
        <v>84</v>
      </c>
      <c r="E447" s="62" t="s">
        <v>85</v>
      </c>
      <c r="F447" s="62" t="s">
        <v>89</v>
      </c>
      <c r="G447" s="56">
        <v>43768</v>
      </c>
      <c r="H447" s="62">
        <v>5</v>
      </c>
      <c r="I447" s="62">
        <v>11676</v>
      </c>
      <c r="J447" s="62">
        <v>132000000</v>
      </c>
      <c r="P447" s="63">
        <f t="shared" si="7"/>
        <v>120</v>
      </c>
      <c r="Q447" s="64">
        <f t="shared" si="8"/>
        <v>48.65</v>
      </c>
      <c r="R447" s="64">
        <f t="shared" si="9"/>
        <v>31.47125244140625</v>
      </c>
      <c r="S447" s="64">
        <f t="shared" si="10"/>
        <v>21</v>
      </c>
      <c r="T447" s="64">
        <f t="shared" si="11"/>
        <v>11.351666666666667</v>
      </c>
      <c r="U447" s="64" t="str">
        <f t="shared" si="12"/>
        <v>&lt;35</v>
      </c>
      <c r="V447" s="64" t="str">
        <f t="shared" si="13"/>
        <v>31-40 Гб</v>
      </c>
    </row>
    <row r="448" spans="1:22" ht="15.75" customHeight="1" x14ac:dyDescent="0.25">
      <c r="A448" s="62" t="s">
        <v>539</v>
      </c>
      <c r="B448" s="56">
        <v>36816</v>
      </c>
      <c r="C448" s="62" t="s">
        <v>88</v>
      </c>
      <c r="D448" s="62" t="s">
        <v>84</v>
      </c>
      <c r="E448" s="62" t="s">
        <v>85</v>
      </c>
      <c r="F448" s="62" t="s">
        <v>100</v>
      </c>
      <c r="G448" s="56">
        <v>43750</v>
      </c>
      <c r="H448" s="62">
        <v>5</v>
      </c>
      <c r="I448" s="62">
        <v>59120</v>
      </c>
      <c r="J448" s="62">
        <v>120000000</v>
      </c>
      <c r="P448" s="63">
        <f t="shared" si="7"/>
        <v>120</v>
      </c>
      <c r="Q448" s="64">
        <f t="shared" si="8"/>
        <v>246.33333333333337</v>
      </c>
      <c r="R448" s="64">
        <f t="shared" si="9"/>
        <v>28.6102294921875</v>
      </c>
      <c r="S448" s="64">
        <f t="shared" si="10"/>
        <v>21</v>
      </c>
      <c r="T448" s="64">
        <f t="shared" si="11"/>
        <v>57.477777777777781</v>
      </c>
      <c r="U448" s="64" t="str">
        <f t="shared" si="12"/>
        <v>35-60</v>
      </c>
      <c r="V448" s="64" t="str">
        <f t="shared" si="13"/>
        <v>21-30 Гб</v>
      </c>
    </row>
    <row r="449" spans="1:22" ht="15.75" customHeight="1" x14ac:dyDescent="0.25">
      <c r="A449" s="62" t="s">
        <v>540</v>
      </c>
      <c r="B449" s="56">
        <v>36810</v>
      </c>
      <c r="C449" s="62" t="s">
        <v>83</v>
      </c>
      <c r="D449" s="62" t="s">
        <v>84</v>
      </c>
      <c r="E449" s="62" t="s">
        <v>85</v>
      </c>
      <c r="F449" s="62" t="s">
        <v>100</v>
      </c>
      <c r="G449" s="56">
        <v>44013</v>
      </c>
      <c r="H449" s="62">
        <v>5</v>
      </c>
      <c r="I449" s="62">
        <v>18828</v>
      </c>
      <c r="J449" s="62">
        <v>116000000</v>
      </c>
      <c r="K449" s="62">
        <v>1</v>
      </c>
      <c r="L449" s="62">
        <v>1</v>
      </c>
      <c r="O449" s="62">
        <v>1</v>
      </c>
      <c r="P449" s="63">
        <f t="shared" si="7"/>
        <v>120</v>
      </c>
      <c r="Q449" s="64">
        <f t="shared" si="8"/>
        <v>78.45</v>
      </c>
      <c r="R449" s="64">
        <f t="shared" si="9"/>
        <v>27.65655517578125</v>
      </c>
      <c r="S449" s="64">
        <f t="shared" si="10"/>
        <v>21</v>
      </c>
      <c r="T449" s="64">
        <f t="shared" si="11"/>
        <v>18.305</v>
      </c>
      <c r="U449" s="64" t="str">
        <f t="shared" si="12"/>
        <v>&lt;35</v>
      </c>
      <c r="V449" s="64" t="str">
        <f t="shared" si="13"/>
        <v>21-30 Гб</v>
      </c>
    </row>
    <row r="450" spans="1:22" ht="15.75" customHeight="1" x14ac:dyDescent="0.25">
      <c r="A450" s="62" t="s">
        <v>541</v>
      </c>
      <c r="B450" s="56">
        <v>36808</v>
      </c>
      <c r="C450" s="62" t="s">
        <v>88</v>
      </c>
      <c r="D450" s="62" t="s">
        <v>84</v>
      </c>
      <c r="E450" s="62" t="s">
        <v>92</v>
      </c>
      <c r="F450" s="62" t="s">
        <v>89</v>
      </c>
      <c r="G450" s="56">
        <v>43201</v>
      </c>
      <c r="H450" s="62">
        <v>5</v>
      </c>
      <c r="I450" s="62">
        <v>19168</v>
      </c>
      <c r="J450" s="62">
        <v>52000000</v>
      </c>
      <c r="K450" s="62">
        <v>1</v>
      </c>
      <c r="P450" s="63">
        <f t="shared" si="7"/>
        <v>120</v>
      </c>
      <c r="Q450" s="64">
        <f t="shared" si="8"/>
        <v>79.86666666666666</v>
      </c>
      <c r="R450" s="64">
        <f t="shared" si="9"/>
        <v>12.39776611328125</v>
      </c>
      <c r="S450" s="64">
        <f t="shared" si="10"/>
        <v>21</v>
      </c>
      <c r="T450" s="64">
        <f t="shared" si="11"/>
        <v>18.635555555555552</v>
      </c>
      <c r="U450" s="64" t="str">
        <f t="shared" si="12"/>
        <v>&lt;35</v>
      </c>
      <c r="V450" s="64" t="str">
        <f t="shared" si="13"/>
        <v>10-20 Гб</v>
      </c>
    </row>
    <row r="451" spans="1:22" ht="15.75" customHeight="1" x14ac:dyDescent="0.25">
      <c r="A451" s="62" t="s">
        <v>542</v>
      </c>
      <c r="B451" s="56">
        <v>36803</v>
      </c>
      <c r="C451" s="62" t="s">
        <v>83</v>
      </c>
      <c r="D451" s="62" t="s">
        <v>84</v>
      </c>
      <c r="E451" s="62" t="s">
        <v>92</v>
      </c>
      <c r="F451" s="62" t="s">
        <v>96</v>
      </c>
      <c r="G451" s="56">
        <v>43496</v>
      </c>
      <c r="H451" s="62">
        <v>5</v>
      </c>
      <c r="I451" s="62">
        <v>31208</v>
      </c>
      <c r="J451" s="62">
        <v>0</v>
      </c>
      <c r="N451" s="62">
        <v>1</v>
      </c>
      <c r="P451" s="63">
        <f t="shared" si="7"/>
        <v>120</v>
      </c>
      <c r="Q451" s="64">
        <f t="shared" si="8"/>
        <v>130.03333333333333</v>
      </c>
      <c r="R451" s="64">
        <f t="shared" si="9"/>
        <v>0</v>
      </c>
      <c r="S451" s="64">
        <f t="shared" si="10"/>
        <v>21</v>
      </c>
      <c r="T451" s="64">
        <f t="shared" si="11"/>
        <v>30.341111111111111</v>
      </c>
      <c r="U451" s="64" t="str">
        <f t="shared" si="12"/>
        <v>&lt;35</v>
      </c>
      <c r="V451" s="64" t="str">
        <f t="shared" si="13"/>
        <v>&lt;10 Гб</v>
      </c>
    </row>
    <row r="452" spans="1:22" ht="15.75" customHeight="1" x14ac:dyDescent="0.25">
      <c r="A452" s="62" t="s">
        <v>543</v>
      </c>
      <c r="B452" s="56">
        <v>36802</v>
      </c>
      <c r="C452" s="62" t="s">
        <v>88</v>
      </c>
      <c r="D452" s="62" t="s">
        <v>84</v>
      </c>
      <c r="E452" s="62" t="s">
        <v>85</v>
      </c>
      <c r="F452" s="62" t="s">
        <v>96</v>
      </c>
      <c r="G452" s="56">
        <v>44632</v>
      </c>
      <c r="H452" s="62">
        <v>1</v>
      </c>
      <c r="I452" s="62">
        <v>22985</v>
      </c>
      <c r="J452" s="62">
        <v>26666667</v>
      </c>
      <c r="P452" s="63">
        <f t="shared" si="7"/>
        <v>50</v>
      </c>
      <c r="Q452" s="64">
        <f t="shared" si="8"/>
        <v>229.85</v>
      </c>
      <c r="R452" s="64">
        <f t="shared" si="9"/>
        <v>15.258789253234863</v>
      </c>
      <c r="S452" s="64">
        <f t="shared" si="10"/>
        <v>21</v>
      </c>
      <c r="T452" s="64">
        <f t="shared" si="11"/>
        <v>53.631666666666668</v>
      </c>
      <c r="U452" s="64" t="str">
        <f t="shared" si="12"/>
        <v>35-60</v>
      </c>
      <c r="V452" s="64" t="str">
        <f t="shared" si="13"/>
        <v>10-20 Гб</v>
      </c>
    </row>
    <row r="453" spans="1:22" ht="15.75" customHeight="1" x14ac:dyDescent="0.25">
      <c r="A453" s="62" t="s">
        <v>544</v>
      </c>
      <c r="B453" s="56">
        <v>36798</v>
      </c>
      <c r="C453" s="62" t="s">
        <v>83</v>
      </c>
      <c r="D453" s="62" t="s">
        <v>84</v>
      </c>
      <c r="E453" s="62" t="s">
        <v>92</v>
      </c>
      <c r="F453" s="62" t="s">
        <v>100</v>
      </c>
      <c r="G453" s="56">
        <v>43960</v>
      </c>
      <c r="H453" s="62">
        <v>5</v>
      </c>
      <c r="I453" s="62">
        <v>56280</v>
      </c>
      <c r="J453" s="62">
        <v>128000000</v>
      </c>
      <c r="P453" s="63">
        <f t="shared" si="7"/>
        <v>120</v>
      </c>
      <c r="Q453" s="64">
        <f t="shared" si="8"/>
        <v>234.5</v>
      </c>
      <c r="R453" s="64">
        <f t="shared" si="9"/>
        <v>30.517578125000004</v>
      </c>
      <c r="S453" s="64">
        <f t="shared" si="10"/>
        <v>21</v>
      </c>
      <c r="T453" s="64">
        <f t="shared" si="11"/>
        <v>54.716666666666669</v>
      </c>
      <c r="U453" s="64" t="str">
        <f t="shared" si="12"/>
        <v>35-60</v>
      </c>
      <c r="V453" s="64" t="str">
        <f t="shared" si="13"/>
        <v>31-40 Гб</v>
      </c>
    </row>
    <row r="454" spans="1:22" ht="15.75" customHeight="1" x14ac:dyDescent="0.25">
      <c r="A454" s="62" t="s">
        <v>545</v>
      </c>
      <c r="B454" s="56">
        <v>36797</v>
      </c>
      <c r="C454" s="62" t="s">
        <v>83</v>
      </c>
      <c r="D454" s="62" t="s">
        <v>84</v>
      </c>
      <c r="E454" s="62" t="s">
        <v>85</v>
      </c>
      <c r="F454" s="62" t="s">
        <v>96</v>
      </c>
      <c r="G454" s="56">
        <v>43951</v>
      </c>
      <c r="H454" s="62">
        <v>5</v>
      </c>
      <c r="I454" s="62">
        <v>55832</v>
      </c>
      <c r="J454" s="62">
        <v>108000000</v>
      </c>
      <c r="L454" s="62">
        <v>1</v>
      </c>
      <c r="P454" s="63">
        <f t="shared" si="7"/>
        <v>120</v>
      </c>
      <c r="Q454" s="64">
        <f t="shared" si="8"/>
        <v>232.63333333333333</v>
      </c>
      <c r="R454" s="64">
        <f t="shared" si="9"/>
        <v>25.74920654296875</v>
      </c>
      <c r="S454" s="64">
        <f t="shared" si="10"/>
        <v>21</v>
      </c>
      <c r="T454" s="64">
        <f t="shared" si="11"/>
        <v>54.281111111111116</v>
      </c>
      <c r="U454" s="64" t="str">
        <f t="shared" si="12"/>
        <v>35-60</v>
      </c>
      <c r="V454" s="64" t="str">
        <f t="shared" si="13"/>
        <v>21-30 Гб</v>
      </c>
    </row>
    <row r="455" spans="1:22" ht="15.75" customHeight="1" x14ac:dyDescent="0.25">
      <c r="A455" s="62" t="s">
        <v>546</v>
      </c>
      <c r="B455" s="56">
        <v>36797</v>
      </c>
      <c r="C455" s="62" t="s">
        <v>83</v>
      </c>
      <c r="D455" s="62" t="s">
        <v>84</v>
      </c>
      <c r="E455" s="62" t="s">
        <v>85</v>
      </c>
      <c r="F455" s="62" t="s">
        <v>89</v>
      </c>
      <c r="G455" s="56">
        <v>43398</v>
      </c>
      <c r="H455" s="62">
        <v>5</v>
      </c>
      <c r="I455" s="62">
        <v>24904</v>
      </c>
      <c r="J455" s="62">
        <v>144000000</v>
      </c>
      <c r="K455" s="62">
        <v>1</v>
      </c>
      <c r="P455" s="63">
        <f t="shared" si="7"/>
        <v>120</v>
      </c>
      <c r="Q455" s="64">
        <f t="shared" si="8"/>
        <v>103.76666666666667</v>
      </c>
      <c r="R455" s="64">
        <f t="shared" si="9"/>
        <v>34.332275390625</v>
      </c>
      <c r="S455" s="64">
        <f t="shared" si="10"/>
        <v>21</v>
      </c>
      <c r="T455" s="64">
        <f t="shared" si="11"/>
        <v>24.212222222222223</v>
      </c>
      <c r="U455" s="64" t="str">
        <f t="shared" si="12"/>
        <v>&lt;35</v>
      </c>
      <c r="V455" s="64" t="str">
        <f t="shared" si="13"/>
        <v>31-40 Гб</v>
      </c>
    </row>
    <row r="456" spans="1:22" ht="15.75" customHeight="1" x14ac:dyDescent="0.25">
      <c r="A456" s="62" t="s">
        <v>547</v>
      </c>
      <c r="B456" s="56">
        <v>36795</v>
      </c>
      <c r="C456" s="62" t="s">
        <v>88</v>
      </c>
      <c r="D456" s="62" t="s">
        <v>84</v>
      </c>
      <c r="E456" s="62" t="s">
        <v>92</v>
      </c>
      <c r="F456" s="62" t="s">
        <v>96</v>
      </c>
      <c r="G456" s="56">
        <v>42794</v>
      </c>
      <c r="H456" s="62">
        <v>5</v>
      </c>
      <c r="I456" s="62">
        <v>31680</v>
      </c>
      <c r="J456" s="62">
        <v>88000000</v>
      </c>
      <c r="L456" s="62">
        <v>1</v>
      </c>
      <c r="P456" s="63">
        <f t="shared" si="7"/>
        <v>120</v>
      </c>
      <c r="Q456" s="64">
        <f t="shared" si="8"/>
        <v>132</v>
      </c>
      <c r="R456" s="64">
        <f t="shared" si="9"/>
        <v>20.9808349609375</v>
      </c>
      <c r="S456" s="64">
        <f t="shared" si="10"/>
        <v>21</v>
      </c>
      <c r="T456" s="64">
        <f t="shared" si="11"/>
        <v>30.8</v>
      </c>
      <c r="U456" s="64" t="str">
        <f t="shared" si="12"/>
        <v>&lt;35</v>
      </c>
      <c r="V456" s="64" t="str">
        <f t="shared" si="13"/>
        <v>21-30 Гб</v>
      </c>
    </row>
    <row r="457" spans="1:22" ht="15.75" customHeight="1" x14ac:dyDescent="0.25">
      <c r="A457" s="62" t="s">
        <v>548</v>
      </c>
      <c r="B457" s="56">
        <v>36794</v>
      </c>
      <c r="C457" s="62" t="s">
        <v>83</v>
      </c>
      <c r="D457" s="62" t="s">
        <v>84</v>
      </c>
      <c r="E457" s="62" t="s">
        <v>85</v>
      </c>
      <c r="F457" s="62" t="s">
        <v>96</v>
      </c>
      <c r="G457" s="56">
        <v>42916</v>
      </c>
      <c r="H457" s="62">
        <v>5</v>
      </c>
      <c r="I457" s="62">
        <v>31316</v>
      </c>
      <c r="J457" s="62">
        <v>92000000</v>
      </c>
      <c r="P457" s="63">
        <f t="shared" si="7"/>
        <v>120</v>
      </c>
      <c r="Q457" s="64">
        <f t="shared" si="8"/>
        <v>130.48333333333332</v>
      </c>
      <c r="R457" s="64">
        <f t="shared" si="9"/>
        <v>21.93450927734375</v>
      </c>
      <c r="S457" s="64">
        <f t="shared" si="10"/>
        <v>21</v>
      </c>
      <c r="T457" s="64">
        <f t="shared" si="11"/>
        <v>30.446111111111108</v>
      </c>
      <c r="U457" s="64" t="str">
        <f t="shared" si="12"/>
        <v>&lt;35</v>
      </c>
      <c r="V457" s="64" t="str">
        <f t="shared" si="13"/>
        <v>21-30 Гб</v>
      </c>
    </row>
    <row r="458" spans="1:22" ht="15.75" customHeight="1" x14ac:dyDescent="0.25">
      <c r="A458" s="62" t="s">
        <v>549</v>
      </c>
      <c r="B458" s="56">
        <v>36794</v>
      </c>
      <c r="C458" s="62" t="s">
        <v>83</v>
      </c>
      <c r="D458" s="62" t="s">
        <v>84</v>
      </c>
      <c r="E458" s="62" t="s">
        <v>92</v>
      </c>
      <c r="F458" s="62" t="s">
        <v>89</v>
      </c>
      <c r="G458" s="56">
        <v>44033</v>
      </c>
      <c r="H458" s="62">
        <v>5</v>
      </c>
      <c r="I458" s="62">
        <v>16656</v>
      </c>
      <c r="J458" s="62">
        <v>124000000</v>
      </c>
      <c r="P458" s="63">
        <f t="shared" si="7"/>
        <v>120</v>
      </c>
      <c r="Q458" s="64">
        <f t="shared" si="8"/>
        <v>69.400000000000006</v>
      </c>
      <c r="R458" s="64">
        <f t="shared" si="9"/>
        <v>29.56390380859375</v>
      </c>
      <c r="S458" s="64">
        <f t="shared" si="10"/>
        <v>21</v>
      </c>
      <c r="T458" s="64">
        <f t="shared" si="11"/>
        <v>16.193333333333335</v>
      </c>
      <c r="U458" s="64" t="str">
        <f t="shared" si="12"/>
        <v>&lt;35</v>
      </c>
      <c r="V458" s="64" t="str">
        <f t="shared" si="13"/>
        <v>21-30 Гб</v>
      </c>
    </row>
    <row r="459" spans="1:22" ht="15.75" customHeight="1" x14ac:dyDescent="0.25">
      <c r="A459" s="62" t="s">
        <v>550</v>
      </c>
      <c r="B459" s="56">
        <v>36793</v>
      </c>
      <c r="C459" s="62" t="s">
        <v>83</v>
      </c>
      <c r="D459" s="62" t="s">
        <v>84</v>
      </c>
      <c r="E459" s="62" t="s">
        <v>85</v>
      </c>
      <c r="F459" s="62" t="s">
        <v>89</v>
      </c>
      <c r="G459" s="56">
        <v>43989</v>
      </c>
      <c r="H459" s="62">
        <v>5</v>
      </c>
      <c r="I459" s="62">
        <v>9696</v>
      </c>
      <c r="J459" s="62">
        <v>136000000</v>
      </c>
      <c r="P459" s="63">
        <f t="shared" si="7"/>
        <v>120</v>
      </c>
      <c r="Q459" s="64">
        <f t="shared" si="8"/>
        <v>40.4</v>
      </c>
      <c r="R459" s="64">
        <f t="shared" si="9"/>
        <v>32.4249267578125</v>
      </c>
      <c r="S459" s="64">
        <f t="shared" si="10"/>
        <v>21</v>
      </c>
      <c r="T459" s="64">
        <f t="shared" si="11"/>
        <v>9.4266666666666676</v>
      </c>
      <c r="U459" s="64" t="str">
        <f t="shared" si="12"/>
        <v>&lt;35</v>
      </c>
      <c r="V459" s="64" t="str">
        <f t="shared" si="13"/>
        <v>31-40 Гб</v>
      </c>
    </row>
    <row r="460" spans="1:22" ht="15.75" customHeight="1" x14ac:dyDescent="0.25">
      <c r="A460" s="62" t="s">
        <v>551</v>
      </c>
      <c r="B460" s="56">
        <v>36792</v>
      </c>
      <c r="C460" s="62" t="s">
        <v>88</v>
      </c>
      <c r="D460" s="62" t="s">
        <v>84</v>
      </c>
      <c r="E460" s="62" t="s">
        <v>85</v>
      </c>
      <c r="F460" s="62" t="s">
        <v>100</v>
      </c>
      <c r="G460" s="56">
        <v>43308</v>
      </c>
      <c r="H460" s="62">
        <v>5</v>
      </c>
      <c r="I460" s="62">
        <v>20256</v>
      </c>
      <c r="J460" s="62">
        <v>132000000</v>
      </c>
      <c r="P460" s="63">
        <f t="shared" si="7"/>
        <v>120</v>
      </c>
      <c r="Q460" s="64">
        <f t="shared" si="8"/>
        <v>84.4</v>
      </c>
      <c r="R460" s="64">
        <f t="shared" si="9"/>
        <v>31.47125244140625</v>
      </c>
      <c r="S460" s="64">
        <f t="shared" si="10"/>
        <v>21</v>
      </c>
      <c r="T460" s="64">
        <f t="shared" si="11"/>
        <v>19.693333333333335</v>
      </c>
      <c r="U460" s="64" t="str">
        <f t="shared" si="12"/>
        <v>&lt;35</v>
      </c>
      <c r="V460" s="64" t="str">
        <f t="shared" si="13"/>
        <v>31-40 Гб</v>
      </c>
    </row>
    <row r="461" spans="1:22" ht="15.75" customHeight="1" x14ac:dyDescent="0.25">
      <c r="A461" s="62" t="s">
        <v>552</v>
      </c>
      <c r="B461" s="56">
        <v>36791</v>
      </c>
      <c r="C461" s="62" t="s">
        <v>83</v>
      </c>
      <c r="D461" s="62" t="s">
        <v>84</v>
      </c>
      <c r="E461" s="62" t="s">
        <v>85</v>
      </c>
      <c r="F461" s="62" t="s">
        <v>89</v>
      </c>
      <c r="G461" s="56">
        <v>43207</v>
      </c>
      <c r="H461" s="62">
        <v>5</v>
      </c>
      <c r="I461" s="62">
        <v>34896</v>
      </c>
      <c r="J461" s="62">
        <v>144000000</v>
      </c>
      <c r="P461" s="63">
        <f t="shared" si="7"/>
        <v>120</v>
      </c>
      <c r="Q461" s="64">
        <f t="shared" si="8"/>
        <v>145.4</v>
      </c>
      <c r="R461" s="64">
        <f t="shared" si="9"/>
        <v>34.332275390625</v>
      </c>
      <c r="S461" s="64">
        <f t="shared" si="10"/>
        <v>21</v>
      </c>
      <c r="T461" s="64">
        <f t="shared" si="11"/>
        <v>33.926666666666669</v>
      </c>
      <c r="U461" s="64" t="str">
        <f t="shared" si="12"/>
        <v>&lt;35</v>
      </c>
      <c r="V461" s="64" t="str">
        <f t="shared" si="13"/>
        <v>31-40 Гб</v>
      </c>
    </row>
    <row r="462" spans="1:22" ht="15.75" customHeight="1" x14ac:dyDescent="0.25">
      <c r="A462" s="62" t="s">
        <v>553</v>
      </c>
      <c r="B462" s="56">
        <v>36790</v>
      </c>
      <c r="C462" s="62" t="s">
        <v>83</v>
      </c>
      <c r="D462" s="62" t="s">
        <v>84</v>
      </c>
      <c r="E462" s="62" t="s">
        <v>92</v>
      </c>
      <c r="F462" s="62" t="s">
        <v>89</v>
      </c>
      <c r="G462" s="56">
        <v>44062</v>
      </c>
      <c r="H462" s="62">
        <v>5</v>
      </c>
      <c r="I462" s="62">
        <v>12328</v>
      </c>
      <c r="J462" s="62">
        <v>152000000</v>
      </c>
      <c r="P462" s="63">
        <f t="shared" si="7"/>
        <v>120</v>
      </c>
      <c r="Q462" s="64">
        <f t="shared" si="8"/>
        <v>51.366666666666667</v>
      </c>
      <c r="R462" s="64">
        <f t="shared" si="9"/>
        <v>36.2396240234375</v>
      </c>
      <c r="S462" s="64">
        <f t="shared" si="10"/>
        <v>21</v>
      </c>
      <c r="T462" s="64">
        <f t="shared" si="11"/>
        <v>11.985555555555555</v>
      </c>
      <c r="U462" s="64" t="str">
        <f t="shared" si="12"/>
        <v>&lt;35</v>
      </c>
      <c r="V462" s="64" t="str">
        <f t="shared" si="13"/>
        <v>31-40 Гб</v>
      </c>
    </row>
    <row r="463" spans="1:22" ht="15.75" customHeight="1" x14ac:dyDescent="0.25">
      <c r="A463" s="62" t="s">
        <v>554</v>
      </c>
      <c r="B463" s="56">
        <v>36786</v>
      </c>
      <c r="C463" s="62" t="s">
        <v>83</v>
      </c>
      <c r="D463" s="62" t="s">
        <v>84</v>
      </c>
      <c r="E463" s="62" t="s">
        <v>92</v>
      </c>
      <c r="F463" s="62" t="s">
        <v>89</v>
      </c>
      <c r="G463" s="56">
        <v>44608</v>
      </c>
      <c r="H463" s="62">
        <v>2</v>
      </c>
      <c r="I463" s="62">
        <v>22200</v>
      </c>
      <c r="J463" s="62">
        <v>93733333</v>
      </c>
      <c r="P463" s="63">
        <f t="shared" si="7"/>
        <v>74</v>
      </c>
      <c r="Q463" s="64">
        <f t="shared" si="8"/>
        <v>150</v>
      </c>
      <c r="R463" s="64">
        <f t="shared" si="9"/>
        <v>36.239623894562591</v>
      </c>
      <c r="S463" s="64">
        <f t="shared" si="10"/>
        <v>21</v>
      </c>
      <c r="T463" s="64">
        <f t="shared" si="11"/>
        <v>35</v>
      </c>
      <c r="U463" s="64" t="str">
        <f t="shared" si="12"/>
        <v>&lt;35</v>
      </c>
      <c r="V463" s="64" t="str">
        <f t="shared" si="13"/>
        <v>31-40 Гб</v>
      </c>
    </row>
    <row r="464" spans="1:22" ht="15.75" customHeight="1" x14ac:dyDescent="0.25">
      <c r="A464" s="62" t="s">
        <v>555</v>
      </c>
      <c r="B464" s="56">
        <v>36784</v>
      </c>
      <c r="C464" s="62" t="s">
        <v>83</v>
      </c>
      <c r="D464" s="62" t="s">
        <v>84</v>
      </c>
      <c r="E464" s="62" t="s">
        <v>85</v>
      </c>
      <c r="F464" s="62" t="s">
        <v>96</v>
      </c>
      <c r="G464" s="56">
        <v>43592</v>
      </c>
      <c r="H464" s="62">
        <v>5</v>
      </c>
      <c r="I464" s="62">
        <v>36436</v>
      </c>
      <c r="J464" s="62">
        <v>32000000</v>
      </c>
      <c r="P464" s="63">
        <f t="shared" si="7"/>
        <v>120</v>
      </c>
      <c r="Q464" s="64">
        <f t="shared" si="8"/>
        <v>151.81666666666666</v>
      </c>
      <c r="R464" s="64">
        <f t="shared" si="9"/>
        <v>7.6293945312500009</v>
      </c>
      <c r="S464" s="64">
        <f t="shared" si="10"/>
        <v>21</v>
      </c>
      <c r="T464" s="64">
        <f t="shared" si="11"/>
        <v>35.423888888888889</v>
      </c>
      <c r="U464" s="64" t="str">
        <f t="shared" si="12"/>
        <v>35-60</v>
      </c>
      <c r="V464" s="64" t="str">
        <f t="shared" si="13"/>
        <v>&lt;10 Гб</v>
      </c>
    </row>
    <row r="465" spans="1:22" ht="15.75" customHeight="1" x14ac:dyDescent="0.25">
      <c r="A465" s="62" t="s">
        <v>556</v>
      </c>
      <c r="B465" s="56">
        <v>36783</v>
      </c>
      <c r="C465" s="62" t="s">
        <v>83</v>
      </c>
      <c r="D465" s="62" t="s">
        <v>84</v>
      </c>
      <c r="E465" s="62" t="s">
        <v>85</v>
      </c>
      <c r="F465" s="62" t="s">
        <v>100</v>
      </c>
      <c r="G465" s="56">
        <v>44170</v>
      </c>
      <c r="H465" s="62">
        <v>5</v>
      </c>
      <c r="I465" s="62">
        <v>83888</v>
      </c>
      <c r="J465" s="62">
        <v>136000000</v>
      </c>
      <c r="P465" s="63">
        <f t="shared" si="7"/>
        <v>120</v>
      </c>
      <c r="Q465" s="64">
        <f t="shared" si="8"/>
        <v>349.53333333333336</v>
      </c>
      <c r="R465" s="64">
        <f t="shared" si="9"/>
        <v>32.4249267578125</v>
      </c>
      <c r="S465" s="64">
        <f t="shared" si="10"/>
        <v>21</v>
      </c>
      <c r="T465" s="64">
        <f t="shared" si="11"/>
        <v>81.557777777777787</v>
      </c>
      <c r="U465" s="64" t="str">
        <f t="shared" si="12"/>
        <v>61-90</v>
      </c>
      <c r="V465" s="64" t="str">
        <f t="shared" si="13"/>
        <v>31-40 Гб</v>
      </c>
    </row>
    <row r="466" spans="1:22" ht="15.75" customHeight="1" x14ac:dyDescent="0.25">
      <c r="A466" s="62" t="s">
        <v>557</v>
      </c>
      <c r="B466" s="56">
        <v>36782</v>
      </c>
      <c r="C466" s="62" t="s">
        <v>88</v>
      </c>
      <c r="D466" s="62" t="s">
        <v>84</v>
      </c>
      <c r="E466" s="62" t="s">
        <v>85</v>
      </c>
      <c r="F466" s="62" t="s">
        <v>93</v>
      </c>
      <c r="G466" s="56">
        <v>44215</v>
      </c>
      <c r="H466" s="62">
        <v>5</v>
      </c>
      <c r="I466" s="62">
        <v>31728</v>
      </c>
      <c r="J466" s="62">
        <v>4000000</v>
      </c>
      <c r="K466" s="62">
        <v>1</v>
      </c>
      <c r="O466" s="62">
        <v>1</v>
      </c>
      <c r="P466" s="63">
        <f t="shared" si="7"/>
        <v>120</v>
      </c>
      <c r="Q466" s="64">
        <f t="shared" si="8"/>
        <v>132.19999999999999</v>
      </c>
      <c r="R466" s="64">
        <f t="shared" si="9"/>
        <v>0.95367431640625011</v>
      </c>
      <c r="S466" s="64">
        <f t="shared" si="10"/>
        <v>21</v>
      </c>
      <c r="T466" s="64">
        <f t="shared" si="11"/>
        <v>30.84666666666666</v>
      </c>
      <c r="U466" s="64" t="str">
        <f t="shared" si="12"/>
        <v>&lt;35</v>
      </c>
      <c r="V466" s="64" t="str">
        <f t="shared" si="13"/>
        <v>&lt;10 Гб</v>
      </c>
    </row>
    <row r="467" spans="1:22" ht="15.75" customHeight="1" x14ac:dyDescent="0.25">
      <c r="A467" s="62" t="s">
        <v>558</v>
      </c>
      <c r="B467" s="56">
        <v>36778</v>
      </c>
      <c r="C467" s="62" t="s">
        <v>88</v>
      </c>
      <c r="D467" s="62" t="s">
        <v>84</v>
      </c>
      <c r="E467" s="62" t="s">
        <v>85</v>
      </c>
      <c r="F467" s="62" t="s">
        <v>89</v>
      </c>
      <c r="G467" s="56">
        <v>43671</v>
      </c>
      <c r="H467" s="62">
        <v>5</v>
      </c>
      <c r="I467" s="62">
        <v>11788</v>
      </c>
      <c r="J467" s="62">
        <v>140000000</v>
      </c>
      <c r="K467" s="62">
        <v>1</v>
      </c>
      <c r="O467" s="62">
        <v>1</v>
      </c>
      <c r="P467" s="63">
        <f t="shared" si="7"/>
        <v>120</v>
      </c>
      <c r="Q467" s="64">
        <f t="shared" si="8"/>
        <v>49.116666666666667</v>
      </c>
      <c r="R467" s="64">
        <f t="shared" si="9"/>
        <v>33.37860107421875</v>
      </c>
      <c r="S467" s="64">
        <f t="shared" si="10"/>
        <v>21</v>
      </c>
      <c r="T467" s="64">
        <f t="shared" si="11"/>
        <v>11.460555555555555</v>
      </c>
      <c r="U467" s="64" t="str">
        <f t="shared" si="12"/>
        <v>&lt;35</v>
      </c>
      <c r="V467" s="64" t="str">
        <f t="shared" si="13"/>
        <v>31-40 Гб</v>
      </c>
    </row>
    <row r="468" spans="1:22" ht="15.75" customHeight="1" x14ac:dyDescent="0.25">
      <c r="A468" s="62" t="s">
        <v>559</v>
      </c>
      <c r="B468" s="56">
        <v>36773</v>
      </c>
      <c r="C468" s="62" t="s">
        <v>88</v>
      </c>
      <c r="D468" s="62" t="s">
        <v>84</v>
      </c>
      <c r="E468" s="62" t="s">
        <v>92</v>
      </c>
      <c r="F468" s="62" t="s">
        <v>93</v>
      </c>
      <c r="G468" s="56">
        <v>43835</v>
      </c>
      <c r="H468" s="62">
        <v>5</v>
      </c>
      <c r="I468" s="62">
        <v>31720</v>
      </c>
      <c r="J468" s="62">
        <v>20000000</v>
      </c>
      <c r="P468" s="63">
        <f t="shared" si="7"/>
        <v>120</v>
      </c>
      <c r="Q468" s="64">
        <f t="shared" si="8"/>
        <v>132.16666666666666</v>
      </c>
      <c r="R468" s="64">
        <f t="shared" si="9"/>
        <v>4.76837158203125</v>
      </c>
      <c r="S468" s="64">
        <f t="shared" si="10"/>
        <v>21</v>
      </c>
      <c r="T468" s="64">
        <f t="shared" si="11"/>
        <v>30.838888888888889</v>
      </c>
      <c r="U468" s="64" t="str">
        <f t="shared" si="12"/>
        <v>&lt;35</v>
      </c>
      <c r="V468" s="64" t="str">
        <f t="shared" si="13"/>
        <v>&lt;10 Гб</v>
      </c>
    </row>
    <row r="469" spans="1:22" ht="15.75" customHeight="1" x14ac:dyDescent="0.25">
      <c r="A469" s="62" t="s">
        <v>560</v>
      </c>
      <c r="B469" s="56">
        <v>36763</v>
      </c>
      <c r="C469" s="62" t="s">
        <v>83</v>
      </c>
      <c r="D469" s="62" t="s">
        <v>84</v>
      </c>
      <c r="E469" s="62" t="s">
        <v>85</v>
      </c>
      <c r="F469" s="62" t="s">
        <v>89</v>
      </c>
      <c r="G469" s="56">
        <v>44145</v>
      </c>
      <c r="H469" s="62">
        <v>5</v>
      </c>
      <c r="I469" s="62">
        <v>3612</v>
      </c>
      <c r="J469" s="62">
        <v>128000000</v>
      </c>
      <c r="P469" s="63">
        <f t="shared" si="7"/>
        <v>120</v>
      </c>
      <c r="Q469" s="64">
        <f t="shared" si="8"/>
        <v>15.05</v>
      </c>
      <c r="R469" s="64">
        <f t="shared" si="9"/>
        <v>30.517578125000004</v>
      </c>
      <c r="S469" s="64">
        <f t="shared" si="10"/>
        <v>21</v>
      </c>
      <c r="T469" s="64">
        <f t="shared" si="11"/>
        <v>3.5116666666666672</v>
      </c>
      <c r="U469" s="64" t="str">
        <f t="shared" si="12"/>
        <v>&lt;35</v>
      </c>
      <c r="V469" s="64" t="str">
        <f t="shared" si="13"/>
        <v>31-40 Гб</v>
      </c>
    </row>
    <row r="470" spans="1:22" ht="15.75" customHeight="1" x14ac:dyDescent="0.25">
      <c r="A470" s="62" t="s">
        <v>561</v>
      </c>
      <c r="B470" s="56">
        <v>36760</v>
      </c>
      <c r="C470" s="62" t="s">
        <v>83</v>
      </c>
      <c r="D470" s="62" t="s">
        <v>84</v>
      </c>
      <c r="E470" s="62" t="s">
        <v>92</v>
      </c>
      <c r="F470" s="62" t="s">
        <v>96</v>
      </c>
      <c r="G470" s="56">
        <v>44411</v>
      </c>
      <c r="H470" s="62">
        <v>5</v>
      </c>
      <c r="I470" s="62">
        <v>84524</v>
      </c>
      <c r="J470" s="62">
        <v>108000000</v>
      </c>
      <c r="M470" s="62">
        <v>1</v>
      </c>
      <c r="P470" s="63">
        <f t="shared" si="7"/>
        <v>120</v>
      </c>
      <c r="Q470" s="64">
        <f t="shared" si="8"/>
        <v>352.18333333333334</v>
      </c>
      <c r="R470" s="64">
        <f t="shared" si="9"/>
        <v>25.74920654296875</v>
      </c>
      <c r="S470" s="64">
        <f t="shared" si="10"/>
        <v>21</v>
      </c>
      <c r="T470" s="64">
        <f t="shared" si="11"/>
        <v>82.176111111111112</v>
      </c>
      <c r="U470" s="64" t="str">
        <f t="shared" si="12"/>
        <v>61-90</v>
      </c>
      <c r="V470" s="64" t="str">
        <f t="shared" si="13"/>
        <v>21-30 Гб</v>
      </c>
    </row>
    <row r="471" spans="1:22" ht="15.75" customHeight="1" x14ac:dyDescent="0.25">
      <c r="A471" s="62" t="s">
        <v>562</v>
      </c>
      <c r="B471" s="56">
        <v>36757</v>
      </c>
      <c r="C471" s="62" t="s">
        <v>83</v>
      </c>
      <c r="D471" s="62" t="s">
        <v>84</v>
      </c>
      <c r="E471" s="62" t="s">
        <v>92</v>
      </c>
      <c r="F471" s="62" t="s">
        <v>89</v>
      </c>
      <c r="G471" s="56">
        <v>44663</v>
      </c>
      <c r="H471" s="62">
        <v>0</v>
      </c>
      <c r="I471" s="62">
        <v>2094</v>
      </c>
      <c r="J471" s="62">
        <v>24066667</v>
      </c>
      <c r="L471" s="62">
        <v>1</v>
      </c>
      <c r="M471" s="62">
        <v>1</v>
      </c>
      <c r="N471" s="62">
        <v>1</v>
      </c>
      <c r="P471" s="63">
        <f t="shared" si="7"/>
        <v>19</v>
      </c>
      <c r="Q471" s="64">
        <f t="shared" si="8"/>
        <v>55.105263157894733</v>
      </c>
      <c r="R471" s="64">
        <f t="shared" si="9"/>
        <v>36.239624525371347</v>
      </c>
      <c r="S471" s="64">
        <f t="shared" si="10"/>
        <v>21</v>
      </c>
      <c r="T471" s="64">
        <f t="shared" si="11"/>
        <v>12.857894736842104</v>
      </c>
      <c r="U471" s="64" t="str">
        <f t="shared" si="12"/>
        <v>&lt;35</v>
      </c>
      <c r="V471" s="64" t="str">
        <f t="shared" si="13"/>
        <v>31-40 Гб</v>
      </c>
    </row>
    <row r="472" spans="1:22" ht="15.75" customHeight="1" x14ac:dyDescent="0.25">
      <c r="A472" s="62" t="s">
        <v>563</v>
      </c>
      <c r="B472" s="56">
        <v>36757</v>
      </c>
      <c r="C472" s="62" t="s">
        <v>88</v>
      </c>
      <c r="D472" s="62" t="s">
        <v>84</v>
      </c>
      <c r="E472" s="62" t="s">
        <v>85</v>
      </c>
      <c r="F472" s="62" t="s">
        <v>89</v>
      </c>
      <c r="G472" s="56">
        <v>44063</v>
      </c>
      <c r="H472" s="62">
        <v>5</v>
      </c>
      <c r="I472" s="62">
        <v>6624</v>
      </c>
      <c r="J472" s="62">
        <v>160000000</v>
      </c>
      <c r="L472" s="62">
        <v>1</v>
      </c>
      <c r="P472" s="63">
        <f t="shared" si="7"/>
        <v>120</v>
      </c>
      <c r="Q472" s="64">
        <f t="shared" si="8"/>
        <v>27.6</v>
      </c>
      <c r="R472" s="64">
        <f t="shared" si="9"/>
        <v>38.14697265625</v>
      </c>
      <c r="S472" s="64">
        <f t="shared" si="10"/>
        <v>21</v>
      </c>
      <c r="T472" s="64">
        <f t="shared" si="11"/>
        <v>6.44</v>
      </c>
      <c r="U472" s="64" t="str">
        <f t="shared" si="12"/>
        <v>&lt;35</v>
      </c>
      <c r="V472" s="64" t="str">
        <f t="shared" si="13"/>
        <v>31-40 Гб</v>
      </c>
    </row>
    <row r="473" spans="1:22" ht="15.75" customHeight="1" x14ac:dyDescent="0.25">
      <c r="A473" s="62" t="s">
        <v>564</v>
      </c>
      <c r="B473" s="56">
        <v>36756</v>
      </c>
      <c r="C473" s="62" t="s">
        <v>88</v>
      </c>
      <c r="D473" s="62" t="s">
        <v>84</v>
      </c>
      <c r="E473" s="62" t="s">
        <v>85</v>
      </c>
      <c r="F473" s="62" t="s">
        <v>96</v>
      </c>
      <c r="G473" s="56">
        <v>43762</v>
      </c>
      <c r="H473" s="62">
        <v>5</v>
      </c>
      <c r="I473" s="62">
        <v>29600</v>
      </c>
      <c r="J473" s="62">
        <v>68000000</v>
      </c>
      <c r="P473" s="63">
        <f t="shared" si="7"/>
        <v>120</v>
      </c>
      <c r="Q473" s="64">
        <f t="shared" si="8"/>
        <v>123.33333333333331</v>
      </c>
      <c r="R473" s="64">
        <f t="shared" si="9"/>
        <v>16.21246337890625</v>
      </c>
      <c r="S473" s="64">
        <f t="shared" si="10"/>
        <v>21</v>
      </c>
      <c r="T473" s="64">
        <f t="shared" si="11"/>
        <v>28.777777777777775</v>
      </c>
      <c r="U473" s="64" t="str">
        <f t="shared" si="12"/>
        <v>&lt;35</v>
      </c>
      <c r="V473" s="64" t="str">
        <f t="shared" si="13"/>
        <v>10-20 Гб</v>
      </c>
    </row>
    <row r="474" spans="1:22" ht="15.75" customHeight="1" x14ac:dyDescent="0.25">
      <c r="A474" s="62" t="s">
        <v>565</v>
      </c>
      <c r="B474" s="56">
        <v>36751</v>
      </c>
      <c r="C474" s="62" t="s">
        <v>88</v>
      </c>
      <c r="D474" s="62" t="s">
        <v>84</v>
      </c>
      <c r="E474" s="62" t="s">
        <v>85</v>
      </c>
      <c r="F474" s="62" t="s">
        <v>96</v>
      </c>
      <c r="G474" s="56">
        <v>43568</v>
      </c>
      <c r="H474" s="62">
        <v>5</v>
      </c>
      <c r="I474" s="62">
        <v>6216</v>
      </c>
      <c r="J474" s="62">
        <v>16000000</v>
      </c>
      <c r="O474" s="62">
        <v>1</v>
      </c>
      <c r="P474" s="63">
        <f t="shared" si="7"/>
        <v>120</v>
      </c>
      <c r="Q474" s="64">
        <f t="shared" si="8"/>
        <v>25.9</v>
      </c>
      <c r="R474" s="64">
        <f t="shared" si="9"/>
        <v>3.8146972656250004</v>
      </c>
      <c r="S474" s="64">
        <f t="shared" si="10"/>
        <v>21</v>
      </c>
      <c r="T474" s="64">
        <f t="shared" si="11"/>
        <v>6.043333333333333</v>
      </c>
      <c r="U474" s="64" t="str">
        <f t="shared" si="12"/>
        <v>&lt;35</v>
      </c>
      <c r="V474" s="64" t="str">
        <f t="shared" si="13"/>
        <v>&lt;10 Гб</v>
      </c>
    </row>
    <row r="475" spans="1:22" ht="15.75" customHeight="1" x14ac:dyDescent="0.25">
      <c r="A475" s="62" t="s">
        <v>566</v>
      </c>
      <c r="B475" s="56">
        <v>36748</v>
      </c>
      <c r="C475" s="62" t="s">
        <v>83</v>
      </c>
      <c r="D475" s="62" t="s">
        <v>84</v>
      </c>
      <c r="E475" s="62" t="s">
        <v>85</v>
      </c>
      <c r="F475" s="62" t="s">
        <v>100</v>
      </c>
      <c r="G475" s="56">
        <v>44292</v>
      </c>
      <c r="H475" s="62">
        <v>5</v>
      </c>
      <c r="I475" s="62">
        <v>45596</v>
      </c>
      <c r="J475" s="62">
        <v>140000000</v>
      </c>
      <c r="P475" s="63">
        <f t="shared" si="7"/>
        <v>120</v>
      </c>
      <c r="Q475" s="64">
        <f t="shared" si="8"/>
        <v>189.98333333333332</v>
      </c>
      <c r="R475" s="64">
        <f t="shared" si="9"/>
        <v>33.37860107421875</v>
      </c>
      <c r="S475" s="64">
        <f t="shared" si="10"/>
        <v>21</v>
      </c>
      <c r="T475" s="64">
        <f t="shared" si="11"/>
        <v>44.329444444444441</v>
      </c>
      <c r="U475" s="64" t="str">
        <f t="shared" si="12"/>
        <v>35-60</v>
      </c>
      <c r="V475" s="64" t="str">
        <f t="shared" si="13"/>
        <v>31-40 Гб</v>
      </c>
    </row>
    <row r="476" spans="1:22" ht="15.75" customHeight="1" x14ac:dyDescent="0.25">
      <c r="A476" s="62" t="s">
        <v>567</v>
      </c>
      <c r="B476" s="56">
        <v>36748</v>
      </c>
      <c r="C476" s="62" t="s">
        <v>83</v>
      </c>
      <c r="D476" s="62" t="s">
        <v>84</v>
      </c>
      <c r="E476" s="62" t="s">
        <v>92</v>
      </c>
      <c r="F476" s="62" t="s">
        <v>89</v>
      </c>
      <c r="G476" s="56">
        <v>43072</v>
      </c>
      <c r="H476" s="62">
        <v>5</v>
      </c>
      <c r="I476" s="62">
        <v>12124</v>
      </c>
      <c r="J476" s="62">
        <v>140000000</v>
      </c>
      <c r="K476" s="62">
        <v>1</v>
      </c>
      <c r="N476" s="62">
        <v>1</v>
      </c>
      <c r="O476" s="62">
        <v>1</v>
      </c>
      <c r="P476" s="63">
        <f t="shared" si="7"/>
        <v>120</v>
      </c>
      <c r="Q476" s="64">
        <f t="shared" si="8"/>
        <v>50.516666666666666</v>
      </c>
      <c r="R476" s="64">
        <f t="shared" si="9"/>
        <v>33.37860107421875</v>
      </c>
      <c r="S476" s="64">
        <f t="shared" si="10"/>
        <v>21</v>
      </c>
      <c r="T476" s="64">
        <f t="shared" si="11"/>
        <v>11.787222222222223</v>
      </c>
      <c r="U476" s="64" t="str">
        <f t="shared" si="12"/>
        <v>&lt;35</v>
      </c>
      <c r="V476" s="64" t="str">
        <f t="shared" si="13"/>
        <v>31-40 Гб</v>
      </c>
    </row>
    <row r="477" spans="1:22" ht="15.75" customHeight="1" x14ac:dyDescent="0.25">
      <c r="A477" s="62" t="s">
        <v>568</v>
      </c>
      <c r="B477" s="56">
        <v>36745</v>
      </c>
      <c r="C477" s="62" t="s">
        <v>88</v>
      </c>
      <c r="D477" s="62" t="s">
        <v>84</v>
      </c>
      <c r="E477" s="62" t="s">
        <v>85</v>
      </c>
      <c r="F477" s="62" t="s">
        <v>89</v>
      </c>
      <c r="G477" s="56">
        <v>44670</v>
      </c>
      <c r="H477" s="62">
        <v>0</v>
      </c>
      <c r="I477" s="62">
        <v>3352</v>
      </c>
      <c r="J477" s="62">
        <v>15600000</v>
      </c>
      <c r="L477" s="62">
        <v>1</v>
      </c>
      <c r="P477" s="63">
        <f t="shared" si="7"/>
        <v>12</v>
      </c>
      <c r="Q477" s="64">
        <f t="shared" si="8"/>
        <v>139.66666666666669</v>
      </c>
      <c r="R477" s="64">
        <f t="shared" si="9"/>
        <v>37.19329833984375</v>
      </c>
      <c r="S477" s="64">
        <f t="shared" si="10"/>
        <v>21</v>
      </c>
      <c r="T477" s="64">
        <f t="shared" si="11"/>
        <v>32.588888888888889</v>
      </c>
      <c r="U477" s="64" t="str">
        <f t="shared" si="12"/>
        <v>&lt;35</v>
      </c>
      <c r="V477" s="64" t="str">
        <f t="shared" si="13"/>
        <v>31-40 Гб</v>
      </c>
    </row>
    <row r="478" spans="1:22" ht="15.75" customHeight="1" x14ac:dyDescent="0.25">
      <c r="A478" s="62" t="s">
        <v>569</v>
      </c>
      <c r="B478" s="56">
        <v>36745</v>
      </c>
      <c r="C478" s="62" t="s">
        <v>83</v>
      </c>
      <c r="D478" s="62" t="s">
        <v>84</v>
      </c>
      <c r="E478" s="62" t="s">
        <v>85</v>
      </c>
      <c r="F478" s="62" t="s">
        <v>89</v>
      </c>
      <c r="G478" s="56">
        <v>43063</v>
      </c>
      <c r="H478" s="62">
        <v>5</v>
      </c>
      <c r="I478" s="62">
        <v>32304</v>
      </c>
      <c r="J478" s="62">
        <v>116000000</v>
      </c>
      <c r="P478" s="63">
        <f t="shared" si="7"/>
        <v>120</v>
      </c>
      <c r="Q478" s="64">
        <f t="shared" si="8"/>
        <v>134.6</v>
      </c>
      <c r="R478" s="64">
        <f t="shared" si="9"/>
        <v>27.65655517578125</v>
      </c>
      <c r="S478" s="64">
        <f t="shared" si="10"/>
        <v>21</v>
      </c>
      <c r="T478" s="64">
        <f t="shared" si="11"/>
        <v>31.406666666666663</v>
      </c>
      <c r="U478" s="64" t="str">
        <f t="shared" si="12"/>
        <v>&lt;35</v>
      </c>
      <c r="V478" s="64" t="str">
        <f t="shared" si="13"/>
        <v>21-30 Гб</v>
      </c>
    </row>
    <row r="479" spans="1:22" ht="15.75" customHeight="1" x14ac:dyDescent="0.25">
      <c r="A479" s="62" t="s">
        <v>570</v>
      </c>
      <c r="B479" s="56">
        <v>36744</v>
      </c>
      <c r="C479" s="62" t="s">
        <v>83</v>
      </c>
      <c r="D479" s="62" t="s">
        <v>84</v>
      </c>
      <c r="E479" s="62" t="s">
        <v>85</v>
      </c>
      <c r="F479" s="62" t="s">
        <v>89</v>
      </c>
      <c r="G479" s="56">
        <v>44230</v>
      </c>
      <c r="H479" s="62">
        <v>5</v>
      </c>
      <c r="I479" s="62">
        <v>25096</v>
      </c>
      <c r="J479" s="62">
        <v>148000000</v>
      </c>
      <c r="O479" s="62">
        <v>1</v>
      </c>
      <c r="P479" s="63">
        <f t="shared" si="7"/>
        <v>120</v>
      </c>
      <c r="Q479" s="64">
        <f t="shared" si="8"/>
        <v>104.56666666666666</v>
      </c>
      <c r="R479" s="64">
        <f t="shared" si="9"/>
        <v>35.28594970703125</v>
      </c>
      <c r="S479" s="64">
        <f t="shared" si="10"/>
        <v>21</v>
      </c>
      <c r="T479" s="64">
        <f t="shared" si="11"/>
        <v>24.398888888888891</v>
      </c>
      <c r="U479" s="64" t="str">
        <f t="shared" si="12"/>
        <v>&lt;35</v>
      </c>
      <c r="V479" s="64" t="str">
        <f t="shared" si="13"/>
        <v>31-40 Гб</v>
      </c>
    </row>
    <row r="480" spans="1:22" ht="15.75" customHeight="1" x14ac:dyDescent="0.25">
      <c r="A480" s="62" t="s">
        <v>571</v>
      </c>
      <c r="B480" s="56">
        <v>36743</v>
      </c>
      <c r="C480" s="62" t="s">
        <v>83</v>
      </c>
      <c r="D480" s="62" t="s">
        <v>84</v>
      </c>
      <c r="E480" s="62" t="s">
        <v>85</v>
      </c>
      <c r="F480" s="62" t="s">
        <v>89</v>
      </c>
      <c r="G480" s="56">
        <v>43362</v>
      </c>
      <c r="H480" s="62">
        <v>5</v>
      </c>
      <c r="I480" s="62">
        <v>17040</v>
      </c>
      <c r="J480" s="62">
        <v>148000000</v>
      </c>
      <c r="P480" s="63">
        <f t="shared" si="7"/>
        <v>120</v>
      </c>
      <c r="Q480" s="64">
        <f t="shared" si="8"/>
        <v>71</v>
      </c>
      <c r="R480" s="64">
        <f t="shared" si="9"/>
        <v>35.28594970703125</v>
      </c>
      <c r="S480" s="64">
        <f t="shared" si="10"/>
        <v>21</v>
      </c>
      <c r="T480" s="64">
        <f t="shared" si="11"/>
        <v>16.566666666666666</v>
      </c>
      <c r="U480" s="64" t="str">
        <f t="shared" si="12"/>
        <v>&lt;35</v>
      </c>
      <c r="V480" s="64" t="str">
        <f t="shared" si="13"/>
        <v>31-40 Гб</v>
      </c>
    </row>
    <row r="481" spans="1:22" ht="15.75" customHeight="1" x14ac:dyDescent="0.25">
      <c r="A481" s="62" t="s">
        <v>572</v>
      </c>
      <c r="B481" s="56">
        <v>36740</v>
      </c>
      <c r="C481" s="62" t="s">
        <v>83</v>
      </c>
      <c r="D481" s="62" t="s">
        <v>84</v>
      </c>
      <c r="E481" s="62" t="s">
        <v>92</v>
      </c>
      <c r="F481" s="62" t="s">
        <v>93</v>
      </c>
      <c r="G481" s="56">
        <v>42875</v>
      </c>
      <c r="H481" s="62">
        <v>5</v>
      </c>
      <c r="I481" s="62">
        <v>31440</v>
      </c>
      <c r="J481" s="62">
        <v>12000000</v>
      </c>
      <c r="P481" s="63">
        <f t="shared" si="7"/>
        <v>120</v>
      </c>
      <c r="Q481" s="64">
        <f t="shared" si="8"/>
        <v>131</v>
      </c>
      <c r="R481" s="64">
        <f t="shared" si="9"/>
        <v>2.86102294921875</v>
      </c>
      <c r="S481" s="64">
        <f t="shared" si="10"/>
        <v>21</v>
      </c>
      <c r="T481" s="64">
        <f t="shared" si="11"/>
        <v>30.566666666666666</v>
      </c>
      <c r="U481" s="64" t="str">
        <f t="shared" si="12"/>
        <v>&lt;35</v>
      </c>
      <c r="V481" s="64" t="str">
        <f t="shared" si="13"/>
        <v>&lt;10 Гб</v>
      </c>
    </row>
    <row r="482" spans="1:22" ht="15.75" customHeight="1" x14ac:dyDescent="0.25">
      <c r="A482" s="62" t="s">
        <v>573</v>
      </c>
      <c r="B482" s="56">
        <v>36739</v>
      </c>
      <c r="C482" s="62" t="s">
        <v>83</v>
      </c>
      <c r="D482" s="62" t="s">
        <v>84</v>
      </c>
      <c r="E482" s="62" t="s">
        <v>92</v>
      </c>
      <c r="F482" s="62" t="s">
        <v>100</v>
      </c>
      <c r="G482" s="56">
        <v>43916</v>
      </c>
      <c r="H482" s="62">
        <v>5</v>
      </c>
      <c r="I482" s="62">
        <v>56832</v>
      </c>
      <c r="J482" s="62">
        <v>136000000</v>
      </c>
      <c r="L482" s="62">
        <v>1</v>
      </c>
      <c r="P482" s="63">
        <f t="shared" si="7"/>
        <v>120</v>
      </c>
      <c r="Q482" s="64">
        <f t="shared" si="8"/>
        <v>236.8</v>
      </c>
      <c r="R482" s="64">
        <f t="shared" si="9"/>
        <v>32.4249267578125</v>
      </c>
      <c r="S482" s="64">
        <f t="shared" si="10"/>
        <v>21</v>
      </c>
      <c r="T482" s="64">
        <f t="shared" si="11"/>
        <v>55.253333333333337</v>
      </c>
      <c r="U482" s="64" t="str">
        <f t="shared" si="12"/>
        <v>35-60</v>
      </c>
      <c r="V482" s="64" t="str">
        <f t="shared" si="13"/>
        <v>31-40 Гб</v>
      </c>
    </row>
    <row r="483" spans="1:22" ht="15.75" customHeight="1" x14ac:dyDescent="0.25">
      <c r="A483" s="62" t="s">
        <v>574</v>
      </c>
      <c r="B483" s="56">
        <v>36738</v>
      </c>
      <c r="C483" s="62" t="s">
        <v>83</v>
      </c>
      <c r="D483" s="62" t="s">
        <v>84</v>
      </c>
      <c r="E483" s="62" t="s">
        <v>85</v>
      </c>
      <c r="F483" s="62" t="s">
        <v>93</v>
      </c>
      <c r="G483" s="56">
        <v>44215</v>
      </c>
      <c r="H483" s="62">
        <v>5</v>
      </c>
      <c r="I483" s="62">
        <v>7704</v>
      </c>
      <c r="J483" s="62">
        <v>16000000</v>
      </c>
      <c r="P483" s="63">
        <f t="shared" si="7"/>
        <v>120</v>
      </c>
      <c r="Q483" s="64">
        <f t="shared" si="8"/>
        <v>32.1</v>
      </c>
      <c r="R483" s="64">
        <f t="shared" si="9"/>
        <v>3.8146972656250004</v>
      </c>
      <c r="S483" s="64">
        <f t="shared" si="10"/>
        <v>21</v>
      </c>
      <c r="T483" s="64">
        <f t="shared" si="11"/>
        <v>7.49</v>
      </c>
      <c r="U483" s="64" t="str">
        <f t="shared" si="12"/>
        <v>&lt;35</v>
      </c>
      <c r="V483" s="64" t="str">
        <f t="shared" si="13"/>
        <v>&lt;10 Гб</v>
      </c>
    </row>
    <row r="484" spans="1:22" ht="15.75" customHeight="1" x14ac:dyDescent="0.25">
      <c r="A484" s="62" t="s">
        <v>575</v>
      </c>
      <c r="B484" s="56">
        <v>36737</v>
      </c>
      <c r="C484" s="62" t="s">
        <v>88</v>
      </c>
      <c r="D484" s="62" t="s">
        <v>84</v>
      </c>
      <c r="E484" s="62" t="s">
        <v>92</v>
      </c>
      <c r="F484" s="62" t="s">
        <v>96</v>
      </c>
      <c r="G484" s="56">
        <v>42829</v>
      </c>
      <c r="H484" s="62">
        <v>5</v>
      </c>
      <c r="I484" s="62">
        <v>54788</v>
      </c>
      <c r="J484" s="62">
        <v>92000000</v>
      </c>
      <c r="P484" s="63">
        <f t="shared" si="7"/>
        <v>120</v>
      </c>
      <c r="Q484" s="64">
        <f t="shared" si="8"/>
        <v>228.28333333333333</v>
      </c>
      <c r="R484" s="64">
        <f t="shared" si="9"/>
        <v>21.93450927734375</v>
      </c>
      <c r="S484" s="64">
        <f t="shared" si="10"/>
        <v>21</v>
      </c>
      <c r="T484" s="64">
        <f t="shared" si="11"/>
        <v>53.266111111111108</v>
      </c>
      <c r="U484" s="64" t="str">
        <f t="shared" si="12"/>
        <v>35-60</v>
      </c>
      <c r="V484" s="64" t="str">
        <f t="shared" si="13"/>
        <v>21-30 Гб</v>
      </c>
    </row>
    <row r="485" spans="1:22" ht="15.75" customHeight="1" x14ac:dyDescent="0.25">
      <c r="A485" s="62" t="s">
        <v>576</v>
      </c>
      <c r="B485" s="56">
        <v>36735</v>
      </c>
      <c r="C485" s="62" t="s">
        <v>88</v>
      </c>
      <c r="D485" s="62" t="s">
        <v>84</v>
      </c>
      <c r="E485" s="62" t="s">
        <v>85</v>
      </c>
      <c r="F485" s="62" t="s">
        <v>89</v>
      </c>
      <c r="G485" s="56">
        <v>44514</v>
      </c>
      <c r="H485" s="62">
        <v>5</v>
      </c>
      <c r="I485" s="62">
        <v>34324</v>
      </c>
      <c r="J485" s="62">
        <v>136000000</v>
      </c>
      <c r="L485" s="62">
        <v>1</v>
      </c>
      <c r="M485" s="62">
        <v>1</v>
      </c>
      <c r="P485" s="63">
        <f t="shared" si="7"/>
        <v>120</v>
      </c>
      <c r="Q485" s="64">
        <f t="shared" si="8"/>
        <v>143.01666666666668</v>
      </c>
      <c r="R485" s="64">
        <f t="shared" si="9"/>
        <v>32.4249267578125</v>
      </c>
      <c r="S485" s="64">
        <f t="shared" si="10"/>
        <v>21</v>
      </c>
      <c r="T485" s="64">
        <f t="shared" si="11"/>
        <v>33.370555555555562</v>
      </c>
      <c r="U485" s="64" t="str">
        <f t="shared" si="12"/>
        <v>&lt;35</v>
      </c>
      <c r="V485" s="64" t="str">
        <f t="shared" si="13"/>
        <v>31-40 Гб</v>
      </c>
    </row>
    <row r="486" spans="1:22" ht="15.75" customHeight="1" x14ac:dyDescent="0.25">
      <c r="A486" s="62" t="s">
        <v>577</v>
      </c>
      <c r="B486" s="56">
        <v>36732</v>
      </c>
      <c r="C486" s="62" t="s">
        <v>88</v>
      </c>
      <c r="D486" s="62" t="s">
        <v>84</v>
      </c>
      <c r="E486" s="62" t="s">
        <v>92</v>
      </c>
      <c r="F486" s="62" t="s">
        <v>89</v>
      </c>
      <c r="G486" s="56">
        <v>43286</v>
      </c>
      <c r="H486" s="62">
        <v>5</v>
      </c>
      <c r="I486" s="62">
        <v>10664</v>
      </c>
      <c r="J486" s="62">
        <v>8000000</v>
      </c>
      <c r="P486" s="63">
        <f t="shared" si="7"/>
        <v>120</v>
      </c>
      <c r="Q486" s="64">
        <f t="shared" si="8"/>
        <v>44.43333333333333</v>
      </c>
      <c r="R486" s="64">
        <f t="shared" si="9"/>
        <v>1.9073486328125002</v>
      </c>
      <c r="S486" s="64">
        <f t="shared" si="10"/>
        <v>21</v>
      </c>
      <c r="T486" s="64">
        <f t="shared" si="11"/>
        <v>10.367777777777777</v>
      </c>
      <c r="U486" s="64" t="str">
        <f t="shared" si="12"/>
        <v>&lt;35</v>
      </c>
      <c r="V486" s="64" t="str">
        <f t="shared" si="13"/>
        <v>&lt;10 Гб</v>
      </c>
    </row>
    <row r="487" spans="1:22" ht="15.75" customHeight="1" x14ac:dyDescent="0.25">
      <c r="A487" s="62" t="s">
        <v>578</v>
      </c>
      <c r="B487" s="56">
        <v>36725</v>
      </c>
      <c r="C487" s="62" t="s">
        <v>88</v>
      </c>
      <c r="D487" s="62" t="s">
        <v>84</v>
      </c>
      <c r="E487" s="62" t="s">
        <v>92</v>
      </c>
      <c r="F487" s="62" t="s">
        <v>96</v>
      </c>
      <c r="G487" s="56">
        <v>44629</v>
      </c>
      <c r="H487" s="62">
        <v>1</v>
      </c>
      <c r="I487" s="62">
        <v>21982</v>
      </c>
      <c r="J487" s="62">
        <v>31800000</v>
      </c>
      <c r="P487" s="63">
        <f t="shared" si="7"/>
        <v>53</v>
      </c>
      <c r="Q487" s="64">
        <f t="shared" si="8"/>
        <v>207.37735849056602</v>
      </c>
      <c r="R487" s="64">
        <f t="shared" si="9"/>
        <v>17.1661376953125</v>
      </c>
      <c r="S487" s="64">
        <f t="shared" si="10"/>
        <v>21</v>
      </c>
      <c r="T487" s="64">
        <f t="shared" si="11"/>
        <v>48.38805031446541</v>
      </c>
      <c r="U487" s="64" t="str">
        <f t="shared" si="12"/>
        <v>35-60</v>
      </c>
      <c r="V487" s="64" t="str">
        <f t="shared" si="13"/>
        <v>10-20 Гб</v>
      </c>
    </row>
    <row r="488" spans="1:22" ht="15.75" customHeight="1" x14ac:dyDescent="0.25">
      <c r="A488" s="62" t="s">
        <v>579</v>
      </c>
      <c r="B488" s="56">
        <v>36722</v>
      </c>
      <c r="C488" s="62" t="s">
        <v>83</v>
      </c>
      <c r="D488" s="62" t="s">
        <v>84</v>
      </c>
      <c r="E488" s="62" t="s">
        <v>85</v>
      </c>
      <c r="F488" s="62" t="s">
        <v>100</v>
      </c>
      <c r="G488" s="56">
        <v>43894</v>
      </c>
      <c r="H488" s="62">
        <v>5</v>
      </c>
      <c r="I488" s="62">
        <v>96160</v>
      </c>
      <c r="J488" s="62">
        <v>92000000</v>
      </c>
      <c r="P488" s="63">
        <f t="shared" si="7"/>
        <v>120</v>
      </c>
      <c r="Q488" s="64">
        <f t="shared" si="8"/>
        <v>400.66666666666669</v>
      </c>
      <c r="R488" s="64">
        <f t="shared" si="9"/>
        <v>21.93450927734375</v>
      </c>
      <c r="S488" s="64">
        <f t="shared" si="10"/>
        <v>21</v>
      </c>
      <c r="T488" s="64">
        <f t="shared" si="11"/>
        <v>93.488888888888894</v>
      </c>
      <c r="U488" s="64" t="str">
        <f t="shared" si="12"/>
        <v>91-120</v>
      </c>
      <c r="V488" s="64" t="str">
        <f t="shared" si="13"/>
        <v>21-30 Гб</v>
      </c>
    </row>
    <row r="489" spans="1:22" ht="15.75" customHeight="1" x14ac:dyDescent="0.25">
      <c r="A489" s="62" t="s">
        <v>580</v>
      </c>
      <c r="B489" s="56">
        <v>36720</v>
      </c>
      <c r="C489" s="62" t="s">
        <v>88</v>
      </c>
      <c r="D489" s="62" t="s">
        <v>84</v>
      </c>
      <c r="E489" s="62" t="s">
        <v>85</v>
      </c>
      <c r="F489" s="62" t="s">
        <v>100</v>
      </c>
      <c r="G489" s="56">
        <v>42965</v>
      </c>
      <c r="H489" s="62">
        <v>5</v>
      </c>
      <c r="I489" s="62">
        <v>103484</v>
      </c>
      <c r="J489" s="62">
        <v>128000000</v>
      </c>
      <c r="K489" s="62">
        <v>1</v>
      </c>
      <c r="L489" s="62">
        <v>1</v>
      </c>
      <c r="P489" s="63">
        <f t="shared" si="7"/>
        <v>120</v>
      </c>
      <c r="Q489" s="64">
        <f t="shared" si="8"/>
        <v>431.18333333333334</v>
      </c>
      <c r="R489" s="64">
        <f t="shared" si="9"/>
        <v>30.517578125000004</v>
      </c>
      <c r="S489" s="64">
        <f t="shared" si="10"/>
        <v>21</v>
      </c>
      <c r="T489" s="64">
        <f t="shared" si="11"/>
        <v>100.60944444444445</v>
      </c>
      <c r="U489" s="64" t="str">
        <f t="shared" si="12"/>
        <v>91-120</v>
      </c>
      <c r="V489" s="64" t="str">
        <f t="shared" si="13"/>
        <v>31-40 Гб</v>
      </c>
    </row>
    <row r="490" spans="1:22" ht="15.75" customHeight="1" x14ac:dyDescent="0.25">
      <c r="A490" s="62" t="s">
        <v>581</v>
      </c>
      <c r="B490" s="56">
        <v>36717</v>
      </c>
      <c r="C490" s="62" t="s">
        <v>88</v>
      </c>
      <c r="D490" s="62" t="s">
        <v>84</v>
      </c>
      <c r="E490" s="62" t="s">
        <v>85</v>
      </c>
      <c r="F490" s="62" t="s">
        <v>96</v>
      </c>
      <c r="G490" s="56">
        <v>43409</v>
      </c>
      <c r="H490" s="62">
        <v>5</v>
      </c>
      <c r="I490" s="62">
        <v>42952</v>
      </c>
      <c r="J490" s="62">
        <v>96000000</v>
      </c>
      <c r="P490" s="63">
        <f t="shared" si="7"/>
        <v>120</v>
      </c>
      <c r="Q490" s="64">
        <f t="shared" si="8"/>
        <v>178.96666666666667</v>
      </c>
      <c r="R490" s="64">
        <f t="shared" si="9"/>
        <v>22.88818359375</v>
      </c>
      <c r="S490" s="64">
        <f t="shared" si="10"/>
        <v>21</v>
      </c>
      <c r="T490" s="64">
        <f t="shared" si="11"/>
        <v>41.75888888888889</v>
      </c>
      <c r="U490" s="64" t="str">
        <f t="shared" si="12"/>
        <v>35-60</v>
      </c>
      <c r="V490" s="64" t="str">
        <f t="shared" si="13"/>
        <v>21-30 Гб</v>
      </c>
    </row>
    <row r="491" spans="1:22" ht="15.75" customHeight="1" x14ac:dyDescent="0.25">
      <c r="A491" s="62" t="s">
        <v>582</v>
      </c>
      <c r="B491" s="56">
        <v>36711</v>
      </c>
      <c r="C491" s="62" t="s">
        <v>83</v>
      </c>
      <c r="D491" s="62" t="s">
        <v>84</v>
      </c>
      <c r="E491" s="62" t="s">
        <v>85</v>
      </c>
      <c r="F491" s="62" t="s">
        <v>96</v>
      </c>
      <c r="G491" s="56">
        <v>42743</v>
      </c>
      <c r="H491" s="62">
        <v>5</v>
      </c>
      <c r="I491" s="62">
        <v>4452</v>
      </c>
      <c r="J491" s="62">
        <v>64000000</v>
      </c>
      <c r="L491" s="62">
        <v>1</v>
      </c>
      <c r="P491" s="63">
        <f t="shared" si="7"/>
        <v>120</v>
      </c>
      <c r="Q491" s="64">
        <f t="shared" si="8"/>
        <v>18.55</v>
      </c>
      <c r="R491" s="64">
        <f t="shared" si="9"/>
        <v>15.258789062500002</v>
      </c>
      <c r="S491" s="64">
        <f t="shared" si="10"/>
        <v>21</v>
      </c>
      <c r="T491" s="64">
        <f t="shared" si="11"/>
        <v>4.3283333333333331</v>
      </c>
      <c r="U491" s="64" t="str">
        <f t="shared" si="12"/>
        <v>&lt;35</v>
      </c>
      <c r="V491" s="64" t="str">
        <f t="shared" si="13"/>
        <v>10-20 Гб</v>
      </c>
    </row>
    <row r="492" spans="1:22" ht="15.75" customHeight="1" x14ac:dyDescent="0.25">
      <c r="A492" s="62" t="s">
        <v>583</v>
      </c>
      <c r="B492" s="56">
        <v>36709</v>
      </c>
      <c r="C492" s="62" t="s">
        <v>83</v>
      </c>
      <c r="D492" s="62" t="s">
        <v>84</v>
      </c>
      <c r="E492" s="62" t="s">
        <v>85</v>
      </c>
      <c r="F492" s="62" t="s">
        <v>100</v>
      </c>
      <c r="G492" s="56">
        <v>43559</v>
      </c>
      <c r="H492" s="62">
        <v>5</v>
      </c>
      <c r="I492" s="62">
        <v>61780</v>
      </c>
      <c r="J492" s="62">
        <v>136000000</v>
      </c>
      <c r="K492" s="62">
        <v>1</v>
      </c>
      <c r="P492" s="63">
        <f t="shared" si="7"/>
        <v>120</v>
      </c>
      <c r="Q492" s="64">
        <f t="shared" si="8"/>
        <v>257.41666666666669</v>
      </c>
      <c r="R492" s="64">
        <f t="shared" si="9"/>
        <v>32.4249267578125</v>
      </c>
      <c r="S492" s="64">
        <f t="shared" si="10"/>
        <v>21</v>
      </c>
      <c r="T492" s="64">
        <f t="shared" si="11"/>
        <v>60.06388888888889</v>
      </c>
      <c r="U492" s="64" t="str">
        <f t="shared" si="12"/>
        <v>61-90</v>
      </c>
      <c r="V492" s="64" t="str">
        <f t="shared" si="13"/>
        <v>31-40 Гб</v>
      </c>
    </row>
    <row r="493" spans="1:22" ht="15.75" customHeight="1" x14ac:dyDescent="0.25">
      <c r="A493" s="62" t="s">
        <v>584</v>
      </c>
      <c r="B493" s="56">
        <v>36707</v>
      </c>
      <c r="C493" s="62" t="s">
        <v>83</v>
      </c>
      <c r="D493" s="62" t="s">
        <v>84</v>
      </c>
      <c r="E493" s="62" t="s">
        <v>92</v>
      </c>
      <c r="F493" s="62" t="s">
        <v>96</v>
      </c>
      <c r="G493" s="56">
        <v>42924</v>
      </c>
      <c r="H493" s="62">
        <v>5</v>
      </c>
      <c r="I493" s="62">
        <v>47916</v>
      </c>
      <c r="J493" s="62">
        <v>84000000</v>
      </c>
      <c r="P493" s="63">
        <f t="shared" si="7"/>
        <v>120</v>
      </c>
      <c r="Q493" s="64">
        <f t="shared" si="8"/>
        <v>199.65</v>
      </c>
      <c r="R493" s="64">
        <f t="shared" si="9"/>
        <v>20.02716064453125</v>
      </c>
      <c r="S493" s="64">
        <f t="shared" si="10"/>
        <v>21</v>
      </c>
      <c r="T493" s="64">
        <f t="shared" si="11"/>
        <v>46.585000000000001</v>
      </c>
      <c r="U493" s="64" t="str">
        <f t="shared" si="12"/>
        <v>35-60</v>
      </c>
      <c r="V493" s="64" t="str">
        <f t="shared" si="13"/>
        <v>21-30 Гб</v>
      </c>
    </row>
    <row r="494" spans="1:22" ht="15.75" customHeight="1" x14ac:dyDescent="0.25">
      <c r="A494" s="62" t="s">
        <v>585</v>
      </c>
      <c r="B494" s="56">
        <v>36705</v>
      </c>
      <c r="C494" s="62" t="s">
        <v>83</v>
      </c>
      <c r="D494" s="62" t="s">
        <v>84</v>
      </c>
      <c r="E494" s="62" t="s">
        <v>85</v>
      </c>
      <c r="F494" s="62" t="s">
        <v>100</v>
      </c>
      <c r="G494" s="56">
        <v>42958</v>
      </c>
      <c r="H494" s="62">
        <v>5</v>
      </c>
      <c r="I494" s="62">
        <v>70692</v>
      </c>
      <c r="J494" s="62">
        <v>132000000</v>
      </c>
      <c r="P494" s="63">
        <f t="shared" si="7"/>
        <v>120</v>
      </c>
      <c r="Q494" s="64">
        <f t="shared" si="8"/>
        <v>294.55</v>
      </c>
      <c r="R494" s="64">
        <f t="shared" si="9"/>
        <v>31.47125244140625</v>
      </c>
      <c r="S494" s="64">
        <f t="shared" si="10"/>
        <v>21</v>
      </c>
      <c r="T494" s="64">
        <f t="shared" si="11"/>
        <v>68.728333333333325</v>
      </c>
      <c r="U494" s="64" t="str">
        <f t="shared" si="12"/>
        <v>61-90</v>
      </c>
      <c r="V494" s="64" t="str">
        <f t="shared" si="13"/>
        <v>31-40 Гб</v>
      </c>
    </row>
    <row r="495" spans="1:22" ht="15.75" customHeight="1" x14ac:dyDescent="0.25">
      <c r="A495" s="62" t="s">
        <v>586</v>
      </c>
      <c r="B495" s="56">
        <v>36705</v>
      </c>
      <c r="C495" s="62" t="s">
        <v>83</v>
      </c>
      <c r="D495" s="62" t="s">
        <v>84</v>
      </c>
      <c r="E495" s="62" t="s">
        <v>92</v>
      </c>
      <c r="F495" s="62" t="s">
        <v>96</v>
      </c>
      <c r="G495" s="56">
        <v>43875</v>
      </c>
      <c r="H495" s="62">
        <v>5</v>
      </c>
      <c r="I495" s="62">
        <v>58976</v>
      </c>
      <c r="J495" s="62">
        <v>96000000</v>
      </c>
      <c r="P495" s="63">
        <f t="shared" si="7"/>
        <v>120</v>
      </c>
      <c r="Q495" s="64">
        <f t="shared" si="8"/>
        <v>245.73333333333332</v>
      </c>
      <c r="R495" s="64">
        <f t="shared" si="9"/>
        <v>22.88818359375</v>
      </c>
      <c r="S495" s="64">
        <f t="shared" si="10"/>
        <v>21</v>
      </c>
      <c r="T495" s="64">
        <f t="shared" si="11"/>
        <v>57.337777777777774</v>
      </c>
      <c r="U495" s="64" t="str">
        <f t="shared" si="12"/>
        <v>35-60</v>
      </c>
      <c r="V495" s="64" t="str">
        <f t="shared" si="13"/>
        <v>21-30 Гб</v>
      </c>
    </row>
    <row r="496" spans="1:22" ht="15.75" customHeight="1" x14ac:dyDescent="0.25">
      <c r="A496" s="62" t="s">
        <v>587</v>
      </c>
      <c r="B496" s="56">
        <v>36703</v>
      </c>
      <c r="C496" s="62" t="s">
        <v>88</v>
      </c>
      <c r="D496" s="62" t="s">
        <v>84</v>
      </c>
      <c r="E496" s="62" t="s">
        <v>85</v>
      </c>
      <c r="F496" s="62" t="s">
        <v>89</v>
      </c>
      <c r="G496" s="56">
        <v>43551</v>
      </c>
      <c r="H496" s="62">
        <v>5</v>
      </c>
      <c r="I496" s="62">
        <v>2872</v>
      </c>
      <c r="J496" s="62">
        <v>156000000</v>
      </c>
      <c r="P496" s="63">
        <f t="shared" si="7"/>
        <v>120</v>
      </c>
      <c r="Q496" s="64">
        <f t="shared" si="8"/>
        <v>11.966666666666667</v>
      </c>
      <c r="R496" s="64">
        <f t="shared" si="9"/>
        <v>37.19329833984375</v>
      </c>
      <c r="S496" s="64">
        <f t="shared" si="10"/>
        <v>21</v>
      </c>
      <c r="T496" s="64">
        <f t="shared" si="11"/>
        <v>2.7922222222222222</v>
      </c>
      <c r="U496" s="64" t="str">
        <f t="shared" si="12"/>
        <v>&lt;35</v>
      </c>
      <c r="V496" s="64" t="str">
        <f t="shared" si="13"/>
        <v>31-40 Гб</v>
      </c>
    </row>
    <row r="497" spans="1:22" ht="15.75" customHeight="1" x14ac:dyDescent="0.25">
      <c r="A497" s="62" t="s">
        <v>588</v>
      </c>
      <c r="B497" s="56">
        <v>36699</v>
      </c>
      <c r="C497" s="62" t="s">
        <v>83</v>
      </c>
      <c r="D497" s="62" t="s">
        <v>84</v>
      </c>
      <c r="E497" s="62" t="s">
        <v>85</v>
      </c>
      <c r="F497" s="62" t="s">
        <v>89</v>
      </c>
      <c r="G497" s="56">
        <v>43979</v>
      </c>
      <c r="H497" s="62">
        <v>5</v>
      </c>
      <c r="I497" s="62">
        <v>19620</v>
      </c>
      <c r="J497" s="62">
        <v>140000000</v>
      </c>
      <c r="P497" s="63">
        <f t="shared" si="7"/>
        <v>120</v>
      </c>
      <c r="Q497" s="64">
        <f t="shared" si="8"/>
        <v>81.75</v>
      </c>
      <c r="R497" s="64">
        <f t="shared" si="9"/>
        <v>33.37860107421875</v>
      </c>
      <c r="S497" s="64">
        <f t="shared" si="10"/>
        <v>21</v>
      </c>
      <c r="T497" s="64">
        <f t="shared" si="11"/>
        <v>19.074999999999999</v>
      </c>
      <c r="U497" s="64" t="str">
        <f t="shared" si="12"/>
        <v>&lt;35</v>
      </c>
      <c r="V497" s="64" t="str">
        <f t="shared" si="13"/>
        <v>31-40 Гб</v>
      </c>
    </row>
    <row r="498" spans="1:22" ht="15.75" customHeight="1" x14ac:dyDescent="0.25">
      <c r="A498" s="62" t="s">
        <v>589</v>
      </c>
      <c r="B498" s="56">
        <v>36698</v>
      </c>
      <c r="C498" s="62" t="s">
        <v>88</v>
      </c>
      <c r="D498" s="62" t="s">
        <v>84</v>
      </c>
      <c r="E498" s="62" t="s">
        <v>92</v>
      </c>
      <c r="F498" s="62" t="s">
        <v>96</v>
      </c>
      <c r="G498" s="56">
        <v>44141</v>
      </c>
      <c r="H498" s="62">
        <v>5</v>
      </c>
      <c r="I498" s="62">
        <v>33100</v>
      </c>
      <c r="J498" s="62">
        <v>4000000</v>
      </c>
      <c r="P498" s="63">
        <f t="shared" si="7"/>
        <v>120</v>
      </c>
      <c r="Q498" s="64">
        <f t="shared" si="8"/>
        <v>137.91666666666666</v>
      </c>
      <c r="R498" s="64">
        <f t="shared" si="9"/>
        <v>0.95367431640625011</v>
      </c>
      <c r="S498" s="64">
        <f t="shared" si="10"/>
        <v>21</v>
      </c>
      <c r="T498" s="64">
        <f t="shared" si="11"/>
        <v>32.180555555555557</v>
      </c>
      <c r="U498" s="64" t="str">
        <f t="shared" si="12"/>
        <v>&lt;35</v>
      </c>
      <c r="V498" s="64" t="str">
        <f t="shared" si="13"/>
        <v>&lt;10 Гб</v>
      </c>
    </row>
    <row r="499" spans="1:22" ht="15.75" customHeight="1" x14ac:dyDescent="0.25">
      <c r="A499" s="62" t="s">
        <v>590</v>
      </c>
      <c r="B499" s="56">
        <v>36692</v>
      </c>
      <c r="C499" s="62" t="s">
        <v>88</v>
      </c>
      <c r="D499" s="62" t="s">
        <v>84</v>
      </c>
      <c r="E499" s="62" t="s">
        <v>92</v>
      </c>
      <c r="F499" s="62" t="s">
        <v>89</v>
      </c>
      <c r="G499" s="56">
        <v>42879</v>
      </c>
      <c r="H499" s="62">
        <v>5</v>
      </c>
      <c r="I499" s="62">
        <v>18236</v>
      </c>
      <c r="J499" s="62">
        <v>152000000</v>
      </c>
      <c r="P499" s="63">
        <f t="shared" si="7"/>
        <v>120</v>
      </c>
      <c r="Q499" s="64">
        <f t="shared" si="8"/>
        <v>75.983333333333334</v>
      </c>
      <c r="R499" s="64">
        <f t="shared" si="9"/>
        <v>36.2396240234375</v>
      </c>
      <c r="S499" s="64">
        <f t="shared" si="10"/>
        <v>21</v>
      </c>
      <c r="T499" s="64">
        <f t="shared" si="11"/>
        <v>17.729444444444443</v>
      </c>
      <c r="U499" s="64" t="str">
        <f t="shared" si="12"/>
        <v>&lt;35</v>
      </c>
      <c r="V499" s="64" t="str">
        <f t="shared" si="13"/>
        <v>31-40 Гб</v>
      </c>
    </row>
    <row r="500" spans="1:22" ht="15.75" customHeight="1" x14ac:dyDescent="0.25">
      <c r="A500" s="62" t="s">
        <v>591</v>
      </c>
      <c r="B500" s="56">
        <v>36691</v>
      </c>
      <c r="C500" s="62" t="s">
        <v>83</v>
      </c>
      <c r="D500" s="62" t="s">
        <v>84</v>
      </c>
      <c r="E500" s="62" t="s">
        <v>85</v>
      </c>
      <c r="F500" s="62" t="s">
        <v>100</v>
      </c>
      <c r="G500" s="56">
        <v>42863</v>
      </c>
      <c r="H500" s="62">
        <v>5</v>
      </c>
      <c r="I500" s="62">
        <v>16932</v>
      </c>
      <c r="J500" s="62">
        <v>120000000</v>
      </c>
      <c r="P500" s="63">
        <f t="shared" si="7"/>
        <v>120</v>
      </c>
      <c r="Q500" s="64">
        <f t="shared" si="8"/>
        <v>70.55</v>
      </c>
      <c r="R500" s="64">
        <f t="shared" si="9"/>
        <v>28.6102294921875</v>
      </c>
      <c r="S500" s="64">
        <f t="shared" si="10"/>
        <v>21</v>
      </c>
      <c r="T500" s="64">
        <f t="shared" si="11"/>
        <v>16.461666666666666</v>
      </c>
      <c r="U500" s="64" t="str">
        <f t="shared" si="12"/>
        <v>&lt;35</v>
      </c>
      <c r="V500" s="64" t="str">
        <f t="shared" si="13"/>
        <v>21-30 Гб</v>
      </c>
    </row>
    <row r="501" spans="1:22" ht="15.75" customHeight="1" x14ac:dyDescent="0.25">
      <c r="A501" s="62" t="s">
        <v>592</v>
      </c>
      <c r="B501" s="56">
        <v>36691</v>
      </c>
      <c r="C501" s="62" t="s">
        <v>83</v>
      </c>
      <c r="D501" s="62" t="s">
        <v>84</v>
      </c>
      <c r="E501" s="62" t="s">
        <v>85</v>
      </c>
      <c r="F501" s="62" t="s">
        <v>100</v>
      </c>
      <c r="G501" s="56">
        <v>44248</v>
      </c>
      <c r="H501" s="62">
        <v>5</v>
      </c>
      <c r="I501" s="62">
        <v>119692</v>
      </c>
      <c r="J501" s="62">
        <v>136000000</v>
      </c>
      <c r="P501" s="63">
        <f t="shared" si="7"/>
        <v>120</v>
      </c>
      <c r="Q501" s="64">
        <f t="shared" si="8"/>
        <v>498.71666666666664</v>
      </c>
      <c r="R501" s="64">
        <f t="shared" si="9"/>
        <v>32.4249267578125</v>
      </c>
      <c r="S501" s="64">
        <f t="shared" si="10"/>
        <v>21</v>
      </c>
      <c r="T501" s="64">
        <f t="shared" si="11"/>
        <v>116.36722222222221</v>
      </c>
      <c r="U501" s="64" t="str">
        <f t="shared" si="12"/>
        <v>91-120</v>
      </c>
      <c r="V501" s="64" t="str">
        <f t="shared" si="13"/>
        <v>31-40 Гб</v>
      </c>
    </row>
    <row r="502" spans="1:22" ht="15.75" customHeight="1" x14ac:dyDescent="0.25">
      <c r="A502" s="62" t="s">
        <v>593</v>
      </c>
      <c r="B502" s="56">
        <v>36690</v>
      </c>
      <c r="C502" s="62" t="s">
        <v>83</v>
      </c>
      <c r="D502" s="62" t="s">
        <v>84</v>
      </c>
      <c r="E502" s="62" t="s">
        <v>85</v>
      </c>
      <c r="F502" s="62" t="s">
        <v>96</v>
      </c>
      <c r="G502" s="56">
        <v>43670</v>
      </c>
      <c r="H502" s="62">
        <v>5</v>
      </c>
      <c r="I502" s="62">
        <v>28248</v>
      </c>
      <c r="J502" s="62">
        <v>36000000</v>
      </c>
      <c r="L502" s="62">
        <v>1</v>
      </c>
      <c r="P502" s="63">
        <f t="shared" si="7"/>
        <v>120</v>
      </c>
      <c r="Q502" s="64">
        <f t="shared" si="8"/>
        <v>117.7</v>
      </c>
      <c r="R502" s="64">
        <f t="shared" si="9"/>
        <v>8.58306884765625</v>
      </c>
      <c r="S502" s="64">
        <f t="shared" si="10"/>
        <v>21</v>
      </c>
      <c r="T502" s="64">
        <f t="shared" si="11"/>
        <v>27.463333333333331</v>
      </c>
      <c r="U502" s="64" t="str">
        <f t="shared" si="12"/>
        <v>&lt;35</v>
      </c>
      <c r="V502" s="64" t="str">
        <f t="shared" si="13"/>
        <v>&lt;10 Гб</v>
      </c>
    </row>
    <row r="503" spans="1:22" ht="15.75" customHeight="1" x14ac:dyDescent="0.25">
      <c r="A503" s="62" t="s">
        <v>594</v>
      </c>
      <c r="B503" s="56">
        <v>36688</v>
      </c>
      <c r="C503" s="62" t="s">
        <v>88</v>
      </c>
      <c r="D503" s="62" t="s">
        <v>84</v>
      </c>
      <c r="E503" s="62" t="s">
        <v>92</v>
      </c>
      <c r="F503" s="62" t="s">
        <v>89</v>
      </c>
      <c r="G503" s="56">
        <v>44421</v>
      </c>
      <c r="H503" s="62">
        <v>5</v>
      </c>
      <c r="I503" s="62">
        <v>32684</v>
      </c>
      <c r="J503" s="62">
        <v>104000000</v>
      </c>
      <c r="L503" s="62">
        <v>1</v>
      </c>
      <c r="P503" s="63">
        <f t="shared" si="7"/>
        <v>120</v>
      </c>
      <c r="Q503" s="64">
        <f t="shared" si="8"/>
        <v>136.18333333333334</v>
      </c>
      <c r="R503" s="64">
        <f t="shared" si="9"/>
        <v>24.7955322265625</v>
      </c>
      <c r="S503" s="64">
        <f t="shared" si="10"/>
        <v>21</v>
      </c>
      <c r="T503" s="64">
        <f t="shared" si="11"/>
        <v>31.77611111111111</v>
      </c>
      <c r="U503" s="64" t="str">
        <f t="shared" si="12"/>
        <v>&lt;35</v>
      </c>
      <c r="V503" s="64" t="str">
        <f t="shared" si="13"/>
        <v>21-30 Гб</v>
      </c>
    </row>
    <row r="504" spans="1:22" ht="15.75" customHeight="1" x14ac:dyDescent="0.25">
      <c r="A504" s="62" t="s">
        <v>595</v>
      </c>
      <c r="B504" s="56">
        <v>36683</v>
      </c>
      <c r="C504" s="62" t="s">
        <v>88</v>
      </c>
      <c r="D504" s="62" t="s">
        <v>84</v>
      </c>
      <c r="E504" s="62" t="s">
        <v>92</v>
      </c>
      <c r="F504" s="62" t="s">
        <v>100</v>
      </c>
      <c r="G504" s="56">
        <v>43347</v>
      </c>
      <c r="H504" s="62">
        <v>5</v>
      </c>
      <c r="I504" s="62">
        <v>40276</v>
      </c>
      <c r="J504" s="62">
        <v>128000000</v>
      </c>
      <c r="P504" s="63">
        <f t="shared" si="7"/>
        <v>120</v>
      </c>
      <c r="Q504" s="64">
        <f t="shared" si="8"/>
        <v>167.81666666666666</v>
      </c>
      <c r="R504" s="64">
        <f t="shared" si="9"/>
        <v>30.517578125000004</v>
      </c>
      <c r="S504" s="64">
        <f t="shared" si="10"/>
        <v>21</v>
      </c>
      <c r="T504" s="64">
        <f t="shared" si="11"/>
        <v>39.157222222222224</v>
      </c>
      <c r="U504" s="64" t="str">
        <f t="shared" si="12"/>
        <v>35-60</v>
      </c>
      <c r="V504" s="64" t="str">
        <f t="shared" si="13"/>
        <v>31-40 Гб</v>
      </c>
    </row>
    <row r="505" spans="1:22" ht="15.75" customHeight="1" x14ac:dyDescent="0.25">
      <c r="A505" s="62" t="s">
        <v>596</v>
      </c>
      <c r="B505" s="56">
        <v>36683</v>
      </c>
      <c r="C505" s="62" t="s">
        <v>83</v>
      </c>
      <c r="D505" s="62" t="s">
        <v>84</v>
      </c>
      <c r="E505" s="62" t="s">
        <v>92</v>
      </c>
      <c r="F505" s="62" t="s">
        <v>96</v>
      </c>
      <c r="G505" s="56">
        <v>43949</v>
      </c>
      <c r="H505" s="62">
        <v>5</v>
      </c>
      <c r="I505" s="62">
        <v>87844</v>
      </c>
      <c r="J505" s="62">
        <v>80000000</v>
      </c>
      <c r="P505" s="63">
        <f t="shared" si="7"/>
        <v>120</v>
      </c>
      <c r="Q505" s="64">
        <f t="shared" si="8"/>
        <v>366.01666666666665</v>
      </c>
      <c r="R505" s="64">
        <f t="shared" si="9"/>
        <v>19.073486328125</v>
      </c>
      <c r="S505" s="64">
        <f t="shared" si="10"/>
        <v>21</v>
      </c>
      <c r="T505" s="64">
        <f t="shared" si="11"/>
        <v>85.403888888888886</v>
      </c>
      <c r="U505" s="64" t="str">
        <f t="shared" si="12"/>
        <v>61-90</v>
      </c>
      <c r="V505" s="64" t="str">
        <f t="shared" si="13"/>
        <v>10-20 Гб</v>
      </c>
    </row>
    <row r="506" spans="1:22" ht="15.75" customHeight="1" x14ac:dyDescent="0.25">
      <c r="A506" s="62" t="s">
        <v>597</v>
      </c>
      <c r="B506" s="56">
        <v>36681</v>
      </c>
      <c r="C506" s="62" t="s">
        <v>83</v>
      </c>
      <c r="D506" s="62" t="s">
        <v>84</v>
      </c>
      <c r="E506" s="62" t="s">
        <v>85</v>
      </c>
      <c r="F506" s="62" t="s">
        <v>96</v>
      </c>
      <c r="G506" s="56">
        <v>44664</v>
      </c>
      <c r="H506" s="62">
        <v>0</v>
      </c>
      <c r="I506" s="62">
        <v>3061</v>
      </c>
      <c r="J506" s="62">
        <v>2400000</v>
      </c>
      <c r="N506" s="62">
        <v>1</v>
      </c>
      <c r="P506" s="63">
        <f t="shared" si="7"/>
        <v>18</v>
      </c>
      <c r="Q506" s="64">
        <f t="shared" si="8"/>
        <v>85.027777777777771</v>
      </c>
      <c r="R506" s="64">
        <f t="shared" si="9"/>
        <v>3.8146972656250004</v>
      </c>
      <c r="S506" s="64">
        <f t="shared" si="10"/>
        <v>21</v>
      </c>
      <c r="T506" s="64">
        <f t="shared" si="11"/>
        <v>19.839814814814812</v>
      </c>
      <c r="U506" s="64" t="str">
        <f t="shared" si="12"/>
        <v>&lt;35</v>
      </c>
      <c r="V506" s="64" t="str">
        <f t="shared" si="13"/>
        <v>&lt;10 Гб</v>
      </c>
    </row>
    <row r="507" spans="1:22" ht="15.75" customHeight="1" x14ac:dyDescent="0.25">
      <c r="A507" s="62" t="s">
        <v>598</v>
      </c>
      <c r="B507" s="56">
        <v>36681</v>
      </c>
      <c r="C507" s="62" t="s">
        <v>88</v>
      </c>
      <c r="D507" s="62" t="s">
        <v>84</v>
      </c>
      <c r="E507" s="62" t="s">
        <v>85</v>
      </c>
      <c r="F507" s="62" t="s">
        <v>100</v>
      </c>
      <c r="G507" s="56">
        <v>43657</v>
      </c>
      <c r="H507" s="62">
        <v>5</v>
      </c>
      <c r="I507" s="62">
        <v>118292</v>
      </c>
      <c r="J507" s="62">
        <v>132000000</v>
      </c>
      <c r="N507" s="62">
        <v>1</v>
      </c>
      <c r="P507" s="63">
        <f t="shared" si="7"/>
        <v>120</v>
      </c>
      <c r="Q507" s="64">
        <f t="shared" si="8"/>
        <v>492.88333333333338</v>
      </c>
      <c r="R507" s="64">
        <f t="shared" si="9"/>
        <v>31.47125244140625</v>
      </c>
      <c r="S507" s="64">
        <f t="shared" si="10"/>
        <v>21</v>
      </c>
      <c r="T507" s="64">
        <f t="shared" si="11"/>
        <v>115.00611111111112</v>
      </c>
      <c r="U507" s="64" t="str">
        <f t="shared" si="12"/>
        <v>91-120</v>
      </c>
      <c r="V507" s="64" t="str">
        <f t="shared" si="13"/>
        <v>31-40 Гб</v>
      </c>
    </row>
    <row r="508" spans="1:22" ht="15.75" customHeight="1" x14ac:dyDescent="0.25">
      <c r="A508" s="62" t="s">
        <v>599</v>
      </c>
      <c r="B508" s="56">
        <v>36681</v>
      </c>
      <c r="C508" s="62" t="s">
        <v>83</v>
      </c>
      <c r="D508" s="62" t="s">
        <v>84</v>
      </c>
      <c r="E508" s="62" t="s">
        <v>92</v>
      </c>
      <c r="F508" s="62" t="s">
        <v>96</v>
      </c>
      <c r="G508" s="56">
        <v>43900</v>
      </c>
      <c r="H508" s="62">
        <v>5</v>
      </c>
      <c r="I508" s="62">
        <v>73884</v>
      </c>
      <c r="J508" s="62">
        <v>116000000</v>
      </c>
      <c r="P508" s="63">
        <f t="shared" si="7"/>
        <v>120</v>
      </c>
      <c r="Q508" s="64">
        <f t="shared" si="8"/>
        <v>307.85000000000002</v>
      </c>
      <c r="R508" s="64">
        <f t="shared" si="9"/>
        <v>27.65655517578125</v>
      </c>
      <c r="S508" s="64">
        <f t="shared" si="10"/>
        <v>21</v>
      </c>
      <c r="T508" s="64">
        <f t="shared" si="11"/>
        <v>71.831666666666678</v>
      </c>
      <c r="U508" s="64" t="str">
        <f t="shared" si="12"/>
        <v>61-90</v>
      </c>
      <c r="V508" s="64" t="str">
        <f t="shared" si="13"/>
        <v>21-30 Гб</v>
      </c>
    </row>
    <row r="509" spans="1:22" ht="15.75" customHeight="1" x14ac:dyDescent="0.25">
      <c r="A509" s="62" t="s">
        <v>600</v>
      </c>
      <c r="B509" s="56">
        <v>36681</v>
      </c>
      <c r="C509" s="62" t="s">
        <v>88</v>
      </c>
      <c r="D509" s="62" t="s">
        <v>84</v>
      </c>
      <c r="E509" s="62" t="s">
        <v>92</v>
      </c>
      <c r="F509" s="62" t="s">
        <v>89</v>
      </c>
      <c r="G509" s="56">
        <v>43527</v>
      </c>
      <c r="H509" s="62">
        <v>5</v>
      </c>
      <c r="I509" s="62">
        <v>16184</v>
      </c>
      <c r="J509" s="62">
        <v>152000000</v>
      </c>
      <c r="P509" s="63">
        <f t="shared" si="7"/>
        <v>120</v>
      </c>
      <c r="Q509" s="64">
        <f t="shared" si="8"/>
        <v>67.433333333333337</v>
      </c>
      <c r="R509" s="64">
        <f t="shared" si="9"/>
        <v>36.2396240234375</v>
      </c>
      <c r="S509" s="64">
        <f t="shared" si="10"/>
        <v>21</v>
      </c>
      <c r="T509" s="64">
        <f t="shared" si="11"/>
        <v>15.734444444444446</v>
      </c>
      <c r="U509" s="64" t="str">
        <f t="shared" si="12"/>
        <v>&lt;35</v>
      </c>
      <c r="V509" s="64" t="str">
        <f t="shared" si="13"/>
        <v>31-40 Гб</v>
      </c>
    </row>
    <row r="510" spans="1:22" ht="15.75" customHeight="1" x14ac:dyDescent="0.25">
      <c r="A510" s="62" t="s">
        <v>601</v>
      </c>
      <c r="B510" s="56">
        <v>36680</v>
      </c>
      <c r="C510" s="62" t="s">
        <v>83</v>
      </c>
      <c r="D510" s="62" t="s">
        <v>84</v>
      </c>
      <c r="E510" s="62" t="s">
        <v>92</v>
      </c>
      <c r="F510" s="62" t="s">
        <v>96</v>
      </c>
      <c r="G510" s="56">
        <v>43840</v>
      </c>
      <c r="H510" s="62">
        <v>5</v>
      </c>
      <c r="I510" s="62">
        <v>87748</v>
      </c>
      <c r="J510" s="62">
        <v>48000000</v>
      </c>
      <c r="K510" s="62">
        <v>1</v>
      </c>
      <c r="O510" s="62">
        <v>1</v>
      </c>
      <c r="P510" s="63">
        <f t="shared" si="7"/>
        <v>120</v>
      </c>
      <c r="Q510" s="64">
        <f t="shared" si="8"/>
        <v>365.61666666666667</v>
      </c>
      <c r="R510" s="64">
        <f t="shared" si="9"/>
        <v>11.444091796875</v>
      </c>
      <c r="S510" s="64">
        <f t="shared" si="10"/>
        <v>21</v>
      </c>
      <c r="T510" s="64">
        <f t="shared" si="11"/>
        <v>85.310555555555553</v>
      </c>
      <c r="U510" s="64" t="str">
        <f t="shared" si="12"/>
        <v>61-90</v>
      </c>
      <c r="V510" s="64" t="str">
        <f t="shared" si="13"/>
        <v>10-20 Гб</v>
      </c>
    </row>
    <row r="511" spans="1:22" ht="15.75" customHeight="1" x14ac:dyDescent="0.25">
      <c r="A511" s="62" t="s">
        <v>602</v>
      </c>
      <c r="B511" s="56">
        <v>36677</v>
      </c>
      <c r="C511" s="62" t="s">
        <v>83</v>
      </c>
      <c r="D511" s="62" t="s">
        <v>84</v>
      </c>
      <c r="E511" s="62" t="s">
        <v>92</v>
      </c>
      <c r="F511" s="62" t="s">
        <v>96</v>
      </c>
      <c r="G511" s="56">
        <v>43303</v>
      </c>
      <c r="H511" s="62">
        <v>5</v>
      </c>
      <c r="I511" s="62">
        <v>54640</v>
      </c>
      <c r="J511" s="62">
        <v>48000000</v>
      </c>
      <c r="P511" s="63">
        <f t="shared" si="7"/>
        <v>120</v>
      </c>
      <c r="Q511" s="64">
        <f t="shared" si="8"/>
        <v>227.66666666666666</v>
      </c>
      <c r="R511" s="64">
        <f t="shared" si="9"/>
        <v>11.444091796875</v>
      </c>
      <c r="S511" s="64">
        <f t="shared" si="10"/>
        <v>21</v>
      </c>
      <c r="T511" s="64">
        <f t="shared" si="11"/>
        <v>53.12222222222222</v>
      </c>
      <c r="U511" s="64" t="str">
        <f t="shared" si="12"/>
        <v>35-60</v>
      </c>
      <c r="V511" s="64" t="str">
        <f t="shared" si="13"/>
        <v>10-20 Гб</v>
      </c>
    </row>
    <row r="512" spans="1:22" ht="15.75" customHeight="1" x14ac:dyDescent="0.25">
      <c r="A512" s="62" t="s">
        <v>603</v>
      </c>
      <c r="B512" s="56">
        <v>36673</v>
      </c>
      <c r="C512" s="62" t="s">
        <v>83</v>
      </c>
      <c r="D512" s="62" t="s">
        <v>84</v>
      </c>
      <c r="E512" s="62" t="s">
        <v>85</v>
      </c>
      <c r="F512" s="62" t="s">
        <v>89</v>
      </c>
      <c r="G512" s="56">
        <v>43095</v>
      </c>
      <c r="H512" s="62">
        <v>5</v>
      </c>
      <c r="I512" s="62">
        <v>9888</v>
      </c>
      <c r="J512" s="62">
        <v>156000000</v>
      </c>
      <c r="K512" s="62">
        <v>1</v>
      </c>
      <c r="P512" s="63">
        <f t="shared" si="7"/>
        <v>120</v>
      </c>
      <c r="Q512" s="64">
        <f t="shared" si="8"/>
        <v>41.2</v>
      </c>
      <c r="R512" s="64">
        <f t="shared" si="9"/>
        <v>37.19329833984375</v>
      </c>
      <c r="S512" s="64">
        <f t="shared" si="10"/>
        <v>21</v>
      </c>
      <c r="T512" s="64">
        <f t="shared" si="11"/>
        <v>9.6133333333333351</v>
      </c>
      <c r="U512" s="64" t="str">
        <f t="shared" si="12"/>
        <v>&lt;35</v>
      </c>
      <c r="V512" s="64" t="str">
        <f t="shared" si="13"/>
        <v>31-40 Гб</v>
      </c>
    </row>
    <row r="513" spans="1:22" ht="15.75" customHeight="1" x14ac:dyDescent="0.25">
      <c r="A513" s="62" t="s">
        <v>604</v>
      </c>
      <c r="B513" s="56">
        <v>36672</v>
      </c>
      <c r="C513" s="62" t="s">
        <v>88</v>
      </c>
      <c r="D513" s="62" t="s">
        <v>84</v>
      </c>
      <c r="E513" s="62" t="s">
        <v>92</v>
      </c>
      <c r="F513" s="62" t="s">
        <v>89</v>
      </c>
      <c r="G513" s="56">
        <v>43116</v>
      </c>
      <c r="H513" s="62">
        <v>5</v>
      </c>
      <c r="I513" s="62">
        <v>6688</v>
      </c>
      <c r="J513" s="62">
        <v>156000000</v>
      </c>
      <c r="P513" s="63">
        <f t="shared" si="7"/>
        <v>120</v>
      </c>
      <c r="Q513" s="64">
        <f t="shared" si="8"/>
        <v>27.866666666666667</v>
      </c>
      <c r="R513" s="64">
        <f t="shared" si="9"/>
        <v>37.19329833984375</v>
      </c>
      <c r="S513" s="64">
        <f t="shared" si="10"/>
        <v>21</v>
      </c>
      <c r="T513" s="64">
        <f t="shared" si="11"/>
        <v>6.5022222222222217</v>
      </c>
      <c r="U513" s="64" t="str">
        <f t="shared" si="12"/>
        <v>&lt;35</v>
      </c>
      <c r="V513" s="64" t="str">
        <f t="shared" si="13"/>
        <v>31-40 Гб</v>
      </c>
    </row>
    <row r="514" spans="1:22" ht="15.75" customHeight="1" x14ac:dyDescent="0.25">
      <c r="A514" s="62" t="s">
        <v>605</v>
      </c>
      <c r="B514" s="56">
        <v>36671</v>
      </c>
      <c r="C514" s="62" t="s">
        <v>88</v>
      </c>
      <c r="D514" s="62" t="s">
        <v>84</v>
      </c>
      <c r="E514" s="62" t="s">
        <v>85</v>
      </c>
      <c r="F514" s="62" t="s">
        <v>96</v>
      </c>
      <c r="G514" s="56">
        <v>44355</v>
      </c>
      <c r="H514" s="62">
        <v>5</v>
      </c>
      <c r="I514" s="62">
        <v>94796</v>
      </c>
      <c r="J514" s="62">
        <v>92000000</v>
      </c>
      <c r="P514" s="63">
        <f t="shared" si="7"/>
        <v>120</v>
      </c>
      <c r="Q514" s="64">
        <f t="shared" si="8"/>
        <v>394.98333333333335</v>
      </c>
      <c r="R514" s="64">
        <f t="shared" si="9"/>
        <v>21.93450927734375</v>
      </c>
      <c r="S514" s="64">
        <f t="shared" si="10"/>
        <v>21</v>
      </c>
      <c r="T514" s="64">
        <f t="shared" si="11"/>
        <v>92.162777777777777</v>
      </c>
      <c r="U514" s="64" t="str">
        <f t="shared" si="12"/>
        <v>91-120</v>
      </c>
      <c r="V514" s="64" t="str">
        <f t="shared" si="13"/>
        <v>21-30 Гб</v>
      </c>
    </row>
    <row r="515" spans="1:22" ht="15.75" customHeight="1" x14ac:dyDescent="0.25">
      <c r="A515" s="62" t="s">
        <v>606</v>
      </c>
      <c r="B515" s="56">
        <v>36671</v>
      </c>
      <c r="C515" s="62" t="s">
        <v>88</v>
      </c>
      <c r="D515" s="62" t="s">
        <v>84</v>
      </c>
      <c r="E515" s="62" t="s">
        <v>85</v>
      </c>
      <c r="F515" s="62" t="s">
        <v>89</v>
      </c>
      <c r="G515" s="56">
        <v>42874</v>
      </c>
      <c r="H515" s="62">
        <v>5</v>
      </c>
      <c r="I515" s="62">
        <v>30200</v>
      </c>
      <c r="J515" s="62">
        <v>148000000</v>
      </c>
      <c r="L515" s="62">
        <v>1</v>
      </c>
      <c r="O515" s="62">
        <v>1</v>
      </c>
      <c r="P515" s="63">
        <f t="shared" si="7"/>
        <v>120</v>
      </c>
      <c r="Q515" s="64">
        <f t="shared" si="8"/>
        <v>125.83333333333334</v>
      </c>
      <c r="R515" s="64">
        <f t="shared" si="9"/>
        <v>35.28594970703125</v>
      </c>
      <c r="S515" s="64">
        <f t="shared" si="10"/>
        <v>21</v>
      </c>
      <c r="T515" s="64">
        <f t="shared" si="11"/>
        <v>29.361111111111111</v>
      </c>
      <c r="U515" s="64" t="str">
        <f t="shared" si="12"/>
        <v>&lt;35</v>
      </c>
      <c r="V515" s="64" t="str">
        <f t="shared" si="13"/>
        <v>31-40 Гб</v>
      </c>
    </row>
    <row r="516" spans="1:22" ht="15.75" customHeight="1" x14ac:dyDescent="0.25">
      <c r="A516" s="62" t="s">
        <v>607</v>
      </c>
      <c r="B516" s="56">
        <v>36671</v>
      </c>
      <c r="C516" s="62" t="s">
        <v>88</v>
      </c>
      <c r="D516" s="62" t="s">
        <v>84</v>
      </c>
      <c r="E516" s="62" t="s">
        <v>85</v>
      </c>
      <c r="F516" s="62" t="s">
        <v>96</v>
      </c>
      <c r="G516" s="56">
        <v>43590</v>
      </c>
      <c r="H516" s="62">
        <v>5</v>
      </c>
      <c r="I516" s="62">
        <v>67260</v>
      </c>
      <c r="J516" s="62">
        <v>120000000</v>
      </c>
      <c r="P516" s="63">
        <f t="shared" ref="P516:P770" si="14">IF(G516&gt;$C$3,DATEDIF(G516,$C$2,"D"),DATEDIF($C$3,$C$2,"D"))</f>
        <v>120</v>
      </c>
      <c r="Q516" s="64">
        <f t="shared" ref="Q516:Q770" si="15">I516/60/P516*30</f>
        <v>280.25</v>
      </c>
      <c r="R516" s="64">
        <f t="shared" ref="R516:R770" si="16">J516/1024^2/P516*30</f>
        <v>28.6102294921875</v>
      </c>
      <c r="S516" s="64">
        <f t="shared" ref="S516:S770" si="17">DATEDIF(B516,$C$2,"Y")</f>
        <v>21</v>
      </c>
      <c r="T516" s="64">
        <f t="shared" ref="T516:T770" si="18">(Q516*7)/30</f>
        <v>65.391666666666666</v>
      </c>
      <c r="U516" s="64" t="str">
        <f t="shared" ref="U516:U770" si="19">IF(T516&gt;120,"120+",IF(T516&gt;90,"91-120",IF(T516&gt;60,"61-90",IF(T516&gt;35,"35-60","&lt;35"))))</f>
        <v>61-90</v>
      </c>
      <c r="V516" s="64" t="str">
        <f t="shared" ref="V516:V770" si="20">IF(R516&gt;40,"40+ Гб",IF(R516&gt;30,"31-40 Гб",IF(R516&gt;20,"21-30 Гб",IF(R516&gt;10,"10-20 Гб","&lt;10 Гб"))))</f>
        <v>21-30 Гб</v>
      </c>
    </row>
    <row r="517" spans="1:22" ht="15.75" customHeight="1" x14ac:dyDescent="0.25">
      <c r="A517" s="62" t="s">
        <v>608</v>
      </c>
      <c r="B517" s="56">
        <v>36671</v>
      </c>
      <c r="C517" s="62" t="s">
        <v>83</v>
      </c>
      <c r="D517" s="62" t="s">
        <v>84</v>
      </c>
      <c r="E517" s="62" t="s">
        <v>92</v>
      </c>
      <c r="F517" s="62" t="s">
        <v>89</v>
      </c>
      <c r="G517" s="56">
        <v>44329</v>
      </c>
      <c r="H517" s="62">
        <v>5</v>
      </c>
      <c r="I517" s="62">
        <v>33540</v>
      </c>
      <c r="J517" s="62">
        <v>148000000</v>
      </c>
      <c r="L517" s="62">
        <v>1</v>
      </c>
      <c r="P517" s="63">
        <f t="shared" si="14"/>
        <v>120</v>
      </c>
      <c r="Q517" s="64">
        <f t="shared" si="15"/>
        <v>139.75</v>
      </c>
      <c r="R517" s="64">
        <f t="shared" si="16"/>
        <v>35.28594970703125</v>
      </c>
      <c r="S517" s="64">
        <f t="shared" si="17"/>
        <v>21</v>
      </c>
      <c r="T517" s="64">
        <f t="shared" si="18"/>
        <v>32.608333333333334</v>
      </c>
      <c r="U517" s="64" t="str">
        <f t="shared" si="19"/>
        <v>&lt;35</v>
      </c>
      <c r="V517" s="64" t="str">
        <f t="shared" si="20"/>
        <v>31-40 Гб</v>
      </c>
    </row>
    <row r="518" spans="1:22" ht="15.75" customHeight="1" x14ac:dyDescent="0.25">
      <c r="A518" s="62" t="s">
        <v>609</v>
      </c>
      <c r="B518" s="56">
        <v>36668</v>
      </c>
      <c r="C518" s="62" t="s">
        <v>88</v>
      </c>
      <c r="D518" s="62" t="s">
        <v>84</v>
      </c>
      <c r="E518" s="62" t="s">
        <v>92</v>
      </c>
      <c r="F518" s="62" t="s">
        <v>96</v>
      </c>
      <c r="G518" s="56">
        <v>42915</v>
      </c>
      <c r="H518" s="62">
        <v>5</v>
      </c>
      <c r="I518" s="62">
        <v>28160</v>
      </c>
      <c r="J518" s="62">
        <v>24000000</v>
      </c>
      <c r="P518" s="63">
        <f t="shared" si="14"/>
        <v>120</v>
      </c>
      <c r="Q518" s="64">
        <f t="shared" si="15"/>
        <v>117.33333333333333</v>
      </c>
      <c r="R518" s="64">
        <f t="shared" si="16"/>
        <v>5.7220458984375</v>
      </c>
      <c r="S518" s="64">
        <f t="shared" si="17"/>
        <v>21</v>
      </c>
      <c r="T518" s="64">
        <f t="shared" si="18"/>
        <v>27.377777777777776</v>
      </c>
      <c r="U518" s="64" t="str">
        <f t="shared" si="19"/>
        <v>&lt;35</v>
      </c>
      <c r="V518" s="64" t="str">
        <f t="shared" si="20"/>
        <v>&lt;10 Гб</v>
      </c>
    </row>
    <row r="519" spans="1:22" ht="15.75" customHeight="1" x14ac:dyDescent="0.25">
      <c r="A519" s="62" t="s">
        <v>610</v>
      </c>
      <c r="B519" s="56">
        <v>36665</v>
      </c>
      <c r="C519" s="62" t="s">
        <v>83</v>
      </c>
      <c r="D519" s="62" t="s">
        <v>84</v>
      </c>
      <c r="E519" s="62" t="s">
        <v>92</v>
      </c>
      <c r="F519" s="62" t="s">
        <v>96</v>
      </c>
      <c r="G519" s="56">
        <v>42823</v>
      </c>
      <c r="H519" s="62">
        <v>5</v>
      </c>
      <c r="I519" s="62">
        <v>36556</v>
      </c>
      <c r="J519" s="62">
        <v>96000000</v>
      </c>
      <c r="P519" s="63">
        <f t="shared" si="14"/>
        <v>120</v>
      </c>
      <c r="Q519" s="64">
        <f t="shared" si="15"/>
        <v>152.31666666666666</v>
      </c>
      <c r="R519" s="64">
        <f t="shared" si="16"/>
        <v>22.88818359375</v>
      </c>
      <c r="S519" s="64">
        <f t="shared" si="17"/>
        <v>21</v>
      </c>
      <c r="T519" s="64">
        <f t="shared" si="18"/>
        <v>35.540555555555557</v>
      </c>
      <c r="U519" s="64" t="str">
        <f t="shared" si="19"/>
        <v>35-60</v>
      </c>
      <c r="V519" s="64" t="str">
        <f t="shared" si="20"/>
        <v>21-30 Гб</v>
      </c>
    </row>
    <row r="520" spans="1:22" ht="15.75" customHeight="1" x14ac:dyDescent="0.25">
      <c r="A520" s="62" t="s">
        <v>611</v>
      </c>
      <c r="B520" s="56">
        <v>36660</v>
      </c>
      <c r="C520" s="62" t="s">
        <v>88</v>
      </c>
      <c r="D520" s="62" t="s">
        <v>84</v>
      </c>
      <c r="E520" s="62" t="s">
        <v>85</v>
      </c>
      <c r="F520" s="62" t="s">
        <v>100</v>
      </c>
      <c r="G520" s="56">
        <v>43320</v>
      </c>
      <c r="H520" s="62">
        <v>5</v>
      </c>
      <c r="I520" s="62">
        <v>1460</v>
      </c>
      <c r="J520" s="62">
        <v>20000000</v>
      </c>
      <c r="M520" s="62">
        <v>1</v>
      </c>
      <c r="P520" s="63">
        <f t="shared" si="14"/>
        <v>120</v>
      </c>
      <c r="Q520" s="64">
        <f t="shared" si="15"/>
        <v>6.083333333333333</v>
      </c>
      <c r="R520" s="64">
        <f t="shared" si="16"/>
        <v>4.76837158203125</v>
      </c>
      <c r="S520" s="64">
        <f t="shared" si="17"/>
        <v>21</v>
      </c>
      <c r="T520" s="64">
        <f t="shared" si="18"/>
        <v>1.4194444444444443</v>
      </c>
      <c r="U520" s="64" t="str">
        <f t="shared" si="19"/>
        <v>&lt;35</v>
      </c>
      <c r="V520" s="64" t="str">
        <f t="shared" si="20"/>
        <v>&lt;10 Гб</v>
      </c>
    </row>
    <row r="521" spans="1:22" ht="15.75" customHeight="1" x14ac:dyDescent="0.25">
      <c r="A521" s="62" t="s">
        <v>612</v>
      </c>
      <c r="B521" s="56">
        <v>36656</v>
      </c>
      <c r="C521" s="62" t="s">
        <v>88</v>
      </c>
      <c r="D521" s="62" t="s">
        <v>84</v>
      </c>
      <c r="E521" s="62" t="s">
        <v>85</v>
      </c>
      <c r="F521" s="62" t="s">
        <v>89</v>
      </c>
      <c r="G521" s="56">
        <v>44296</v>
      </c>
      <c r="H521" s="62">
        <v>5</v>
      </c>
      <c r="I521" s="62">
        <v>24040</v>
      </c>
      <c r="J521" s="62">
        <v>36000000</v>
      </c>
      <c r="P521" s="63">
        <f t="shared" si="14"/>
        <v>120</v>
      </c>
      <c r="Q521" s="64">
        <f t="shared" si="15"/>
        <v>100.16666666666667</v>
      </c>
      <c r="R521" s="64">
        <f t="shared" si="16"/>
        <v>8.58306884765625</v>
      </c>
      <c r="S521" s="64">
        <f t="shared" si="17"/>
        <v>21</v>
      </c>
      <c r="T521" s="64">
        <f t="shared" si="18"/>
        <v>23.372222222222224</v>
      </c>
      <c r="U521" s="64" t="str">
        <f t="shared" si="19"/>
        <v>&lt;35</v>
      </c>
      <c r="V521" s="64" t="str">
        <f t="shared" si="20"/>
        <v>&lt;10 Гб</v>
      </c>
    </row>
    <row r="522" spans="1:22" ht="15.75" customHeight="1" x14ac:dyDescent="0.25">
      <c r="A522" s="62" t="s">
        <v>613</v>
      </c>
      <c r="B522" s="56">
        <v>36654</v>
      </c>
      <c r="C522" s="62" t="s">
        <v>88</v>
      </c>
      <c r="D522" s="62" t="s">
        <v>84</v>
      </c>
      <c r="E522" s="62" t="s">
        <v>92</v>
      </c>
      <c r="F522" s="62" t="s">
        <v>96</v>
      </c>
      <c r="G522" s="56">
        <v>43363</v>
      </c>
      <c r="H522" s="62">
        <v>5</v>
      </c>
      <c r="I522" s="62">
        <v>70676</v>
      </c>
      <c r="J522" s="62">
        <v>104000000</v>
      </c>
      <c r="K522" s="62">
        <v>1</v>
      </c>
      <c r="P522" s="63">
        <f t="shared" si="14"/>
        <v>120</v>
      </c>
      <c r="Q522" s="64">
        <f t="shared" si="15"/>
        <v>294.48333333333335</v>
      </c>
      <c r="R522" s="64">
        <f t="shared" si="16"/>
        <v>24.7955322265625</v>
      </c>
      <c r="S522" s="64">
        <f t="shared" si="17"/>
        <v>21</v>
      </c>
      <c r="T522" s="64">
        <f t="shared" si="18"/>
        <v>68.712777777777774</v>
      </c>
      <c r="U522" s="64" t="str">
        <f t="shared" si="19"/>
        <v>61-90</v>
      </c>
      <c r="V522" s="64" t="str">
        <f t="shared" si="20"/>
        <v>21-30 Гб</v>
      </c>
    </row>
    <row r="523" spans="1:22" ht="15.75" customHeight="1" x14ac:dyDescent="0.25">
      <c r="A523" s="62" t="s">
        <v>614</v>
      </c>
      <c r="B523" s="56">
        <v>36654</v>
      </c>
      <c r="C523" s="62" t="s">
        <v>83</v>
      </c>
      <c r="D523" s="62" t="s">
        <v>84</v>
      </c>
      <c r="E523" s="62" t="s">
        <v>85</v>
      </c>
      <c r="F523" s="62" t="s">
        <v>93</v>
      </c>
      <c r="G523" s="56">
        <v>43592</v>
      </c>
      <c r="H523" s="62">
        <v>5</v>
      </c>
      <c r="I523" s="62">
        <v>1392</v>
      </c>
      <c r="J523" s="62">
        <v>16000000</v>
      </c>
      <c r="K523" s="62">
        <v>1</v>
      </c>
      <c r="P523" s="63">
        <f t="shared" si="14"/>
        <v>120</v>
      </c>
      <c r="Q523" s="64">
        <f t="shared" si="15"/>
        <v>5.8</v>
      </c>
      <c r="R523" s="64">
        <f t="shared" si="16"/>
        <v>3.8146972656250004</v>
      </c>
      <c r="S523" s="64">
        <f t="shared" si="17"/>
        <v>21</v>
      </c>
      <c r="T523" s="64">
        <f t="shared" si="18"/>
        <v>1.3533333333333333</v>
      </c>
      <c r="U523" s="64" t="str">
        <f t="shared" si="19"/>
        <v>&lt;35</v>
      </c>
      <c r="V523" s="64" t="str">
        <f t="shared" si="20"/>
        <v>&lt;10 Гб</v>
      </c>
    </row>
    <row r="524" spans="1:22" ht="15.75" customHeight="1" x14ac:dyDescent="0.25">
      <c r="A524" s="62" t="s">
        <v>615</v>
      </c>
      <c r="B524" s="56">
        <v>36653</v>
      </c>
      <c r="C524" s="62" t="s">
        <v>88</v>
      </c>
      <c r="D524" s="62" t="s">
        <v>84</v>
      </c>
      <c r="E524" s="62" t="s">
        <v>85</v>
      </c>
      <c r="F524" s="62" t="s">
        <v>89</v>
      </c>
      <c r="G524" s="56">
        <v>44036</v>
      </c>
      <c r="H524" s="62">
        <v>5</v>
      </c>
      <c r="I524" s="62">
        <v>8368</v>
      </c>
      <c r="J524" s="62">
        <v>160000000</v>
      </c>
      <c r="K524" s="62">
        <v>1</v>
      </c>
      <c r="L524" s="62">
        <v>1</v>
      </c>
      <c r="P524" s="63">
        <f t="shared" si="14"/>
        <v>120</v>
      </c>
      <c r="Q524" s="64">
        <f t="shared" si="15"/>
        <v>34.866666666666667</v>
      </c>
      <c r="R524" s="64">
        <f t="shared" si="16"/>
        <v>38.14697265625</v>
      </c>
      <c r="S524" s="64">
        <f t="shared" si="17"/>
        <v>21</v>
      </c>
      <c r="T524" s="64">
        <f t="shared" si="18"/>
        <v>8.1355555555555554</v>
      </c>
      <c r="U524" s="64" t="str">
        <f t="shared" si="19"/>
        <v>&lt;35</v>
      </c>
      <c r="V524" s="64" t="str">
        <f t="shared" si="20"/>
        <v>31-40 Гб</v>
      </c>
    </row>
    <row r="525" spans="1:22" ht="15.75" customHeight="1" x14ac:dyDescent="0.25">
      <c r="A525" s="62" t="s">
        <v>616</v>
      </c>
      <c r="B525" s="56">
        <v>36648</v>
      </c>
      <c r="C525" s="62" t="s">
        <v>83</v>
      </c>
      <c r="D525" s="62" t="s">
        <v>84</v>
      </c>
      <c r="E525" s="62" t="s">
        <v>85</v>
      </c>
      <c r="F525" s="62" t="s">
        <v>96</v>
      </c>
      <c r="G525" s="56">
        <v>44650</v>
      </c>
      <c r="H525" s="62">
        <v>1</v>
      </c>
      <c r="I525" s="62">
        <v>21557</v>
      </c>
      <c r="J525" s="62">
        <v>24533333</v>
      </c>
      <c r="P525" s="63">
        <f t="shared" si="14"/>
        <v>32</v>
      </c>
      <c r="Q525" s="64">
        <f t="shared" si="15"/>
        <v>336.828125</v>
      </c>
      <c r="R525" s="64">
        <f t="shared" si="16"/>
        <v>21.934508979320526</v>
      </c>
      <c r="S525" s="64">
        <f t="shared" si="17"/>
        <v>21</v>
      </c>
      <c r="T525" s="64">
        <f t="shared" si="18"/>
        <v>78.59322916666666</v>
      </c>
      <c r="U525" s="64" t="str">
        <f t="shared" si="19"/>
        <v>61-90</v>
      </c>
      <c r="V525" s="64" t="str">
        <f t="shared" si="20"/>
        <v>21-30 Гб</v>
      </c>
    </row>
    <row r="526" spans="1:22" ht="15.75" customHeight="1" x14ac:dyDescent="0.25">
      <c r="A526" s="62" t="s">
        <v>617</v>
      </c>
      <c r="B526" s="56">
        <v>36648</v>
      </c>
      <c r="C526" s="62" t="s">
        <v>83</v>
      </c>
      <c r="D526" s="62" t="s">
        <v>84</v>
      </c>
      <c r="E526" s="62" t="s">
        <v>92</v>
      </c>
      <c r="F526" s="62" t="s">
        <v>96</v>
      </c>
      <c r="G526" s="56">
        <v>43593</v>
      </c>
      <c r="H526" s="62">
        <v>5</v>
      </c>
      <c r="I526" s="62">
        <v>83924</v>
      </c>
      <c r="J526" s="62">
        <v>116000000</v>
      </c>
      <c r="L526" s="62">
        <v>1</v>
      </c>
      <c r="N526" s="62">
        <v>1</v>
      </c>
      <c r="P526" s="63">
        <f t="shared" si="14"/>
        <v>120</v>
      </c>
      <c r="Q526" s="64">
        <f t="shared" si="15"/>
        <v>349.68333333333334</v>
      </c>
      <c r="R526" s="64">
        <f t="shared" si="16"/>
        <v>27.65655517578125</v>
      </c>
      <c r="S526" s="64">
        <f t="shared" si="17"/>
        <v>21</v>
      </c>
      <c r="T526" s="64">
        <f t="shared" si="18"/>
        <v>81.592777777777783</v>
      </c>
      <c r="U526" s="64" t="str">
        <f t="shared" si="19"/>
        <v>61-90</v>
      </c>
      <c r="V526" s="64" t="str">
        <f t="shared" si="20"/>
        <v>21-30 Гб</v>
      </c>
    </row>
    <row r="527" spans="1:22" ht="15.75" customHeight="1" x14ac:dyDescent="0.25">
      <c r="A527" s="62" t="s">
        <v>618</v>
      </c>
      <c r="B527" s="56">
        <v>36644</v>
      </c>
      <c r="C527" s="62" t="s">
        <v>83</v>
      </c>
      <c r="D527" s="62" t="s">
        <v>84</v>
      </c>
      <c r="E527" s="62" t="s">
        <v>85</v>
      </c>
      <c r="F527" s="62" t="s">
        <v>100</v>
      </c>
      <c r="G527" s="56">
        <v>44069</v>
      </c>
      <c r="H527" s="62">
        <v>5</v>
      </c>
      <c r="I527" s="62">
        <v>109440</v>
      </c>
      <c r="J527" s="62">
        <v>8000000</v>
      </c>
      <c r="K527" s="62">
        <v>1</v>
      </c>
      <c r="O527" s="62">
        <v>1</v>
      </c>
      <c r="P527" s="63">
        <f t="shared" si="14"/>
        <v>120</v>
      </c>
      <c r="Q527" s="64">
        <f t="shared" si="15"/>
        <v>456</v>
      </c>
      <c r="R527" s="64">
        <f t="shared" si="16"/>
        <v>1.9073486328125002</v>
      </c>
      <c r="S527" s="64">
        <f t="shared" si="17"/>
        <v>22</v>
      </c>
      <c r="T527" s="64">
        <f t="shared" si="18"/>
        <v>106.4</v>
      </c>
      <c r="U527" s="64" t="str">
        <f t="shared" si="19"/>
        <v>91-120</v>
      </c>
      <c r="V527" s="64" t="str">
        <f t="shared" si="20"/>
        <v>&lt;10 Гб</v>
      </c>
    </row>
    <row r="528" spans="1:22" ht="15.75" customHeight="1" x14ac:dyDescent="0.25">
      <c r="A528" s="62" t="s">
        <v>619</v>
      </c>
      <c r="B528" s="56">
        <v>36644</v>
      </c>
      <c r="C528" s="62" t="s">
        <v>83</v>
      </c>
      <c r="D528" s="62" t="s">
        <v>84</v>
      </c>
      <c r="E528" s="62" t="s">
        <v>92</v>
      </c>
      <c r="F528" s="62" t="s">
        <v>89</v>
      </c>
      <c r="G528" s="56">
        <v>44020</v>
      </c>
      <c r="H528" s="62">
        <v>5</v>
      </c>
      <c r="I528" s="62">
        <v>21452</v>
      </c>
      <c r="J528" s="62">
        <v>152000000</v>
      </c>
      <c r="L528" s="62">
        <v>1</v>
      </c>
      <c r="P528" s="63">
        <f t="shared" si="14"/>
        <v>120</v>
      </c>
      <c r="Q528" s="64">
        <f t="shared" si="15"/>
        <v>89.38333333333334</v>
      </c>
      <c r="R528" s="64">
        <f t="shared" si="16"/>
        <v>36.2396240234375</v>
      </c>
      <c r="S528" s="64">
        <f t="shared" si="17"/>
        <v>22</v>
      </c>
      <c r="T528" s="64">
        <f t="shared" si="18"/>
        <v>20.856111111111112</v>
      </c>
      <c r="U528" s="64" t="str">
        <f t="shared" si="19"/>
        <v>&lt;35</v>
      </c>
      <c r="V528" s="64" t="str">
        <f t="shared" si="20"/>
        <v>31-40 Гб</v>
      </c>
    </row>
    <row r="529" spans="1:22" ht="15.75" customHeight="1" x14ac:dyDescent="0.25">
      <c r="A529" s="62" t="s">
        <v>620</v>
      </c>
      <c r="B529" s="56">
        <v>36641</v>
      </c>
      <c r="C529" s="62" t="s">
        <v>83</v>
      </c>
      <c r="D529" s="62" t="s">
        <v>84</v>
      </c>
      <c r="E529" s="62" t="s">
        <v>85</v>
      </c>
      <c r="F529" s="62" t="s">
        <v>89</v>
      </c>
      <c r="G529" s="56">
        <v>43375</v>
      </c>
      <c r="H529" s="62">
        <v>5</v>
      </c>
      <c r="I529" s="62">
        <v>10588</v>
      </c>
      <c r="J529" s="62">
        <v>108000000</v>
      </c>
      <c r="K529" s="62">
        <v>1</v>
      </c>
      <c r="P529" s="63">
        <f t="shared" si="14"/>
        <v>120</v>
      </c>
      <c r="Q529" s="64">
        <f t="shared" si="15"/>
        <v>44.116666666666667</v>
      </c>
      <c r="R529" s="64">
        <f t="shared" si="16"/>
        <v>25.74920654296875</v>
      </c>
      <c r="S529" s="64">
        <f t="shared" si="17"/>
        <v>22</v>
      </c>
      <c r="T529" s="64">
        <f t="shared" si="18"/>
        <v>10.293888888888889</v>
      </c>
      <c r="U529" s="64" t="str">
        <f t="shared" si="19"/>
        <v>&lt;35</v>
      </c>
      <c r="V529" s="64" t="str">
        <f t="shared" si="20"/>
        <v>21-30 Гб</v>
      </c>
    </row>
    <row r="530" spans="1:22" ht="15.75" customHeight="1" x14ac:dyDescent="0.25">
      <c r="A530" s="62" t="s">
        <v>621</v>
      </c>
      <c r="B530" s="56">
        <v>36639</v>
      </c>
      <c r="C530" s="62" t="s">
        <v>83</v>
      </c>
      <c r="D530" s="62" t="s">
        <v>84</v>
      </c>
      <c r="E530" s="62" t="s">
        <v>85</v>
      </c>
      <c r="F530" s="62" t="s">
        <v>89</v>
      </c>
      <c r="G530" s="56">
        <v>44354</v>
      </c>
      <c r="H530" s="62">
        <v>5</v>
      </c>
      <c r="I530" s="62">
        <v>29172</v>
      </c>
      <c r="J530" s="62">
        <v>128000000</v>
      </c>
      <c r="P530" s="63">
        <f t="shared" si="14"/>
        <v>120</v>
      </c>
      <c r="Q530" s="64">
        <f t="shared" si="15"/>
        <v>121.55</v>
      </c>
      <c r="R530" s="64">
        <f t="shared" si="16"/>
        <v>30.517578125000004</v>
      </c>
      <c r="S530" s="64">
        <f t="shared" si="17"/>
        <v>22</v>
      </c>
      <c r="T530" s="64">
        <f t="shared" si="18"/>
        <v>28.361666666666668</v>
      </c>
      <c r="U530" s="64" t="str">
        <f t="shared" si="19"/>
        <v>&lt;35</v>
      </c>
      <c r="V530" s="64" t="str">
        <f t="shared" si="20"/>
        <v>31-40 Гб</v>
      </c>
    </row>
    <row r="531" spans="1:22" ht="15.75" customHeight="1" x14ac:dyDescent="0.25">
      <c r="A531" s="62" t="s">
        <v>622</v>
      </c>
      <c r="B531" s="56">
        <v>36638</v>
      </c>
      <c r="C531" s="62" t="s">
        <v>83</v>
      </c>
      <c r="D531" s="62" t="s">
        <v>84</v>
      </c>
      <c r="E531" s="62" t="s">
        <v>92</v>
      </c>
      <c r="F531" s="62" t="s">
        <v>100</v>
      </c>
      <c r="G531" s="56">
        <v>44139</v>
      </c>
      <c r="H531" s="62">
        <v>5</v>
      </c>
      <c r="I531" s="62">
        <v>58720</v>
      </c>
      <c r="J531" s="62">
        <v>8000000</v>
      </c>
      <c r="P531" s="63">
        <f t="shared" si="14"/>
        <v>120</v>
      </c>
      <c r="Q531" s="64">
        <f t="shared" si="15"/>
        <v>244.66666666666666</v>
      </c>
      <c r="R531" s="64">
        <f t="shared" si="16"/>
        <v>1.9073486328125002</v>
      </c>
      <c r="S531" s="64">
        <f t="shared" si="17"/>
        <v>22</v>
      </c>
      <c r="T531" s="64">
        <f t="shared" si="18"/>
        <v>57.088888888888881</v>
      </c>
      <c r="U531" s="64" t="str">
        <f t="shared" si="19"/>
        <v>35-60</v>
      </c>
      <c r="V531" s="64" t="str">
        <f t="shared" si="20"/>
        <v>&lt;10 Гб</v>
      </c>
    </row>
    <row r="532" spans="1:22" ht="15.75" customHeight="1" x14ac:dyDescent="0.25">
      <c r="A532" s="62" t="s">
        <v>623</v>
      </c>
      <c r="B532" s="56">
        <v>36635</v>
      </c>
      <c r="C532" s="62" t="s">
        <v>83</v>
      </c>
      <c r="D532" s="62" t="s">
        <v>84</v>
      </c>
      <c r="E532" s="62" t="s">
        <v>85</v>
      </c>
      <c r="F532" s="62" t="s">
        <v>100</v>
      </c>
      <c r="G532" s="56">
        <v>43625</v>
      </c>
      <c r="H532" s="62">
        <v>5</v>
      </c>
      <c r="I532" s="62">
        <v>109168</v>
      </c>
      <c r="J532" s="62">
        <v>80000000</v>
      </c>
      <c r="P532" s="63">
        <f t="shared" si="14"/>
        <v>120</v>
      </c>
      <c r="Q532" s="64">
        <f t="shared" si="15"/>
        <v>454.86666666666667</v>
      </c>
      <c r="R532" s="64">
        <f t="shared" si="16"/>
        <v>19.073486328125</v>
      </c>
      <c r="S532" s="64">
        <f t="shared" si="17"/>
        <v>22</v>
      </c>
      <c r="T532" s="64">
        <f t="shared" si="18"/>
        <v>106.13555555555556</v>
      </c>
      <c r="U532" s="64" t="str">
        <f t="shared" si="19"/>
        <v>91-120</v>
      </c>
      <c r="V532" s="64" t="str">
        <f t="shared" si="20"/>
        <v>10-20 Гб</v>
      </c>
    </row>
    <row r="533" spans="1:22" ht="15.75" customHeight="1" x14ac:dyDescent="0.25">
      <c r="A533" s="62" t="s">
        <v>624</v>
      </c>
      <c r="B533" s="56">
        <v>36635</v>
      </c>
      <c r="C533" s="62" t="s">
        <v>83</v>
      </c>
      <c r="D533" s="62" t="s">
        <v>84</v>
      </c>
      <c r="E533" s="62" t="s">
        <v>85</v>
      </c>
      <c r="F533" s="62" t="s">
        <v>96</v>
      </c>
      <c r="G533" s="56">
        <v>43698</v>
      </c>
      <c r="H533" s="62">
        <v>5</v>
      </c>
      <c r="I533" s="62">
        <v>45972</v>
      </c>
      <c r="J533" s="62">
        <v>112000000</v>
      </c>
      <c r="L533" s="62">
        <v>1</v>
      </c>
      <c r="P533" s="63">
        <f t="shared" si="14"/>
        <v>120</v>
      </c>
      <c r="Q533" s="64">
        <f t="shared" si="15"/>
        <v>191.55</v>
      </c>
      <c r="R533" s="64">
        <f t="shared" si="16"/>
        <v>26.702880859375</v>
      </c>
      <c r="S533" s="64">
        <f t="shared" si="17"/>
        <v>22</v>
      </c>
      <c r="T533" s="64">
        <f t="shared" si="18"/>
        <v>44.695000000000007</v>
      </c>
      <c r="U533" s="64" t="str">
        <f t="shared" si="19"/>
        <v>35-60</v>
      </c>
      <c r="V533" s="64" t="str">
        <f t="shared" si="20"/>
        <v>21-30 Гб</v>
      </c>
    </row>
    <row r="534" spans="1:22" ht="15.75" customHeight="1" x14ac:dyDescent="0.25">
      <c r="A534" s="62" t="s">
        <v>625</v>
      </c>
      <c r="B534" s="56">
        <v>36635</v>
      </c>
      <c r="C534" s="62" t="s">
        <v>88</v>
      </c>
      <c r="D534" s="62" t="s">
        <v>84</v>
      </c>
      <c r="E534" s="62" t="s">
        <v>85</v>
      </c>
      <c r="F534" s="62" t="s">
        <v>89</v>
      </c>
      <c r="G534" s="56">
        <v>44414</v>
      </c>
      <c r="H534" s="62">
        <v>5</v>
      </c>
      <c r="I534" s="62">
        <v>14024</v>
      </c>
      <c r="J534" s="62">
        <v>148000000</v>
      </c>
      <c r="P534" s="63">
        <f t="shared" si="14"/>
        <v>120</v>
      </c>
      <c r="Q534" s="64">
        <f t="shared" si="15"/>
        <v>58.43333333333333</v>
      </c>
      <c r="R534" s="64">
        <f t="shared" si="16"/>
        <v>35.28594970703125</v>
      </c>
      <c r="S534" s="64">
        <f t="shared" si="17"/>
        <v>22</v>
      </c>
      <c r="T534" s="64">
        <f t="shared" si="18"/>
        <v>13.634444444444444</v>
      </c>
      <c r="U534" s="64" t="str">
        <f t="shared" si="19"/>
        <v>&lt;35</v>
      </c>
      <c r="V534" s="64" t="str">
        <f t="shared" si="20"/>
        <v>31-40 Гб</v>
      </c>
    </row>
    <row r="535" spans="1:22" ht="15.75" customHeight="1" x14ac:dyDescent="0.25">
      <c r="A535" s="62" t="s">
        <v>626</v>
      </c>
      <c r="B535" s="56">
        <v>36634</v>
      </c>
      <c r="C535" s="62" t="s">
        <v>88</v>
      </c>
      <c r="D535" s="62" t="s">
        <v>84</v>
      </c>
      <c r="E535" s="62" t="s">
        <v>85</v>
      </c>
      <c r="F535" s="62" t="s">
        <v>96</v>
      </c>
      <c r="G535" s="56">
        <v>43803</v>
      </c>
      <c r="H535" s="62">
        <v>5</v>
      </c>
      <c r="I535" s="62">
        <v>69796</v>
      </c>
      <c r="J535" s="62">
        <v>84000000</v>
      </c>
      <c r="P535" s="63">
        <f t="shared" si="14"/>
        <v>120</v>
      </c>
      <c r="Q535" s="64">
        <f t="shared" si="15"/>
        <v>290.81666666666666</v>
      </c>
      <c r="R535" s="64">
        <f t="shared" si="16"/>
        <v>20.02716064453125</v>
      </c>
      <c r="S535" s="64">
        <f t="shared" si="17"/>
        <v>22</v>
      </c>
      <c r="T535" s="64">
        <f t="shared" si="18"/>
        <v>67.857222222222219</v>
      </c>
      <c r="U535" s="64" t="str">
        <f t="shared" si="19"/>
        <v>61-90</v>
      </c>
      <c r="V535" s="64" t="str">
        <f t="shared" si="20"/>
        <v>21-30 Гб</v>
      </c>
    </row>
    <row r="536" spans="1:22" ht="15.75" customHeight="1" x14ac:dyDescent="0.25">
      <c r="A536" s="62" t="s">
        <v>627</v>
      </c>
      <c r="B536" s="56">
        <v>36631</v>
      </c>
      <c r="C536" s="62" t="s">
        <v>83</v>
      </c>
      <c r="D536" s="62" t="s">
        <v>84</v>
      </c>
      <c r="E536" s="62" t="s">
        <v>85</v>
      </c>
      <c r="F536" s="62" t="s">
        <v>86</v>
      </c>
      <c r="G536" s="56">
        <v>43296</v>
      </c>
      <c r="H536" s="62">
        <v>5</v>
      </c>
      <c r="I536" s="62">
        <v>130996</v>
      </c>
      <c r="J536" s="62">
        <v>76000000</v>
      </c>
      <c r="M536" s="62">
        <v>1</v>
      </c>
      <c r="P536" s="63">
        <f t="shared" si="14"/>
        <v>120</v>
      </c>
      <c r="Q536" s="64">
        <f t="shared" si="15"/>
        <v>545.81666666666672</v>
      </c>
      <c r="R536" s="64">
        <f t="shared" si="16"/>
        <v>18.11981201171875</v>
      </c>
      <c r="S536" s="64">
        <f t="shared" si="17"/>
        <v>22</v>
      </c>
      <c r="T536" s="64">
        <f t="shared" si="18"/>
        <v>127.35722222222223</v>
      </c>
      <c r="U536" s="64" t="str">
        <f t="shared" si="19"/>
        <v>120+</v>
      </c>
      <c r="V536" s="64" t="str">
        <f t="shared" si="20"/>
        <v>10-20 Гб</v>
      </c>
    </row>
    <row r="537" spans="1:22" ht="15.75" customHeight="1" x14ac:dyDescent="0.25">
      <c r="A537" s="62" t="s">
        <v>628</v>
      </c>
      <c r="B537" s="56">
        <v>36630</v>
      </c>
      <c r="C537" s="62" t="s">
        <v>83</v>
      </c>
      <c r="D537" s="62" t="s">
        <v>84</v>
      </c>
      <c r="E537" s="62" t="s">
        <v>85</v>
      </c>
      <c r="F537" s="62" t="s">
        <v>96</v>
      </c>
      <c r="G537" s="56">
        <v>42986</v>
      </c>
      <c r="H537" s="62">
        <v>5</v>
      </c>
      <c r="I537" s="62">
        <v>81228</v>
      </c>
      <c r="J537" s="62">
        <v>100000000</v>
      </c>
      <c r="O537" s="62">
        <v>1</v>
      </c>
      <c r="P537" s="63">
        <f t="shared" si="14"/>
        <v>120</v>
      </c>
      <c r="Q537" s="64">
        <f t="shared" si="15"/>
        <v>338.45</v>
      </c>
      <c r="R537" s="64">
        <f t="shared" si="16"/>
        <v>23.84185791015625</v>
      </c>
      <c r="S537" s="64">
        <f t="shared" si="17"/>
        <v>22</v>
      </c>
      <c r="T537" s="64">
        <f t="shared" si="18"/>
        <v>78.971666666666664</v>
      </c>
      <c r="U537" s="64" t="str">
        <f t="shared" si="19"/>
        <v>61-90</v>
      </c>
      <c r="V537" s="64" t="str">
        <f t="shared" si="20"/>
        <v>21-30 Гб</v>
      </c>
    </row>
    <row r="538" spans="1:22" ht="15.75" customHeight="1" x14ac:dyDescent="0.25">
      <c r="A538" s="62" t="s">
        <v>629</v>
      </c>
      <c r="B538" s="56">
        <v>36629</v>
      </c>
      <c r="C538" s="62" t="s">
        <v>83</v>
      </c>
      <c r="D538" s="62" t="s">
        <v>84</v>
      </c>
      <c r="E538" s="62" t="s">
        <v>85</v>
      </c>
      <c r="F538" s="62" t="s">
        <v>100</v>
      </c>
      <c r="G538" s="56">
        <v>43396</v>
      </c>
      <c r="H538" s="62">
        <v>5</v>
      </c>
      <c r="I538" s="62">
        <v>80040</v>
      </c>
      <c r="J538" s="62">
        <v>136000000</v>
      </c>
      <c r="P538" s="63">
        <f t="shared" si="14"/>
        <v>120</v>
      </c>
      <c r="Q538" s="64">
        <f t="shared" si="15"/>
        <v>333.5</v>
      </c>
      <c r="R538" s="64">
        <f t="shared" si="16"/>
        <v>32.4249267578125</v>
      </c>
      <c r="S538" s="64">
        <f t="shared" si="17"/>
        <v>22</v>
      </c>
      <c r="T538" s="64">
        <f t="shared" si="18"/>
        <v>77.816666666666663</v>
      </c>
      <c r="U538" s="64" t="str">
        <f t="shared" si="19"/>
        <v>61-90</v>
      </c>
      <c r="V538" s="64" t="str">
        <f t="shared" si="20"/>
        <v>31-40 Гб</v>
      </c>
    </row>
    <row r="539" spans="1:22" ht="15.75" customHeight="1" x14ac:dyDescent="0.25">
      <c r="A539" s="62" t="s">
        <v>630</v>
      </c>
      <c r="B539" s="56">
        <v>36629</v>
      </c>
      <c r="C539" s="62" t="s">
        <v>88</v>
      </c>
      <c r="D539" s="62" t="s">
        <v>84</v>
      </c>
      <c r="E539" s="62" t="s">
        <v>92</v>
      </c>
      <c r="F539" s="62" t="s">
        <v>96</v>
      </c>
      <c r="G539" s="56">
        <v>44465</v>
      </c>
      <c r="H539" s="62">
        <v>5</v>
      </c>
      <c r="I539" s="62">
        <v>68652</v>
      </c>
      <c r="J539" s="62">
        <v>112000000</v>
      </c>
      <c r="L539" s="62">
        <v>1</v>
      </c>
      <c r="P539" s="63">
        <f t="shared" si="14"/>
        <v>120</v>
      </c>
      <c r="Q539" s="64">
        <f t="shared" si="15"/>
        <v>286.05</v>
      </c>
      <c r="R539" s="64">
        <f t="shared" si="16"/>
        <v>26.702880859375</v>
      </c>
      <c r="S539" s="64">
        <f t="shared" si="17"/>
        <v>22</v>
      </c>
      <c r="T539" s="64">
        <f t="shared" si="18"/>
        <v>66.745000000000005</v>
      </c>
      <c r="U539" s="64" t="str">
        <f t="shared" si="19"/>
        <v>61-90</v>
      </c>
      <c r="V539" s="64" t="str">
        <f t="shared" si="20"/>
        <v>21-30 Гб</v>
      </c>
    </row>
    <row r="540" spans="1:22" ht="15.75" customHeight="1" x14ac:dyDescent="0.25">
      <c r="A540" s="62" t="s">
        <v>631</v>
      </c>
      <c r="B540" s="56">
        <v>36628</v>
      </c>
      <c r="C540" s="62" t="s">
        <v>88</v>
      </c>
      <c r="D540" s="62" t="s">
        <v>84</v>
      </c>
      <c r="E540" s="62" t="s">
        <v>92</v>
      </c>
      <c r="F540" s="62" t="s">
        <v>93</v>
      </c>
      <c r="G540" s="56">
        <v>43280</v>
      </c>
      <c r="H540" s="62">
        <v>5</v>
      </c>
      <c r="I540" s="62">
        <v>28500</v>
      </c>
      <c r="J540" s="62">
        <v>4000000</v>
      </c>
      <c r="P540" s="63">
        <f t="shared" si="14"/>
        <v>120</v>
      </c>
      <c r="Q540" s="64">
        <f t="shared" si="15"/>
        <v>118.75</v>
      </c>
      <c r="R540" s="64">
        <f t="shared" si="16"/>
        <v>0.95367431640625011</v>
      </c>
      <c r="S540" s="64">
        <f t="shared" si="17"/>
        <v>22</v>
      </c>
      <c r="T540" s="64">
        <f t="shared" si="18"/>
        <v>27.708333333333332</v>
      </c>
      <c r="U540" s="64" t="str">
        <f t="shared" si="19"/>
        <v>&lt;35</v>
      </c>
      <c r="V540" s="64" t="str">
        <f t="shared" si="20"/>
        <v>&lt;10 Гб</v>
      </c>
    </row>
    <row r="541" spans="1:22" ht="15.75" customHeight="1" x14ac:dyDescent="0.25">
      <c r="A541" s="62" t="s">
        <v>632</v>
      </c>
      <c r="B541" s="56">
        <v>36627</v>
      </c>
      <c r="C541" s="62" t="s">
        <v>88</v>
      </c>
      <c r="D541" s="62" t="s">
        <v>84</v>
      </c>
      <c r="E541" s="62" t="s">
        <v>92</v>
      </c>
      <c r="F541" s="62" t="s">
        <v>100</v>
      </c>
      <c r="G541" s="56">
        <v>44681</v>
      </c>
      <c r="H541" s="62">
        <v>0</v>
      </c>
      <c r="I541" s="62">
        <v>666</v>
      </c>
      <c r="J541" s="62">
        <v>966667</v>
      </c>
      <c r="K541" s="62">
        <v>1</v>
      </c>
      <c r="M541" s="62">
        <v>1</v>
      </c>
      <c r="P541" s="63">
        <f t="shared" si="14"/>
        <v>1</v>
      </c>
      <c r="Q541" s="64">
        <f t="shared" si="15"/>
        <v>333</v>
      </c>
      <c r="R541" s="64">
        <f t="shared" si="16"/>
        <v>27.656564712524414</v>
      </c>
      <c r="S541" s="64">
        <f t="shared" si="17"/>
        <v>22</v>
      </c>
      <c r="T541" s="64">
        <f t="shared" si="18"/>
        <v>77.7</v>
      </c>
      <c r="U541" s="64" t="str">
        <f t="shared" si="19"/>
        <v>61-90</v>
      </c>
      <c r="V541" s="64" t="str">
        <f t="shared" si="20"/>
        <v>21-30 Гб</v>
      </c>
    </row>
    <row r="542" spans="1:22" ht="15.75" customHeight="1" x14ac:dyDescent="0.25">
      <c r="A542" s="62" t="s">
        <v>633</v>
      </c>
      <c r="B542" s="56">
        <v>36625</v>
      </c>
      <c r="C542" s="62" t="s">
        <v>88</v>
      </c>
      <c r="D542" s="62" t="s">
        <v>84</v>
      </c>
      <c r="E542" s="62" t="s">
        <v>85</v>
      </c>
      <c r="F542" s="62" t="s">
        <v>89</v>
      </c>
      <c r="G542" s="56">
        <v>44580</v>
      </c>
      <c r="H542" s="62">
        <v>3</v>
      </c>
      <c r="I542" s="62">
        <v>25210</v>
      </c>
      <c r="J542" s="62">
        <v>115600000</v>
      </c>
      <c r="P542" s="63">
        <f t="shared" si="14"/>
        <v>102</v>
      </c>
      <c r="Q542" s="64">
        <f t="shared" si="15"/>
        <v>123.57843137254903</v>
      </c>
      <c r="R542" s="64">
        <f t="shared" si="16"/>
        <v>32.4249267578125</v>
      </c>
      <c r="S542" s="64">
        <f t="shared" si="17"/>
        <v>22</v>
      </c>
      <c r="T542" s="64">
        <f t="shared" si="18"/>
        <v>28.834967320261441</v>
      </c>
      <c r="U542" s="64" t="str">
        <f t="shared" si="19"/>
        <v>&lt;35</v>
      </c>
      <c r="V542" s="64" t="str">
        <f t="shared" si="20"/>
        <v>31-40 Гб</v>
      </c>
    </row>
    <row r="543" spans="1:22" ht="15.75" customHeight="1" x14ac:dyDescent="0.25">
      <c r="A543" s="62" t="s">
        <v>634</v>
      </c>
      <c r="B543" s="56">
        <v>36624</v>
      </c>
      <c r="C543" s="62" t="s">
        <v>88</v>
      </c>
      <c r="D543" s="62" t="s">
        <v>84</v>
      </c>
      <c r="E543" s="62" t="s">
        <v>92</v>
      </c>
      <c r="F543" s="62" t="s">
        <v>89</v>
      </c>
      <c r="G543" s="56">
        <v>43590</v>
      </c>
      <c r="H543" s="62">
        <v>5</v>
      </c>
      <c r="I543" s="62">
        <v>17884</v>
      </c>
      <c r="J543" s="62">
        <v>152000000</v>
      </c>
      <c r="L543" s="62">
        <v>1</v>
      </c>
      <c r="N543" s="62">
        <v>1</v>
      </c>
      <c r="P543" s="63">
        <f t="shared" si="14"/>
        <v>120</v>
      </c>
      <c r="Q543" s="64">
        <f t="shared" si="15"/>
        <v>74.516666666666666</v>
      </c>
      <c r="R543" s="64">
        <f t="shared" si="16"/>
        <v>36.2396240234375</v>
      </c>
      <c r="S543" s="64">
        <f t="shared" si="17"/>
        <v>22</v>
      </c>
      <c r="T543" s="64">
        <f t="shared" si="18"/>
        <v>17.387222222222224</v>
      </c>
      <c r="U543" s="64" t="str">
        <f t="shared" si="19"/>
        <v>&lt;35</v>
      </c>
      <c r="V543" s="64" t="str">
        <f t="shared" si="20"/>
        <v>31-40 Гб</v>
      </c>
    </row>
    <row r="544" spans="1:22" ht="15.75" customHeight="1" x14ac:dyDescent="0.25">
      <c r="A544" s="62" t="s">
        <v>635</v>
      </c>
      <c r="B544" s="56">
        <v>36624</v>
      </c>
      <c r="C544" s="62" t="s">
        <v>88</v>
      </c>
      <c r="D544" s="62" t="s">
        <v>84</v>
      </c>
      <c r="E544" s="62" t="s">
        <v>85</v>
      </c>
      <c r="F544" s="62" t="s">
        <v>89</v>
      </c>
      <c r="G544" s="56">
        <v>44478</v>
      </c>
      <c r="H544" s="62">
        <v>5</v>
      </c>
      <c r="I544" s="62">
        <v>9020</v>
      </c>
      <c r="J544" s="62">
        <v>160000000</v>
      </c>
      <c r="K544" s="62">
        <v>1</v>
      </c>
      <c r="P544" s="63">
        <f t="shared" si="14"/>
        <v>120</v>
      </c>
      <c r="Q544" s="64">
        <f t="shared" si="15"/>
        <v>37.583333333333336</v>
      </c>
      <c r="R544" s="64">
        <f t="shared" si="16"/>
        <v>38.14697265625</v>
      </c>
      <c r="S544" s="64">
        <f t="shared" si="17"/>
        <v>22</v>
      </c>
      <c r="T544" s="64">
        <f t="shared" si="18"/>
        <v>8.7694444444444457</v>
      </c>
      <c r="U544" s="64" t="str">
        <f t="shared" si="19"/>
        <v>&lt;35</v>
      </c>
      <c r="V544" s="64" t="str">
        <f t="shared" si="20"/>
        <v>31-40 Гб</v>
      </c>
    </row>
    <row r="545" spans="1:22" ht="15.75" customHeight="1" x14ac:dyDescent="0.25">
      <c r="A545" s="62" t="s">
        <v>636</v>
      </c>
      <c r="B545" s="56">
        <v>36612</v>
      </c>
      <c r="C545" s="62" t="s">
        <v>88</v>
      </c>
      <c r="D545" s="62" t="s">
        <v>84</v>
      </c>
      <c r="E545" s="62" t="s">
        <v>85</v>
      </c>
      <c r="F545" s="62" t="s">
        <v>89</v>
      </c>
      <c r="G545" s="56">
        <v>44478</v>
      </c>
      <c r="H545" s="62">
        <v>5</v>
      </c>
      <c r="I545" s="62">
        <v>13564</v>
      </c>
      <c r="J545" s="62">
        <v>160000000</v>
      </c>
      <c r="P545" s="63">
        <f t="shared" si="14"/>
        <v>120</v>
      </c>
      <c r="Q545" s="64">
        <f t="shared" si="15"/>
        <v>56.516666666666666</v>
      </c>
      <c r="R545" s="64">
        <f t="shared" si="16"/>
        <v>38.14697265625</v>
      </c>
      <c r="S545" s="64">
        <f t="shared" si="17"/>
        <v>22</v>
      </c>
      <c r="T545" s="64">
        <f t="shared" si="18"/>
        <v>13.187222222222223</v>
      </c>
      <c r="U545" s="64" t="str">
        <f t="shared" si="19"/>
        <v>&lt;35</v>
      </c>
      <c r="V545" s="64" t="str">
        <f t="shared" si="20"/>
        <v>31-40 Гб</v>
      </c>
    </row>
    <row r="546" spans="1:22" ht="15.75" customHeight="1" x14ac:dyDescent="0.25">
      <c r="A546" s="62" t="s">
        <v>637</v>
      </c>
      <c r="B546" s="56">
        <v>36606</v>
      </c>
      <c r="C546" s="62" t="s">
        <v>88</v>
      </c>
      <c r="D546" s="62" t="s">
        <v>84</v>
      </c>
      <c r="E546" s="62" t="s">
        <v>92</v>
      </c>
      <c r="F546" s="62" t="s">
        <v>89</v>
      </c>
      <c r="G546" s="56">
        <v>43917</v>
      </c>
      <c r="H546" s="62">
        <v>5</v>
      </c>
      <c r="I546" s="62">
        <v>14344</v>
      </c>
      <c r="J546" s="62">
        <v>76000000</v>
      </c>
      <c r="P546" s="63">
        <f t="shared" si="14"/>
        <v>120</v>
      </c>
      <c r="Q546" s="64">
        <f t="shared" si="15"/>
        <v>59.766666666666666</v>
      </c>
      <c r="R546" s="64">
        <f t="shared" si="16"/>
        <v>18.11981201171875</v>
      </c>
      <c r="S546" s="64">
        <f t="shared" si="17"/>
        <v>22</v>
      </c>
      <c r="T546" s="64">
        <f t="shared" si="18"/>
        <v>13.945555555555556</v>
      </c>
      <c r="U546" s="64" t="str">
        <f t="shared" si="19"/>
        <v>&lt;35</v>
      </c>
      <c r="V546" s="64" t="str">
        <f t="shared" si="20"/>
        <v>10-20 Гб</v>
      </c>
    </row>
    <row r="547" spans="1:22" ht="15.75" customHeight="1" x14ac:dyDescent="0.25">
      <c r="A547" s="62" t="s">
        <v>638</v>
      </c>
      <c r="B547" s="56">
        <v>36602</v>
      </c>
      <c r="C547" s="62" t="s">
        <v>88</v>
      </c>
      <c r="D547" s="62" t="s">
        <v>84</v>
      </c>
      <c r="E547" s="62" t="s">
        <v>92</v>
      </c>
      <c r="F547" s="62" t="s">
        <v>89</v>
      </c>
      <c r="G547" s="56">
        <v>43533</v>
      </c>
      <c r="H547" s="62">
        <v>5</v>
      </c>
      <c r="I547" s="62">
        <v>5304</v>
      </c>
      <c r="J547" s="62">
        <v>160000000</v>
      </c>
      <c r="K547" s="62">
        <v>1</v>
      </c>
      <c r="O547" s="62">
        <v>1</v>
      </c>
      <c r="P547" s="63">
        <f t="shared" si="14"/>
        <v>120</v>
      </c>
      <c r="Q547" s="64">
        <f t="shared" si="15"/>
        <v>22.1</v>
      </c>
      <c r="R547" s="64">
        <f t="shared" si="16"/>
        <v>38.14697265625</v>
      </c>
      <c r="S547" s="64">
        <f t="shared" si="17"/>
        <v>22</v>
      </c>
      <c r="T547" s="64">
        <f t="shared" si="18"/>
        <v>5.1566666666666672</v>
      </c>
      <c r="U547" s="64" t="str">
        <f t="shared" si="19"/>
        <v>&lt;35</v>
      </c>
      <c r="V547" s="64" t="str">
        <f t="shared" si="20"/>
        <v>31-40 Гб</v>
      </c>
    </row>
    <row r="548" spans="1:22" ht="15.75" customHeight="1" x14ac:dyDescent="0.25">
      <c r="A548" s="62" t="s">
        <v>639</v>
      </c>
      <c r="B548" s="56">
        <v>36600</v>
      </c>
      <c r="C548" s="62" t="s">
        <v>88</v>
      </c>
      <c r="D548" s="62" t="s">
        <v>84</v>
      </c>
      <c r="E548" s="62" t="s">
        <v>85</v>
      </c>
      <c r="F548" s="62" t="s">
        <v>96</v>
      </c>
      <c r="G548" s="56">
        <v>44363</v>
      </c>
      <c r="H548" s="62">
        <v>5</v>
      </c>
      <c r="I548" s="62">
        <v>8764</v>
      </c>
      <c r="J548" s="62">
        <v>12000000</v>
      </c>
      <c r="K548" s="62">
        <v>1</v>
      </c>
      <c r="P548" s="63">
        <f t="shared" si="14"/>
        <v>120</v>
      </c>
      <c r="Q548" s="64">
        <f t="shared" si="15"/>
        <v>36.516666666666666</v>
      </c>
      <c r="R548" s="64">
        <f t="shared" si="16"/>
        <v>2.86102294921875</v>
      </c>
      <c r="S548" s="64">
        <f t="shared" si="17"/>
        <v>22</v>
      </c>
      <c r="T548" s="64">
        <f t="shared" si="18"/>
        <v>8.5205555555555552</v>
      </c>
      <c r="U548" s="64" t="str">
        <f t="shared" si="19"/>
        <v>&lt;35</v>
      </c>
      <c r="V548" s="64" t="str">
        <f t="shared" si="20"/>
        <v>&lt;10 Гб</v>
      </c>
    </row>
    <row r="549" spans="1:22" ht="15.75" customHeight="1" x14ac:dyDescent="0.25">
      <c r="A549" s="62" t="s">
        <v>640</v>
      </c>
      <c r="B549" s="56">
        <v>36599</v>
      </c>
      <c r="C549" s="62" t="s">
        <v>88</v>
      </c>
      <c r="D549" s="62" t="s">
        <v>84</v>
      </c>
      <c r="E549" s="62" t="s">
        <v>92</v>
      </c>
      <c r="F549" s="62" t="s">
        <v>100</v>
      </c>
      <c r="G549" s="56">
        <v>44421</v>
      </c>
      <c r="H549" s="62">
        <v>5</v>
      </c>
      <c r="I549" s="62">
        <v>119504</v>
      </c>
      <c r="J549" s="62">
        <v>100000000</v>
      </c>
      <c r="P549" s="63">
        <f t="shared" si="14"/>
        <v>120</v>
      </c>
      <c r="Q549" s="64">
        <f t="shared" si="15"/>
        <v>497.93333333333339</v>
      </c>
      <c r="R549" s="64">
        <f t="shared" si="16"/>
        <v>23.84185791015625</v>
      </c>
      <c r="S549" s="64">
        <f t="shared" si="17"/>
        <v>22</v>
      </c>
      <c r="T549" s="64">
        <f t="shared" si="18"/>
        <v>116.18444444444445</v>
      </c>
      <c r="U549" s="64" t="str">
        <f t="shared" si="19"/>
        <v>91-120</v>
      </c>
      <c r="V549" s="64" t="str">
        <f t="shared" si="20"/>
        <v>21-30 Гб</v>
      </c>
    </row>
    <row r="550" spans="1:22" ht="15.75" customHeight="1" x14ac:dyDescent="0.25">
      <c r="A550" s="62" t="s">
        <v>641</v>
      </c>
      <c r="B550" s="56">
        <v>36598</v>
      </c>
      <c r="C550" s="62" t="s">
        <v>88</v>
      </c>
      <c r="D550" s="62" t="s">
        <v>84</v>
      </c>
      <c r="E550" s="62" t="s">
        <v>85</v>
      </c>
      <c r="F550" s="62" t="s">
        <v>96</v>
      </c>
      <c r="G550" s="56">
        <v>43136</v>
      </c>
      <c r="H550" s="62">
        <v>5</v>
      </c>
      <c r="I550" s="62">
        <v>95804</v>
      </c>
      <c r="J550" s="62">
        <v>112000000</v>
      </c>
      <c r="P550" s="63">
        <f t="shared" si="14"/>
        <v>120</v>
      </c>
      <c r="Q550" s="64">
        <f t="shared" si="15"/>
        <v>399.18333333333334</v>
      </c>
      <c r="R550" s="64">
        <f t="shared" si="16"/>
        <v>26.702880859375</v>
      </c>
      <c r="S550" s="64">
        <f t="shared" si="17"/>
        <v>22</v>
      </c>
      <c r="T550" s="64">
        <f t="shared" si="18"/>
        <v>93.142777777777781</v>
      </c>
      <c r="U550" s="64" t="str">
        <f t="shared" si="19"/>
        <v>91-120</v>
      </c>
      <c r="V550" s="64" t="str">
        <f t="shared" si="20"/>
        <v>21-30 Гб</v>
      </c>
    </row>
    <row r="551" spans="1:22" ht="15.75" customHeight="1" x14ac:dyDescent="0.25">
      <c r="A551" s="62" t="s">
        <v>642</v>
      </c>
      <c r="B551" s="56">
        <v>36598</v>
      </c>
      <c r="C551" s="62" t="s">
        <v>83</v>
      </c>
      <c r="D551" s="62" t="s">
        <v>84</v>
      </c>
      <c r="E551" s="62" t="s">
        <v>92</v>
      </c>
      <c r="F551" s="62" t="s">
        <v>96</v>
      </c>
      <c r="G551" s="56">
        <v>42790</v>
      </c>
      <c r="H551" s="62">
        <v>5</v>
      </c>
      <c r="I551" s="62">
        <v>39856</v>
      </c>
      <c r="J551" s="62">
        <v>92000000</v>
      </c>
      <c r="K551" s="62">
        <v>1</v>
      </c>
      <c r="L551" s="62">
        <v>1</v>
      </c>
      <c r="P551" s="63">
        <f t="shared" si="14"/>
        <v>120</v>
      </c>
      <c r="Q551" s="64">
        <f t="shared" si="15"/>
        <v>166.06666666666666</v>
      </c>
      <c r="R551" s="64">
        <f t="shared" si="16"/>
        <v>21.93450927734375</v>
      </c>
      <c r="S551" s="64">
        <f t="shared" si="17"/>
        <v>22</v>
      </c>
      <c r="T551" s="64">
        <f t="shared" si="18"/>
        <v>38.748888888888892</v>
      </c>
      <c r="U551" s="64" t="str">
        <f t="shared" si="19"/>
        <v>35-60</v>
      </c>
      <c r="V551" s="64" t="str">
        <f t="shared" si="20"/>
        <v>21-30 Гб</v>
      </c>
    </row>
    <row r="552" spans="1:22" ht="15.75" customHeight="1" x14ac:dyDescent="0.25">
      <c r="A552" s="62" t="s">
        <v>643</v>
      </c>
      <c r="B552" s="56">
        <v>36596</v>
      </c>
      <c r="C552" s="62" t="s">
        <v>83</v>
      </c>
      <c r="D552" s="62" t="s">
        <v>84</v>
      </c>
      <c r="E552" s="62" t="s">
        <v>92</v>
      </c>
      <c r="F552" s="62" t="s">
        <v>89</v>
      </c>
      <c r="G552" s="56">
        <v>44287</v>
      </c>
      <c r="H552" s="62">
        <v>5</v>
      </c>
      <c r="I552" s="62">
        <v>8232</v>
      </c>
      <c r="J552" s="62">
        <v>124000000</v>
      </c>
      <c r="P552" s="63">
        <f t="shared" si="14"/>
        <v>120</v>
      </c>
      <c r="Q552" s="64">
        <f t="shared" si="15"/>
        <v>34.299999999999997</v>
      </c>
      <c r="R552" s="64">
        <f t="shared" si="16"/>
        <v>29.56390380859375</v>
      </c>
      <c r="S552" s="64">
        <f t="shared" si="17"/>
        <v>22</v>
      </c>
      <c r="T552" s="64">
        <f t="shared" si="18"/>
        <v>8.0033333333333321</v>
      </c>
      <c r="U552" s="64" t="str">
        <f t="shared" si="19"/>
        <v>&lt;35</v>
      </c>
      <c r="V552" s="64" t="str">
        <f t="shared" si="20"/>
        <v>21-30 Гб</v>
      </c>
    </row>
    <row r="553" spans="1:22" ht="15.75" customHeight="1" x14ac:dyDescent="0.25">
      <c r="A553" s="62" t="s">
        <v>644</v>
      </c>
      <c r="B553" s="56">
        <v>36594</v>
      </c>
      <c r="C553" s="62" t="s">
        <v>83</v>
      </c>
      <c r="D553" s="62" t="s">
        <v>84</v>
      </c>
      <c r="E553" s="62" t="s">
        <v>92</v>
      </c>
      <c r="F553" s="62" t="s">
        <v>96</v>
      </c>
      <c r="G553" s="56">
        <v>43727</v>
      </c>
      <c r="H553" s="62">
        <v>5</v>
      </c>
      <c r="I553" s="62">
        <v>85084</v>
      </c>
      <c r="J553" s="62">
        <v>92000000</v>
      </c>
      <c r="P553" s="63">
        <f t="shared" si="14"/>
        <v>120</v>
      </c>
      <c r="Q553" s="64">
        <f t="shared" si="15"/>
        <v>354.51666666666665</v>
      </c>
      <c r="R553" s="64">
        <f t="shared" si="16"/>
        <v>21.93450927734375</v>
      </c>
      <c r="S553" s="64">
        <f t="shared" si="17"/>
        <v>22</v>
      </c>
      <c r="T553" s="64">
        <f t="shared" si="18"/>
        <v>82.720555555555563</v>
      </c>
      <c r="U553" s="64" t="str">
        <f t="shared" si="19"/>
        <v>61-90</v>
      </c>
      <c r="V553" s="64" t="str">
        <f t="shared" si="20"/>
        <v>21-30 Гб</v>
      </c>
    </row>
    <row r="554" spans="1:22" ht="15.75" customHeight="1" x14ac:dyDescent="0.25">
      <c r="A554" s="62" t="s">
        <v>645</v>
      </c>
      <c r="B554" s="56">
        <v>36593</v>
      </c>
      <c r="C554" s="62" t="s">
        <v>88</v>
      </c>
      <c r="D554" s="62" t="s">
        <v>84</v>
      </c>
      <c r="E554" s="62" t="s">
        <v>85</v>
      </c>
      <c r="F554" s="62" t="s">
        <v>89</v>
      </c>
      <c r="G554" s="56">
        <v>43635</v>
      </c>
      <c r="H554" s="62">
        <v>5</v>
      </c>
      <c r="I554" s="62">
        <v>34256</v>
      </c>
      <c r="J554" s="62">
        <v>132000000</v>
      </c>
      <c r="P554" s="63">
        <f t="shared" si="14"/>
        <v>120</v>
      </c>
      <c r="Q554" s="64">
        <f t="shared" si="15"/>
        <v>142.73333333333332</v>
      </c>
      <c r="R554" s="64">
        <f t="shared" si="16"/>
        <v>31.47125244140625</v>
      </c>
      <c r="S554" s="64">
        <f t="shared" si="17"/>
        <v>22</v>
      </c>
      <c r="T554" s="64">
        <f t="shared" si="18"/>
        <v>33.304444444444442</v>
      </c>
      <c r="U554" s="64" t="str">
        <f t="shared" si="19"/>
        <v>&lt;35</v>
      </c>
      <c r="V554" s="64" t="str">
        <f t="shared" si="20"/>
        <v>31-40 Гб</v>
      </c>
    </row>
    <row r="555" spans="1:22" ht="15.75" customHeight="1" x14ac:dyDescent="0.25">
      <c r="A555" s="62" t="s">
        <v>646</v>
      </c>
      <c r="B555" s="56">
        <v>36592</v>
      </c>
      <c r="C555" s="62" t="s">
        <v>88</v>
      </c>
      <c r="D555" s="62" t="s">
        <v>84</v>
      </c>
      <c r="E555" s="62" t="s">
        <v>92</v>
      </c>
      <c r="F555" s="62" t="s">
        <v>89</v>
      </c>
      <c r="G555" s="56">
        <v>43491</v>
      </c>
      <c r="H555" s="62">
        <v>5</v>
      </c>
      <c r="I555" s="62">
        <v>2472</v>
      </c>
      <c r="J555" s="62">
        <v>160000000</v>
      </c>
      <c r="P555" s="63">
        <f t="shared" si="14"/>
        <v>120</v>
      </c>
      <c r="Q555" s="64">
        <f t="shared" si="15"/>
        <v>10.3</v>
      </c>
      <c r="R555" s="64">
        <f t="shared" si="16"/>
        <v>38.14697265625</v>
      </c>
      <c r="S555" s="64">
        <f t="shared" si="17"/>
        <v>22</v>
      </c>
      <c r="T555" s="64">
        <f t="shared" si="18"/>
        <v>2.4033333333333338</v>
      </c>
      <c r="U555" s="64" t="str">
        <f t="shared" si="19"/>
        <v>&lt;35</v>
      </c>
      <c r="V555" s="64" t="str">
        <f t="shared" si="20"/>
        <v>31-40 Гб</v>
      </c>
    </row>
    <row r="556" spans="1:22" ht="15.75" customHeight="1" x14ac:dyDescent="0.25">
      <c r="A556" s="62" t="s">
        <v>647</v>
      </c>
      <c r="B556" s="56">
        <v>36586</v>
      </c>
      <c r="C556" s="62" t="s">
        <v>88</v>
      </c>
      <c r="D556" s="62" t="s">
        <v>84</v>
      </c>
      <c r="E556" s="62" t="s">
        <v>92</v>
      </c>
      <c r="F556" s="62" t="s">
        <v>89</v>
      </c>
      <c r="G556" s="56">
        <v>43153</v>
      </c>
      <c r="H556" s="62">
        <v>5</v>
      </c>
      <c r="I556" s="62">
        <v>34692</v>
      </c>
      <c r="J556" s="62">
        <v>40000000</v>
      </c>
      <c r="M556" s="62">
        <v>1</v>
      </c>
      <c r="P556" s="63">
        <f t="shared" si="14"/>
        <v>120</v>
      </c>
      <c r="Q556" s="64">
        <f t="shared" si="15"/>
        <v>144.55000000000001</v>
      </c>
      <c r="R556" s="64">
        <f t="shared" si="16"/>
        <v>9.5367431640625</v>
      </c>
      <c r="S556" s="64">
        <f t="shared" si="17"/>
        <v>22</v>
      </c>
      <c r="T556" s="64">
        <f t="shared" si="18"/>
        <v>33.728333333333339</v>
      </c>
      <c r="U556" s="64" t="str">
        <f t="shared" si="19"/>
        <v>&lt;35</v>
      </c>
      <c r="V556" s="64" t="str">
        <f t="shared" si="20"/>
        <v>&lt;10 Гб</v>
      </c>
    </row>
    <row r="557" spans="1:22" ht="15.75" customHeight="1" x14ac:dyDescent="0.25">
      <c r="A557" s="62" t="s">
        <v>648</v>
      </c>
      <c r="B557" s="56">
        <v>36584</v>
      </c>
      <c r="C557" s="62" t="s">
        <v>83</v>
      </c>
      <c r="D557" s="62" t="s">
        <v>84</v>
      </c>
      <c r="E557" s="62" t="s">
        <v>92</v>
      </c>
      <c r="F557" s="62" t="s">
        <v>89</v>
      </c>
      <c r="G557" s="56">
        <v>43888</v>
      </c>
      <c r="H557" s="62">
        <v>5</v>
      </c>
      <c r="I557" s="62">
        <v>14668</v>
      </c>
      <c r="J557" s="62">
        <v>152000000</v>
      </c>
      <c r="P557" s="63">
        <f t="shared" si="14"/>
        <v>120</v>
      </c>
      <c r="Q557" s="64">
        <f t="shared" si="15"/>
        <v>61.116666666666667</v>
      </c>
      <c r="R557" s="64">
        <f t="shared" si="16"/>
        <v>36.2396240234375</v>
      </c>
      <c r="S557" s="64">
        <f t="shared" si="17"/>
        <v>22</v>
      </c>
      <c r="T557" s="64">
        <f t="shared" si="18"/>
        <v>14.260555555555555</v>
      </c>
      <c r="U557" s="64" t="str">
        <f t="shared" si="19"/>
        <v>&lt;35</v>
      </c>
      <c r="V557" s="64" t="str">
        <f t="shared" si="20"/>
        <v>31-40 Гб</v>
      </c>
    </row>
    <row r="558" spans="1:22" ht="15.75" customHeight="1" x14ac:dyDescent="0.25">
      <c r="A558" s="62" t="s">
        <v>649</v>
      </c>
      <c r="B558" s="56">
        <v>36583</v>
      </c>
      <c r="C558" s="62" t="s">
        <v>88</v>
      </c>
      <c r="D558" s="62" t="s">
        <v>84</v>
      </c>
      <c r="E558" s="62" t="s">
        <v>92</v>
      </c>
      <c r="F558" s="62" t="s">
        <v>89</v>
      </c>
      <c r="G558" s="56">
        <v>44628</v>
      </c>
      <c r="H558" s="62">
        <v>1</v>
      </c>
      <c r="I558" s="62">
        <v>408</v>
      </c>
      <c r="J558" s="62">
        <v>57600000</v>
      </c>
      <c r="P558" s="63">
        <f t="shared" si="14"/>
        <v>54</v>
      </c>
      <c r="Q558" s="64">
        <f t="shared" si="15"/>
        <v>3.7777777777777772</v>
      </c>
      <c r="R558" s="64">
        <f t="shared" si="16"/>
        <v>30.517578125000004</v>
      </c>
      <c r="S558" s="64">
        <f t="shared" si="17"/>
        <v>22</v>
      </c>
      <c r="T558" s="64">
        <f t="shared" si="18"/>
        <v>0.88148148148148131</v>
      </c>
      <c r="U558" s="64" t="str">
        <f t="shared" si="19"/>
        <v>&lt;35</v>
      </c>
      <c r="V558" s="64" t="str">
        <f t="shared" si="20"/>
        <v>31-40 Гб</v>
      </c>
    </row>
    <row r="559" spans="1:22" ht="15.75" customHeight="1" x14ac:dyDescent="0.25">
      <c r="A559" s="62" t="s">
        <v>650</v>
      </c>
      <c r="B559" s="56">
        <v>36583</v>
      </c>
      <c r="C559" s="62" t="s">
        <v>88</v>
      </c>
      <c r="D559" s="62" t="s">
        <v>84</v>
      </c>
      <c r="E559" s="62" t="s">
        <v>85</v>
      </c>
      <c r="F559" s="62" t="s">
        <v>93</v>
      </c>
      <c r="G559" s="56">
        <v>44107</v>
      </c>
      <c r="H559" s="62">
        <v>5</v>
      </c>
      <c r="I559" s="62">
        <v>29068</v>
      </c>
      <c r="J559" s="62">
        <v>4000000</v>
      </c>
      <c r="L559" s="62">
        <v>1</v>
      </c>
      <c r="N559" s="62">
        <v>1</v>
      </c>
      <c r="P559" s="63">
        <f t="shared" si="14"/>
        <v>120</v>
      </c>
      <c r="Q559" s="64">
        <f t="shared" si="15"/>
        <v>121.11666666666666</v>
      </c>
      <c r="R559" s="64">
        <f t="shared" si="16"/>
        <v>0.95367431640625011</v>
      </c>
      <c r="S559" s="64">
        <f t="shared" si="17"/>
        <v>22</v>
      </c>
      <c r="T559" s="64">
        <f t="shared" si="18"/>
        <v>28.260555555555552</v>
      </c>
      <c r="U559" s="64" t="str">
        <f t="shared" si="19"/>
        <v>&lt;35</v>
      </c>
      <c r="V559" s="64" t="str">
        <f t="shared" si="20"/>
        <v>&lt;10 Гб</v>
      </c>
    </row>
    <row r="560" spans="1:22" ht="15.75" customHeight="1" x14ac:dyDescent="0.25">
      <c r="A560" s="62" t="s">
        <v>651</v>
      </c>
      <c r="B560" s="56">
        <v>36577</v>
      </c>
      <c r="C560" s="62" t="s">
        <v>83</v>
      </c>
      <c r="D560" s="62" t="s">
        <v>84</v>
      </c>
      <c r="E560" s="62" t="s">
        <v>92</v>
      </c>
      <c r="F560" s="62" t="s">
        <v>89</v>
      </c>
      <c r="G560" s="56">
        <v>43623</v>
      </c>
      <c r="H560" s="62">
        <v>5</v>
      </c>
      <c r="I560" s="62">
        <v>30192</v>
      </c>
      <c r="J560" s="62">
        <v>152000000</v>
      </c>
      <c r="P560" s="63">
        <f t="shared" si="14"/>
        <v>120</v>
      </c>
      <c r="Q560" s="64">
        <f t="shared" si="15"/>
        <v>125.8</v>
      </c>
      <c r="R560" s="64">
        <f t="shared" si="16"/>
        <v>36.2396240234375</v>
      </c>
      <c r="S560" s="64">
        <f t="shared" si="17"/>
        <v>22</v>
      </c>
      <c r="T560" s="64">
        <f t="shared" si="18"/>
        <v>29.353333333333335</v>
      </c>
      <c r="U560" s="64" t="str">
        <f t="shared" si="19"/>
        <v>&lt;35</v>
      </c>
      <c r="V560" s="64" t="str">
        <f t="shared" si="20"/>
        <v>31-40 Гб</v>
      </c>
    </row>
    <row r="561" spans="1:22" ht="15.75" customHeight="1" x14ac:dyDescent="0.25">
      <c r="A561" s="62" t="s">
        <v>652</v>
      </c>
      <c r="B561" s="56">
        <v>36575</v>
      </c>
      <c r="C561" s="62" t="s">
        <v>88</v>
      </c>
      <c r="D561" s="62" t="s">
        <v>84</v>
      </c>
      <c r="E561" s="62" t="s">
        <v>92</v>
      </c>
      <c r="F561" s="62" t="s">
        <v>100</v>
      </c>
      <c r="G561" s="56">
        <v>43802</v>
      </c>
      <c r="H561" s="62">
        <v>5</v>
      </c>
      <c r="I561" s="62">
        <v>96572</v>
      </c>
      <c r="J561" s="62">
        <v>128000000</v>
      </c>
      <c r="P561" s="63">
        <f t="shared" si="14"/>
        <v>120</v>
      </c>
      <c r="Q561" s="64">
        <f t="shared" si="15"/>
        <v>402.38333333333333</v>
      </c>
      <c r="R561" s="64">
        <f t="shared" si="16"/>
        <v>30.517578125000004</v>
      </c>
      <c r="S561" s="64">
        <f t="shared" si="17"/>
        <v>22</v>
      </c>
      <c r="T561" s="64">
        <f t="shared" si="18"/>
        <v>93.88944444444445</v>
      </c>
      <c r="U561" s="64" t="str">
        <f t="shared" si="19"/>
        <v>91-120</v>
      </c>
      <c r="V561" s="64" t="str">
        <f t="shared" si="20"/>
        <v>31-40 Гб</v>
      </c>
    </row>
    <row r="562" spans="1:22" ht="15.75" customHeight="1" x14ac:dyDescent="0.25">
      <c r="A562" s="62" t="s">
        <v>653</v>
      </c>
      <c r="B562" s="56">
        <v>36575</v>
      </c>
      <c r="C562" s="62" t="s">
        <v>88</v>
      </c>
      <c r="D562" s="62" t="s">
        <v>84</v>
      </c>
      <c r="E562" s="62" t="s">
        <v>85</v>
      </c>
      <c r="F562" s="62" t="s">
        <v>89</v>
      </c>
      <c r="G562" s="56">
        <v>43445</v>
      </c>
      <c r="H562" s="62">
        <v>5</v>
      </c>
      <c r="I562" s="62">
        <v>18424</v>
      </c>
      <c r="J562" s="62">
        <v>140000000</v>
      </c>
      <c r="P562" s="63">
        <f t="shared" si="14"/>
        <v>120</v>
      </c>
      <c r="Q562" s="64">
        <f t="shared" si="15"/>
        <v>76.766666666666666</v>
      </c>
      <c r="R562" s="64">
        <f t="shared" si="16"/>
        <v>33.37860107421875</v>
      </c>
      <c r="S562" s="64">
        <f t="shared" si="17"/>
        <v>22</v>
      </c>
      <c r="T562" s="64">
        <f t="shared" si="18"/>
        <v>17.912222222222223</v>
      </c>
      <c r="U562" s="64" t="str">
        <f t="shared" si="19"/>
        <v>&lt;35</v>
      </c>
      <c r="V562" s="64" t="str">
        <f t="shared" si="20"/>
        <v>31-40 Гб</v>
      </c>
    </row>
    <row r="563" spans="1:22" ht="15.75" customHeight="1" x14ac:dyDescent="0.25">
      <c r="A563" s="62" t="s">
        <v>654</v>
      </c>
      <c r="B563" s="56">
        <v>36574</v>
      </c>
      <c r="C563" s="62" t="s">
        <v>88</v>
      </c>
      <c r="D563" s="62" t="s">
        <v>84</v>
      </c>
      <c r="E563" s="62" t="s">
        <v>85</v>
      </c>
      <c r="F563" s="62" t="s">
        <v>93</v>
      </c>
      <c r="G563" s="56">
        <v>44010</v>
      </c>
      <c r="H563" s="62">
        <v>5</v>
      </c>
      <c r="I563" s="62">
        <v>39684</v>
      </c>
      <c r="J563" s="62">
        <v>4000000</v>
      </c>
      <c r="L563" s="62">
        <v>1</v>
      </c>
      <c r="M563" s="62">
        <v>1</v>
      </c>
      <c r="P563" s="63">
        <f t="shared" si="14"/>
        <v>120</v>
      </c>
      <c r="Q563" s="64">
        <f t="shared" si="15"/>
        <v>165.35</v>
      </c>
      <c r="R563" s="64">
        <f t="shared" si="16"/>
        <v>0.95367431640625011</v>
      </c>
      <c r="S563" s="64">
        <f t="shared" si="17"/>
        <v>22</v>
      </c>
      <c r="T563" s="64">
        <f t="shared" si="18"/>
        <v>38.581666666666671</v>
      </c>
      <c r="U563" s="64" t="str">
        <f t="shared" si="19"/>
        <v>35-60</v>
      </c>
      <c r="V563" s="64" t="str">
        <f t="shared" si="20"/>
        <v>&lt;10 Гб</v>
      </c>
    </row>
    <row r="564" spans="1:22" ht="15.75" customHeight="1" x14ac:dyDescent="0.25">
      <c r="A564" s="62" t="s">
        <v>655</v>
      </c>
      <c r="B564" s="56">
        <v>36571</v>
      </c>
      <c r="C564" s="62" t="s">
        <v>83</v>
      </c>
      <c r="D564" s="62" t="s">
        <v>84</v>
      </c>
      <c r="E564" s="62" t="s">
        <v>85</v>
      </c>
      <c r="F564" s="62" t="s">
        <v>96</v>
      </c>
      <c r="G564" s="56">
        <v>43252</v>
      </c>
      <c r="H564" s="62">
        <v>5</v>
      </c>
      <c r="I564" s="62">
        <v>64004</v>
      </c>
      <c r="J564" s="62">
        <v>56000000</v>
      </c>
      <c r="P564" s="63">
        <f t="shared" si="14"/>
        <v>120</v>
      </c>
      <c r="Q564" s="64">
        <f t="shared" si="15"/>
        <v>266.68333333333334</v>
      </c>
      <c r="R564" s="64">
        <f t="shared" si="16"/>
        <v>13.3514404296875</v>
      </c>
      <c r="S564" s="64">
        <f t="shared" si="17"/>
        <v>22</v>
      </c>
      <c r="T564" s="64">
        <f t="shared" si="18"/>
        <v>62.226111111111109</v>
      </c>
      <c r="U564" s="64" t="str">
        <f t="shared" si="19"/>
        <v>61-90</v>
      </c>
      <c r="V564" s="64" t="str">
        <f t="shared" si="20"/>
        <v>10-20 Гб</v>
      </c>
    </row>
    <row r="565" spans="1:22" ht="15.75" customHeight="1" x14ac:dyDescent="0.25">
      <c r="A565" s="62" t="s">
        <v>656</v>
      </c>
      <c r="B565" s="56">
        <v>36570</v>
      </c>
      <c r="C565" s="62" t="s">
        <v>83</v>
      </c>
      <c r="D565" s="62" t="s">
        <v>84</v>
      </c>
      <c r="E565" s="62" t="s">
        <v>85</v>
      </c>
      <c r="F565" s="62" t="s">
        <v>89</v>
      </c>
      <c r="G565" s="56">
        <v>42852</v>
      </c>
      <c r="H565" s="62">
        <v>5</v>
      </c>
      <c r="I565" s="62">
        <v>35472</v>
      </c>
      <c r="J565" s="62">
        <v>136000000</v>
      </c>
      <c r="K565" s="62">
        <v>1</v>
      </c>
      <c r="L565" s="62">
        <v>1</v>
      </c>
      <c r="P565" s="63">
        <f t="shared" si="14"/>
        <v>120</v>
      </c>
      <c r="Q565" s="64">
        <f t="shared" si="15"/>
        <v>147.80000000000001</v>
      </c>
      <c r="R565" s="64">
        <f t="shared" si="16"/>
        <v>32.4249267578125</v>
      </c>
      <c r="S565" s="64">
        <f t="shared" si="17"/>
        <v>22</v>
      </c>
      <c r="T565" s="64">
        <f t="shared" si="18"/>
        <v>34.486666666666672</v>
      </c>
      <c r="U565" s="64" t="str">
        <f t="shared" si="19"/>
        <v>&lt;35</v>
      </c>
      <c r="V565" s="64" t="str">
        <f t="shared" si="20"/>
        <v>31-40 Гб</v>
      </c>
    </row>
    <row r="566" spans="1:22" ht="15.75" customHeight="1" x14ac:dyDescent="0.25">
      <c r="A566" s="62" t="s">
        <v>657</v>
      </c>
      <c r="B566" s="56">
        <v>36568</v>
      </c>
      <c r="C566" s="62" t="s">
        <v>83</v>
      </c>
      <c r="D566" s="62" t="s">
        <v>84</v>
      </c>
      <c r="E566" s="62" t="s">
        <v>85</v>
      </c>
      <c r="F566" s="62" t="s">
        <v>96</v>
      </c>
      <c r="G566" s="56">
        <v>43010</v>
      </c>
      <c r="H566" s="62">
        <v>5</v>
      </c>
      <c r="I566" s="62">
        <v>35748</v>
      </c>
      <c r="J566" s="62">
        <v>28000000</v>
      </c>
      <c r="P566" s="63">
        <f t="shared" si="14"/>
        <v>120</v>
      </c>
      <c r="Q566" s="64">
        <f t="shared" si="15"/>
        <v>148.94999999999999</v>
      </c>
      <c r="R566" s="64">
        <f t="shared" si="16"/>
        <v>6.67572021484375</v>
      </c>
      <c r="S566" s="64">
        <f t="shared" si="17"/>
        <v>22</v>
      </c>
      <c r="T566" s="64">
        <f t="shared" si="18"/>
        <v>34.754999999999995</v>
      </c>
      <c r="U566" s="64" t="str">
        <f t="shared" si="19"/>
        <v>&lt;35</v>
      </c>
      <c r="V566" s="64" t="str">
        <f t="shared" si="20"/>
        <v>&lt;10 Гб</v>
      </c>
    </row>
    <row r="567" spans="1:22" ht="15.75" customHeight="1" x14ac:dyDescent="0.25">
      <c r="A567" s="62" t="s">
        <v>658</v>
      </c>
      <c r="B567" s="56">
        <v>36563</v>
      </c>
      <c r="C567" s="62" t="s">
        <v>83</v>
      </c>
      <c r="D567" s="62" t="s">
        <v>84</v>
      </c>
      <c r="E567" s="62" t="s">
        <v>92</v>
      </c>
      <c r="F567" s="62" t="s">
        <v>100</v>
      </c>
      <c r="G567" s="56">
        <v>43230</v>
      </c>
      <c r="H567" s="62">
        <v>5</v>
      </c>
      <c r="I567" s="62">
        <v>66088</v>
      </c>
      <c r="J567" s="62">
        <v>12000000</v>
      </c>
      <c r="P567" s="63">
        <f t="shared" si="14"/>
        <v>120</v>
      </c>
      <c r="Q567" s="64">
        <f t="shared" si="15"/>
        <v>275.36666666666667</v>
      </c>
      <c r="R567" s="64">
        <f t="shared" si="16"/>
        <v>2.86102294921875</v>
      </c>
      <c r="S567" s="64">
        <f t="shared" si="17"/>
        <v>22</v>
      </c>
      <c r="T567" s="64">
        <f t="shared" si="18"/>
        <v>64.252222222222215</v>
      </c>
      <c r="U567" s="64" t="str">
        <f t="shared" si="19"/>
        <v>61-90</v>
      </c>
      <c r="V567" s="64" t="str">
        <f t="shared" si="20"/>
        <v>&lt;10 Гб</v>
      </c>
    </row>
    <row r="568" spans="1:22" ht="15.75" customHeight="1" x14ac:dyDescent="0.25">
      <c r="A568" s="62" t="s">
        <v>659</v>
      </c>
      <c r="B568" s="56">
        <v>36554</v>
      </c>
      <c r="C568" s="62" t="s">
        <v>83</v>
      </c>
      <c r="D568" s="62" t="s">
        <v>84</v>
      </c>
      <c r="E568" s="62" t="s">
        <v>85</v>
      </c>
      <c r="F568" s="62" t="s">
        <v>93</v>
      </c>
      <c r="G568" s="56">
        <v>43174</v>
      </c>
      <c r="H568" s="62">
        <v>5</v>
      </c>
      <c r="I568" s="62">
        <v>21812</v>
      </c>
      <c r="J568" s="62">
        <v>12000000</v>
      </c>
      <c r="P568" s="63">
        <f t="shared" si="14"/>
        <v>120</v>
      </c>
      <c r="Q568" s="64">
        <f t="shared" si="15"/>
        <v>90.88333333333334</v>
      </c>
      <c r="R568" s="64">
        <f t="shared" si="16"/>
        <v>2.86102294921875</v>
      </c>
      <c r="S568" s="64">
        <f t="shared" si="17"/>
        <v>22</v>
      </c>
      <c r="T568" s="64">
        <f t="shared" si="18"/>
        <v>21.206111111111113</v>
      </c>
      <c r="U568" s="64" t="str">
        <f t="shared" si="19"/>
        <v>&lt;35</v>
      </c>
      <c r="V568" s="64" t="str">
        <f t="shared" si="20"/>
        <v>&lt;10 Гб</v>
      </c>
    </row>
    <row r="569" spans="1:22" ht="15.75" customHeight="1" x14ac:dyDescent="0.25">
      <c r="A569" s="62" t="s">
        <v>660</v>
      </c>
      <c r="B569" s="56">
        <v>36552</v>
      </c>
      <c r="C569" s="62" t="s">
        <v>88</v>
      </c>
      <c r="D569" s="62" t="s">
        <v>84</v>
      </c>
      <c r="E569" s="62" t="s">
        <v>85</v>
      </c>
      <c r="F569" s="62" t="s">
        <v>86</v>
      </c>
      <c r="G569" s="56">
        <v>44437</v>
      </c>
      <c r="H569" s="62">
        <v>5</v>
      </c>
      <c r="I569" s="62">
        <v>158956</v>
      </c>
      <c r="J569" s="62">
        <v>136000000</v>
      </c>
      <c r="K569" s="62">
        <v>1</v>
      </c>
      <c r="L569" s="62">
        <v>1</v>
      </c>
      <c r="N569" s="62">
        <v>1</v>
      </c>
      <c r="O569" s="62">
        <v>1</v>
      </c>
      <c r="P569" s="63">
        <f t="shared" si="14"/>
        <v>120</v>
      </c>
      <c r="Q569" s="64">
        <f t="shared" si="15"/>
        <v>662.31666666666672</v>
      </c>
      <c r="R569" s="64">
        <f t="shared" si="16"/>
        <v>32.4249267578125</v>
      </c>
      <c r="S569" s="64">
        <f t="shared" si="17"/>
        <v>22</v>
      </c>
      <c r="T569" s="64">
        <f t="shared" si="18"/>
        <v>154.54055555555558</v>
      </c>
      <c r="U569" s="64" t="str">
        <f t="shared" si="19"/>
        <v>120+</v>
      </c>
      <c r="V569" s="64" t="str">
        <f t="shared" si="20"/>
        <v>31-40 Гб</v>
      </c>
    </row>
    <row r="570" spans="1:22" ht="15.75" customHeight="1" x14ac:dyDescent="0.25">
      <c r="A570" s="62" t="s">
        <v>661</v>
      </c>
      <c r="B570" s="56">
        <v>36549</v>
      </c>
      <c r="C570" s="62" t="s">
        <v>88</v>
      </c>
      <c r="D570" s="62" t="s">
        <v>84</v>
      </c>
      <c r="E570" s="62" t="s">
        <v>92</v>
      </c>
      <c r="F570" s="62" t="s">
        <v>100</v>
      </c>
      <c r="G570" s="56">
        <v>43819</v>
      </c>
      <c r="H570" s="62">
        <v>5</v>
      </c>
      <c r="I570" s="62">
        <v>99504</v>
      </c>
      <c r="J570" s="62">
        <v>104000000</v>
      </c>
      <c r="P570" s="63">
        <f t="shared" si="14"/>
        <v>120</v>
      </c>
      <c r="Q570" s="64">
        <f t="shared" si="15"/>
        <v>414.6</v>
      </c>
      <c r="R570" s="64">
        <f t="shared" si="16"/>
        <v>24.7955322265625</v>
      </c>
      <c r="S570" s="64">
        <f t="shared" si="17"/>
        <v>22</v>
      </c>
      <c r="T570" s="64">
        <f t="shared" si="18"/>
        <v>96.740000000000009</v>
      </c>
      <c r="U570" s="64" t="str">
        <f t="shared" si="19"/>
        <v>91-120</v>
      </c>
      <c r="V570" s="64" t="str">
        <f t="shared" si="20"/>
        <v>21-30 Гб</v>
      </c>
    </row>
    <row r="571" spans="1:22" ht="15.75" customHeight="1" x14ac:dyDescent="0.25">
      <c r="A571" s="62" t="s">
        <v>662</v>
      </c>
      <c r="B571" s="56">
        <v>36549</v>
      </c>
      <c r="C571" s="62" t="s">
        <v>83</v>
      </c>
      <c r="D571" s="62" t="s">
        <v>84</v>
      </c>
      <c r="E571" s="62" t="s">
        <v>92</v>
      </c>
      <c r="F571" s="62" t="s">
        <v>89</v>
      </c>
      <c r="G571" s="56">
        <v>44306</v>
      </c>
      <c r="H571" s="62">
        <v>5</v>
      </c>
      <c r="I571" s="62">
        <v>26592</v>
      </c>
      <c r="J571" s="62">
        <v>148000000</v>
      </c>
      <c r="K571" s="62">
        <v>1</v>
      </c>
      <c r="L571" s="62">
        <v>1</v>
      </c>
      <c r="N571" s="62">
        <v>1</v>
      </c>
      <c r="P571" s="63">
        <f t="shared" si="14"/>
        <v>120</v>
      </c>
      <c r="Q571" s="64">
        <f t="shared" si="15"/>
        <v>110.8</v>
      </c>
      <c r="R571" s="64">
        <f t="shared" si="16"/>
        <v>35.28594970703125</v>
      </c>
      <c r="S571" s="64">
        <f t="shared" si="17"/>
        <v>22</v>
      </c>
      <c r="T571" s="64">
        <f t="shared" si="18"/>
        <v>25.853333333333335</v>
      </c>
      <c r="U571" s="64" t="str">
        <f t="shared" si="19"/>
        <v>&lt;35</v>
      </c>
      <c r="V571" s="64" t="str">
        <f t="shared" si="20"/>
        <v>31-40 Гб</v>
      </c>
    </row>
    <row r="572" spans="1:22" ht="15.75" customHeight="1" x14ac:dyDescent="0.25">
      <c r="A572" s="62" t="s">
        <v>663</v>
      </c>
      <c r="B572" s="56">
        <v>36548</v>
      </c>
      <c r="C572" s="62" t="s">
        <v>83</v>
      </c>
      <c r="D572" s="62" t="s">
        <v>84</v>
      </c>
      <c r="E572" s="62" t="s">
        <v>85</v>
      </c>
      <c r="F572" s="62" t="s">
        <v>100</v>
      </c>
      <c r="G572" s="56">
        <v>43684</v>
      </c>
      <c r="H572" s="62">
        <v>5</v>
      </c>
      <c r="I572" s="62">
        <v>67824</v>
      </c>
      <c r="J572" s="62">
        <v>52000000</v>
      </c>
      <c r="P572" s="63">
        <f t="shared" si="14"/>
        <v>120</v>
      </c>
      <c r="Q572" s="64">
        <f t="shared" si="15"/>
        <v>282.60000000000002</v>
      </c>
      <c r="R572" s="64">
        <f t="shared" si="16"/>
        <v>12.39776611328125</v>
      </c>
      <c r="S572" s="64">
        <f t="shared" si="17"/>
        <v>22</v>
      </c>
      <c r="T572" s="64">
        <f t="shared" si="18"/>
        <v>65.940000000000012</v>
      </c>
      <c r="U572" s="64" t="str">
        <f t="shared" si="19"/>
        <v>61-90</v>
      </c>
      <c r="V572" s="64" t="str">
        <f t="shared" si="20"/>
        <v>10-20 Гб</v>
      </c>
    </row>
    <row r="573" spans="1:22" ht="15.75" customHeight="1" x14ac:dyDescent="0.25">
      <c r="A573" s="62" t="s">
        <v>664</v>
      </c>
      <c r="B573" s="56">
        <v>36548</v>
      </c>
      <c r="C573" s="62" t="s">
        <v>88</v>
      </c>
      <c r="D573" s="62" t="s">
        <v>84</v>
      </c>
      <c r="E573" s="62" t="s">
        <v>92</v>
      </c>
      <c r="F573" s="62" t="s">
        <v>96</v>
      </c>
      <c r="G573" s="56">
        <v>43391</v>
      </c>
      <c r="H573" s="62">
        <v>5</v>
      </c>
      <c r="I573" s="62">
        <v>15328</v>
      </c>
      <c r="J573" s="62">
        <v>112000000</v>
      </c>
      <c r="P573" s="63">
        <f t="shared" si="14"/>
        <v>120</v>
      </c>
      <c r="Q573" s="64">
        <f t="shared" si="15"/>
        <v>63.866666666666674</v>
      </c>
      <c r="R573" s="64">
        <f t="shared" si="16"/>
        <v>26.702880859375</v>
      </c>
      <c r="S573" s="64">
        <f t="shared" si="17"/>
        <v>22</v>
      </c>
      <c r="T573" s="64">
        <f t="shared" si="18"/>
        <v>14.902222222222225</v>
      </c>
      <c r="U573" s="64" t="str">
        <f t="shared" si="19"/>
        <v>&lt;35</v>
      </c>
      <c r="V573" s="64" t="str">
        <f t="shared" si="20"/>
        <v>21-30 Гб</v>
      </c>
    </row>
    <row r="574" spans="1:22" ht="15.75" customHeight="1" x14ac:dyDescent="0.25">
      <c r="A574" s="62" t="s">
        <v>665</v>
      </c>
      <c r="B574" s="56">
        <v>36544</v>
      </c>
      <c r="C574" s="62" t="s">
        <v>88</v>
      </c>
      <c r="D574" s="62" t="s">
        <v>84</v>
      </c>
      <c r="E574" s="62" t="s">
        <v>85</v>
      </c>
      <c r="F574" s="62" t="s">
        <v>100</v>
      </c>
      <c r="G574" s="56">
        <v>43728</v>
      </c>
      <c r="H574" s="62">
        <v>5</v>
      </c>
      <c r="I574" s="62">
        <v>110376</v>
      </c>
      <c r="J574" s="62">
        <v>120000000</v>
      </c>
      <c r="P574" s="63">
        <f t="shared" si="14"/>
        <v>120</v>
      </c>
      <c r="Q574" s="64">
        <f t="shared" si="15"/>
        <v>459.9</v>
      </c>
      <c r="R574" s="64">
        <f t="shared" si="16"/>
        <v>28.6102294921875</v>
      </c>
      <c r="S574" s="64">
        <f t="shared" si="17"/>
        <v>22</v>
      </c>
      <c r="T574" s="64">
        <f t="shared" si="18"/>
        <v>107.30999999999999</v>
      </c>
      <c r="U574" s="64" t="str">
        <f t="shared" si="19"/>
        <v>91-120</v>
      </c>
      <c r="V574" s="64" t="str">
        <f t="shared" si="20"/>
        <v>21-30 Гб</v>
      </c>
    </row>
    <row r="575" spans="1:22" ht="15.75" customHeight="1" x14ac:dyDescent="0.25">
      <c r="A575" s="62" t="s">
        <v>666</v>
      </c>
      <c r="B575" s="56">
        <v>36543</v>
      </c>
      <c r="C575" s="62" t="s">
        <v>88</v>
      </c>
      <c r="D575" s="62" t="s">
        <v>84</v>
      </c>
      <c r="E575" s="62" t="s">
        <v>92</v>
      </c>
      <c r="F575" s="62" t="s">
        <v>89</v>
      </c>
      <c r="G575" s="56">
        <v>44387</v>
      </c>
      <c r="H575" s="62">
        <v>5</v>
      </c>
      <c r="I575" s="62">
        <v>28100</v>
      </c>
      <c r="J575" s="62">
        <v>144000000</v>
      </c>
      <c r="P575" s="63">
        <f t="shared" si="14"/>
        <v>120</v>
      </c>
      <c r="Q575" s="64">
        <f t="shared" si="15"/>
        <v>117.08333333333333</v>
      </c>
      <c r="R575" s="64">
        <f t="shared" si="16"/>
        <v>34.332275390625</v>
      </c>
      <c r="S575" s="64">
        <f t="shared" si="17"/>
        <v>22</v>
      </c>
      <c r="T575" s="64">
        <f t="shared" si="18"/>
        <v>27.319444444444443</v>
      </c>
      <c r="U575" s="64" t="str">
        <f t="shared" si="19"/>
        <v>&lt;35</v>
      </c>
      <c r="V575" s="64" t="str">
        <f t="shared" si="20"/>
        <v>31-40 Гб</v>
      </c>
    </row>
    <row r="576" spans="1:22" ht="15.75" customHeight="1" x14ac:dyDescent="0.25">
      <c r="A576" s="62" t="s">
        <v>667</v>
      </c>
      <c r="B576" s="56">
        <v>36542</v>
      </c>
      <c r="C576" s="62" t="s">
        <v>88</v>
      </c>
      <c r="D576" s="62" t="s">
        <v>84</v>
      </c>
      <c r="E576" s="62" t="s">
        <v>85</v>
      </c>
      <c r="F576" s="62" t="s">
        <v>93</v>
      </c>
      <c r="G576" s="56">
        <v>43255</v>
      </c>
      <c r="H576" s="62">
        <v>5</v>
      </c>
      <c r="I576" s="62">
        <v>5408</v>
      </c>
      <c r="J576" s="62">
        <v>20000000</v>
      </c>
      <c r="P576" s="63">
        <f t="shared" si="14"/>
        <v>120</v>
      </c>
      <c r="Q576" s="64">
        <f t="shared" si="15"/>
        <v>22.533333333333335</v>
      </c>
      <c r="R576" s="64">
        <f t="shared" si="16"/>
        <v>4.76837158203125</v>
      </c>
      <c r="S576" s="64">
        <f t="shared" si="17"/>
        <v>22</v>
      </c>
      <c r="T576" s="64">
        <f t="shared" si="18"/>
        <v>5.2577777777777781</v>
      </c>
      <c r="U576" s="64" t="str">
        <f t="shared" si="19"/>
        <v>&lt;35</v>
      </c>
      <c r="V576" s="64" t="str">
        <f t="shared" si="20"/>
        <v>&lt;10 Гб</v>
      </c>
    </row>
    <row r="577" spans="1:22" ht="15.75" customHeight="1" x14ac:dyDescent="0.25">
      <c r="A577" s="62" t="s">
        <v>668</v>
      </c>
      <c r="B577" s="56">
        <v>36510</v>
      </c>
      <c r="C577" s="62" t="s">
        <v>88</v>
      </c>
      <c r="D577" s="62" t="s">
        <v>84</v>
      </c>
      <c r="E577" s="62" t="s">
        <v>85</v>
      </c>
      <c r="F577" s="62" t="s">
        <v>89</v>
      </c>
      <c r="G577" s="56">
        <v>43135</v>
      </c>
      <c r="H577" s="62">
        <v>5</v>
      </c>
      <c r="I577" s="62">
        <v>29484</v>
      </c>
      <c r="J577" s="62">
        <v>4000000</v>
      </c>
      <c r="K577" s="62">
        <v>1</v>
      </c>
      <c r="O577" s="62">
        <v>1</v>
      </c>
      <c r="P577" s="63">
        <f t="shared" si="14"/>
        <v>120</v>
      </c>
      <c r="Q577" s="64">
        <f t="shared" si="15"/>
        <v>122.85</v>
      </c>
      <c r="R577" s="64">
        <f t="shared" si="16"/>
        <v>0.95367431640625011</v>
      </c>
      <c r="S577" s="64">
        <f t="shared" si="17"/>
        <v>22</v>
      </c>
      <c r="T577" s="64">
        <f t="shared" si="18"/>
        <v>28.664999999999999</v>
      </c>
      <c r="U577" s="64" t="str">
        <f t="shared" si="19"/>
        <v>&lt;35</v>
      </c>
      <c r="V577" s="64" t="str">
        <f t="shared" si="20"/>
        <v>&lt;10 Гб</v>
      </c>
    </row>
    <row r="578" spans="1:22" ht="15.75" customHeight="1" x14ac:dyDescent="0.25">
      <c r="A578" s="62" t="s">
        <v>669</v>
      </c>
      <c r="B578" s="56">
        <v>36510</v>
      </c>
      <c r="C578" s="62" t="s">
        <v>83</v>
      </c>
      <c r="D578" s="62" t="s">
        <v>84</v>
      </c>
      <c r="E578" s="62" t="s">
        <v>92</v>
      </c>
      <c r="F578" s="62" t="s">
        <v>100</v>
      </c>
      <c r="G578" s="56">
        <v>43987</v>
      </c>
      <c r="H578" s="62">
        <v>5</v>
      </c>
      <c r="I578" s="62">
        <v>102236</v>
      </c>
      <c r="J578" s="62">
        <v>120000000</v>
      </c>
      <c r="M578" s="62">
        <v>1</v>
      </c>
      <c r="P578" s="63">
        <f t="shared" si="14"/>
        <v>120</v>
      </c>
      <c r="Q578" s="64">
        <f t="shared" si="15"/>
        <v>425.98333333333335</v>
      </c>
      <c r="R578" s="64">
        <f t="shared" si="16"/>
        <v>28.6102294921875</v>
      </c>
      <c r="S578" s="64">
        <f t="shared" si="17"/>
        <v>22</v>
      </c>
      <c r="T578" s="64">
        <f t="shared" si="18"/>
        <v>99.396111111111111</v>
      </c>
      <c r="U578" s="64" t="str">
        <f t="shared" si="19"/>
        <v>91-120</v>
      </c>
      <c r="V578" s="64" t="str">
        <f t="shared" si="20"/>
        <v>21-30 Гб</v>
      </c>
    </row>
    <row r="579" spans="1:22" ht="15.75" customHeight="1" x14ac:dyDescent="0.25">
      <c r="A579" s="62" t="s">
        <v>670</v>
      </c>
      <c r="B579" s="56">
        <v>36510</v>
      </c>
      <c r="C579" s="62" t="s">
        <v>88</v>
      </c>
      <c r="D579" s="62" t="s">
        <v>84</v>
      </c>
      <c r="E579" s="62" t="s">
        <v>92</v>
      </c>
      <c r="F579" s="62" t="s">
        <v>96</v>
      </c>
      <c r="G579" s="56">
        <v>44445</v>
      </c>
      <c r="H579" s="62">
        <v>5</v>
      </c>
      <c r="I579" s="62">
        <v>53688</v>
      </c>
      <c r="J579" s="62">
        <v>112000000</v>
      </c>
      <c r="P579" s="63">
        <f t="shared" si="14"/>
        <v>120</v>
      </c>
      <c r="Q579" s="64">
        <f t="shared" si="15"/>
        <v>223.7</v>
      </c>
      <c r="R579" s="64">
        <f t="shared" si="16"/>
        <v>26.702880859375</v>
      </c>
      <c r="S579" s="64">
        <f t="shared" si="17"/>
        <v>22</v>
      </c>
      <c r="T579" s="64">
        <f t="shared" si="18"/>
        <v>52.196666666666665</v>
      </c>
      <c r="U579" s="64" t="str">
        <f t="shared" si="19"/>
        <v>35-60</v>
      </c>
      <c r="V579" s="64" t="str">
        <f t="shared" si="20"/>
        <v>21-30 Гб</v>
      </c>
    </row>
    <row r="580" spans="1:22" ht="15.75" customHeight="1" x14ac:dyDescent="0.25">
      <c r="A580" s="62" t="s">
        <v>671</v>
      </c>
      <c r="B580" s="56">
        <v>36507</v>
      </c>
      <c r="C580" s="62" t="s">
        <v>83</v>
      </c>
      <c r="D580" s="62" t="s">
        <v>84</v>
      </c>
      <c r="E580" s="62" t="s">
        <v>85</v>
      </c>
      <c r="F580" s="62" t="s">
        <v>93</v>
      </c>
      <c r="G580" s="56">
        <v>43193</v>
      </c>
      <c r="H580" s="62">
        <v>5</v>
      </c>
      <c r="I580" s="62">
        <v>37696</v>
      </c>
      <c r="J580" s="62">
        <v>12000000</v>
      </c>
      <c r="P580" s="63">
        <f t="shared" si="14"/>
        <v>120</v>
      </c>
      <c r="Q580" s="64">
        <f t="shared" si="15"/>
        <v>157.06666666666666</v>
      </c>
      <c r="R580" s="64">
        <f t="shared" si="16"/>
        <v>2.86102294921875</v>
      </c>
      <c r="S580" s="64">
        <f t="shared" si="17"/>
        <v>22</v>
      </c>
      <c r="T580" s="64">
        <f t="shared" si="18"/>
        <v>36.648888888888891</v>
      </c>
      <c r="U580" s="64" t="str">
        <f t="shared" si="19"/>
        <v>35-60</v>
      </c>
      <c r="V580" s="64" t="str">
        <f t="shared" si="20"/>
        <v>&lt;10 Гб</v>
      </c>
    </row>
    <row r="581" spans="1:22" ht="15.75" customHeight="1" x14ac:dyDescent="0.25">
      <c r="A581" s="62" t="s">
        <v>672</v>
      </c>
      <c r="B581" s="56">
        <v>36506</v>
      </c>
      <c r="C581" s="62" t="s">
        <v>88</v>
      </c>
      <c r="D581" s="62" t="s">
        <v>84</v>
      </c>
      <c r="E581" s="62" t="s">
        <v>85</v>
      </c>
      <c r="F581" s="62" t="s">
        <v>86</v>
      </c>
      <c r="G581" s="56">
        <v>43616</v>
      </c>
      <c r="H581" s="62">
        <v>5</v>
      </c>
      <c r="I581" s="62">
        <v>166708</v>
      </c>
      <c r="J581" s="62">
        <v>188000000</v>
      </c>
      <c r="P581" s="63">
        <f t="shared" si="14"/>
        <v>120</v>
      </c>
      <c r="Q581" s="64">
        <f t="shared" si="15"/>
        <v>694.61666666666667</v>
      </c>
      <c r="R581" s="64">
        <f t="shared" si="16"/>
        <v>44.82269287109375</v>
      </c>
      <c r="S581" s="64">
        <f t="shared" si="17"/>
        <v>22</v>
      </c>
      <c r="T581" s="64">
        <f t="shared" si="18"/>
        <v>162.07722222222222</v>
      </c>
      <c r="U581" s="64" t="str">
        <f t="shared" si="19"/>
        <v>120+</v>
      </c>
      <c r="V581" s="64" t="str">
        <f t="shared" si="20"/>
        <v>40+ Гб</v>
      </c>
    </row>
    <row r="582" spans="1:22" ht="15.75" customHeight="1" x14ac:dyDescent="0.25">
      <c r="A582" s="62" t="s">
        <v>673</v>
      </c>
      <c r="B582" s="56">
        <v>36504</v>
      </c>
      <c r="C582" s="62" t="s">
        <v>83</v>
      </c>
      <c r="D582" s="62" t="s">
        <v>84</v>
      </c>
      <c r="E582" s="62" t="s">
        <v>85</v>
      </c>
      <c r="F582" s="62" t="s">
        <v>93</v>
      </c>
      <c r="G582" s="56">
        <v>43401</v>
      </c>
      <c r="H582" s="62">
        <v>5</v>
      </c>
      <c r="I582" s="62">
        <v>41416</v>
      </c>
      <c r="J582" s="62">
        <v>8000000</v>
      </c>
      <c r="P582" s="63">
        <f t="shared" si="14"/>
        <v>120</v>
      </c>
      <c r="Q582" s="64">
        <f t="shared" si="15"/>
        <v>172.56666666666666</v>
      </c>
      <c r="R582" s="64">
        <f t="shared" si="16"/>
        <v>1.9073486328125002</v>
      </c>
      <c r="S582" s="64">
        <f t="shared" si="17"/>
        <v>22</v>
      </c>
      <c r="T582" s="64">
        <f t="shared" si="18"/>
        <v>40.265555555555558</v>
      </c>
      <c r="U582" s="64" t="str">
        <f t="shared" si="19"/>
        <v>35-60</v>
      </c>
      <c r="V582" s="64" t="str">
        <f t="shared" si="20"/>
        <v>&lt;10 Гб</v>
      </c>
    </row>
    <row r="583" spans="1:22" ht="15.75" customHeight="1" x14ac:dyDescent="0.25">
      <c r="A583" s="62" t="s">
        <v>674</v>
      </c>
      <c r="B583" s="56">
        <v>36501</v>
      </c>
      <c r="C583" s="62" t="s">
        <v>83</v>
      </c>
      <c r="D583" s="62" t="s">
        <v>84</v>
      </c>
      <c r="E583" s="62" t="s">
        <v>85</v>
      </c>
      <c r="F583" s="62" t="s">
        <v>89</v>
      </c>
      <c r="G583" s="56">
        <v>43930</v>
      </c>
      <c r="H583" s="62">
        <v>5</v>
      </c>
      <c r="I583" s="62">
        <v>6888</v>
      </c>
      <c r="J583" s="62">
        <v>108000000</v>
      </c>
      <c r="L583" s="62">
        <v>1</v>
      </c>
      <c r="P583" s="63">
        <f t="shared" si="14"/>
        <v>120</v>
      </c>
      <c r="Q583" s="64">
        <f t="shared" si="15"/>
        <v>28.7</v>
      </c>
      <c r="R583" s="64">
        <f t="shared" si="16"/>
        <v>25.74920654296875</v>
      </c>
      <c r="S583" s="64">
        <f t="shared" si="17"/>
        <v>22</v>
      </c>
      <c r="T583" s="64">
        <f t="shared" si="18"/>
        <v>6.6966666666666672</v>
      </c>
      <c r="U583" s="64" t="str">
        <f t="shared" si="19"/>
        <v>&lt;35</v>
      </c>
      <c r="V583" s="64" t="str">
        <f t="shared" si="20"/>
        <v>21-30 Гб</v>
      </c>
    </row>
    <row r="584" spans="1:22" ht="15.75" customHeight="1" x14ac:dyDescent="0.25">
      <c r="A584" s="62" t="s">
        <v>675</v>
      </c>
      <c r="B584" s="56">
        <v>36499</v>
      </c>
      <c r="C584" s="62" t="s">
        <v>83</v>
      </c>
      <c r="D584" s="62" t="s">
        <v>84</v>
      </c>
      <c r="E584" s="62" t="s">
        <v>85</v>
      </c>
      <c r="F584" s="62" t="s">
        <v>89</v>
      </c>
      <c r="G584" s="56">
        <v>43635</v>
      </c>
      <c r="H584" s="62">
        <v>5</v>
      </c>
      <c r="I584" s="62">
        <v>24904</v>
      </c>
      <c r="J584" s="62">
        <v>120000000</v>
      </c>
      <c r="L584" s="62">
        <v>1</v>
      </c>
      <c r="P584" s="63">
        <f t="shared" si="14"/>
        <v>120</v>
      </c>
      <c r="Q584" s="64">
        <f t="shared" si="15"/>
        <v>103.76666666666667</v>
      </c>
      <c r="R584" s="64">
        <f t="shared" si="16"/>
        <v>28.6102294921875</v>
      </c>
      <c r="S584" s="64">
        <f t="shared" si="17"/>
        <v>22</v>
      </c>
      <c r="T584" s="64">
        <f t="shared" si="18"/>
        <v>24.212222222222223</v>
      </c>
      <c r="U584" s="64" t="str">
        <f t="shared" si="19"/>
        <v>&lt;35</v>
      </c>
      <c r="V584" s="64" t="str">
        <f t="shared" si="20"/>
        <v>21-30 Гб</v>
      </c>
    </row>
    <row r="585" spans="1:22" ht="15.75" customHeight="1" x14ac:dyDescent="0.25">
      <c r="A585" s="62" t="s">
        <v>676</v>
      </c>
      <c r="B585" s="56">
        <v>36495</v>
      </c>
      <c r="C585" s="62" t="s">
        <v>83</v>
      </c>
      <c r="D585" s="62" t="s">
        <v>84</v>
      </c>
      <c r="E585" s="62" t="s">
        <v>85</v>
      </c>
      <c r="F585" s="62" t="s">
        <v>100</v>
      </c>
      <c r="G585" s="56">
        <v>44480</v>
      </c>
      <c r="H585" s="62">
        <v>5</v>
      </c>
      <c r="I585" s="62">
        <v>90404</v>
      </c>
      <c r="J585" s="62">
        <v>44000000</v>
      </c>
      <c r="K585" s="62">
        <v>1</v>
      </c>
      <c r="N585" s="62">
        <v>1</v>
      </c>
      <c r="P585" s="63">
        <f t="shared" si="14"/>
        <v>120</v>
      </c>
      <c r="Q585" s="64">
        <f t="shared" si="15"/>
        <v>376.68333333333334</v>
      </c>
      <c r="R585" s="64">
        <f t="shared" si="16"/>
        <v>10.49041748046875</v>
      </c>
      <c r="S585" s="64">
        <f t="shared" si="17"/>
        <v>22</v>
      </c>
      <c r="T585" s="64">
        <f t="shared" si="18"/>
        <v>87.892777777777781</v>
      </c>
      <c r="U585" s="64" t="str">
        <f t="shared" si="19"/>
        <v>61-90</v>
      </c>
      <c r="V585" s="64" t="str">
        <f t="shared" si="20"/>
        <v>10-20 Гб</v>
      </c>
    </row>
    <row r="586" spans="1:22" ht="15.75" customHeight="1" x14ac:dyDescent="0.25">
      <c r="A586" s="62" t="s">
        <v>677</v>
      </c>
      <c r="B586" s="56">
        <v>36492</v>
      </c>
      <c r="C586" s="62" t="s">
        <v>83</v>
      </c>
      <c r="D586" s="62" t="s">
        <v>84</v>
      </c>
      <c r="E586" s="62" t="s">
        <v>92</v>
      </c>
      <c r="F586" s="62" t="s">
        <v>89</v>
      </c>
      <c r="G586" s="56">
        <v>44343</v>
      </c>
      <c r="H586" s="62">
        <v>5</v>
      </c>
      <c r="I586" s="62">
        <v>30196</v>
      </c>
      <c r="J586" s="62">
        <v>144000000</v>
      </c>
      <c r="P586" s="63">
        <f t="shared" si="14"/>
        <v>120</v>
      </c>
      <c r="Q586" s="64">
        <f t="shared" si="15"/>
        <v>125.81666666666666</v>
      </c>
      <c r="R586" s="64">
        <f t="shared" si="16"/>
        <v>34.332275390625</v>
      </c>
      <c r="S586" s="64">
        <f t="shared" si="17"/>
        <v>22</v>
      </c>
      <c r="T586" s="64">
        <f t="shared" si="18"/>
        <v>29.357222222222223</v>
      </c>
      <c r="U586" s="64" t="str">
        <f t="shared" si="19"/>
        <v>&lt;35</v>
      </c>
      <c r="V586" s="64" t="str">
        <f t="shared" si="20"/>
        <v>31-40 Гб</v>
      </c>
    </row>
    <row r="587" spans="1:22" ht="15.75" customHeight="1" x14ac:dyDescent="0.25">
      <c r="A587" s="62" t="s">
        <v>678</v>
      </c>
      <c r="B587" s="56">
        <v>36490</v>
      </c>
      <c r="C587" s="62" t="s">
        <v>88</v>
      </c>
      <c r="D587" s="62" t="s">
        <v>84</v>
      </c>
      <c r="E587" s="62" t="s">
        <v>92</v>
      </c>
      <c r="F587" s="62" t="s">
        <v>96</v>
      </c>
      <c r="G587" s="56">
        <v>44194</v>
      </c>
      <c r="H587" s="62">
        <v>5</v>
      </c>
      <c r="I587" s="62">
        <v>94968</v>
      </c>
      <c r="J587" s="62">
        <v>84000000</v>
      </c>
      <c r="P587" s="63">
        <f t="shared" si="14"/>
        <v>120</v>
      </c>
      <c r="Q587" s="64">
        <f t="shared" si="15"/>
        <v>395.7</v>
      </c>
      <c r="R587" s="64">
        <f t="shared" si="16"/>
        <v>20.02716064453125</v>
      </c>
      <c r="S587" s="64">
        <f t="shared" si="17"/>
        <v>22</v>
      </c>
      <c r="T587" s="64">
        <f t="shared" si="18"/>
        <v>92.33</v>
      </c>
      <c r="U587" s="64" t="str">
        <f t="shared" si="19"/>
        <v>91-120</v>
      </c>
      <c r="V587" s="64" t="str">
        <f t="shared" si="20"/>
        <v>21-30 Гб</v>
      </c>
    </row>
    <row r="588" spans="1:22" ht="15.75" customHeight="1" x14ac:dyDescent="0.25">
      <c r="A588" s="62" t="s">
        <v>679</v>
      </c>
      <c r="B588" s="56">
        <v>36489</v>
      </c>
      <c r="C588" s="62" t="s">
        <v>83</v>
      </c>
      <c r="D588" s="62" t="s">
        <v>84</v>
      </c>
      <c r="E588" s="62" t="s">
        <v>85</v>
      </c>
      <c r="F588" s="62" t="s">
        <v>89</v>
      </c>
      <c r="G588" s="56">
        <v>43860</v>
      </c>
      <c r="H588" s="62">
        <v>5</v>
      </c>
      <c r="I588" s="62">
        <v>35408</v>
      </c>
      <c r="J588" s="62">
        <v>148000000</v>
      </c>
      <c r="P588" s="63">
        <f t="shared" si="14"/>
        <v>120</v>
      </c>
      <c r="Q588" s="64">
        <f t="shared" si="15"/>
        <v>147.53333333333333</v>
      </c>
      <c r="R588" s="64">
        <f t="shared" si="16"/>
        <v>35.28594970703125</v>
      </c>
      <c r="S588" s="64">
        <f t="shared" si="17"/>
        <v>22</v>
      </c>
      <c r="T588" s="64">
        <f t="shared" si="18"/>
        <v>34.424444444444447</v>
      </c>
      <c r="U588" s="64" t="str">
        <f t="shared" si="19"/>
        <v>&lt;35</v>
      </c>
      <c r="V588" s="64" t="str">
        <f t="shared" si="20"/>
        <v>31-40 Гб</v>
      </c>
    </row>
    <row r="589" spans="1:22" ht="15.75" customHeight="1" x14ac:dyDescent="0.25">
      <c r="A589" s="62" t="s">
        <v>680</v>
      </c>
      <c r="B589" s="56">
        <v>36482</v>
      </c>
      <c r="C589" s="62" t="s">
        <v>83</v>
      </c>
      <c r="D589" s="62" t="s">
        <v>84</v>
      </c>
      <c r="E589" s="62" t="s">
        <v>85</v>
      </c>
      <c r="F589" s="62" t="s">
        <v>89</v>
      </c>
      <c r="G589" s="56">
        <v>43301</v>
      </c>
      <c r="H589" s="62">
        <v>5</v>
      </c>
      <c r="I589" s="62">
        <v>22852</v>
      </c>
      <c r="J589" s="62">
        <v>152000000</v>
      </c>
      <c r="P589" s="63">
        <f t="shared" si="14"/>
        <v>120</v>
      </c>
      <c r="Q589" s="64">
        <f t="shared" si="15"/>
        <v>95.216666666666669</v>
      </c>
      <c r="R589" s="64">
        <f t="shared" si="16"/>
        <v>36.2396240234375</v>
      </c>
      <c r="S589" s="64">
        <f t="shared" si="17"/>
        <v>22</v>
      </c>
      <c r="T589" s="64">
        <f t="shared" si="18"/>
        <v>22.217222222222222</v>
      </c>
      <c r="U589" s="64" t="str">
        <f t="shared" si="19"/>
        <v>&lt;35</v>
      </c>
      <c r="V589" s="64" t="str">
        <f t="shared" si="20"/>
        <v>31-40 Гб</v>
      </c>
    </row>
    <row r="590" spans="1:22" ht="15.75" customHeight="1" x14ac:dyDescent="0.25">
      <c r="A590" s="62" t="s">
        <v>681</v>
      </c>
      <c r="B590" s="56">
        <v>36481</v>
      </c>
      <c r="C590" s="62" t="s">
        <v>88</v>
      </c>
      <c r="D590" s="62" t="s">
        <v>84</v>
      </c>
      <c r="E590" s="62" t="s">
        <v>92</v>
      </c>
      <c r="F590" s="62" t="s">
        <v>89</v>
      </c>
      <c r="G590" s="56">
        <v>43360</v>
      </c>
      <c r="H590" s="62">
        <v>5</v>
      </c>
      <c r="I590" s="62">
        <v>7796</v>
      </c>
      <c r="J590" s="62">
        <v>72000000</v>
      </c>
      <c r="N590" s="62">
        <v>1</v>
      </c>
      <c r="P590" s="63">
        <f t="shared" si="14"/>
        <v>120</v>
      </c>
      <c r="Q590" s="64">
        <f t="shared" si="15"/>
        <v>32.483333333333334</v>
      </c>
      <c r="R590" s="64">
        <f t="shared" si="16"/>
        <v>17.1661376953125</v>
      </c>
      <c r="S590" s="64">
        <f t="shared" si="17"/>
        <v>22</v>
      </c>
      <c r="T590" s="64">
        <f t="shared" si="18"/>
        <v>7.5794444444444444</v>
      </c>
      <c r="U590" s="64" t="str">
        <f t="shared" si="19"/>
        <v>&lt;35</v>
      </c>
      <c r="V590" s="64" t="str">
        <f t="shared" si="20"/>
        <v>10-20 Гб</v>
      </c>
    </row>
    <row r="591" spans="1:22" ht="15.75" customHeight="1" x14ac:dyDescent="0.25">
      <c r="A591" s="62" t="s">
        <v>682</v>
      </c>
      <c r="B591" s="56">
        <v>36480</v>
      </c>
      <c r="C591" s="62" t="s">
        <v>88</v>
      </c>
      <c r="D591" s="62" t="s">
        <v>84</v>
      </c>
      <c r="E591" s="62" t="s">
        <v>85</v>
      </c>
      <c r="F591" s="62" t="s">
        <v>100</v>
      </c>
      <c r="G591" s="56">
        <v>43583</v>
      </c>
      <c r="H591" s="62">
        <v>5</v>
      </c>
      <c r="I591" s="62">
        <v>61840</v>
      </c>
      <c r="J591" s="62">
        <v>68000000</v>
      </c>
      <c r="N591" s="62">
        <v>1</v>
      </c>
      <c r="P591" s="63">
        <f t="shared" si="14"/>
        <v>120</v>
      </c>
      <c r="Q591" s="64">
        <f t="shared" si="15"/>
        <v>257.66666666666669</v>
      </c>
      <c r="R591" s="64">
        <f t="shared" si="16"/>
        <v>16.21246337890625</v>
      </c>
      <c r="S591" s="64">
        <f t="shared" si="17"/>
        <v>22</v>
      </c>
      <c r="T591" s="64">
        <f t="shared" si="18"/>
        <v>60.122222222222227</v>
      </c>
      <c r="U591" s="64" t="str">
        <f t="shared" si="19"/>
        <v>61-90</v>
      </c>
      <c r="V591" s="64" t="str">
        <f t="shared" si="20"/>
        <v>10-20 Гб</v>
      </c>
    </row>
    <row r="592" spans="1:22" ht="15.75" customHeight="1" x14ac:dyDescent="0.25">
      <c r="A592" s="62" t="s">
        <v>683</v>
      </c>
      <c r="B592" s="56">
        <v>36480</v>
      </c>
      <c r="C592" s="62" t="s">
        <v>83</v>
      </c>
      <c r="D592" s="62" t="s">
        <v>84</v>
      </c>
      <c r="E592" s="62" t="s">
        <v>85</v>
      </c>
      <c r="F592" s="62" t="s">
        <v>89</v>
      </c>
      <c r="G592" s="56">
        <v>43698</v>
      </c>
      <c r="H592" s="62">
        <v>5</v>
      </c>
      <c r="I592" s="62">
        <v>8796</v>
      </c>
      <c r="J592" s="62">
        <v>152000000</v>
      </c>
      <c r="P592" s="63">
        <f t="shared" si="14"/>
        <v>120</v>
      </c>
      <c r="Q592" s="64">
        <f t="shared" si="15"/>
        <v>36.65</v>
      </c>
      <c r="R592" s="64">
        <f t="shared" si="16"/>
        <v>36.2396240234375</v>
      </c>
      <c r="S592" s="64">
        <f t="shared" si="17"/>
        <v>22</v>
      </c>
      <c r="T592" s="64">
        <f t="shared" si="18"/>
        <v>8.5516666666666676</v>
      </c>
      <c r="U592" s="64" t="str">
        <f t="shared" si="19"/>
        <v>&lt;35</v>
      </c>
      <c r="V592" s="64" t="str">
        <f t="shared" si="20"/>
        <v>31-40 Гб</v>
      </c>
    </row>
    <row r="593" spans="1:22" ht="15.75" customHeight="1" x14ac:dyDescent="0.25">
      <c r="A593" s="62" t="s">
        <v>684</v>
      </c>
      <c r="B593" s="56">
        <v>36476</v>
      </c>
      <c r="C593" s="62" t="s">
        <v>88</v>
      </c>
      <c r="D593" s="62" t="s">
        <v>84</v>
      </c>
      <c r="E593" s="62" t="s">
        <v>85</v>
      </c>
      <c r="F593" s="62" t="s">
        <v>89</v>
      </c>
      <c r="G593" s="56">
        <v>43309</v>
      </c>
      <c r="H593" s="62">
        <v>5</v>
      </c>
      <c r="I593" s="62">
        <v>19332</v>
      </c>
      <c r="J593" s="62">
        <v>152000000</v>
      </c>
      <c r="P593" s="63">
        <f t="shared" si="14"/>
        <v>120</v>
      </c>
      <c r="Q593" s="64">
        <f t="shared" si="15"/>
        <v>80.55</v>
      </c>
      <c r="R593" s="64">
        <f t="shared" si="16"/>
        <v>36.2396240234375</v>
      </c>
      <c r="S593" s="64">
        <f t="shared" si="17"/>
        <v>22</v>
      </c>
      <c r="T593" s="64">
        <f t="shared" si="18"/>
        <v>18.795000000000002</v>
      </c>
      <c r="U593" s="64" t="str">
        <f t="shared" si="19"/>
        <v>&lt;35</v>
      </c>
      <c r="V593" s="64" t="str">
        <f t="shared" si="20"/>
        <v>31-40 Гб</v>
      </c>
    </row>
    <row r="594" spans="1:22" ht="15.75" customHeight="1" x14ac:dyDescent="0.25">
      <c r="A594" s="62" t="s">
        <v>685</v>
      </c>
      <c r="B594" s="56">
        <v>36475</v>
      </c>
      <c r="C594" s="62" t="s">
        <v>83</v>
      </c>
      <c r="D594" s="62" t="s">
        <v>84</v>
      </c>
      <c r="E594" s="62" t="s">
        <v>92</v>
      </c>
      <c r="F594" s="62" t="s">
        <v>96</v>
      </c>
      <c r="G594" s="56">
        <v>44402</v>
      </c>
      <c r="H594" s="62">
        <v>5</v>
      </c>
      <c r="I594" s="62">
        <v>66212</v>
      </c>
      <c r="J594" s="62">
        <v>112000000</v>
      </c>
      <c r="M594" s="62">
        <v>1</v>
      </c>
      <c r="P594" s="63">
        <f t="shared" si="14"/>
        <v>120</v>
      </c>
      <c r="Q594" s="64">
        <f t="shared" si="15"/>
        <v>275.88333333333333</v>
      </c>
      <c r="R594" s="64">
        <f t="shared" si="16"/>
        <v>26.702880859375</v>
      </c>
      <c r="S594" s="64">
        <f t="shared" si="17"/>
        <v>22</v>
      </c>
      <c r="T594" s="64">
        <f t="shared" si="18"/>
        <v>64.372777777777785</v>
      </c>
      <c r="U594" s="64" t="str">
        <f t="shared" si="19"/>
        <v>61-90</v>
      </c>
      <c r="V594" s="64" t="str">
        <f t="shared" si="20"/>
        <v>21-30 Гб</v>
      </c>
    </row>
    <row r="595" spans="1:22" ht="15.75" customHeight="1" x14ac:dyDescent="0.25">
      <c r="A595" s="62" t="s">
        <v>686</v>
      </c>
      <c r="B595" s="56">
        <v>36475</v>
      </c>
      <c r="C595" s="62" t="s">
        <v>88</v>
      </c>
      <c r="D595" s="62" t="s">
        <v>84</v>
      </c>
      <c r="E595" s="62" t="s">
        <v>85</v>
      </c>
      <c r="F595" s="62" t="s">
        <v>96</v>
      </c>
      <c r="G595" s="56">
        <v>43113</v>
      </c>
      <c r="H595" s="62">
        <v>5</v>
      </c>
      <c r="I595" s="62">
        <v>23820</v>
      </c>
      <c r="J595" s="62">
        <v>84000000</v>
      </c>
      <c r="K595" s="62">
        <v>1</v>
      </c>
      <c r="O595" s="62">
        <v>1</v>
      </c>
      <c r="P595" s="63">
        <f t="shared" si="14"/>
        <v>120</v>
      </c>
      <c r="Q595" s="64">
        <f t="shared" si="15"/>
        <v>99.25</v>
      </c>
      <c r="R595" s="64">
        <f t="shared" si="16"/>
        <v>20.02716064453125</v>
      </c>
      <c r="S595" s="64">
        <f t="shared" si="17"/>
        <v>22</v>
      </c>
      <c r="T595" s="64">
        <f t="shared" si="18"/>
        <v>23.158333333333335</v>
      </c>
      <c r="U595" s="64" t="str">
        <f t="shared" si="19"/>
        <v>&lt;35</v>
      </c>
      <c r="V595" s="64" t="str">
        <f t="shared" si="20"/>
        <v>21-30 Гб</v>
      </c>
    </row>
    <row r="596" spans="1:22" ht="15.75" customHeight="1" x14ac:dyDescent="0.25">
      <c r="A596" s="62" t="s">
        <v>687</v>
      </c>
      <c r="B596" s="56">
        <v>36475</v>
      </c>
      <c r="C596" s="62" t="s">
        <v>83</v>
      </c>
      <c r="D596" s="62" t="s">
        <v>84</v>
      </c>
      <c r="E596" s="62" t="s">
        <v>92</v>
      </c>
      <c r="F596" s="62" t="s">
        <v>96</v>
      </c>
      <c r="G596" s="56">
        <v>42972</v>
      </c>
      <c r="H596" s="62">
        <v>5</v>
      </c>
      <c r="I596" s="62">
        <v>84476</v>
      </c>
      <c r="J596" s="62">
        <v>80000000</v>
      </c>
      <c r="M596" s="62">
        <v>1</v>
      </c>
      <c r="P596" s="63">
        <f t="shared" si="14"/>
        <v>120</v>
      </c>
      <c r="Q596" s="64">
        <f t="shared" si="15"/>
        <v>351.98333333333335</v>
      </c>
      <c r="R596" s="64">
        <f t="shared" si="16"/>
        <v>19.073486328125</v>
      </c>
      <c r="S596" s="64">
        <f t="shared" si="17"/>
        <v>22</v>
      </c>
      <c r="T596" s="64">
        <f t="shared" si="18"/>
        <v>82.129444444444445</v>
      </c>
      <c r="U596" s="64" t="str">
        <f t="shared" si="19"/>
        <v>61-90</v>
      </c>
      <c r="V596" s="64" t="str">
        <f t="shared" si="20"/>
        <v>10-20 Гб</v>
      </c>
    </row>
    <row r="597" spans="1:22" ht="15.75" customHeight="1" x14ac:dyDescent="0.25">
      <c r="A597" s="62" t="s">
        <v>688</v>
      </c>
      <c r="B597" s="56">
        <v>36463</v>
      </c>
      <c r="C597" s="62" t="s">
        <v>83</v>
      </c>
      <c r="D597" s="62" t="s">
        <v>84</v>
      </c>
      <c r="E597" s="62" t="s">
        <v>92</v>
      </c>
      <c r="F597" s="62" t="s">
        <v>93</v>
      </c>
      <c r="G597" s="56">
        <v>44150</v>
      </c>
      <c r="H597" s="62">
        <v>5</v>
      </c>
      <c r="I597" s="62">
        <v>25832</v>
      </c>
      <c r="J597" s="62">
        <v>0</v>
      </c>
      <c r="M597" s="62">
        <v>1</v>
      </c>
      <c r="P597" s="63">
        <f t="shared" si="14"/>
        <v>120</v>
      </c>
      <c r="Q597" s="64">
        <f t="shared" si="15"/>
        <v>107.63333333333334</v>
      </c>
      <c r="R597" s="64">
        <f t="shared" si="16"/>
        <v>0</v>
      </c>
      <c r="S597" s="64">
        <f t="shared" si="17"/>
        <v>22</v>
      </c>
      <c r="T597" s="64">
        <f t="shared" si="18"/>
        <v>25.114444444444448</v>
      </c>
      <c r="U597" s="64" t="str">
        <f t="shared" si="19"/>
        <v>&lt;35</v>
      </c>
      <c r="V597" s="64" t="str">
        <f t="shared" si="20"/>
        <v>&lt;10 Гб</v>
      </c>
    </row>
    <row r="598" spans="1:22" ht="15.75" customHeight="1" x14ac:dyDescent="0.25">
      <c r="A598" s="62" t="s">
        <v>689</v>
      </c>
      <c r="B598" s="56">
        <v>36462</v>
      </c>
      <c r="C598" s="62" t="s">
        <v>88</v>
      </c>
      <c r="D598" s="62" t="s">
        <v>84</v>
      </c>
      <c r="E598" s="62" t="s">
        <v>85</v>
      </c>
      <c r="F598" s="62" t="s">
        <v>86</v>
      </c>
      <c r="G598" s="56">
        <v>43059</v>
      </c>
      <c r="H598" s="62">
        <v>5</v>
      </c>
      <c r="I598" s="62">
        <v>136844</v>
      </c>
      <c r="J598" s="62">
        <v>180000000</v>
      </c>
      <c r="K598" s="62">
        <v>1</v>
      </c>
      <c r="L598" s="62">
        <v>1</v>
      </c>
      <c r="P598" s="63">
        <f t="shared" si="14"/>
        <v>120</v>
      </c>
      <c r="Q598" s="64">
        <f t="shared" si="15"/>
        <v>570.18333333333328</v>
      </c>
      <c r="R598" s="64">
        <f t="shared" si="16"/>
        <v>42.91534423828125</v>
      </c>
      <c r="S598" s="64">
        <f t="shared" si="17"/>
        <v>22</v>
      </c>
      <c r="T598" s="64">
        <f t="shared" si="18"/>
        <v>133.04277777777776</v>
      </c>
      <c r="U598" s="64" t="str">
        <f t="shared" si="19"/>
        <v>120+</v>
      </c>
      <c r="V598" s="64" t="str">
        <f t="shared" si="20"/>
        <v>40+ Гб</v>
      </c>
    </row>
    <row r="599" spans="1:22" ht="15.75" customHeight="1" x14ac:dyDescent="0.25">
      <c r="A599" s="62" t="s">
        <v>690</v>
      </c>
      <c r="B599" s="56">
        <v>36461</v>
      </c>
      <c r="C599" s="62" t="s">
        <v>83</v>
      </c>
      <c r="D599" s="62" t="s">
        <v>84</v>
      </c>
      <c r="E599" s="62" t="s">
        <v>92</v>
      </c>
      <c r="F599" s="62" t="s">
        <v>89</v>
      </c>
      <c r="G599" s="56">
        <v>44569</v>
      </c>
      <c r="H599" s="62">
        <v>3</v>
      </c>
      <c r="I599" s="62">
        <v>3580</v>
      </c>
      <c r="J599" s="62">
        <v>128066667</v>
      </c>
      <c r="P599" s="63">
        <f t="shared" si="14"/>
        <v>113</v>
      </c>
      <c r="Q599" s="64">
        <f t="shared" si="15"/>
        <v>15.840707964601769</v>
      </c>
      <c r="R599" s="64">
        <f t="shared" si="16"/>
        <v>32.424926842208457</v>
      </c>
      <c r="S599" s="64">
        <f t="shared" si="17"/>
        <v>22</v>
      </c>
      <c r="T599" s="64">
        <f t="shared" si="18"/>
        <v>3.696165191740413</v>
      </c>
      <c r="U599" s="64" t="str">
        <f t="shared" si="19"/>
        <v>&lt;35</v>
      </c>
      <c r="V599" s="64" t="str">
        <f t="shared" si="20"/>
        <v>31-40 Гб</v>
      </c>
    </row>
    <row r="600" spans="1:22" ht="15.75" customHeight="1" x14ac:dyDescent="0.25">
      <c r="A600" s="62" t="s">
        <v>691</v>
      </c>
      <c r="B600" s="56">
        <v>36456</v>
      </c>
      <c r="C600" s="62" t="s">
        <v>83</v>
      </c>
      <c r="D600" s="62" t="s">
        <v>84</v>
      </c>
      <c r="E600" s="62" t="s">
        <v>85</v>
      </c>
      <c r="F600" s="62" t="s">
        <v>100</v>
      </c>
      <c r="G600" s="56">
        <v>43819</v>
      </c>
      <c r="H600" s="62">
        <v>5</v>
      </c>
      <c r="I600" s="62">
        <v>118476</v>
      </c>
      <c r="J600" s="62">
        <v>120000000</v>
      </c>
      <c r="P600" s="63">
        <f t="shared" si="14"/>
        <v>120</v>
      </c>
      <c r="Q600" s="64">
        <f t="shared" si="15"/>
        <v>493.65</v>
      </c>
      <c r="R600" s="64">
        <f t="shared" si="16"/>
        <v>28.6102294921875</v>
      </c>
      <c r="S600" s="64">
        <f t="shared" si="17"/>
        <v>22</v>
      </c>
      <c r="T600" s="64">
        <f t="shared" si="18"/>
        <v>115.18499999999999</v>
      </c>
      <c r="U600" s="64" t="str">
        <f t="shared" si="19"/>
        <v>91-120</v>
      </c>
      <c r="V600" s="64" t="str">
        <f t="shared" si="20"/>
        <v>21-30 Гб</v>
      </c>
    </row>
    <row r="601" spans="1:22" ht="15.75" customHeight="1" x14ac:dyDescent="0.25">
      <c r="A601" s="62" t="s">
        <v>692</v>
      </c>
      <c r="B601" s="56">
        <v>36455</v>
      </c>
      <c r="C601" s="62" t="s">
        <v>83</v>
      </c>
      <c r="D601" s="62" t="s">
        <v>84</v>
      </c>
      <c r="E601" s="62" t="s">
        <v>85</v>
      </c>
      <c r="F601" s="62" t="s">
        <v>93</v>
      </c>
      <c r="G601" s="56">
        <v>43714</v>
      </c>
      <c r="H601" s="62">
        <v>5</v>
      </c>
      <c r="I601" s="62">
        <v>30312</v>
      </c>
      <c r="J601" s="62">
        <v>8000000</v>
      </c>
      <c r="K601" s="62">
        <v>1</v>
      </c>
      <c r="P601" s="63">
        <f t="shared" si="14"/>
        <v>120</v>
      </c>
      <c r="Q601" s="64">
        <f t="shared" si="15"/>
        <v>126.3</v>
      </c>
      <c r="R601" s="64">
        <f t="shared" si="16"/>
        <v>1.9073486328125002</v>
      </c>
      <c r="S601" s="64">
        <f t="shared" si="17"/>
        <v>22</v>
      </c>
      <c r="T601" s="64">
        <f t="shared" si="18"/>
        <v>29.470000000000002</v>
      </c>
      <c r="U601" s="64" t="str">
        <f t="shared" si="19"/>
        <v>&lt;35</v>
      </c>
      <c r="V601" s="64" t="str">
        <f t="shared" si="20"/>
        <v>&lt;10 Гб</v>
      </c>
    </row>
    <row r="602" spans="1:22" ht="15.75" customHeight="1" x14ac:dyDescent="0.25">
      <c r="A602" s="62" t="s">
        <v>693</v>
      </c>
      <c r="B602" s="56">
        <v>36453</v>
      </c>
      <c r="C602" s="62" t="s">
        <v>83</v>
      </c>
      <c r="D602" s="62" t="s">
        <v>84</v>
      </c>
      <c r="E602" s="62" t="s">
        <v>92</v>
      </c>
      <c r="F602" s="62" t="s">
        <v>96</v>
      </c>
      <c r="G602" s="56">
        <v>44032</v>
      </c>
      <c r="H602" s="62">
        <v>5</v>
      </c>
      <c r="I602" s="62">
        <v>84096</v>
      </c>
      <c r="J602" s="62">
        <v>104000000</v>
      </c>
      <c r="L602" s="62">
        <v>1</v>
      </c>
      <c r="P602" s="63">
        <f t="shared" si="14"/>
        <v>120</v>
      </c>
      <c r="Q602" s="64">
        <f t="shared" si="15"/>
        <v>350.4</v>
      </c>
      <c r="R602" s="64">
        <f t="shared" si="16"/>
        <v>24.7955322265625</v>
      </c>
      <c r="S602" s="64">
        <f t="shared" si="17"/>
        <v>22</v>
      </c>
      <c r="T602" s="64">
        <f t="shared" si="18"/>
        <v>81.759999999999991</v>
      </c>
      <c r="U602" s="64" t="str">
        <f t="shared" si="19"/>
        <v>61-90</v>
      </c>
      <c r="V602" s="64" t="str">
        <f t="shared" si="20"/>
        <v>21-30 Гб</v>
      </c>
    </row>
    <row r="603" spans="1:22" ht="15.75" customHeight="1" x14ac:dyDescent="0.25">
      <c r="A603" s="62" t="s">
        <v>694</v>
      </c>
      <c r="B603" s="56">
        <v>36453</v>
      </c>
      <c r="C603" s="62" t="s">
        <v>88</v>
      </c>
      <c r="D603" s="62" t="s">
        <v>84</v>
      </c>
      <c r="E603" s="62" t="s">
        <v>85</v>
      </c>
      <c r="F603" s="62" t="s">
        <v>96</v>
      </c>
      <c r="G603" s="56">
        <v>43747</v>
      </c>
      <c r="H603" s="62">
        <v>5</v>
      </c>
      <c r="I603" s="62">
        <v>12724</v>
      </c>
      <c r="J603" s="62">
        <v>84000000</v>
      </c>
      <c r="P603" s="63">
        <f t="shared" si="14"/>
        <v>120</v>
      </c>
      <c r="Q603" s="64">
        <f t="shared" si="15"/>
        <v>53.016666666666666</v>
      </c>
      <c r="R603" s="64">
        <f t="shared" si="16"/>
        <v>20.02716064453125</v>
      </c>
      <c r="S603" s="64">
        <f t="shared" si="17"/>
        <v>22</v>
      </c>
      <c r="T603" s="64">
        <f t="shared" si="18"/>
        <v>12.370555555555557</v>
      </c>
      <c r="U603" s="64" t="str">
        <f t="shared" si="19"/>
        <v>&lt;35</v>
      </c>
      <c r="V603" s="64" t="str">
        <f t="shared" si="20"/>
        <v>21-30 Гб</v>
      </c>
    </row>
    <row r="604" spans="1:22" ht="15.75" customHeight="1" x14ac:dyDescent="0.25">
      <c r="A604" s="62" t="s">
        <v>695</v>
      </c>
      <c r="B604" s="56">
        <v>36451</v>
      </c>
      <c r="C604" s="62" t="s">
        <v>83</v>
      </c>
      <c r="D604" s="62" t="s">
        <v>84</v>
      </c>
      <c r="E604" s="62" t="s">
        <v>92</v>
      </c>
      <c r="F604" s="62" t="s">
        <v>86</v>
      </c>
      <c r="G604" s="56">
        <v>43868</v>
      </c>
      <c r="H604" s="62">
        <v>5</v>
      </c>
      <c r="I604" s="62">
        <v>151848</v>
      </c>
      <c r="J604" s="62">
        <v>168000000</v>
      </c>
      <c r="P604" s="63">
        <f t="shared" si="14"/>
        <v>120</v>
      </c>
      <c r="Q604" s="64">
        <f t="shared" si="15"/>
        <v>632.70000000000005</v>
      </c>
      <c r="R604" s="64">
        <f t="shared" si="16"/>
        <v>40.0543212890625</v>
      </c>
      <c r="S604" s="64">
        <f t="shared" si="17"/>
        <v>22</v>
      </c>
      <c r="T604" s="64">
        <f t="shared" si="18"/>
        <v>147.63000000000002</v>
      </c>
      <c r="U604" s="64" t="str">
        <f t="shared" si="19"/>
        <v>120+</v>
      </c>
      <c r="V604" s="64" t="str">
        <f t="shared" si="20"/>
        <v>40+ Гб</v>
      </c>
    </row>
    <row r="605" spans="1:22" ht="15.75" customHeight="1" x14ac:dyDescent="0.25">
      <c r="A605" s="62" t="s">
        <v>696</v>
      </c>
      <c r="B605" s="56">
        <v>36449</v>
      </c>
      <c r="C605" s="62" t="s">
        <v>83</v>
      </c>
      <c r="D605" s="62" t="s">
        <v>84</v>
      </c>
      <c r="E605" s="62" t="s">
        <v>85</v>
      </c>
      <c r="F605" s="62" t="s">
        <v>89</v>
      </c>
      <c r="G605" s="56">
        <v>43431</v>
      </c>
      <c r="H605" s="62">
        <v>5</v>
      </c>
      <c r="I605" s="62">
        <v>19752</v>
      </c>
      <c r="J605" s="62">
        <v>28000000</v>
      </c>
      <c r="M605" s="62">
        <v>1</v>
      </c>
      <c r="N605" s="62">
        <v>1</v>
      </c>
      <c r="P605" s="63">
        <f t="shared" si="14"/>
        <v>120</v>
      </c>
      <c r="Q605" s="64">
        <f t="shared" si="15"/>
        <v>82.3</v>
      </c>
      <c r="R605" s="64">
        <f t="shared" si="16"/>
        <v>6.67572021484375</v>
      </c>
      <c r="S605" s="64">
        <f t="shared" si="17"/>
        <v>22</v>
      </c>
      <c r="T605" s="64">
        <f t="shared" si="18"/>
        <v>19.203333333333333</v>
      </c>
      <c r="U605" s="64" t="str">
        <f t="shared" si="19"/>
        <v>&lt;35</v>
      </c>
      <c r="V605" s="64" t="str">
        <f t="shared" si="20"/>
        <v>&lt;10 Гб</v>
      </c>
    </row>
    <row r="606" spans="1:22" ht="15.75" customHeight="1" x14ac:dyDescent="0.25">
      <c r="A606" s="62" t="s">
        <v>697</v>
      </c>
      <c r="B606" s="56">
        <v>36449</v>
      </c>
      <c r="C606" s="62" t="s">
        <v>83</v>
      </c>
      <c r="D606" s="62" t="s">
        <v>84</v>
      </c>
      <c r="E606" s="62" t="s">
        <v>92</v>
      </c>
      <c r="F606" s="62" t="s">
        <v>96</v>
      </c>
      <c r="G606" s="56">
        <v>43194</v>
      </c>
      <c r="H606" s="62">
        <v>5</v>
      </c>
      <c r="I606" s="62">
        <v>54300</v>
      </c>
      <c r="J606" s="62">
        <v>84000000</v>
      </c>
      <c r="P606" s="63">
        <f t="shared" si="14"/>
        <v>120</v>
      </c>
      <c r="Q606" s="64">
        <f t="shared" si="15"/>
        <v>226.25</v>
      </c>
      <c r="R606" s="64">
        <f t="shared" si="16"/>
        <v>20.02716064453125</v>
      </c>
      <c r="S606" s="64">
        <f t="shared" si="17"/>
        <v>22</v>
      </c>
      <c r="T606" s="64">
        <f t="shared" si="18"/>
        <v>52.791666666666664</v>
      </c>
      <c r="U606" s="64" t="str">
        <f t="shared" si="19"/>
        <v>35-60</v>
      </c>
      <c r="V606" s="64" t="str">
        <f t="shared" si="20"/>
        <v>21-30 Гб</v>
      </c>
    </row>
    <row r="607" spans="1:22" ht="15.75" customHeight="1" x14ac:dyDescent="0.25">
      <c r="A607" s="62" t="s">
        <v>698</v>
      </c>
      <c r="B607" s="56">
        <v>36447</v>
      </c>
      <c r="C607" s="62" t="s">
        <v>83</v>
      </c>
      <c r="D607" s="62" t="s">
        <v>84</v>
      </c>
      <c r="E607" s="62" t="s">
        <v>85</v>
      </c>
      <c r="F607" s="62" t="s">
        <v>100</v>
      </c>
      <c r="G607" s="56">
        <v>43727</v>
      </c>
      <c r="H607" s="62">
        <v>5</v>
      </c>
      <c r="I607" s="62">
        <v>60960</v>
      </c>
      <c r="J607" s="62">
        <v>44000000</v>
      </c>
      <c r="L607" s="62">
        <v>1</v>
      </c>
      <c r="N607" s="62">
        <v>1</v>
      </c>
      <c r="P607" s="63">
        <f t="shared" si="14"/>
        <v>120</v>
      </c>
      <c r="Q607" s="64">
        <f t="shared" si="15"/>
        <v>254</v>
      </c>
      <c r="R607" s="64">
        <f t="shared" si="16"/>
        <v>10.49041748046875</v>
      </c>
      <c r="S607" s="64">
        <f t="shared" si="17"/>
        <v>22</v>
      </c>
      <c r="T607" s="64">
        <f t="shared" si="18"/>
        <v>59.266666666666666</v>
      </c>
      <c r="U607" s="64" t="str">
        <f t="shared" si="19"/>
        <v>35-60</v>
      </c>
      <c r="V607" s="64" t="str">
        <f t="shared" si="20"/>
        <v>10-20 Гб</v>
      </c>
    </row>
    <row r="608" spans="1:22" ht="15.75" customHeight="1" x14ac:dyDescent="0.25">
      <c r="A608" s="62" t="s">
        <v>699</v>
      </c>
      <c r="B608" s="56">
        <v>36447</v>
      </c>
      <c r="C608" s="62" t="s">
        <v>83</v>
      </c>
      <c r="D608" s="62" t="s">
        <v>84</v>
      </c>
      <c r="E608" s="62" t="s">
        <v>85</v>
      </c>
      <c r="F608" s="62" t="s">
        <v>93</v>
      </c>
      <c r="G608" s="56">
        <v>43867</v>
      </c>
      <c r="H608" s="62">
        <v>5</v>
      </c>
      <c r="I608" s="62">
        <v>18892</v>
      </c>
      <c r="J608" s="62">
        <v>12000000</v>
      </c>
      <c r="P608" s="63">
        <f t="shared" si="14"/>
        <v>120</v>
      </c>
      <c r="Q608" s="64">
        <f t="shared" si="15"/>
        <v>78.716666666666669</v>
      </c>
      <c r="R608" s="64">
        <f t="shared" si="16"/>
        <v>2.86102294921875</v>
      </c>
      <c r="S608" s="64">
        <f t="shared" si="17"/>
        <v>22</v>
      </c>
      <c r="T608" s="64">
        <f t="shared" si="18"/>
        <v>18.367222222222221</v>
      </c>
      <c r="U608" s="64" t="str">
        <f t="shared" si="19"/>
        <v>&lt;35</v>
      </c>
      <c r="V608" s="64" t="str">
        <f t="shared" si="20"/>
        <v>&lt;10 Гб</v>
      </c>
    </row>
    <row r="609" spans="1:22" ht="15.75" customHeight="1" x14ac:dyDescent="0.25">
      <c r="A609" s="62" t="s">
        <v>700</v>
      </c>
      <c r="B609" s="56">
        <v>36446</v>
      </c>
      <c r="C609" s="62" t="s">
        <v>83</v>
      </c>
      <c r="D609" s="62" t="s">
        <v>84</v>
      </c>
      <c r="E609" s="62" t="s">
        <v>92</v>
      </c>
      <c r="F609" s="62" t="s">
        <v>89</v>
      </c>
      <c r="G609" s="56">
        <v>44510</v>
      </c>
      <c r="H609" s="62">
        <v>5</v>
      </c>
      <c r="I609" s="62">
        <v>5568</v>
      </c>
      <c r="J609" s="62">
        <v>156000000</v>
      </c>
      <c r="P609" s="63">
        <f t="shared" si="14"/>
        <v>120</v>
      </c>
      <c r="Q609" s="64">
        <f t="shared" si="15"/>
        <v>23.2</v>
      </c>
      <c r="R609" s="64">
        <f t="shared" si="16"/>
        <v>37.19329833984375</v>
      </c>
      <c r="S609" s="64">
        <f t="shared" si="17"/>
        <v>22</v>
      </c>
      <c r="T609" s="64">
        <f t="shared" si="18"/>
        <v>5.4133333333333331</v>
      </c>
      <c r="U609" s="64" t="str">
        <f t="shared" si="19"/>
        <v>&lt;35</v>
      </c>
      <c r="V609" s="64" t="str">
        <f t="shared" si="20"/>
        <v>31-40 Гб</v>
      </c>
    </row>
    <row r="610" spans="1:22" ht="15.75" customHeight="1" x14ac:dyDescent="0.25">
      <c r="A610" s="62" t="s">
        <v>701</v>
      </c>
      <c r="B610" s="56">
        <v>36444</v>
      </c>
      <c r="C610" s="62" t="s">
        <v>88</v>
      </c>
      <c r="D610" s="62" t="s">
        <v>84</v>
      </c>
      <c r="E610" s="62" t="s">
        <v>92</v>
      </c>
      <c r="F610" s="62" t="s">
        <v>96</v>
      </c>
      <c r="G610" s="56">
        <v>43140</v>
      </c>
      <c r="H610" s="62">
        <v>5</v>
      </c>
      <c r="I610" s="62">
        <v>70436</v>
      </c>
      <c r="J610" s="62">
        <v>120000000</v>
      </c>
      <c r="K610" s="62">
        <v>1</v>
      </c>
      <c r="L610" s="62">
        <v>1</v>
      </c>
      <c r="M610" s="62">
        <v>1</v>
      </c>
      <c r="P610" s="63">
        <f t="shared" si="14"/>
        <v>120</v>
      </c>
      <c r="Q610" s="64">
        <f t="shared" si="15"/>
        <v>293.48333333333335</v>
      </c>
      <c r="R610" s="64">
        <f t="shared" si="16"/>
        <v>28.6102294921875</v>
      </c>
      <c r="S610" s="64">
        <f t="shared" si="17"/>
        <v>22</v>
      </c>
      <c r="T610" s="64">
        <f t="shared" si="18"/>
        <v>68.479444444444439</v>
      </c>
      <c r="U610" s="64" t="str">
        <f t="shared" si="19"/>
        <v>61-90</v>
      </c>
      <c r="V610" s="64" t="str">
        <f t="shared" si="20"/>
        <v>21-30 Гб</v>
      </c>
    </row>
    <row r="611" spans="1:22" ht="15.75" customHeight="1" x14ac:dyDescent="0.25">
      <c r="A611" s="62" t="s">
        <v>702</v>
      </c>
      <c r="B611" s="56">
        <v>36443</v>
      </c>
      <c r="C611" s="62" t="s">
        <v>83</v>
      </c>
      <c r="D611" s="62" t="s">
        <v>84</v>
      </c>
      <c r="E611" s="62" t="s">
        <v>92</v>
      </c>
      <c r="F611" s="62" t="s">
        <v>93</v>
      </c>
      <c r="G611" s="56">
        <v>43477</v>
      </c>
      <c r="H611" s="62">
        <v>5</v>
      </c>
      <c r="I611" s="62">
        <v>11492</v>
      </c>
      <c r="J611" s="62">
        <v>16000000</v>
      </c>
      <c r="L611" s="62">
        <v>1</v>
      </c>
      <c r="P611" s="63">
        <f t="shared" si="14"/>
        <v>120</v>
      </c>
      <c r="Q611" s="64">
        <f t="shared" si="15"/>
        <v>47.883333333333333</v>
      </c>
      <c r="R611" s="64">
        <f t="shared" si="16"/>
        <v>3.8146972656250004</v>
      </c>
      <c r="S611" s="64">
        <f t="shared" si="17"/>
        <v>22</v>
      </c>
      <c r="T611" s="64">
        <f t="shared" si="18"/>
        <v>11.172777777777778</v>
      </c>
      <c r="U611" s="64" t="str">
        <f t="shared" si="19"/>
        <v>&lt;35</v>
      </c>
      <c r="V611" s="64" t="str">
        <f t="shared" si="20"/>
        <v>&lt;10 Гб</v>
      </c>
    </row>
    <row r="612" spans="1:22" ht="15.75" customHeight="1" x14ac:dyDescent="0.25">
      <c r="A612" s="62" t="s">
        <v>703</v>
      </c>
      <c r="B612" s="56">
        <v>36441</v>
      </c>
      <c r="C612" s="62" t="s">
        <v>88</v>
      </c>
      <c r="D612" s="62" t="s">
        <v>84</v>
      </c>
      <c r="E612" s="62" t="s">
        <v>85</v>
      </c>
      <c r="F612" s="62" t="s">
        <v>96</v>
      </c>
      <c r="G612" s="56">
        <v>44592</v>
      </c>
      <c r="H612" s="62">
        <v>3</v>
      </c>
      <c r="I612" s="62">
        <v>72000</v>
      </c>
      <c r="J612" s="62">
        <v>18000000</v>
      </c>
      <c r="P612" s="63">
        <f t="shared" si="14"/>
        <v>90</v>
      </c>
      <c r="Q612" s="64">
        <f t="shared" si="15"/>
        <v>400</v>
      </c>
      <c r="R612" s="64">
        <f t="shared" si="16"/>
        <v>5.7220458984375</v>
      </c>
      <c r="S612" s="64">
        <f t="shared" si="17"/>
        <v>22</v>
      </c>
      <c r="T612" s="64">
        <f t="shared" si="18"/>
        <v>93.333333333333329</v>
      </c>
      <c r="U612" s="64" t="str">
        <f t="shared" si="19"/>
        <v>91-120</v>
      </c>
      <c r="V612" s="64" t="str">
        <f t="shared" si="20"/>
        <v>&lt;10 Гб</v>
      </c>
    </row>
    <row r="613" spans="1:22" ht="15.75" customHeight="1" x14ac:dyDescent="0.25">
      <c r="A613" s="62" t="s">
        <v>704</v>
      </c>
      <c r="B613" s="56">
        <v>36440</v>
      </c>
      <c r="C613" s="62" t="s">
        <v>83</v>
      </c>
      <c r="D613" s="62" t="s">
        <v>84</v>
      </c>
      <c r="E613" s="62" t="s">
        <v>92</v>
      </c>
      <c r="F613" s="62" t="s">
        <v>89</v>
      </c>
      <c r="G613" s="56">
        <v>42980</v>
      </c>
      <c r="H613" s="62">
        <v>5</v>
      </c>
      <c r="I613" s="62">
        <v>6888</v>
      </c>
      <c r="J613" s="62">
        <v>160000000</v>
      </c>
      <c r="P613" s="63">
        <f t="shared" si="14"/>
        <v>120</v>
      </c>
      <c r="Q613" s="64">
        <f t="shared" si="15"/>
        <v>28.7</v>
      </c>
      <c r="R613" s="64">
        <f t="shared" si="16"/>
        <v>38.14697265625</v>
      </c>
      <c r="S613" s="64">
        <f t="shared" si="17"/>
        <v>22</v>
      </c>
      <c r="T613" s="64">
        <f t="shared" si="18"/>
        <v>6.6966666666666672</v>
      </c>
      <c r="U613" s="64" t="str">
        <f t="shared" si="19"/>
        <v>&lt;35</v>
      </c>
      <c r="V613" s="64" t="str">
        <f t="shared" si="20"/>
        <v>31-40 Гб</v>
      </c>
    </row>
    <row r="614" spans="1:22" ht="15.75" customHeight="1" x14ac:dyDescent="0.25">
      <c r="A614" s="62" t="s">
        <v>705</v>
      </c>
      <c r="B614" s="56">
        <v>36436</v>
      </c>
      <c r="C614" s="62" t="s">
        <v>83</v>
      </c>
      <c r="D614" s="62" t="s">
        <v>84</v>
      </c>
      <c r="E614" s="62" t="s">
        <v>92</v>
      </c>
      <c r="F614" s="62" t="s">
        <v>100</v>
      </c>
      <c r="G614" s="56">
        <v>43491</v>
      </c>
      <c r="H614" s="62">
        <v>5</v>
      </c>
      <c r="I614" s="62">
        <v>118116</v>
      </c>
      <c r="J614" s="62">
        <v>28000000</v>
      </c>
      <c r="P614" s="63">
        <f t="shared" si="14"/>
        <v>120</v>
      </c>
      <c r="Q614" s="64">
        <f t="shared" si="15"/>
        <v>492.14999999999992</v>
      </c>
      <c r="R614" s="64">
        <f t="shared" si="16"/>
        <v>6.67572021484375</v>
      </c>
      <c r="S614" s="64">
        <f t="shared" si="17"/>
        <v>22</v>
      </c>
      <c r="T614" s="64">
        <f t="shared" si="18"/>
        <v>114.83499999999998</v>
      </c>
      <c r="U614" s="64" t="str">
        <f t="shared" si="19"/>
        <v>91-120</v>
      </c>
      <c r="V614" s="64" t="str">
        <f t="shared" si="20"/>
        <v>&lt;10 Гб</v>
      </c>
    </row>
    <row r="615" spans="1:22" ht="15.75" customHeight="1" x14ac:dyDescent="0.25">
      <c r="A615" s="62" t="s">
        <v>706</v>
      </c>
      <c r="B615" s="56">
        <v>36436</v>
      </c>
      <c r="C615" s="62" t="s">
        <v>88</v>
      </c>
      <c r="D615" s="62" t="s">
        <v>84</v>
      </c>
      <c r="E615" s="62" t="s">
        <v>92</v>
      </c>
      <c r="F615" s="62" t="s">
        <v>96</v>
      </c>
      <c r="G615" s="56">
        <v>44408</v>
      </c>
      <c r="H615" s="62">
        <v>5</v>
      </c>
      <c r="I615" s="62">
        <v>22748</v>
      </c>
      <c r="J615" s="62">
        <v>108000000</v>
      </c>
      <c r="N615" s="62">
        <v>1</v>
      </c>
      <c r="P615" s="63">
        <f t="shared" si="14"/>
        <v>120</v>
      </c>
      <c r="Q615" s="64">
        <f t="shared" si="15"/>
        <v>94.783333333333331</v>
      </c>
      <c r="R615" s="64">
        <f t="shared" si="16"/>
        <v>25.74920654296875</v>
      </c>
      <c r="S615" s="64">
        <f t="shared" si="17"/>
        <v>22</v>
      </c>
      <c r="T615" s="64">
        <f t="shared" si="18"/>
        <v>22.116111111111113</v>
      </c>
      <c r="U615" s="64" t="str">
        <f t="shared" si="19"/>
        <v>&lt;35</v>
      </c>
      <c r="V615" s="64" t="str">
        <f t="shared" si="20"/>
        <v>21-30 Гб</v>
      </c>
    </row>
    <row r="616" spans="1:22" ht="15.75" customHeight="1" x14ac:dyDescent="0.25">
      <c r="A616" s="62" t="s">
        <v>707</v>
      </c>
      <c r="B616" s="56">
        <v>36435</v>
      </c>
      <c r="C616" s="62" t="s">
        <v>83</v>
      </c>
      <c r="D616" s="62" t="s">
        <v>84</v>
      </c>
      <c r="E616" s="62" t="s">
        <v>92</v>
      </c>
      <c r="F616" s="62" t="s">
        <v>89</v>
      </c>
      <c r="G616" s="56">
        <v>42999</v>
      </c>
      <c r="H616" s="62">
        <v>5</v>
      </c>
      <c r="I616" s="62">
        <v>35420</v>
      </c>
      <c r="J616" s="62">
        <v>148000000</v>
      </c>
      <c r="P616" s="63">
        <f t="shared" si="14"/>
        <v>120</v>
      </c>
      <c r="Q616" s="64">
        <f t="shared" si="15"/>
        <v>147.58333333333334</v>
      </c>
      <c r="R616" s="64">
        <f t="shared" si="16"/>
        <v>35.28594970703125</v>
      </c>
      <c r="S616" s="64">
        <f t="shared" si="17"/>
        <v>22</v>
      </c>
      <c r="T616" s="64">
        <f t="shared" si="18"/>
        <v>34.436111111111117</v>
      </c>
      <c r="U616" s="64" t="str">
        <f t="shared" si="19"/>
        <v>&lt;35</v>
      </c>
      <c r="V616" s="64" t="str">
        <f t="shared" si="20"/>
        <v>31-40 Гб</v>
      </c>
    </row>
    <row r="617" spans="1:22" ht="15.75" customHeight="1" x14ac:dyDescent="0.25">
      <c r="A617" s="62" t="s">
        <v>708</v>
      </c>
      <c r="B617" s="56">
        <v>36428</v>
      </c>
      <c r="C617" s="62" t="s">
        <v>83</v>
      </c>
      <c r="D617" s="62" t="s">
        <v>84</v>
      </c>
      <c r="E617" s="62" t="s">
        <v>85</v>
      </c>
      <c r="F617" s="62" t="s">
        <v>100</v>
      </c>
      <c r="G617" s="56">
        <v>43007</v>
      </c>
      <c r="H617" s="62">
        <v>5</v>
      </c>
      <c r="I617" s="62">
        <v>66812</v>
      </c>
      <c r="J617" s="62">
        <v>92000000</v>
      </c>
      <c r="K617" s="62">
        <v>1</v>
      </c>
      <c r="P617" s="63">
        <f t="shared" si="14"/>
        <v>120</v>
      </c>
      <c r="Q617" s="64">
        <f t="shared" si="15"/>
        <v>278.38333333333333</v>
      </c>
      <c r="R617" s="64">
        <f t="shared" si="16"/>
        <v>21.93450927734375</v>
      </c>
      <c r="S617" s="64">
        <f t="shared" si="17"/>
        <v>22</v>
      </c>
      <c r="T617" s="64">
        <f t="shared" si="18"/>
        <v>64.956111111111113</v>
      </c>
      <c r="U617" s="64" t="str">
        <f t="shared" si="19"/>
        <v>61-90</v>
      </c>
      <c r="V617" s="64" t="str">
        <f t="shared" si="20"/>
        <v>21-30 Гб</v>
      </c>
    </row>
    <row r="618" spans="1:22" ht="15.75" customHeight="1" x14ac:dyDescent="0.25">
      <c r="A618" s="62" t="s">
        <v>709</v>
      </c>
      <c r="B618" s="56">
        <v>36427</v>
      </c>
      <c r="C618" s="62" t="s">
        <v>88</v>
      </c>
      <c r="D618" s="62" t="s">
        <v>84</v>
      </c>
      <c r="E618" s="62" t="s">
        <v>85</v>
      </c>
      <c r="F618" s="62" t="s">
        <v>100</v>
      </c>
      <c r="G618" s="56">
        <v>44303</v>
      </c>
      <c r="H618" s="62">
        <v>5</v>
      </c>
      <c r="I618" s="62">
        <v>100692</v>
      </c>
      <c r="J618" s="62">
        <v>104000000</v>
      </c>
      <c r="K618" s="62">
        <v>1</v>
      </c>
      <c r="L618" s="62">
        <v>1</v>
      </c>
      <c r="O618" s="62">
        <v>1</v>
      </c>
      <c r="P618" s="63">
        <f t="shared" si="14"/>
        <v>120</v>
      </c>
      <c r="Q618" s="64">
        <f t="shared" si="15"/>
        <v>419.55</v>
      </c>
      <c r="R618" s="64">
        <f t="shared" si="16"/>
        <v>24.7955322265625</v>
      </c>
      <c r="S618" s="64">
        <f t="shared" si="17"/>
        <v>22</v>
      </c>
      <c r="T618" s="64">
        <f t="shared" si="18"/>
        <v>97.894999999999996</v>
      </c>
      <c r="U618" s="64" t="str">
        <f t="shared" si="19"/>
        <v>91-120</v>
      </c>
      <c r="V618" s="64" t="str">
        <f t="shared" si="20"/>
        <v>21-30 Гб</v>
      </c>
    </row>
    <row r="619" spans="1:22" ht="15.75" customHeight="1" x14ac:dyDescent="0.25">
      <c r="A619" s="62" t="s">
        <v>710</v>
      </c>
      <c r="B619" s="56">
        <v>36427</v>
      </c>
      <c r="C619" s="62" t="s">
        <v>83</v>
      </c>
      <c r="D619" s="62" t="s">
        <v>84</v>
      </c>
      <c r="E619" s="62" t="s">
        <v>85</v>
      </c>
      <c r="F619" s="62" t="s">
        <v>89</v>
      </c>
      <c r="G619" s="56">
        <v>44060</v>
      </c>
      <c r="H619" s="62">
        <v>5</v>
      </c>
      <c r="I619" s="62">
        <v>20880</v>
      </c>
      <c r="J619" s="62">
        <v>144000000</v>
      </c>
      <c r="P619" s="63">
        <f t="shared" si="14"/>
        <v>120</v>
      </c>
      <c r="Q619" s="64">
        <f t="shared" si="15"/>
        <v>87</v>
      </c>
      <c r="R619" s="64">
        <f t="shared" si="16"/>
        <v>34.332275390625</v>
      </c>
      <c r="S619" s="64">
        <f t="shared" si="17"/>
        <v>22</v>
      </c>
      <c r="T619" s="64">
        <f t="shared" si="18"/>
        <v>20.3</v>
      </c>
      <c r="U619" s="64" t="str">
        <f t="shared" si="19"/>
        <v>&lt;35</v>
      </c>
      <c r="V619" s="64" t="str">
        <f t="shared" si="20"/>
        <v>31-40 Гб</v>
      </c>
    </row>
    <row r="620" spans="1:22" ht="15.75" customHeight="1" x14ac:dyDescent="0.25">
      <c r="A620" s="62" t="s">
        <v>711</v>
      </c>
      <c r="B620" s="56">
        <v>36419</v>
      </c>
      <c r="C620" s="62" t="s">
        <v>88</v>
      </c>
      <c r="D620" s="62" t="s">
        <v>84</v>
      </c>
      <c r="E620" s="62" t="s">
        <v>92</v>
      </c>
      <c r="F620" s="62" t="s">
        <v>89</v>
      </c>
      <c r="G620" s="56">
        <v>43554</v>
      </c>
      <c r="H620" s="62">
        <v>5</v>
      </c>
      <c r="I620" s="62">
        <v>15708</v>
      </c>
      <c r="J620" s="62">
        <v>152000000</v>
      </c>
      <c r="K620" s="62">
        <v>1</v>
      </c>
      <c r="L620" s="62">
        <v>1</v>
      </c>
      <c r="O620" s="62">
        <v>1</v>
      </c>
      <c r="P620" s="63">
        <f t="shared" si="14"/>
        <v>120</v>
      </c>
      <c r="Q620" s="64">
        <f t="shared" si="15"/>
        <v>65.45</v>
      </c>
      <c r="R620" s="64">
        <f t="shared" si="16"/>
        <v>36.2396240234375</v>
      </c>
      <c r="S620" s="64">
        <f t="shared" si="17"/>
        <v>22</v>
      </c>
      <c r="T620" s="64">
        <f t="shared" si="18"/>
        <v>15.271666666666668</v>
      </c>
      <c r="U620" s="64" t="str">
        <f t="shared" si="19"/>
        <v>&lt;35</v>
      </c>
      <c r="V620" s="64" t="str">
        <f t="shared" si="20"/>
        <v>31-40 Гб</v>
      </c>
    </row>
    <row r="621" spans="1:22" ht="15.75" customHeight="1" x14ac:dyDescent="0.25">
      <c r="A621" s="62" t="s">
        <v>712</v>
      </c>
      <c r="B621" s="56">
        <v>36417</v>
      </c>
      <c r="C621" s="62" t="s">
        <v>83</v>
      </c>
      <c r="D621" s="62" t="s">
        <v>84</v>
      </c>
      <c r="E621" s="62" t="s">
        <v>92</v>
      </c>
      <c r="F621" s="62" t="s">
        <v>89</v>
      </c>
      <c r="G621" s="56">
        <v>44293</v>
      </c>
      <c r="H621" s="62">
        <v>5</v>
      </c>
      <c r="I621" s="62">
        <v>14864</v>
      </c>
      <c r="J621" s="62">
        <v>140000000</v>
      </c>
      <c r="P621" s="63">
        <f t="shared" si="14"/>
        <v>120</v>
      </c>
      <c r="Q621" s="64">
        <f t="shared" si="15"/>
        <v>61.93333333333333</v>
      </c>
      <c r="R621" s="64">
        <f t="shared" si="16"/>
        <v>33.37860107421875</v>
      </c>
      <c r="S621" s="64">
        <f t="shared" si="17"/>
        <v>22</v>
      </c>
      <c r="T621" s="64">
        <f t="shared" si="18"/>
        <v>14.451111111111111</v>
      </c>
      <c r="U621" s="64" t="str">
        <f t="shared" si="19"/>
        <v>&lt;35</v>
      </c>
      <c r="V621" s="64" t="str">
        <f t="shared" si="20"/>
        <v>31-40 Гб</v>
      </c>
    </row>
    <row r="622" spans="1:22" ht="15.75" customHeight="1" x14ac:dyDescent="0.25">
      <c r="A622" s="62" t="s">
        <v>713</v>
      </c>
      <c r="B622" s="56">
        <v>36414</v>
      </c>
      <c r="C622" s="62" t="s">
        <v>88</v>
      </c>
      <c r="D622" s="62" t="s">
        <v>84</v>
      </c>
      <c r="E622" s="62" t="s">
        <v>92</v>
      </c>
      <c r="F622" s="62" t="s">
        <v>89</v>
      </c>
      <c r="G622" s="56">
        <v>44024</v>
      </c>
      <c r="H622" s="62">
        <v>5</v>
      </c>
      <c r="I622" s="62">
        <v>12640</v>
      </c>
      <c r="J622" s="62">
        <v>132000000</v>
      </c>
      <c r="P622" s="63">
        <f t="shared" si="14"/>
        <v>120</v>
      </c>
      <c r="Q622" s="64">
        <f t="shared" si="15"/>
        <v>52.666666666666664</v>
      </c>
      <c r="R622" s="64">
        <f t="shared" si="16"/>
        <v>31.47125244140625</v>
      </c>
      <c r="S622" s="64">
        <f t="shared" si="17"/>
        <v>22</v>
      </c>
      <c r="T622" s="64">
        <f t="shared" si="18"/>
        <v>12.288888888888888</v>
      </c>
      <c r="U622" s="64" t="str">
        <f t="shared" si="19"/>
        <v>&lt;35</v>
      </c>
      <c r="V622" s="64" t="str">
        <f t="shared" si="20"/>
        <v>31-40 Гб</v>
      </c>
    </row>
    <row r="623" spans="1:22" ht="15.75" customHeight="1" x14ac:dyDescent="0.25">
      <c r="A623" s="62" t="s">
        <v>714</v>
      </c>
      <c r="B623" s="56">
        <v>36409</v>
      </c>
      <c r="C623" s="62" t="s">
        <v>83</v>
      </c>
      <c r="D623" s="62" t="s">
        <v>84</v>
      </c>
      <c r="E623" s="62" t="s">
        <v>85</v>
      </c>
      <c r="F623" s="62" t="s">
        <v>89</v>
      </c>
      <c r="G623" s="56">
        <v>44296</v>
      </c>
      <c r="H623" s="62">
        <v>5</v>
      </c>
      <c r="I623" s="62">
        <v>13348</v>
      </c>
      <c r="J623" s="62">
        <v>144000000</v>
      </c>
      <c r="P623" s="63">
        <f t="shared" si="14"/>
        <v>120</v>
      </c>
      <c r="Q623" s="64">
        <f t="shared" si="15"/>
        <v>55.616666666666667</v>
      </c>
      <c r="R623" s="64">
        <f t="shared" si="16"/>
        <v>34.332275390625</v>
      </c>
      <c r="S623" s="64">
        <f t="shared" si="17"/>
        <v>22</v>
      </c>
      <c r="T623" s="64">
        <f t="shared" si="18"/>
        <v>12.977222222222222</v>
      </c>
      <c r="U623" s="64" t="str">
        <f t="shared" si="19"/>
        <v>&lt;35</v>
      </c>
      <c r="V623" s="64" t="str">
        <f t="shared" si="20"/>
        <v>31-40 Гб</v>
      </c>
    </row>
    <row r="624" spans="1:22" ht="15.75" customHeight="1" x14ac:dyDescent="0.25">
      <c r="A624" s="62" t="s">
        <v>715</v>
      </c>
      <c r="B624" s="56">
        <v>36409</v>
      </c>
      <c r="C624" s="62" t="s">
        <v>83</v>
      </c>
      <c r="D624" s="62" t="s">
        <v>84</v>
      </c>
      <c r="E624" s="62" t="s">
        <v>85</v>
      </c>
      <c r="F624" s="62" t="s">
        <v>93</v>
      </c>
      <c r="G624" s="56">
        <v>43571</v>
      </c>
      <c r="H624" s="62">
        <v>5</v>
      </c>
      <c r="I624" s="62">
        <v>820</v>
      </c>
      <c r="J624" s="62">
        <v>8000000</v>
      </c>
      <c r="K624" s="62">
        <v>1</v>
      </c>
      <c r="N624" s="62">
        <v>1</v>
      </c>
      <c r="P624" s="63">
        <f t="shared" si="14"/>
        <v>120</v>
      </c>
      <c r="Q624" s="64">
        <f t="shared" si="15"/>
        <v>3.4166666666666665</v>
      </c>
      <c r="R624" s="64">
        <f t="shared" si="16"/>
        <v>1.9073486328125002</v>
      </c>
      <c r="S624" s="64">
        <f t="shared" si="17"/>
        <v>22</v>
      </c>
      <c r="T624" s="64">
        <f t="shared" si="18"/>
        <v>0.79722222222222217</v>
      </c>
      <c r="U624" s="64" t="str">
        <f t="shared" si="19"/>
        <v>&lt;35</v>
      </c>
      <c r="V624" s="64" t="str">
        <f t="shared" si="20"/>
        <v>&lt;10 Гб</v>
      </c>
    </row>
    <row r="625" spans="1:22" ht="15.75" customHeight="1" x14ac:dyDescent="0.25">
      <c r="A625" s="62" t="s">
        <v>716</v>
      </c>
      <c r="B625" s="56">
        <v>36407</v>
      </c>
      <c r="C625" s="62" t="s">
        <v>83</v>
      </c>
      <c r="D625" s="62" t="s">
        <v>84</v>
      </c>
      <c r="E625" s="62" t="s">
        <v>85</v>
      </c>
      <c r="F625" s="62" t="s">
        <v>96</v>
      </c>
      <c r="G625" s="56">
        <v>44131</v>
      </c>
      <c r="H625" s="62">
        <v>5</v>
      </c>
      <c r="I625" s="62">
        <v>71696</v>
      </c>
      <c r="J625" s="62">
        <v>108000000</v>
      </c>
      <c r="L625" s="62">
        <v>1</v>
      </c>
      <c r="P625" s="63">
        <f t="shared" si="14"/>
        <v>120</v>
      </c>
      <c r="Q625" s="64">
        <f t="shared" si="15"/>
        <v>298.73333333333335</v>
      </c>
      <c r="R625" s="64">
        <f t="shared" si="16"/>
        <v>25.74920654296875</v>
      </c>
      <c r="S625" s="64">
        <f t="shared" si="17"/>
        <v>22</v>
      </c>
      <c r="T625" s="64">
        <f t="shared" si="18"/>
        <v>69.704444444444434</v>
      </c>
      <c r="U625" s="64" t="str">
        <f t="shared" si="19"/>
        <v>61-90</v>
      </c>
      <c r="V625" s="64" t="str">
        <f t="shared" si="20"/>
        <v>21-30 Гб</v>
      </c>
    </row>
    <row r="626" spans="1:22" ht="15.75" customHeight="1" x14ac:dyDescent="0.25">
      <c r="A626" s="62" t="s">
        <v>717</v>
      </c>
      <c r="B626" s="56">
        <v>36402</v>
      </c>
      <c r="C626" s="62" t="s">
        <v>88</v>
      </c>
      <c r="D626" s="62" t="s">
        <v>84</v>
      </c>
      <c r="E626" s="62" t="s">
        <v>92</v>
      </c>
      <c r="F626" s="62" t="s">
        <v>89</v>
      </c>
      <c r="G626" s="56">
        <v>42833</v>
      </c>
      <c r="H626" s="62">
        <v>5</v>
      </c>
      <c r="I626" s="62">
        <v>30216</v>
      </c>
      <c r="J626" s="62">
        <v>152000000</v>
      </c>
      <c r="P626" s="63">
        <f t="shared" si="14"/>
        <v>120</v>
      </c>
      <c r="Q626" s="64">
        <f t="shared" si="15"/>
        <v>125.90000000000002</v>
      </c>
      <c r="R626" s="64">
        <f t="shared" si="16"/>
        <v>36.2396240234375</v>
      </c>
      <c r="S626" s="64">
        <f t="shared" si="17"/>
        <v>22</v>
      </c>
      <c r="T626" s="64">
        <f t="shared" si="18"/>
        <v>29.376666666666672</v>
      </c>
      <c r="U626" s="64" t="str">
        <f t="shared" si="19"/>
        <v>&lt;35</v>
      </c>
      <c r="V626" s="64" t="str">
        <f t="shared" si="20"/>
        <v>31-40 Гб</v>
      </c>
    </row>
    <row r="627" spans="1:22" ht="15.75" customHeight="1" x14ac:dyDescent="0.25">
      <c r="A627" s="62" t="s">
        <v>718</v>
      </c>
      <c r="B627" s="56">
        <v>36394</v>
      </c>
      <c r="C627" s="62" t="s">
        <v>83</v>
      </c>
      <c r="D627" s="62" t="s">
        <v>84</v>
      </c>
      <c r="E627" s="62" t="s">
        <v>92</v>
      </c>
      <c r="F627" s="62" t="s">
        <v>93</v>
      </c>
      <c r="G627" s="56">
        <v>44284</v>
      </c>
      <c r="H627" s="62">
        <v>5</v>
      </c>
      <c r="I627" s="62">
        <v>42068</v>
      </c>
      <c r="J627" s="62">
        <v>8000000</v>
      </c>
      <c r="K627" s="62">
        <v>1</v>
      </c>
      <c r="L627" s="62">
        <v>1</v>
      </c>
      <c r="O627" s="62">
        <v>1</v>
      </c>
      <c r="P627" s="63">
        <f t="shared" si="14"/>
        <v>120</v>
      </c>
      <c r="Q627" s="64">
        <f t="shared" si="15"/>
        <v>175.28333333333333</v>
      </c>
      <c r="R627" s="64">
        <f t="shared" si="16"/>
        <v>1.9073486328125002</v>
      </c>
      <c r="S627" s="64">
        <f t="shared" si="17"/>
        <v>22</v>
      </c>
      <c r="T627" s="64">
        <f t="shared" si="18"/>
        <v>40.899444444444448</v>
      </c>
      <c r="U627" s="64" t="str">
        <f t="shared" si="19"/>
        <v>35-60</v>
      </c>
      <c r="V627" s="64" t="str">
        <f t="shared" si="20"/>
        <v>&lt;10 Гб</v>
      </c>
    </row>
    <row r="628" spans="1:22" ht="15.75" customHeight="1" x14ac:dyDescent="0.25">
      <c r="A628" s="62" t="s">
        <v>719</v>
      </c>
      <c r="B628" s="56">
        <v>36385</v>
      </c>
      <c r="C628" s="62" t="s">
        <v>83</v>
      </c>
      <c r="D628" s="62" t="s">
        <v>84</v>
      </c>
      <c r="E628" s="62" t="s">
        <v>85</v>
      </c>
      <c r="F628" s="62" t="s">
        <v>96</v>
      </c>
      <c r="G628" s="56">
        <v>44598</v>
      </c>
      <c r="H628" s="62">
        <v>2</v>
      </c>
      <c r="I628" s="62">
        <v>67200</v>
      </c>
      <c r="J628" s="62">
        <v>53200000</v>
      </c>
      <c r="P628" s="63">
        <f t="shared" si="14"/>
        <v>84</v>
      </c>
      <c r="Q628" s="64">
        <f t="shared" si="15"/>
        <v>400</v>
      </c>
      <c r="R628" s="64">
        <f t="shared" si="16"/>
        <v>18.11981201171875</v>
      </c>
      <c r="S628" s="64">
        <f t="shared" si="17"/>
        <v>22</v>
      </c>
      <c r="T628" s="64">
        <f t="shared" si="18"/>
        <v>93.333333333333329</v>
      </c>
      <c r="U628" s="64" t="str">
        <f t="shared" si="19"/>
        <v>91-120</v>
      </c>
      <c r="V628" s="64" t="str">
        <f t="shared" si="20"/>
        <v>10-20 Гб</v>
      </c>
    </row>
    <row r="629" spans="1:22" ht="15.75" customHeight="1" x14ac:dyDescent="0.25">
      <c r="A629" s="62" t="s">
        <v>720</v>
      </c>
      <c r="B629" s="56">
        <v>36383</v>
      </c>
      <c r="C629" s="62" t="s">
        <v>83</v>
      </c>
      <c r="D629" s="62" t="s">
        <v>84</v>
      </c>
      <c r="E629" s="62" t="s">
        <v>85</v>
      </c>
      <c r="F629" s="62" t="s">
        <v>93</v>
      </c>
      <c r="G629" s="56">
        <v>43894</v>
      </c>
      <c r="H629" s="62">
        <v>5</v>
      </c>
      <c r="I629" s="62">
        <v>18676</v>
      </c>
      <c r="J629" s="62">
        <v>4000000</v>
      </c>
      <c r="L629" s="62">
        <v>1</v>
      </c>
      <c r="P629" s="63">
        <f t="shared" si="14"/>
        <v>120</v>
      </c>
      <c r="Q629" s="64">
        <f t="shared" si="15"/>
        <v>77.816666666666663</v>
      </c>
      <c r="R629" s="64">
        <f t="shared" si="16"/>
        <v>0.95367431640625011</v>
      </c>
      <c r="S629" s="64">
        <f t="shared" si="17"/>
        <v>22</v>
      </c>
      <c r="T629" s="64">
        <f t="shared" si="18"/>
        <v>18.157222222222224</v>
      </c>
      <c r="U629" s="64" t="str">
        <f t="shared" si="19"/>
        <v>&lt;35</v>
      </c>
      <c r="V629" s="64" t="str">
        <f t="shared" si="20"/>
        <v>&lt;10 Гб</v>
      </c>
    </row>
    <row r="630" spans="1:22" ht="15.75" customHeight="1" x14ac:dyDescent="0.25">
      <c r="A630" s="62" t="s">
        <v>721</v>
      </c>
      <c r="B630" s="56">
        <v>36382</v>
      </c>
      <c r="C630" s="62" t="s">
        <v>88</v>
      </c>
      <c r="D630" s="62" t="s">
        <v>84</v>
      </c>
      <c r="E630" s="62" t="s">
        <v>92</v>
      </c>
      <c r="F630" s="62" t="s">
        <v>89</v>
      </c>
      <c r="G630" s="56">
        <v>44556</v>
      </c>
      <c r="H630" s="62">
        <v>4</v>
      </c>
      <c r="I630" s="62">
        <v>37800</v>
      </c>
      <c r="J630" s="62">
        <v>144000000</v>
      </c>
      <c r="K630" s="62">
        <v>1</v>
      </c>
      <c r="P630" s="63">
        <f t="shared" si="14"/>
        <v>120</v>
      </c>
      <c r="Q630" s="64">
        <f t="shared" si="15"/>
        <v>157.5</v>
      </c>
      <c r="R630" s="64">
        <f t="shared" si="16"/>
        <v>34.332275390625</v>
      </c>
      <c r="S630" s="64">
        <f t="shared" si="17"/>
        <v>22</v>
      </c>
      <c r="T630" s="64">
        <f t="shared" si="18"/>
        <v>36.75</v>
      </c>
      <c r="U630" s="64" t="str">
        <f t="shared" si="19"/>
        <v>35-60</v>
      </c>
      <c r="V630" s="64" t="str">
        <f t="shared" si="20"/>
        <v>31-40 Гб</v>
      </c>
    </row>
    <row r="631" spans="1:22" ht="15.75" customHeight="1" x14ac:dyDescent="0.25">
      <c r="A631" s="62" t="s">
        <v>722</v>
      </c>
      <c r="B631" s="56">
        <v>36382</v>
      </c>
      <c r="C631" s="62" t="s">
        <v>83</v>
      </c>
      <c r="D631" s="62" t="s">
        <v>84</v>
      </c>
      <c r="E631" s="62" t="s">
        <v>85</v>
      </c>
      <c r="F631" s="62" t="s">
        <v>89</v>
      </c>
      <c r="G631" s="56">
        <v>44216</v>
      </c>
      <c r="H631" s="62">
        <v>5</v>
      </c>
      <c r="I631" s="62">
        <v>25584</v>
      </c>
      <c r="J631" s="62">
        <v>160000000</v>
      </c>
      <c r="K631" s="62">
        <v>1</v>
      </c>
      <c r="O631" s="62">
        <v>1</v>
      </c>
      <c r="P631" s="63">
        <f t="shared" si="14"/>
        <v>120</v>
      </c>
      <c r="Q631" s="64">
        <f t="shared" si="15"/>
        <v>106.6</v>
      </c>
      <c r="R631" s="64">
        <f t="shared" si="16"/>
        <v>38.14697265625</v>
      </c>
      <c r="S631" s="64">
        <f t="shared" si="17"/>
        <v>22</v>
      </c>
      <c r="T631" s="64">
        <f t="shared" si="18"/>
        <v>24.873333333333331</v>
      </c>
      <c r="U631" s="64" t="str">
        <f t="shared" si="19"/>
        <v>&lt;35</v>
      </c>
      <c r="V631" s="64" t="str">
        <f t="shared" si="20"/>
        <v>31-40 Гб</v>
      </c>
    </row>
    <row r="632" spans="1:22" ht="15.75" customHeight="1" x14ac:dyDescent="0.25">
      <c r="A632" s="62" t="s">
        <v>723</v>
      </c>
      <c r="B632" s="56">
        <v>36377</v>
      </c>
      <c r="C632" s="62" t="s">
        <v>88</v>
      </c>
      <c r="D632" s="62" t="s">
        <v>84</v>
      </c>
      <c r="E632" s="62" t="s">
        <v>92</v>
      </c>
      <c r="F632" s="62" t="s">
        <v>96</v>
      </c>
      <c r="G632" s="56">
        <v>43232</v>
      </c>
      <c r="H632" s="62">
        <v>5</v>
      </c>
      <c r="I632" s="62">
        <v>50104</v>
      </c>
      <c r="J632" s="62">
        <v>96000000</v>
      </c>
      <c r="P632" s="63">
        <f t="shared" si="14"/>
        <v>120</v>
      </c>
      <c r="Q632" s="64">
        <f t="shared" si="15"/>
        <v>208.76666666666668</v>
      </c>
      <c r="R632" s="64">
        <f t="shared" si="16"/>
        <v>22.88818359375</v>
      </c>
      <c r="S632" s="64">
        <f t="shared" si="17"/>
        <v>22</v>
      </c>
      <c r="T632" s="64">
        <f t="shared" si="18"/>
        <v>48.712222222222223</v>
      </c>
      <c r="U632" s="64" t="str">
        <f t="shared" si="19"/>
        <v>35-60</v>
      </c>
      <c r="V632" s="64" t="str">
        <f t="shared" si="20"/>
        <v>21-30 Гб</v>
      </c>
    </row>
    <row r="633" spans="1:22" ht="15.75" customHeight="1" x14ac:dyDescent="0.25">
      <c r="A633" s="62" t="s">
        <v>724</v>
      </c>
      <c r="B633" s="56">
        <v>36376</v>
      </c>
      <c r="C633" s="62" t="s">
        <v>83</v>
      </c>
      <c r="D633" s="62" t="s">
        <v>84</v>
      </c>
      <c r="E633" s="62" t="s">
        <v>85</v>
      </c>
      <c r="F633" s="62" t="s">
        <v>89</v>
      </c>
      <c r="G633" s="56">
        <v>42976</v>
      </c>
      <c r="H633" s="62">
        <v>5</v>
      </c>
      <c r="I633" s="62">
        <v>1484</v>
      </c>
      <c r="J633" s="62">
        <v>152000000</v>
      </c>
      <c r="P633" s="63">
        <f t="shared" si="14"/>
        <v>120</v>
      </c>
      <c r="Q633" s="64">
        <f t="shared" si="15"/>
        <v>6.1833333333333336</v>
      </c>
      <c r="R633" s="64">
        <f t="shared" si="16"/>
        <v>36.2396240234375</v>
      </c>
      <c r="S633" s="64">
        <f t="shared" si="17"/>
        <v>22</v>
      </c>
      <c r="T633" s="64">
        <f t="shared" si="18"/>
        <v>1.4427777777777777</v>
      </c>
      <c r="U633" s="64" t="str">
        <f t="shared" si="19"/>
        <v>&lt;35</v>
      </c>
      <c r="V633" s="64" t="str">
        <f t="shared" si="20"/>
        <v>31-40 Гб</v>
      </c>
    </row>
    <row r="634" spans="1:22" ht="15.75" customHeight="1" x14ac:dyDescent="0.25">
      <c r="A634" s="62" t="s">
        <v>725</v>
      </c>
      <c r="B634" s="56">
        <v>36374</v>
      </c>
      <c r="C634" s="62" t="s">
        <v>88</v>
      </c>
      <c r="D634" s="62" t="s">
        <v>84</v>
      </c>
      <c r="E634" s="62" t="s">
        <v>92</v>
      </c>
      <c r="F634" s="62" t="s">
        <v>89</v>
      </c>
      <c r="G634" s="56">
        <v>43677</v>
      </c>
      <c r="H634" s="62">
        <v>5</v>
      </c>
      <c r="I634" s="62">
        <v>25420</v>
      </c>
      <c r="J634" s="62">
        <v>144000000</v>
      </c>
      <c r="L634" s="62">
        <v>1</v>
      </c>
      <c r="M634" s="62">
        <v>1</v>
      </c>
      <c r="P634" s="63">
        <f t="shared" si="14"/>
        <v>120</v>
      </c>
      <c r="Q634" s="64">
        <f t="shared" si="15"/>
        <v>105.91666666666667</v>
      </c>
      <c r="R634" s="64">
        <f t="shared" si="16"/>
        <v>34.332275390625</v>
      </c>
      <c r="S634" s="64">
        <f t="shared" si="17"/>
        <v>22</v>
      </c>
      <c r="T634" s="64">
        <f t="shared" si="18"/>
        <v>24.713888888888892</v>
      </c>
      <c r="U634" s="64" t="str">
        <f t="shared" si="19"/>
        <v>&lt;35</v>
      </c>
      <c r="V634" s="64" t="str">
        <f t="shared" si="20"/>
        <v>31-40 Гб</v>
      </c>
    </row>
    <row r="635" spans="1:22" ht="15.75" customHeight="1" x14ac:dyDescent="0.25">
      <c r="A635" s="62" t="s">
        <v>726</v>
      </c>
      <c r="B635" s="56">
        <v>36373</v>
      </c>
      <c r="C635" s="62" t="s">
        <v>83</v>
      </c>
      <c r="D635" s="62" t="s">
        <v>84</v>
      </c>
      <c r="E635" s="62" t="s">
        <v>92</v>
      </c>
      <c r="F635" s="62" t="s">
        <v>89</v>
      </c>
      <c r="G635" s="56">
        <v>43865</v>
      </c>
      <c r="H635" s="62">
        <v>5</v>
      </c>
      <c r="I635" s="62">
        <v>24000</v>
      </c>
      <c r="J635" s="62">
        <v>152000000</v>
      </c>
      <c r="P635" s="63">
        <f t="shared" si="14"/>
        <v>120</v>
      </c>
      <c r="Q635" s="64">
        <f t="shared" si="15"/>
        <v>100</v>
      </c>
      <c r="R635" s="64">
        <f t="shared" si="16"/>
        <v>36.2396240234375</v>
      </c>
      <c r="S635" s="64">
        <f t="shared" si="17"/>
        <v>22</v>
      </c>
      <c r="T635" s="64">
        <f t="shared" si="18"/>
        <v>23.333333333333332</v>
      </c>
      <c r="U635" s="64" t="str">
        <f t="shared" si="19"/>
        <v>&lt;35</v>
      </c>
      <c r="V635" s="64" t="str">
        <f t="shared" si="20"/>
        <v>31-40 Гб</v>
      </c>
    </row>
    <row r="636" spans="1:22" ht="15.75" customHeight="1" x14ac:dyDescent="0.25">
      <c r="A636" s="62" t="s">
        <v>727</v>
      </c>
      <c r="B636" s="56">
        <v>36372</v>
      </c>
      <c r="C636" s="62" t="s">
        <v>83</v>
      </c>
      <c r="D636" s="62" t="s">
        <v>84</v>
      </c>
      <c r="E636" s="62" t="s">
        <v>85</v>
      </c>
      <c r="F636" s="62" t="s">
        <v>89</v>
      </c>
      <c r="G636" s="56">
        <v>42738</v>
      </c>
      <c r="H636" s="62">
        <v>5</v>
      </c>
      <c r="I636" s="62">
        <v>18256</v>
      </c>
      <c r="J636" s="62">
        <v>152000000</v>
      </c>
      <c r="P636" s="63">
        <f t="shared" si="14"/>
        <v>120</v>
      </c>
      <c r="Q636" s="64">
        <f t="shared" si="15"/>
        <v>76.066666666666663</v>
      </c>
      <c r="R636" s="64">
        <f t="shared" si="16"/>
        <v>36.2396240234375</v>
      </c>
      <c r="S636" s="64">
        <f t="shared" si="17"/>
        <v>22</v>
      </c>
      <c r="T636" s="64">
        <f t="shared" si="18"/>
        <v>17.748888888888889</v>
      </c>
      <c r="U636" s="64" t="str">
        <f t="shared" si="19"/>
        <v>&lt;35</v>
      </c>
      <c r="V636" s="64" t="str">
        <f t="shared" si="20"/>
        <v>31-40 Гб</v>
      </c>
    </row>
    <row r="637" spans="1:22" ht="15.75" customHeight="1" x14ac:dyDescent="0.25">
      <c r="A637" s="62" t="s">
        <v>728</v>
      </c>
      <c r="B637" s="56">
        <v>36371</v>
      </c>
      <c r="C637" s="62" t="s">
        <v>83</v>
      </c>
      <c r="D637" s="62" t="s">
        <v>84</v>
      </c>
      <c r="E637" s="62" t="s">
        <v>92</v>
      </c>
      <c r="F637" s="62" t="s">
        <v>100</v>
      </c>
      <c r="G637" s="56">
        <v>44602</v>
      </c>
      <c r="H637" s="62">
        <v>2</v>
      </c>
      <c r="I637" s="62">
        <v>9812</v>
      </c>
      <c r="J637" s="62">
        <v>90666667</v>
      </c>
      <c r="L637" s="62">
        <v>1</v>
      </c>
      <c r="P637" s="63">
        <f t="shared" si="14"/>
        <v>80</v>
      </c>
      <c r="Q637" s="64">
        <f t="shared" si="15"/>
        <v>61.324999999999996</v>
      </c>
      <c r="R637" s="64">
        <f t="shared" si="16"/>
        <v>32.42492687702179</v>
      </c>
      <c r="S637" s="64">
        <f t="shared" si="17"/>
        <v>22</v>
      </c>
      <c r="T637" s="64">
        <f t="shared" si="18"/>
        <v>14.309166666666666</v>
      </c>
      <c r="U637" s="64" t="str">
        <f t="shared" si="19"/>
        <v>&lt;35</v>
      </c>
      <c r="V637" s="64" t="str">
        <f t="shared" si="20"/>
        <v>31-40 Гб</v>
      </c>
    </row>
    <row r="638" spans="1:22" ht="15.75" customHeight="1" x14ac:dyDescent="0.25">
      <c r="A638" s="62" t="s">
        <v>729</v>
      </c>
      <c r="B638" s="56">
        <v>36370</v>
      </c>
      <c r="C638" s="62" t="s">
        <v>83</v>
      </c>
      <c r="D638" s="62" t="s">
        <v>84</v>
      </c>
      <c r="E638" s="62" t="s">
        <v>92</v>
      </c>
      <c r="F638" s="62" t="s">
        <v>86</v>
      </c>
      <c r="G638" s="56">
        <v>43809</v>
      </c>
      <c r="H638" s="62">
        <v>5</v>
      </c>
      <c r="I638" s="62">
        <v>153720</v>
      </c>
      <c r="J638" s="62">
        <v>152000000</v>
      </c>
      <c r="P638" s="63">
        <f t="shared" si="14"/>
        <v>120</v>
      </c>
      <c r="Q638" s="64">
        <f t="shared" si="15"/>
        <v>640.5</v>
      </c>
      <c r="R638" s="64">
        <f t="shared" si="16"/>
        <v>36.2396240234375</v>
      </c>
      <c r="S638" s="64">
        <f t="shared" si="17"/>
        <v>22</v>
      </c>
      <c r="T638" s="64">
        <f t="shared" si="18"/>
        <v>149.44999999999999</v>
      </c>
      <c r="U638" s="64" t="str">
        <f t="shared" si="19"/>
        <v>120+</v>
      </c>
      <c r="V638" s="64" t="str">
        <f t="shared" si="20"/>
        <v>31-40 Гб</v>
      </c>
    </row>
    <row r="639" spans="1:22" ht="15.75" customHeight="1" x14ac:dyDescent="0.25">
      <c r="A639" s="62" t="s">
        <v>730</v>
      </c>
      <c r="B639" s="56">
        <v>36370</v>
      </c>
      <c r="C639" s="62" t="s">
        <v>83</v>
      </c>
      <c r="D639" s="62" t="s">
        <v>84</v>
      </c>
      <c r="E639" s="62" t="s">
        <v>85</v>
      </c>
      <c r="F639" s="62" t="s">
        <v>89</v>
      </c>
      <c r="G639" s="56">
        <v>42741</v>
      </c>
      <c r="H639" s="62">
        <v>5</v>
      </c>
      <c r="I639" s="62">
        <v>32732</v>
      </c>
      <c r="J639" s="62">
        <v>152000000</v>
      </c>
      <c r="K639" s="62">
        <v>1</v>
      </c>
      <c r="O639" s="62">
        <v>1</v>
      </c>
      <c r="P639" s="63">
        <f t="shared" si="14"/>
        <v>120</v>
      </c>
      <c r="Q639" s="64">
        <f t="shared" si="15"/>
        <v>136.38333333333333</v>
      </c>
      <c r="R639" s="64">
        <f t="shared" si="16"/>
        <v>36.2396240234375</v>
      </c>
      <c r="S639" s="64">
        <f t="shared" si="17"/>
        <v>22</v>
      </c>
      <c r="T639" s="64">
        <f t="shared" si="18"/>
        <v>31.822777777777777</v>
      </c>
      <c r="U639" s="64" t="str">
        <f t="shared" si="19"/>
        <v>&lt;35</v>
      </c>
      <c r="V639" s="64" t="str">
        <f t="shared" si="20"/>
        <v>31-40 Гб</v>
      </c>
    </row>
    <row r="640" spans="1:22" ht="15.75" customHeight="1" x14ac:dyDescent="0.25">
      <c r="A640" s="62" t="s">
        <v>731</v>
      </c>
      <c r="B640" s="56">
        <v>36368</v>
      </c>
      <c r="C640" s="62" t="s">
        <v>88</v>
      </c>
      <c r="D640" s="62" t="s">
        <v>84</v>
      </c>
      <c r="E640" s="62" t="s">
        <v>85</v>
      </c>
      <c r="F640" s="62" t="s">
        <v>96</v>
      </c>
      <c r="G640" s="56">
        <v>43622</v>
      </c>
      <c r="H640" s="62">
        <v>5</v>
      </c>
      <c r="I640" s="62">
        <v>60700</v>
      </c>
      <c r="J640" s="62">
        <v>84000000</v>
      </c>
      <c r="P640" s="63">
        <f t="shared" si="14"/>
        <v>120</v>
      </c>
      <c r="Q640" s="64">
        <f t="shared" si="15"/>
        <v>252.91666666666666</v>
      </c>
      <c r="R640" s="64">
        <f t="shared" si="16"/>
        <v>20.02716064453125</v>
      </c>
      <c r="S640" s="64">
        <f t="shared" si="17"/>
        <v>22</v>
      </c>
      <c r="T640" s="64">
        <f t="shared" si="18"/>
        <v>59.013888888888886</v>
      </c>
      <c r="U640" s="64" t="str">
        <f t="shared" si="19"/>
        <v>35-60</v>
      </c>
      <c r="V640" s="64" t="str">
        <f t="shared" si="20"/>
        <v>21-30 Гб</v>
      </c>
    </row>
    <row r="641" spans="1:22" ht="15.75" customHeight="1" x14ac:dyDescent="0.25">
      <c r="A641" s="62" t="s">
        <v>732</v>
      </c>
      <c r="B641" s="56">
        <v>36366</v>
      </c>
      <c r="C641" s="62" t="s">
        <v>88</v>
      </c>
      <c r="D641" s="62" t="s">
        <v>84</v>
      </c>
      <c r="E641" s="62" t="s">
        <v>92</v>
      </c>
      <c r="F641" s="62" t="s">
        <v>89</v>
      </c>
      <c r="G641" s="56">
        <v>44493</v>
      </c>
      <c r="H641" s="62">
        <v>5</v>
      </c>
      <c r="I641" s="62">
        <v>15708</v>
      </c>
      <c r="J641" s="62">
        <v>144000000</v>
      </c>
      <c r="L641" s="62">
        <v>1</v>
      </c>
      <c r="P641" s="63">
        <f t="shared" si="14"/>
        <v>120</v>
      </c>
      <c r="Q641" s="64">
        <f t="shared" si="15"/>
        <v>65.45</v>
      </c>
      <c r="R641" s="64">
        <f t="shared" si="16"/>
        <v>34.332275390625</v>
      </c>
      <c r="S641" s="64">
        <f t="shared" si="17"/>
        <v>22</v>
      </c>
      <c r="T641" s="64">
        <f t="shared" si="18"/>
        <v>15.271666666666668</v>
      </c>
      <c r="U641" s="64" t="str">
        <f t="shared" si="19"/>
        <v>&lt;35</v>
      </c>
      <c r="V641" s="64" t="str">
        <f t="shared" si="20"/>
        <v>31-40 Гб</v>
      </c>
    </row>
    <row r="642" spans="1:22" ht="15.75" customHeight="1" x14ac:dyDescent="0.25">
      <c r="A642" s="62" t="s">
        <v>733</v>
      </c>
      <c r="B642" s="56">
        <v>36364</v>
      </c>
      <c r="C642" s="62" t="s">
        <v>88</v>
      </c>
      <c r="D642" s="62" t="s">
        <v>84</v>
      </c>
      <c r="E642" s="62" t="s">
        <v>85</v>
      </c>
      <c r="F642" s="62" t="s">
        <v>89</v>
      </c>
      <c r="G642" s="56">
        <v>43717</v>
      </c>
      <c r="H642" s="62">
        <v>5</v>
      </c>
      <c r="I642" s="62">
        <v>21100</v>
      </c>
      <c r="J642" s="62">
        <v>140000000</v>
      </c>
      <c r="P642" s="63">
        <f t="shared" si="14"/>
        <v>120</v>
      </c>
      <c r="Q642" s="64">
        <f t="shared" si="15"/>
        <v>87.916666666666671</v>
      </c>
      <c r="R642" s="64">
        <f t="shared" si="16"/>
        <v>33.37860107421875</v>
      </c>
      <c r="S642" s="64">
        <f t="shared" si="17"/>
        <v>22</v>
      </c>
      <c r="T642" s="64">
        <f t="shared" si="18"/>
        <v>20.513888888888893</v>
      </c>
      <c r="U642" s="64" t="str">
        <f t="shared" si="19"/>
        <v>&lt;35</v>
      </c>
      <c r="V642" s="64" t="str">
        <f t="shared" si="20"/>
        <v>31-40 Гб</v>
      </c>
    </row>
    <row r="643" spans="1:22" ht="15.75" customHeight="1" x14ac:dyDescent="0.25">
      <c r="A643" s="62" t="s">
        <v>734</v>
      </c>
      <c r="B643" s="56">
        <v>36362</v>
      </c>
      <c r="C643" s="62" t="s">
        <v>83</v>
      </c>
      <c r="D643" s="62" t="s">
        <v>84</v>
      </c>
      <c r="E643" s="62" t="s">
        <v>85</v>
      </c>
      <c r="F643" s="62" t="s">
        <v>100</v>
      </c>
      <c r="G643" s="56">
        <v>44645</v>
      </c>
      <c r="H643" s="62">
        <v>1</v>
      </c>
      <c r="I643" s="62">
        <v>29597</v>
      </c>
      <c r="J643" s="62">
        <v>43166667</v>
      </c>
      <c r="K643" s="62">
        <v>1</v>
      </c>
      <c r="O643" s="62">
        <v>1</v>
      </c>
      <c r="P643" s="63">
        <f t="shared" si="14"/>
        <v>37</v>
      </c>
      <c r="Q643" s="64">
        <f t="shared" si="15"/>
        <v>399.95945945945948</v>
      </c>
      <c r="R643" s="64">
        <f t="shared" si="16"/>
        <v>33.378601331968568</v>
      </c>
      <c r="S643" s="64">
        <f t="shared" si="17"/>
        <v>22</v>
      </c>
      <c r="T643" s="64">
        <f t="shared" si="18"/>
        <v>93.323873873873879</v>
      </c>
      <c r="U643" s="64" t="str">
        <f t="shared" si="19"/>
        <v>91-120</v>
      </c>
      <c r="V643" s="64" t="str">
        <f t="shared" si="20"/>
        <v>31-40 Гб</v>
      </c>
    </row>
    <row r="644" spans="1:22" ht="15.75" customHeight="1" x14ac:dyDescent="0.25">
      <c r="A644" s="62" t="s">
        <v>735</v>
      </c>
      <c r="B644" s="56">
        <v>36361</v>
      </c>
      <c r="C644" s="62" t="s">
        <v>88</v>
      </c>
      <c r="D644" s="62" t="s">
        <v>84</v>
      </c>
      <c r="E644" s="62" t="s">
        <v>85</v>
      </c>
      <c r="F644" s="62" t="s">
        <v>96</v>
      </c>
      <c r="G644" s="56">
        <v>43416</v>
      </c>
      <c r="H644" s="62">
        <v>5</v>
      </c>
      <c r="I644" s="62">
        <v>78496</v>
      </c>
      <c r="J644" s="62">
        <v>16000000</v>
      </c>
      <c r="P644" s="63">
        <f t="shared" si="14"/>
        <v>120</v>
      </c>
      <c r="Q644" s="64">
        <f t="shared" si="15"/>
        <v>327.06666666666666</v>
      </c>
      <c r="R644" s="64">
        <f t="shared" si="16"/>
        <v>3.8146972656250004</v>
      </c>
      <c r="S644" s="64">
        <f t="shared" si="17"/>
        <v>22</v>
      </c>
      <c r="T644" s="64">
        <f t="shared" si="18"/>
        <v>76.315555555555562</v>
      </c>
      <c r="U644" s="64" t="str">
        <f t="shared" si="19"/>
        <v>61-90</v>
      </c>
      <c r="V644" s="64" t="str">
        <f t="shared" si="20"/>
        <v>&lt;10 Гб</v>
      </c>
    </row>
    <row r="645" spans="1:22" ht="15.75" customHeight="1" x14ac:dyDescent="0.25">
      <c r="A645" s="62" t="s">
        <v>736</v>
      </c>
      <c r="B645" s="56">
        <v>36359</v>
      </c>
      <c r="C645" s="62" t="s">
        <v>88</v>
      </c>
      <c r="D645" s="62" t="s">
        <v>84</v>
      </c>
      <c r="E645" s="62" t="s">
        <v>85</v>
      </c>
      <c r="F645" s="62" t="s">
        <v>89</v>
      </c>
      <c r="G645" s="56">
        <v>43476</v>
      </c>
      <c r="H645" s="62">
        <v>5</v>
      </c>
      <c r="I645" s="62">
        <v>26720</v>
      </c>
      <c r="J645" s="62">
        <v>12000000</v>
      </c>
      <c r="P645" s="63">
        <f t="shared" si="14"/>
        <v>120</v>
      </c>
      <c r="Q645" s="64">
        <f t="shared" si="15"/>
        <v>111.33333333333333</v>
      </c>
      <c r="R645" s="64">
        <f t="shared" si="16"/>
        <v>2.86102294921875</v>
      </c>
      <c r="S645" s="64">
        <f t="shared" si="17"/>
        <v>22</v>
      </c>
      <c r="T645" s="64">
        <f t="shared" si="18"/>
        <v>25.977777777777774</v>
      </c>
      <c r="U645" s="64" t="str">
        <f t="shared" si="19"/>
        <v>&lt;35</v>
      </c>
      <c r="V645" s="64" t="str">
        <f t="shared" si="20"/>
        <v>&lt;10 Гб</v>
      </c>
    </row>
    <row r="646" spans="1:22" ht="15.75" customHeight="1" x14ac:dyDescent="0.25">
      <c r="A646" s="62" t="s">
        <v>737</v>
      </c>
      <c r="B646" s="56">
        <v>36352</v>
      </c>
      <c r="C646" s="62" t="s">
        <v>83</v>
      </c>
      <c r="D646" s="62" t="s">
        <v>84</v>
      </c>
      <c r="E646" s="62" t="s">
        <v>85</v>
      </c>
      <c r="F646" s="62" t="s">
        <v>96</v>
      </c>
      <c r="G646" s="56">
        <v>43401</v>
      </c>
      <c r="H646" s="62">
        <v>5</v>
      </c>
      <c r="I646" s="62">
        <v>66632</v>
      </c>
      <c r="J646" s="62">
        <v>96000000</v>
      </c>
      <c r="P646" s="63">
        <f t="shared" si="14"/>
        <v>120</v>
      </c>
      <c r="Q646" s="64">
        <f t="shared" si="15"/>
        <v>277.63333333333333</v>
      </c>
      <c r="R646" s="64">
        <f t="shared" si="16"/>
        <v>22.88818359375</v>
      </c>
      <c r="S646" s="64">
        <f t="shared" si="17"/>
        <v>22</v>
      </c>
      <c r="T646" s="64">
        <f t="shared" si="18"/>
        <v>64.781111111111116</v>
      </c>
      <c r="U646" s="64" t="str">
        <f t="shared" si="19"/>
        <v>61-90</v>
      </c>
      <c r="V646" s="64" t="str">
        <f t="shared" si="20"/>
        <v>21-30 Гб</v>
      </c>
    </row>
    <row r="647" spans="1:22" ht="15.75" customHeight="1" x14ac:dyDescent="0.25">
      <c r="A647" s="62" t="s">
        <v>738</v>
      </c>
      <c r="B647" s="56">
        <v>36352</v>
      </c>
      <c r="C647" s="62" t="s">
        <v>88</v>
      </c>
      <c r="D647" s="62" t="s">
        <v>84</v>
      </c>
      <c r="E647" s="62" t="s">
        <v>85</v>
      </c>
      <c r="F647" s="62" t="s">
        <v>89</v>
      </c>
      <c r="G647" s="56">
        <v>43486</v>
      </c>
      <c r="H647" s="62">
        <v>5</v>
      </c>
      <c r="I647" s="62">
        <v>23864</v>
      </c>
      <c r="J647" s="62">
        <v>156000000</v>
      </c>
      <c r="K647" s="62">
        <v>1</v>
      </c>
      <c r="P647" s="63">
        <f t="shared" si="14"/>
        <v>120</v>
      </c>
      <c r="Q647" s="64">
        <f t="shared" si="15"/>
        <v>99.433333333333337</v>
      </c>
      <c r="R647" s="64">
        <f t="shared" si="16"/>
        <v>37.19329833984375</v>
      </c>
      <c r="S647" s="64">
        <f t="shared" si="17"/>
        <v>22</v>
      </c>
      <c r="T647" s="64">
        <f t="shared" si="18"/>
        <v>23.201111111111111</v>
      </c>
      <c r="U647" s="64" t="str">
        <f t="shared" si="19"/>
        <v>&lt;35</v>
      </c>
      <c r="V647" s="64" t="str">
        <f t="shared" si="20"/>
        <v>31-40 Гб</v>
      </c>
    </row>
    <row r="648" spans="1:22" ht="15.75" customHeight="1" x14ac:dyDescent="0.25">
      <c r="A648" s="62" t="s">
        <v>739</v>
      </c>
      <c r="B648" s="56">
        <v>36350</v>
      </c>
      <c r="C648" s="62" t="s">
        <v>83</v>
      </c>
      <c r="D648" s="62" t="s">
        <v>84</v>
      </c>
      <c r="E648" s="62" t="s">
        <v>92</v>
      </c>
      <c r="F648" s="62" t="s">
        <v>96</v>
      </c>
      <c r="G648" s="56">
        <v>43768</v>
      </c>
      <c r="H648" s="62">
        <v>5</v>
      </c>
      <c r="I648" s="62">
        <v>35636</v>
      </c>
      <c r="J648" s="62">
        <v>96000000</v>
      </c>
      <c r="P648" s="63">
        <f t="shared" si="14"/>
        <v>120</v>
      </c>
      <c r="Q648" s="64">
        <f t="shared" si="15"/>
        <v>148.48333333333332</v>
      </c>
      <c r="R648" s="64">
        <f t="shared" si="16"/>
        <v>22.88818359375</v>
      </c>
      <c r="S648" s="64">
        <f t="shared" si="17"/>
        <v>22</v>
      </c>
      <c r="T648" s="64">
        <f t="shared" si="18"/>
        <v>34.646111111111104</v>
      </c>
      <c r="U648" s="64" t="str">
        <f t="shared" si="19"/>
        <v>&lt;35</v>
      </c>
      <c r="V648" s="64" t="str">
        <f t="shared" si="20"/>
        <v>21-30 Гб</v>
      </c>
    </row>
    <row r="649" spans="1:22" ht="15.75" customHeight="1" x14ac:dyDescent="0.25">
      <c r="A649" s="62" t="s">
        <v>740</v>
      </c>
      <c r="B649" s="56">
        <v>36346</v>
      </c>
      <c r="C649" s="62" t="s">
        <v>83</v>
      </c>
      <c r="D649" s="62" t="s">
        <v>84</v>
      </c>
      <c r="E649" s="62" t="s">
        <v>85</v>
      </c>
      <c r="F649" s="62" t="s">
        <v>86</v>
      </c>
      <c r="G649" s="56">
        <v>44082</v>
      </c>
      <c r="H649" s="62">
        <v>5</v>
      </c>
      <c r="I649" s="62">
        <v>136228</v>
      </c>
      <c r="J649" s="62">
        <v>168000000</v>
      </c>
      <c r="P649" s="63">
        <f t="shared" si="14"/>
        <v>120</v>
      </c>
      <c r="Q649" s="64">
        <f t="shared" si="15"/>
        <v>567.61666666666667</v>
      </c>
      <c r="R649" s="64">
        <f t="shared" si="16"/>
        <v>40.0543212890625</v>
      </c>
      <c r="S649" s="64">
        <f t="shared" si="17"/>
        <v>22</v>
      </c>
      <c r="T649" s="64">
        <f t="shared" si="18"/>
        <v>132.44388888888889</v>
      </c>
      <c r="U649" s="64" t="str">
        <f t="shared" si="19"/>
        <v>120+</v>
      </c>
      <c r="V649" s="64" t="str">
        <f t="shared" si="20"/>
        <v>40+ Гб</v>
      </c>
    </row>
    <row r="650" spans="1:22" ht="15.75" customHeight="1" x14ac:dyDescent="0.25">
      <c r="A650" s="62" t="s">
        <v>741</v>
      </c>
      <c r="B650" s="56">
        <v>36339</v>
      </c>
      <c r="C650" s="62" t="s">
        <v>88</v>
      </c>
      <c r="D650" s="62" t="s">
        <v>84</v>
      </c>
      <c r="E650" s="62" t="s">
        <v>85</v>
      </c>
      <c r="F650" s="62" t="s">
        <v>96</v>
      </c>
      <c r="G650" s="56">
        <v>42989</v>
      </c>
      <c r="H650" s="62">
        <v>5</v>
      </c>
      <c r="I650" s="62">
        <v>26596</v>
      </c>
      <c r="J650" s="62">
        <v>80000000</v>
      </c>
      <c r="P650" s="63">
        <f t="shared" si="14"/>
        <v>120</v>
      </c>
      <c r="Q650" s="64">
        <f t="shared" si="15"/>
        <v>110.81666666666666</v>
      </c>
      <c r="R650" s="64">
        <f t="shared" si="16"/>
        <v>19.073486328125</v>
      </c>
      <c r="S650" s="64">
        <f t="shared" si="17"/>
        <v>22</v>
      </c>
      <c r="T650" s="64">
        <f t="shared" si="18"/>
        <v>25.857222222222223</v>
      </c>
      <c r="U650" s="64" t="str">
        <f t="shared" si="19"/>
        <v>&lt;35</v>
      </c>
      <c r="V650" s="64" t="str">
        <f t="shared" si="20"/>
        <v>10-20 Гб</v>
      </c>
    </row>
    <row r="651" spans="1:22" ht="15.75" customHeight="1" x14ac:dyDescent="0.25">
      <c r="A651" s="62" t="s">
        <v>742</v>
      </c>
      <c r="B651" s="56">
        <v>36337</v>
      </c>
      <c r="C651" s="62" t="s">
        <v>88</v>
      </c>
      <c r="D651" s="62" t="s">
        <v>84</v>
      </c>
      <c r="E651" s="62" t="s">
        <v>85</v>
      </c>
      <c r="F651" s="62" t="s">
        <v>93</v>
      </c>
      <c r="G651" s="56">
        <v>43262</v>
      </c>
      <c r="H651" s="62">
        <v>5</v>
      </c>
      <c r="I651" s="62">
        <v>27044</v>
      </c>
      <c r="J651" s="62">
        <v>16000000</v>
      </c>
      <c r="L651" s="62">
        <v>1</v>
      </c>
      <c r="P651" s="63">
        <f t="shared" si="14"/>
        <v>120</v>
      </c>
      <c r="Q651" s="64">
        <f t="shared" si="15"/>
        <v>112.68333333333334</v>
      </c>
      <c r="R651" s="64">
        <f t="shared" si="16"/>
        <v>3.8146972656250004</v>
      </c>
      <c r="S651" s="64">
        <f t="shared" si="17"/>
        <v>22</v>
      </c>
      <c r="T651" s="64">
        <f t="shared" si="18"/>
        <v>26.292777777777776</v>
      </c>
      <c r="U651" s="64" t="str">
        <f t="shared" si="19"/>
        <v>&lt;35</v>
      </c>
      <c r="V651" s="64" t="str">
        <f t="shared" si="20"/>
        <v>&lt;10 Гб</v>
      </c>
    </row>
    <row r="652" spans="1:22" ht="15.75" customHeight="1" x14ac:dyDescent="0.25">
      <c r="A652" s="62" t="s">
        <v>743</v>
      </c>
      <c r="B652" s="56">
        <v>36330</v>
      </c>
      <c r="C652" s="62" t="s">
        <v>88</v>
      </c>
      <c r="D652" s="62" t="s">
        <v>84</v>
      </c>
      <c r="E652" s="62" t="s">
        <v>85</v>
      </c>
      <c r="F652" s="62" t="s">
        <v>96</v>
      </c>
      <c r="G652" s="56">
        <v>44530</v>
      </c>
      <c r="H652" s="62">
        <v>5</v>
      </c>
      <c r="I652" s="62">
        <v>13896</v>
      </c>
      <c r="J652" s="62">
        <v>84000000</v>
      </c>
      <c r="N652" s="62">
        <v>1</v>
      </c>
      <c r="P652" s="63">
        <f t="shared" si="14"/>
        <v>120</v>
      </c>
      <c r="Q652" s="64">
        <f t="shared" si="15"/>
        <v>57.9</v>
      </c>
      <c r="R652" s="64">
        <f t="shared" si="16"/>
        <v>20.02716064453125</v>
      </c>
      <c r="S652" s="64">
        <f t="shared" si="17"/>
        <v>22</v>
      </c>
      <c r="T652" s="64">
        <f t="shared" si="18"/>
        <v>13.51</v>
      </c>
      <c r="U652" s="64" t="str">
        <f t="shared" si="19"/>
        <v>&lt;35</v>
      </c>
      <c r="V652" s="64" t="str">
        <f t="shared" si="20"/>
        <v>21-30 Гб</v>
      </c>
    </row>
    <row r="653" spans="1:22" ht="15.75" customHeight="1" x14ac:dyDescent="0.25">
      <c r="A653" s="62" t="s">
        <v>744</v>
      </c>
      <c r="B653" s="56">
        <v>36330</v>
      </c>
      <c r="C653" s="62" t="s">
        <v>83</v>
      </c>
      <c r="D653" s="62" t="s">
        <v>84</v>
      </c>
      <c r="E653" s="62" t="s">
        <v>92</v>
      </c>
      <c r="F653" s="62" t="s">
        <v>89</v>
      </c>
      <c r="G653" s="56">
        <v>42780</v>
      </c>
      <c r="H653" s="62">
        <v>5</v>
      </c>
      <c r="I653" s="62">
        <v>29188</v>
      </c>
      <c r="J653" s="62">
        <v>8000000</v>
      </c>
      <c r="K653" s="62">
        <v>1</v>
      </c>
      <c r="O653" s="62">
        <v>1</v>
      </c>
      <c r="P653" s="63">
        <f t="shared" si="14"/>
        <v>120</v>
      </c>
      <c r="Q653" s="64">
        <f t="shared" si="15"/>
        <v>121.61666666666665</v>
      </c>
      <c r="R653" s="64">
        <f t="shared" si="16"/>
        <v>1.9073486328125002</v>
      </c>
      <c r="S653" s="64">
        <f t="shared" si="17"/>
        <v>22</v>
      </c>
      <c r="T653" s="64">
        <f t="shared" si="18"/>
        <v>28.377222222222215</v>
      </c>
      <c r="U653" s="64" t="str">
        <f t="shared" si="19"/>
        <v>&lt;35</v>
      </c>
      <c r="V653" s="64" t="str">
        <f t="shared" si="20"/>
        <v>&lt;10 Гб</v>
      </c>
    </row>
    <row r="654" spans="1:22" ht="15.75" customHeight="1" x14ac:dyDescent="0.25">
      <c r="A654" s="62" t="s">
        <v>745</v>
      </c>
      <c r="B654" s="56">
        <v>36320</v>
      </c>
      <c r="C654" s="62" t="s">
        <v>88</v>
      </c>
      <c r="D654" s="62" t="s">
        <v>84</v>
      </c>
      <c r="E654" s="62" t="s">
        <v>85</v>
      </c>
      <c r="F654" s="62" t="s">
        <v>93</v>
      </c>
      <c r="G654" s="56">
        <v>43708</v>
      </c>
      <c r="H654" s="62">
        <v>5</v>
      </c>
      <c r="I654" s="62">
        <v>25948</v>
      </c>
      <c r="J654" s="62">
        <v>12000000</v>
      </c>
      <c r="P654" s="63">
        <f t="shared" si="14"/>
        <v>120</v>
      </c>
      <c r="Q654" s="64">
        <f t="shared" si="15"/>
        <v>108.11666666666666</v>
      </c>
      <c r="R654" s="64">
        <f t="shared" si="16"/>
        <v>2.86102294921875</v>
      </c>
      <c r="S654" s="64">
        <f t="shared" si="17"/>
        <v>22</v>
      </c>
      <c r="T654" s="64">
        <f t="shared" si="18"/>
        <v>25.22722222222222</v>
      </c>
      <c r="U654" s="64" t="str">
        <f t="shared" si="19"/>
        <v>&lt;35</v>
      </c>
      <c r="V654" s="64" t="str">
        <f t="shared" si="20"/>
        <v>&lt;10 Гб</v>
      </c>
    </row>
    <row r="655" spans="1:22" ht="15.75" customHeight="1" x14ac:dyDescent="0.25">
      <c r="A655" s="62" t="s">
        <v>746</v>
      </c>
      <c r="B655" s="56">
        <v>36319</v>
      </c>
      <c r="C655" s="62" t="s">
        <v>83</v>
      </c>
      <c r="D655" s="62" t="s">
        <v>84</v>
      </c>
      <c r="E655" s="62" t="s">
        <v>85</v>
      </c>
      <c r="F655" s="62" t="s">
        <v>96</v>
      </c>
      <c r="G655" s="56">
        <v>44226</v>
      </c>
      <c r="H655" s="62">
        <v>5</v>
      </c>
      <c r="I655" s="62">
        <v>43816</v>
      </c>
      <c r="J655" s="62">
        <v>28000000</v>
      </c>
      <c r="P655" s="63">
        <f t="shared" si="14"/>
        <v>120</v>
      </c>
      <c r="Q655" s="64">
        <f t="shared" si="15"/>
        <v>182.56666666666666</v>
      </c>
      <c r="R655" s="64">
        <f t="shared" si="16"/>
        <v>6.67572021484375</v>
      </c>
      <c r="S655" s="64">
        <f t="shared" si="17"/>
        <v>22</v>
      </c>
      <c r="T655" s="64">
        <f t="shared" si="18"/>
        <v>42.598888888888887</v>
      </c>
      <c r="U655" s="64" t="str">
        <f t="shared" si="19"/>
        <v>35-60</v>
      </c>
      <c r="V655" s="64" t="str">
        <f t="shared" si="20"/>
        <v>&lt;10 Гб</v>
      </c>
    </row>
    <row r="656" spans="1:22" ht="15.75" customHeight="1" x14ac:dyDescent="0.25">
      <c r="A656" s="62" t="s">
        <v>747</v>
      </c>
      <c r="B656" s="56">
        <v>36317</v>
      </c>
      <c r="C656" s="62" t="s">
        <v>83</v>
      </c>
      <c r="D656" s="62" t="s">
        <v>84</v>
      </c>
      <c r="E656" s="62" t="s">
        <v>85</v>
      </c>
      <c r="F656" s="62" t="s">
        <v>89</v>
      </c>
      <c r="G656" s="56">
        <v>44537</v>
      </c>
      <c r="H656" s="62">
        <v>4</v>
      </c>
      <c r="I656" s="62">
        <v>43500</v>
      </c>
      <c r="J656" s="62">
        <v>4000000</v>
      </c>
      <c r="P656" s="63">
        <f t="shared" si="14"/>
        <v>120</v>
      </c>
      <c r="Q656" s="64">
        <f t="shared" si="15"/>
        <v>181.25</v>
      </c>
      <c r="R656" s="64">
        <f t="shared" si="16"/>
        <v>0.95367431640625011</v>
      </c>
      <c r="S656" s="64">
        <f t="shared" si="17"/>
        <v>22</v>
      </c>
      <c r="T656" s="64">
        <f t="shared" si="18"/>
        <v>42.291666666666664</v>
      </c>
      <c r="U656" s="64" t="str">
        <f t="shared" si="19"/>
        <v>35-60</v>
      </c>
      <c r="V656" s="64" t="str">
        <f t="shared" si="20"/>
        <v>&lt;10 Гб</v>
      </c>
    </row>
    <row r="657" spans="1:22" ht="15.75" customHeight="1" x14ac:dyDescent="0.25">
      <c r="A657" s="62" t="s">
        <v>748</v>
      </c>
      <c r="B657" s="56">
        <v>36316</v>
      </c>
      <c r="C657" s="62" t="s">
        <v>88</v>
      </c>
      <c r="D657" s="62" t="s">
        <v>84</v>
      </c>
      <c r="E657" s="62" t="s">
        <v>85</v>
      </c>
      <c r="F657" s="62" t="s">
        <v>89</v>
      </c>
      <c r="G657" s="56">
        <v>44614</v>
      </c>
      <c r="H657" s="62">
        <v>2</v>
      </c>
      <c r="I657" s="62">
        <v>20400</v>
      </c>
      <c r="J657" s="62">
        <v>83866667</v>
      </c>
      <c r="P657" s="63">
        <f t="shared" si="14"/>
        <v>68</v>
      </c>
      <c r="Q657" s="64">
        <f t="shared" si="15"/>
        <v>150</v>
      </c>
      <c r="R657" s="64">
        <f t="shared" si="16"/>
        <v>35.285949847277479</v>
      </c>
      <c r="S657" s="64">
        <f t="shared" si="17"/>
        <v>22</v>
      </c>
      <c r="T657" s="64">
        <f t="shared" si="18"/>
        <v>35</v>
      </c>
      <c r="U657" s="64" t="str">
        <f t="shared" si="19"/>
        <v>&lt;35</v>
      </c>
      <c r="V657" s="64" t="str">
        <f t="shared" si="20"/>
        <v>31-40 Гб</v>
      </c>
    </row>
    <row r="658" spans="1:22" ht="15.75" customHeight="1" x14ac:dyDescent="0.25">
      <c r="A658" s="62" t="s">
        <v>749</v>
      </c>
      <c r="B658" s="56">
        <v>36314</v>
      </c>
      <c r="C658" s="62" t="s">
        <v>83</v>
      </c>
      <c r="D658" s="62" t="s">
        <v>84</v>
      </c>
      <c r="E658" s="62" t="s">
        <v>92</v>
      </c>
      <c r="F658" s="62" t="s">
        <v>100</v>
      </c>
      <c r="G658" s="56">
        <v>44056</v>
      </c>
      <c r="H658" s="62">
        <v>5</v>
      </c>
      <c r="I658" s="62">
        <v>106212</v>
      </c>
      <c r="J658" s="62">
        <v>92000000</v>
      </c>
      <c r="K658" s="62">
        <v>1</v>
      </c>
      <c r="P658" s="63">
        <f t="shared" si="14"/>
        <v>120</v>
      </c>
      <c r="Q658" s="64">
        <f t="shared" si="15"/>
        <v>442.55</v>
      </c>
      <c r="R658" s="64">
        <f t="shared" si="16"/>
        <v>21.93450927734375</v>
      </c>
      <c r="S658" s="64">
        <f t="shared" si="17"/>
        <v>22</v>
      </c>
      <c r="T658" s="64">
        <f t="shared" si="18"/>
        <v>103.26166666666667</v>
      </c>
      <c r="U658" s="64" t="str">
        <f t="shared" si="19"/>
        <v>91-120</v>
      </c>
      <c r="V658" s="64" t="str">
        <f t="shared" si="20"/>
        <v>21-30 Гб</v>
      </c>
    </row>
    <row r="659" spans="1:22" ht="15.75" customHeight="1" x14ac:dyDescent="0.25">
      <c r="A659" s="62" t="s">
        <v>750</v>
      </c>
      <c r="B659" s="56">
        <v>36313</v>
      </c>
      <c r="C659" s="62" t="s">
        <v>83</v>
      </c>
      <c r="D659" s="62" t="s">
        <v>84</v>
      </c>
      <c r="E659" s="62" t="s">
        <v>92</v>
      </c>
      <c r="F659" s="62" t="s">
        <v>89</v>
      </c>
      <c r="G659" s="56">
        <v>43770</v>
      </c>
      <c r="H659" s="62">
        <v>5</v>
      </c>
      <c r="I659" s="62">
        <v>7976</v>
      </c>
      <c r="J659" s="62">
        <v>156000000</v>
      </c>
      <c r="L659" s="62">
        <v>1</v>
      </c>
      <c r="N659" s="62">
        <v>1</v>
      </c>
      <c r="P659" s="63">
        <f t="shared" si="14"/>
        <v>120</v>
      </c>
      <c r="Q659" s="64">
        <f t="shared" si="15"/>
        <v>33.233333333333334</v>
      </c>
      <c r="R659" s="64">
        <f t="shared" si="16"/>
        <v>37.19329833984375</v>
      </c>
      <c r="S659" s="64">
        <f t="shared" si="17"/>
        <v>22</v>
      </c>
      <c r="T659" s="64">
        <f t="shared" si="18"/>
        <v>7.7544444444444443</v>
      </c>
      <c r="U659" s="64" t="str">
        <f t="shared" si="19"/>
        <v>&lt;35</v>
      </c>
      <c r="V659" s="64" t="str">
        <f t="shared" si="20"/>
        <v>31-40 Гб</v>
      </c>
    </row>
    <row r="660" spans="1:22" ht="15.75" customHeight="1" x14ac:dyDescent="0.25">
      <c r="A660" s="62" t="s">
        <v>751</v>
      </c>
      <c r="B660" s="56">
        <v>36313</v>
      </c>
      <c r="C660" s="62" t="s">
        <v>83</v>
      </c>
      <c r="D660" s="62" t="s">
        <v>84</v>
      </c>
      <c r="E660" s="62" t="s">
        <v>92</v>
      </c>
      <c r="F660" s="62" t="s">
        <v>89</v>
      </c>
      <c r="G660" s="56">
        <v>44459</v>
      </c>
      <c r="H660" s="62">
        <v>5</v>
      </c>
      <c r="I660" s="62">
        <v>20816</v>
      </c>
      <c r="J660" s="62">
        <v>128000000</v>
      </c>
      <c r="P660" s="63">
        <f t="shared" si="14"/>
        <v>120</v>
      </c>
      <c r="Q660" s="64">
        <f t="shared" si="15"/>
        <v>86.733333333333334</v>
      </c>
      <c r="R660" s="64">
        <f t="shared" si="16"/>
        <v>30.517578125000004</v>
      </c>
      <c r="S660" s="64">
        <f t="shared" si="17"/>
        <v>22</v>
      </c>
      <c r="T660" s="64">
        <f t="shared" si="18"/>
        <v>20.237777777777776</v>
      </c>
      <c r="U660" s="64" t="str">
        <f t="shared" si="19"/>
        <v>&lt;35</v>
      </c>
      <c r="V660" s="64" t="str">
        <f t="shared" si="20"/>
        <v>31-40 Гб</v>
      </c>
    </row>
    <row r="661" spans="1:22" ht="15.75" customHeight="1" x14ac:dyDescent="0.25">
      <c r="A661" s="62" t="s">
        <v>752</v>
      </c>
      <c r="B661" s="56">
        <v>36310</v>
      </c>
      <c r="C661" s="62" t="s">
        <v>83</v>
      </c>
      <c r="D661" s="62" t="s">
        <v>84</v>
      </c>
      <c r="E661" s="62" t="s">
        <v>85</v>
      </c>
      <c r="F661" s="62" t="s">
        <v>89</v>
      </c>
      <c r="G661" s="56">
        <v>44346</v>
      </c>
      <c r="H661" s="62">
        <v>5</v>
      </c>
      <c r="I661" s="62">
        <v>21696</v>
      </c>
      <c r="J661" s="62">
        <v>124000000</v>
      </c>
      <c r="P661" s="63">
        <f t="shared" si="14"/>
        <v>120</v>
      </c>
      <c r="Q661" s="64">
        <f t="shared" si="15"/>
        <v>90.4</v>
      </c>
      <c r="R661" s="64">
        <f t="shared" si="16"/>
        <v>29.56390380859375</v>
      </c>
      <c r="S661" s="64">
        <f t="shared" si="17"/>
        <v>22</v>
      </c>
      <c r="T661" s="64">
        <f t="shared" si="18"/>
        <v>21.093333333333337</v>
      </c>
      <c r="U661" s="64" t="str">
        <f t="shared" si="19"/>
        <v>&lt;35</v>
      </c>
      <c r="V661" s="64" t="str">
        <f t="shared" si="20"/>
        <v>21-30 Гб</v>
      </c>
    </row>
    <row r="662" spans="1:22" ht="15.75" customHeight="1" x14ac:dyDescent="0.25">
      <c r="A662" s="62" t="s">
        <v>753</v>
      </c>
      <c r="B662" s="56">
        <v>36304</v>
      </c>
      <c r="C662" s="62" t="s">
        <v>83</v>
      </c>
      <c r="D662" s="62" t="s">
        <v>84</v>
      </c>
      <c r="E662" s="62" t="s">
        <v>85</v>
      </c>
      <c r="F662" s="62" t="s">
        <v>89</v>
      </c>
      <c r="G662" s="56">
        <v>43949</v>
      </c>
      <c r="H662" s="62">
        <v>5</v>
      </c>
      <c r="I662" s="62">
        <v>35496</v>
      </c>
      <c r="J662" s="62">
        <v>148000000</v>
      </c>
      <c r="K662" s="62">
        <v>1</v>
      </c>
      <c r="L662" s="62">
        <v>1</v>
      </c>
      <c r="O662" s="62">
        <v>1</v>
      </c>
      <c r="P662" s="63">
        <f t="shared" si="14"/>
        <v>120</v>
      </c>
      <c r="Q662" s="64">
        <f t="shared" si="15"/>
        <v>147.9</v>
      </c>
      <c r="R662" s="64">
        <f t="shared" si="16"/>
        <v>35.28594970703125</v>
      </c>
      <c r="S662" s="64">
        <f t="shared" si="17"/>
        <v>22</v>
      </c>
      <c r="T662" s="64">
        <f t="shared" si="18"/>
        <v>34.51</v>
      </c>
      <c r="U662" s="64" t="str">
        <f t="shared" si="19"/>
        <v>&lt;35</v>
      </c>
      <c r="V662" s="64" t="str">
        <f t="shared" si="20"/>
        <v>31-40 Гб</v>
      </c>
    </row>
    <row r="663" spans="1:22" ht="15.75" customHeight="1" x14ac:dyDescent="0.25">
      <c r="A663" s="62" t="s">
        <v>754</v>
      </c>
      <c r="B663" s="56">
        <v>36293</v>
      </c>
      <c r="C663" s="62" t="s">
        <v>88</v>
      </c>
      <c r="D663" s="62" t="s">
        <v>84</v>
      </c>
      <c r="E663" s="62" t="s">
        <v>85</v>
      </c>
      <c r="F663" s="62" t="s">
        <v>89</v>
      </c>
      <c r="G663" s="56">
        <v>44526</v>
      </c>
      <c r="H663" s="62">
        <v>5</v>
      </c>
      <c r="I663" s="62">
        <v>22996</v>
      </c>
      <c r="J663" s="62">
        <v>148000000</v>
      </c>
      <c r="K663" s="62">
        <v>1</v>
      </c>
      <c r="L663" s="62">
        <v>1</v>
      </c>
      <c r="O663" s="62">
        <v>1</v>
      </c>
      <c r="P663" s="63">
        <f t="shared" si="14"/>
        <v>120</v>
      </c>
      <c r="Q663" s="64">
        <f t="shared" si="15"/>
        <v>95.816666666666663</v>
      </c>
      <c r="R663" s="64">
        <f t="shared" si="16"/>
        <v>35.28594970703125</v>
      </c>
      <c r="S663" s="64">
        <f t="shared" si="17"/>
        <v>22</v>
      </c>
      <c r="T663" s="64">
        <f t="shared" si="18"/>
        <v>22.357222222222223</v>
      </c>
      <c r="U663" s="64" t="str">
        <f t="shared" si="19"/>
        <v>&lt;35</v>
      </c>
      <c r="V663" s="64" t="str">
        <f t="shared" si="20"/>
        <v>31-40 Гб</v>
      </c>
    </row>
    <row r="664" spans="1:22" ht="15.75" customHeight="1" x14ac:dyDescent="0.25">
      <c r="A664" s="62" t="s">
        <v>755</v>
      </c>
      <c r="B664" s="56">
        <v>36288</v>
      </c>
      <c r="C664" s="62" t="s">
        <v>83</v>
      </c>
      <c r="D664" s="62" t="s">
        <v>84</v>
      </c>
      <c r="E664" s="62" t="s">
        <v>85</v>
      </c>
      <c r="F664" s="62" t="s">
        <v>89</v>
      </c>
      <c r="G664" s="56">
        <v>44010</v>
      </c>
      <c r="H664" s="62">
        <v>5</v>
      </c>
      <c r="I664" s="62">
        <v>21400</v>
      </c>
      <c r="J664" s="62">
        <v>136000000</v>
      </c>
      <c r="P664" s="63">
        <f t="shared" si="14"/>
        <v>120</v>
      </c>
      <c r="Q664" s="64">
        <f t="shared" si="15"/>
        <v>89.166666666666671</v>
      </c>
      <c r="R664" s="64">
        <f t="shared" si="16"/>
        <v>32.4249267578125</v>
      </c>
      <c r="S664" s="64">
        <f t="shared" si="17"/>
        <v>22</v>
      </c>
      <c r="T664" s="64">
        <f t="shared" si="18"/>
        <v>20.805555555555557</v>
      </c>
      <c r="U664" s="64" t="str">
        <f t="shared" si="19"/>
        <v>&lt;35</v>
      </c>
      <c r="V664" s="64" t="str">
        <f t="shared" si="20"/>
        <v>31-40 Гб</v>
      </c>
    </row>
    <row r="665" spans="1:22" ht="15.75" customHeight="1" x14ac:dyDescent="0.25">
      <c r="A665" s="62" t="s">
        <v>756</v>
      </c>
      <c r="B665" s="56">
        <v>36288</v>
      </c>
      <c r="C665" s="62" t="s">
        <v>88</v>
      </c>
      <c r="D665" s="62" t="s">
        <v>84</v>
      </c>
      <c r="E665" s="62" t="s">
        <v>85</v>
      </c>
      <c r="F665" s="62" t="s">
        <v>96</v>
      </c>
      <c r="G665" s="56">
        <v>43150</v>
      </c>
      <c r="H665" s="62">
        <v>5</v>
      </c>
      <c r="I665" s="62">
        <v>34760</v>
      </c>
      <c r="J665" s="62">
        <v>32000000</v>
      </c>
      <c r="N665" s="62">
        <v>1</v>
      </c>
      <c r="P665" s="63">
        <f t="shared" si="14"/>
        <v>120</v>
      </c>
      <c r="Q665" s="64">
        <f t="shared" si="15"/>
        <v>144.83333333333334</v>
      </c>
      <c r="R665" s="64">
        <f t="shared" si="16"/>
        <v>7.6293945312500009</v>
      </c>
      <c r="S665" s="64">
        <f t="shared" si="17"/>
        <v>22</v>
      </c>
      <c r="T665" s="64">
        <f t="shared" si="18"/>
        <v>33.794444444444444</v>
      </c>
      <c r="U665" s="64" t="str">
        <f t="shared" si="19"/>
        <v>&lt;35</v>
      </c>
      <c r="V665" s="64" t="str">
        <f t="shared" si="20"/>
        <v>&lt;10 Гб</v>
      </c>
    </row>
    <row r="666" spans="1:22" ht="15.75" customHeight="1" x14ac:dyDescent="0.25">
      <c r="A666" s="62" t="s">
        <v>757</v>
      </c>
      <c r="B666" s="56">
        <v>36286</v>
      </c>
      <c r="C666" s="62" t="s">
        <v>83</v>
      </c>
      <c r="D666" s="62" t="s">
        <v>84</v>
      </c>
      <c r="E666" s="62" t="s">
        <v>85</v>
      </c>
      <c r="F666" s="62" t="s">
        <v>100</v>
      </c>
      <c r="G666" s="56">
        <v>43238</v>
      </c>
      <c r="H666" s="62">
        <v>5</v>
      </c>
      <c r="I666" s="62">
        <v>106952</v>
      </c>
      <c r="J666" s="62">
        <v>68000000</v>
      </c>
      <c r="P666" s="63">
        <f t="shared" si="14"/>
        <v>120</v>
      </c>
      <c r="Q666" s="64">
        <f t="shared" si="15"/>
        <v>445.63333333333333</v>
      </c>
      <c r="R666" s="64">
        <f t="shared" si="16"/>
        <v>16.21246337890625</v>
      </c>
      <c r="S666" s="64">
        <f t="shared" si="17"/>
        <v>22</v>
      </c>
      <c r="T666" s="64">
        <f t="shared" si="18"/>
        <v>103.98111111111112</v>
      </c>
      <c r="U666" s="64" t="str">
        <f t="shared" si="19"/>
        <v>91-120</v>
      </c>
      <c r="V666" s="64" t="str">
        <f t="shared" si="20"/>
        <v>10-20 Гб</v>
      </c>
    </row>
    <row r="667" spans="1:22" ht="15.75" customHeight="1" x14ac:dyDescent="0.25">
      <c r="A667" s="62" t="s">
        <v>758</v>
      </c>
      <c r="B667" s="56">
        <v>36285</v>
      </c>
      <c r="C667" s="62" t="s">
        <v>83</v>
      </c>
      <c r="D667" s="62" t="s">
        <v>84</v>
      </c>
      <c r="E667" s="62" t="s">
        <v>85</v>
      </c>
      <c r="F667" s="62" t="s">
        <v>89</v>
      </c>
      <c r="G667" s="56">
        <v>44250</v>
      </c>
      <c r="H667" s="62">
        <v>5</v>
      </c>
      <c r="I667" s="62">
        <v>9348</v>
      </c>
      <c r="J667" s="62">
        <v>140000000</v>
      </c>
      <c r="O667" s="62">
        <v>1</v>
      </c>
      <c r="P667" s="63">
        <f t="shared" si="14"/>
        <v>120</v>
      </c>
      <c r="Q667" s="64">
        <f t="shared" si="15"/>
        <v>38.950000000000003</v>
      </c>
      <c r="R667" s="64">
        <f t="shared" si="16"/>
        <v>33.37860107421875</v>
      </c>
      <c r="S667" s="64">
        <f t="shared" si="17"/>
        <v>22</v>
      </c>
      <c r="T667" s="64">
        <f t="shared" si="18"/>
        <v>9.0883333333333347</v>
      </c>
      <c r="U667" s="64" t="str">
        <f t="shared" si="19"/>
        <v>&lt;35</v>
      </c>
      <c r="V667" s="64" t="str">
        <f t="shared" si="20"/>
        <v>31-40 Гб</v>
      </c>
    </row>
    <row r="668" spans="1:22" ht="15.75" customHeight="1" x14ac:dyDescent="0.25">
      <c r="A668" s="62" t="s">
        <v>759</v>
      </c>
      <c r="B668" s="56">
        <v>36280</v>
      </c>
      <c r="C668" s="62" t="s">
        <v>88</v>
      </c>
      <c r="D668" s="62" t="s">
        <v>84</v>
      </c>
      <c r="E668" s="62" t="s">
        <v>85</v>
      </c>
      <c r="F668" s="62" t="s">
        <v>89</v>
      </c>
      <c r="G668" s="56">
        <v>42836</v>
      </c>
      <c r="H668" s="62">
        <v>5</v>
      </c>
      <c r="I668" s="62">
        <v>7696</v>
      </c>
      <c r="J668" s="62">
        <v>148000000</v>
      </c>
      <c r="K668" s="62">
        <v>1</v>
      </c>
      <c r="L668" s="62">
        <v>1</v>
      </c>
      <c r="P668" s="63">
        <f t="shared" si="14"/>
        <v>120</v>
      </c>
      <c r="Q668" s="64">
        <f t="shared" si="15"/>
        <v>32.06666666666667</v>
      </c>
      <c r="R668" s="64">
        <f t="shared" si="16"/>
        <v>35.28594970703125</v>
      </c>
      <c r="S668" s="64">
        <f t="shared" si="17"/>
        <v>23</v>
      </c>
      <c r="T668" s="64">
        <f t="shared" si="18"/>
        <v>7.482222222222223</v>
      </c>
      <c r="U668" s="64" t="str">
        <f t="shared" si="19"/>
        <v>&lt;35</v>
      </c>
      <c r="V668" s="64" t="str">
        <f t="shared" si="20"/>
        <v>31-40 Гб</v>
      </c>
    </row>
    <row r="669" spans="1:22" ht="15.75" customHeight="1" x14ac:dyDescent="0.25">
      <c r="A669" s="62" t="s">
        <v>760</v>
      </c>
      <c r="B669" s="56">
        <v>36278</v>
      </c>
      <c r="C669" s="62" t="s">
        <v>88</v>
      </c>
      <c r="D669" s="62" t="s">
        <v>84</v>
      </c>
      <c r="E669" s="62" t="s">
        <v>85</v>
      </c>
      <c r="F669" s="62" t="s">
        <v>86</v>
      </c>
      <c r="G669" s="56">
        <v>43253</v>
      </c>
      <c r="H669" s="62">
        <v>5</v>
      </c>
      <c r="I669" s="62">
        <v>43776</v>
      </c>
      <c r="J669" s="62">
        <v>168000000</v>
      </c>
      <c r="N669" s="62">
        <v>1</v>
      </c>
      <c r="P669" s="63">
        <f t="shared" si="14"/>
        <v>120</v>
      </c>
      <c r="Q669" s="64">
        <f t="shared" si="15"/>
        <v>182.4</v>
      </c>
      <c r="R669" s="64">
        <f t="shared" si="16"/>
        <v>40.0543212890625</v>
      </c>
      <c r="S669" s="64">
        <f t="shared" si="17"/>
        <v>23</v>
      </c>
      <c r="T669" s="64">
        <f t="shared" si="18"/>
        <v>42.559999999999995</v>
      </c>
      <c r="U669" s="64" t="str">
        <f t="shared" si="19"/>
        <v>35-60</v>
      </c>
      <c r="V669" s="64" t="str">
        <f t="shared" si="20"/>
        <v>40+ Гб</v>
      </c>
    </row>
    <row r="670" spans="1:22" ht="15.75" customHeight="1" x14ac:dyDescent="0.25">
      <c r="A670" s="62" t="s">
        <v>761</v>
      </c>
      <c r="B670" s="56">
        <v>36278</v>
      </c>
      <c r="C670" s="62" t="s">
        <v>83</v>
      </c>
      <c r="D670" s="62" t="s">
        <v>84</v>
      </c>
      <c r="E670" s="62" t="s">
        <v>92</v>
      </c>
      <c r="F670" s="62" t="s">
        <v>93</v>
      </c>
      <c r="G670" s="56">
        <v>43922</v>
      </c>
      <c r="H670" s="62">
        <v>5</v>
      </c>
      <c r="I670" s="62">
        <v>46504</v>
      </c>
      <c r="J670" s="62">
        <v>4000000</v>
      </c>
      <c r="P670" s="63">
        <f t="shared" si="14"/>
        <v>120</v>
      </c>
      <c r="Q670" s="64">
        <f t="shared" si="15"/>
        <v>193.76666666666668</v>
      </c>
      <c r="R670" s="64">
        <f t="shared" si="16"/>
        <v>0.95367431640625011</v>
      </c>
      <c r="S670" s="64">
        <f t="shared" si="17"/>
        <v>23</v>
      </c>
      <c r="T670" s="64">
        <f t="shared" si="18"/>
        <v>45.212222222222223</v>
      </c>
      <c r="U670" s="64" t="str">
        <f t="shared" si="19"/>
        <v>35-60</v>
      </c>
      <c r="V670" s="64" t="str">
        <f t="shared" si="20"/>
        <v>&lt;10 Гб</v>
      </c>
    </row>
    <row r="671" spans="1:22" ht="15.75" customHeight="1" x14ac:dyDescent="0.25">
      <c r="A671" s="62" t="s">
        <v>762</v>
      </c>
      <c r="B671" s="56">
        <v>36277</v>
      </c>
      <c r="C671" s="62" t="s">
        <v>83</v>
      </c>
      <c r="D671" s="62" t="s">
        <v>84</v>
      </c>
      <c r="E671" s="62" t="s">
        <v>85</v>
      </c>
      <c r="F671" s="62" t="s">
        <v>89</v>
      </c>
      <c r="G671" s="56">
        <v>43473</v>
      </c>
      <c r="H671" s="62">
        <v>5</v>
      </c>
      <c r="I671" s="62">
        <v>18096</v>
      </c>
      <c r="J671" s="62">
        <v>152000000</v>
      </c>
      <c r="K671" s="62">
        <v>1</v>
      </c>
      <c r="L671" s="62">
        <v>1</v>
      </c>
      <c r="O671" s="62">
        <v>1</v>
      </c>
      <c r="P671" s="63">
        <f t="shared" si="14"/>
        <v>120</v>
      </c>
      <c r="Q671" s="64">
        <f t="shared" si="15"/>
        <v>75.400000000000006</v>
      </c>
      <c r="R671" s="64">
        <f t="shared" si="16"/>
        <v>36.2396240234375</v>
      </c>
      <c r="S671" s="64">
        <f t="shared" si="17"/>
        <v>23</v>
      </c>
      <c r="T671" s="64">
        <f t="shared" si="18"/>
        <v>17.593333333333337</v>
      </c>
      <c r="U671" s="64" t="str">
        <f t="shared" si="19"/>
        <v>&lt;35</v>
      </c>
      <c r="V671" s="64" t="str">
        <f t="shared" si="20"/>
        <v>31-40 Гб</v>
      </c>
    </row>
    <row r="672" spans="1:22" ht="15.75" customHeight="1" x14ac:dyDescent="0.25">
      <c r="A672" s="62" t="s">
        <v>763</v>
      </c>
      <c r="B672" s="56">
        <v>36273</v>
      </c>
      <c r="C672" s="62" t="s">
        <v>88</v>
      </c>
      <c r="D672" s="62" t="s">
        <v>84</v>
      </c>
      <c r="E672" s="62" t="s">
        <v>92</v>
      </c>
      <c r="F672" s="62" t="s">
        <v>89</v>
      </c>
      <c r="G672" s="56">
        <v>44106</v>
      </c>
      <c r="H672" s="62">
        <v>5</v>
      </c>
      <c r="I672" s="62">
        <v>28320</v>
      </c>
      <c r="J672" s="62">
        <v>104000000</v>
      </c>
      <c r="P672" s="63">
        <f t="shared" si="14"/>
        <v>120</v>
      </c>
      <c r="Q672" s="64">
        <f t="shared" si="15"/>
        <v>118</v>
      </c>
      <c r="R672" s="64">
        <f t="shared" si="16"/>
        <v>24.7955322265625</v>
      </c>
      <c r="S672" s="64">
        <f t="shared" si="17"/>
        <v>23</v>
      </c>
      <c r="T672" s="64">
        <f t="shared" si="18"/>
        <v>27.533333333333335</v>
      </c>
      <c r="U672" s="64" t="str">
        <f t="shared" si="19"/>
        <v>&lt;35</v>
      </c>
      <c r="V672" s="64" t="str">
        <f t="shared" si="20"/>
        <v>21-30 Гб</v>
      </c>
    </row>
    <row r="673" spans="1:22" ht="15.75" customHeight="1" x14ac:dyDescent="0.25">
      <c r="A673" s="62" t="s">
        <v>764</v>
      </c>
      <c r="B673" s="56">
        <v>36272</v>
      </c>
      <c r="C673" s="62" t="s">
        <v>88</v>
      </c>
      <c r="D673" s="62" t="s">
        <v>84</v>
      </c>
      <c r="E673" s="62" t="s">
        <v>92</v>
      </c>
      <c r="F673" s="62" t="s">
        <v>96</v>
      </c>
      <c r="G673" s="56">
        <v>42771</v>
      </c>
      <c r="H673" s="62">
        <v>5</v>
      </c>
      <c r="I673" s="62">
        <v>62924</v>
      </c>
      <c r="J673" s="62">
        <v>96000000</v>
      </c>
      <c r="K673" s="62">
        <v>1</v>
      </c>
      <c r="L673" s="62">
        <v>1</v>
      </c>
      <c r="P673" s="63">
        <f t="shared" si="14"/>
        <v>120</v>
      </c>
      <c r="Q673" s="64">
        <f t="shared" si="15"/>
        <v>262.18333333333334</v>
      </c>
      <c r="R673" s="64">
        <f t="shared" si="16"/>
        <v>22.88818359375</v>
      </c>
      <c r="S673" s="64">
        <f t="shared" si="17"/>
        <v>23</v>
      </c>
      <c r="T673" s="64">
        <f t="shared" si="18"/>
        <v>61.176111111111112</v>
      </c>
      <c r="U673" s="64" t="str">
        <f t="shared" si="19"/>
        <v>61-90</v>
      </c>
      <c r="V673" s="64" t="str">
        <f t="shared" si="20"/>
        <v>21-30 Гб</v>
      </c>
    </row>
    <row r="674" spans="1:22" ht="15.75" customHeight="1" x14ac:dyDescent="0.25">
      <c r="A674" s="62" t="s">
        <v>765</v>
      </c>
      <c r="B674" s="56">
        <v>36270</v>
      </c>
      <c r="C674" s="62" t="s">
        <v>83</v>
      </c>
      <c r="D674" s="62" t="s">
        <v>84</v>
      </c>
      <c r="E674" s="62" t="s">
        <v>85</v>
      </c>
      <c r="F674" s="62" t="s">
        <v>86</v>
      </c>
      <c r="G674" s="56">
        <v>43545</v>
      </c>
      <c r="H674" s="62">
        <v>5</v>
      </c>
      <c r="I674" s="62">
        <v>127080</v>
      </c>
      <c r="J674" s="62">
        <v>64000000</v>
      </c>
      <c r="P674" s="63">
        <f t="shared" si="14"/>
        <v>120</v>
      </c>
      <c r="Q674" s="64">
        <f t="shared" si="15"/>
        <v>529.5</v>
      </c>
      <c r="R674" s="64">
        <f t="shared" si="16"/>
        <v>15.258789062500002</v>
      </c>
      <c r="S674" s="64">
        <f t="shared" si="17"/>
        <v>23</v>
      </c>
      <c r="T674" s="64">
        <f t="shared" si="18"/>
        <v>123.55</v>
      </c>
      <c r="U674" s="64" t="str">
        <f t="shared" si="19"/>
        <v>120+</v>
      </c>
      <c r="V674" s="64" t="str">
        <f t="shared" si="20"/>
        <v>10-20 Гб</v>
      </c>
    </row>
    <row r="675" spans="1:22" ht="15.75" customHeight="1" x14ac:dyDescent="0.25">
      <c r="A675" s="62" t="s">
        <v>766</v>
      </c>
      <c r="B675" s="56">
        <v>36269</v>
      </c>
      <c r="C675" s="62" t="s">
        <v>83</v>
      </c>
      <c r="D675" s="62" t="s">
        <v>84</v>
      </c>
      <c r="E675" s="62" t="s">
        <v>92</v>
      </c>
      <c r="F675" s="62" t="s">
        <v>96</v>
      </c>
      <c r="G675" s="56">
        <v>42746</v>
      </c>
      <c r="H675" s="62">
        <v>5</v>
      </c>
      <c r="I675" s="62">
        <v>55264</v>
      </c>
      <c r="J675" s="62">
        <v>44000000</v>
      </c>
      <c r="P675" s="63">
        <f t="shared" si="14"/>
        <v>120</v>
      </c>
      <c r="Q675" s="64">
        <f t="shared" si="15"/>
        <v>230.26666666666668</v>
      </c>
      <c r="R675" s="64">
        <f t="shared" si="16"/>
        <v>10.49041748046875</v>
      </c>
      <c r="S675" s="64">
        <f t="shared" si="17"/>
        <v>23</v>
      </c>
      <c r="T675" s="64">
        <f t="shared" si="18"/>
        <v>53.728888888888896</v>
      </c>
      <c r="U675" s="64" t="str">
        <f t="shared" si="19"/>
        <v>35-60</v>
      </c>
      <c r="V675" s="64" t="str">
        <f t="shared" si="20"/>
        <v>10-20 Гб</v>
      </c>
    </row>
    <row r="676" spans="1:22" ht="15.75" customHeight="1" x14ac:dyDescent="0.25">
      <c r="A676" s="62" t="s">
        <v>767</v>
      </c>
      <c r="B676" s="56">
        <v>36268</v>
      </c>
      <c r="C676" s="62" t="s">
        <v>83</v>
      </c>
      <c r="D676" s="62" t="s">
        <v>84</v>
      </c>
      <c r="E676" s="62" t="s">
        <v>85</v>
      </c>
      <c r="F676" s="62" t="s">
        <v>86</v>
      </c>
      <c r="G676" s="56">
        <v>44079</v>
      </c>
      <c r="H676" s="62">
        <v>5</v>
      </c>
      <c r="I676" s="62">
        <v>133052</v>
      </c>
      <c r="J676" s="62">
        <v>172000000</v>
      </c>
      <c r="P676" s="63">
        <f t="shared" si="14"/>
        <v>120</v>
      </c>
      <c r="Q676" s="64">
        <f t="shared" si="15"/>
        <v>554.38333333333333</v>
      </c>
      <c r="R676" s="64">
        <f t="shared" si="16"/>
        <v>41.00799560546875</v>
      </c>
      <c r="S676" s="64">
        <f t="shared" si="17"/>
        <v>23</v>
      </c>
      <c r="T676" s="64">
        <f t="shared" si="18"/>
        <v>129.35611111111112</v>
      </c>
      <c r="U676" s="64" t="str">
        <f t="shared" si="19"/>
        <v>120+</v>
      </c>
      <c r="V676" s="64" t="str">
        <f t="shared" si="20"/>
        <v>40+ Гб</v>
      </c>
    </row>
    <row r="677" spans="1:22" ht="15.75" customHeight="1" x14ac:dyDescent="0.25">
      <c r="A677" s="62" t="s">
        <v>768</v>
      </c>
      <c r="B677" s="56">
        <v>36266</v>
      </c>
      <c r="C677" s="62" t="s">
        <v>83</v>
      </c>
      <c r="D677" s="62" t="s">
        <v>84</v>
      </c>
      <c r="E677" s="62" t="s">
        <v>92</v>
      </c>
      <c r="F677" s="62" t="s">
        <v>100</v>
      </c>
      <c r="G677" s="56">
        <v>43355</v>
      </c>
      <c r="H677" s="62">
        <v>5</v>
      </c>
      <c r="I677" s="62">
        <v>104700</v>
      </c>
      <c r="J677" s="62">
        <v>8000000</v>
      </c>
      <c r="P677" s="63">
        <f t="shared" si="14"/>
        <v>120</v>
      </c>
      <c r="Q677" s="64">
        <f t="shared" si="15"/>
        <v>436.25</v>
      </c>
      <c r="R677" s="64">
        <f t="shared" si="16"/>
        <v>1.9073486328125002</v>
      </c>
      <c r="S677" s="64">
        <f t="shared" si="17"/>
        <v>23</v>
      </c>
      <c r="T677" s="64">
        <f t="shared" si="18"/>
        <v>101.79166666666667</v>
      </c>
      <c r="U677" s="64" t="str">
        <f t="shared" si="19"/>
        <v>91-120</v>
      </c>
      <c r="V677" s="64" t="str">
        <f t="shared" si="20"/>
        <v>&lt;10 Гб</v>
      </c>
    </row>
    <row r="678" spans="1:22" ht="15.75" customHeight="1" x14ac:dyDescent="0.25">
      <c r="A678" s="62" t="s">
        <v>769</v>
      </c>
      <c r="B678" s="56">
        <v>36266</v>
      </c>
      <c r="C678" s="62" t="s">
        <v>83</v>
      </c>
      <c r="D678" s="62" t="s">
        <v>84</v>
      </c>
      <c r="E678" s="62" t="s">
        <v>85</v>
      </c>
      <c r="F678" s="62" t="s">
        <v>89</v>
      </c>
      <c r="G678" s="56">
        <v>43748</v>
      </c>
      <c r="H678" s="62">
        <v>5</v>
      </c>
      <c r="I678" s="62">
        <v>30492</v>
      </c>
      <c r="J678" s="62">
        <v>156000000</v>
      </c>
      <c r="K678" s="62">
        <v>1</v>
      </c>
      <c r="M678" s="62">
        <v>1</v>
      </c>
      <c r="P678" s="63">
        <f t="shared" si="14"/>
        <v>120</v>
      </c>
      <c r="Q678" s="64">
        <f t="shared" si="15"/>
        <v>127.05000000000001</v>
      </c>
      <c r="R678" s="64">
        <f t="shared" si="16"/>
        <v>37.19329833984375</v>
      </c>
      <c r="S678" s="64">
        <f t="shared" si="17"/>
        <v>23</v>
      </c>
      <c r="T678" s="64">
        <f t="shared" si="18"/>
        <v>29.645000000000003</v>
      </c>
      <c r="U678" s="64" t="str">
        <f t="shared" si="19"/>
        <v>&lt;35</v>
      </c>
      <c r="V678" s="64" t="str">
        <f t="shared" si="20"/>
        <v>31-40 Гб</v>
      </c>
    </row>
    <row r="679" spans="1:22" ht="15.75" customHeight="1" x14ac:dyDescent="0.25">
      <c r="A679" s="62" t="s">
        <v>770</v>
      </c>
      <c r="B679" s="56">
        <v>36265</v>
      </c>
      <c r="C679" s="62" t="s">
        <v>83</v>
      </c>
      <c r="D679" s="62" t="s">
        <v>84</v>
      </c>
      <c r="E679" s="62" t="s">
        <v>92</v>
      </c>
      <c r="F679" s="62" t="s">
        <v>96</v>
      </c>
      <c r="G679" s="56">
        <v>44516</v>
      </c>
      <c r="H679" s="62">
        <v>5</v>
      </c>
      <c r="I679" s="62">
        <v>28968</v>
      </c>
      <c r="J679" s="62">
        <v>32000000</v>
      </c>
      <c r="P679" s="63">
        <f t="shared" si="14"/>
        <v>120</v>
      </c>
      <c r="Q679" s="64">
        <f t="shared" si="15"/>
        <v>120.7</v>
      </c>
      <c r="R679" s="64">
        <f t="shared" si="16"/>
        <v>7.6293945312500009</v>
      </c>
      <c r="S679" s="64">
        <f t="shared" si="17"/>
        <v>23</v>
      </c>
      <c r="T679" s="64">
        <f t="shared" si="18"/>
        <v>28.163333333333334</v>
      </c>
      <c r="U679" s="64" t="str">
        <f t="shared" si="19"/>
        <v>&lt;35</v>
      </c>
      <c r="V679" s="64" t="str">
        <f t="shared" si="20"/>
        <v>&lt;10 Гб</v>
      </c>
    </row>
    <row r="680" spans="1:22" ht="15.75" customHeight="1" x14ac:dyDescent="0.25">
      <c r="A680" s="62" t="s">
        <v>771</v>
      </c>
      <c r="B680" s="56">
        <v>36264</v>
      </c>
      <c r="C680" s="62" t="s">
        <v>83</v>
      </c>
      <c r="D680" s="62" t="s">
        <v>84</v>
      </c>
      <c r="E680" s="62" t="s">
        <v>85</v>
      </c>
      <c r="F680" s="62" t="s">
        <v>89</v>
      </c>
      <c r="G680" s="56">
        <v>43452</v>
      </c>
      <c r="H680" s="62">
        <v>5</v>
      </c>
      <c r="I680" s="62">
        <v>19460</v>
      </c>
      <c r="J680" s="62">
        <v>12000000</v>
      </c>
      <c r="P680" s="63">
        <f t="shared" si="14"/>
        <v>120</v>
      </c>
      <c r="Q680" s="64">
        <f t="shared" si="15"/>
        <v>81.083333333333329</v>
      </c>
      <c r="R680" s="64">
        <f t="shared" si="16"/>
        <v>2.86102294921875</v>
      </c>
      <c r="S680" s="64">
        <f t="shared" si="17"/>
        <v>23</v>
      </c>
      <c r="T680" s="64">
        <f t="shared" si="18"/>
        <v>18.919444444444441</v>
      </c>
      <c r="U680" s="64" t="str">
        <f t="shared" si="19"/>
        <v>&lt;35</v>
      </c>
      <c r="V680" s="64" t="str">
        <f t="shared" si="20"/>
        <v>&lt;10 Гб</v>
      </c>
    </row>
    <row r="681" spans="1:22" ht="15.75" customHeight="1" x14ac:dyDescent="0.25">
      <c r="A681" s="62" t="s">
        <v>772</v>
      </c>
      <c r="B681" s="56">
        <v>36256</v>
      </c>
      <c r="C681" s="62" t="s">
        <v>88</v>
      </c>
      <c r="D681" s="62" t="s">
        <v>84</v>
      </c>
      <c r="E681" s="62" t="s">
        <v>85</v>
      </c>
      <c r="F681" s="62" t="s">
        <v>86</v>
      </c>
      <c r="G681" s="56">
        <v>43477</v>
      </c>
      <c r="H681" s="62">
        <v>5</v>
      </c>
      <c r="I681" s="62">
        <v>148216</v>
      </c>
      <c r="J681" s="62">
        <v>8000000</v>
      </c>
      <c r="P681" s="63">
        <f t="shared" si="14"/>
        <v>120</v>
      </c>
      <c r="Q681" s="64">
        <f t="shared" si="15"/>
        <v>617.56666666666672</v>
      </c>
      <c r="R681" s="64">
        <f t="shared" si="16"/>
        <v>1.9073486328125002</v>
      </c>
      <c r="S681" s="64">
        <f t="shared" si="17"/>
        <v>23</v>
      </c>
      <c r="T681" s="64">
        <f t="shared" si="18"/>
        <v>144.09888888888889</v>
      </c>
      <c r="U681" s="64" t="str">
        <f t="shared" si="19"/>
        <v>120+</v>
      </c>
      <c r="V681" s="64" t="str">
        <f t="shared" si="20"/>
        <v>&lt;10 Гб</v>
      </c>
    </row>
    <row r="682" spans="1:22" ht="15.75" customHeight="1" x14ac:dyDescent="0.25">
      <c r="A682" s="62" t="s">
        <v>773</v>
      </c>
      <c r="B682" s="56">
        <v>36251</v>
      </c>
      <c r="C682" s="62" t="s">
        <v>83</v>
      </c>
      <c r="D682" s="62" t="s">
        <v>84</v>
      </c>
      <c r="E682" s="62" t="s">
        <v>85</v>
      </c>
      <c r="F682" s="62" t="s">
        <v>86</v>
      </c>
      <c r="G682" s="56">
        <v>44090</v>
      </c>
      <c r="H682" s="62">
        <v>5</v>
      </c>
      <c r="I682" s="62">
        <v>148540</v>
      </c>
      <c r="J682" s="62">
        <v>16000000</v>
      </c>
      <c r="P682" s="63">
        <f t="shared" si="14"/>
        <v>120</v>
      </c>
      <c r="Q682" s="64">
        <f t="shared" si="15"/>
        <v>618.91666666666663</v>
      </c>
      <c r="R682" s="64">
        <f t="shared" si="16"/>
        <v>3.8146972656250004</v>
      </c>
      <c r="S682" s="64">
        <f t="shared" si="17"/>
        <v>23</v>
      </c>
      <c r="T682" s="64">
        <f t="shared" si="18"/>
        <v>144.41388888888886</v>
      </c>
      <c r="U682" s="64" t="str">
        <f t="shared" si="19"/>
        <v>120+</v>
      </c>
      <c r="V682" s="64" t="str">
        <f t="shared" si="20"/>
        <v>&lt;10 Гб</v>
      </c>
    </row>
    <row r="683" spans="1:22" ht="15.75" customHeight="1" x14ac:dyDescent="0.25">
      <c r="A683" s="62" t="s">
        <v>774</v>
      </c>
      <c r="B683" s="56">
        <v>36250</v>
      </c>
      <c r="C683" s="62" t="s">
        <v>83</v>
      </c>
      <c r="D683" s="62" t="s">
        <v>84</v>
      </c>
      <c r="E683" s="62" t="s">
        <v>92</v>
      </c>
      <c r="F683" s="62" t="s">
        <v>96</v>
      </c>
      <c r="G683" s="56">
        <v>42974</v>
      </c>
      <c r="H683" s="62">
        <v>5</v>
      </c>
      <c r="I683" s="62">
        <v>59188</v>
      </c>
      <c r="J683" s="62">
        <v>92000000</v>
      </c>
      <c r="K683" s="62">
        <v>1</v>
      </c>
      <c r="P683" s="63">
        <f t="shared" si="14"/>
        <v>120</v>
      </c>
      <c r="Q683" s="64">
        <f t="shared" si="15"/>
        <v>246.61666666666667</v>
      </c>
      <c r="R683" s="64">
        <f t="shared" si="16"/>
        <v>21.93450927734375</v>
      </c>
      <c r="S683" s="64">
        <f t="shared" si="17"/>
        <v>23</v>
      </c>
      <c r="T683" s="64">
        <f t="shared" si="18"/>
        <v>57.543888888888887</v>
      </c>
      <c r="U683" s="64" t="str">
        <f t="shared" si="19"/>
        <v>35-60</v>
      </c>
      <c r="V683" s="64" t="str">
        <f t="shared" si="20"/>
        <v>21-30 Гб</v>
      </c>
    </row>
    <row r="684" spans="1:22" ht="15.75" customHeight="1" x14ac:dyDescent="0.25">
      <c r="A684" s="62" t="s">
        <v>775</v>
      </c>
      <c r="B684" s="56">
        <v>36249</v>
      </c>
      <c r="C684" s="62" t="s">
        <v>83</v>
      </c>
      <c r="D684" s="62" t="s">
        <v>84</v>
      </c>
      <c r="E684" s="62" t="s">
        <v>85</v>
      </c>
      <c r="F684" s="62" t="s">
        <v>89</v>
      </c>
      <c r="G684" s="56">
        <v>43632</v>
      </c>
      <c r="H684" s="62">
        <v>5</v>
      </c>
      <c r="I684" s="62">
        <v>30228</v>
      </c>
      <c r="J684" s="62">
        <v>156000000</v>
      </c>
      <c r="L684" s="62">
        <v>1</v>
      </c>
      <c r="P684" s="63">
        <f t="shared" si="14"/>
        <v>120</v>
      </c>
      <c r="Q684" s="64">
        <f t="shared" si="15"/>
        <v>125.95</v>
      </c>
      <c r="R684" s="64">
        <f t="shared" si="16"/>
        <v>37.19329833984375</v>
      </c>
      <c r="S684" s="64">
        <f t="shared" si="17"/>
        <v>23</v>
      </c>
      <c r="T684" s="64">
        <f t="shared" si="18"/>
        <v>29.388333333333332</v>
      </c>
      <c r="U684" s="64" t="str">
        <f t="shared" si="19"/>
        <v>&lt;35</v>
      </c>
      <c r="V684" s="64" t="str">
        <f t="shared" si="20"/>
        <v>31-40 Гб</v>
      </c>
    </row>
    <row r="685" spans="1:22" ht="15.75" customHeight="1" x14ac:dyDescent="0.25">
      <c r="A685" s="62" t="s">
        <v>776</v>
      </c>
      <c r="B685" s="56">
        <v>36245</v>
      </c>
      <c r="C685" s="62" t="s">
        <v>83</v>
      </c>
      <c r="D685" s="62" t="s">
        <v>84</v>
      </c>
      <c r="E685" s="62" t="s">
        <v>92</v>
      </c>
      <c r="F685" s="62" t="s">
        <v>89</v>
      </c>
      <c r="G685" s="56">
        <v>43079</v>
      </c>
      <c r="H685" s="62">
        <v>5</v>
      </c>
      <c r="I685" s="62">
        <v>4152</v>
      </c>
      <c r="J685" s="62">
        <v>144000000</v>
      </c>
      <c r="K685" s="62">
        <v>1</v>
      </c>
      <c r="O685" s="62">
        <v>1</v>
      </c>
      <c r="P685" s="63">
        <f t="shared" si="14"/>
        <v>120</v>
      </c>
      <c r="Q685" s="64">
        <f t="shared" si="15"/>
        <v>17.3</v>
      </c>
      <c r="R685" s="64">
        <f t="shared" si="16"/>
        <v>34.332275390625</v>
      </c>
      <c r="S685" s="64">
        <f t="shared" si="17"/>
        <v>23</v>
      </c>
      <c r="T685" s="64">
        <f t="shared" si="18"/>
        <v>4.0366666666666671</v>
      </c>
      <c r="U685" s="64" t="str">
        <f t="shared" si="19"/>
        <v>&lt;35</v>
      </c>
      <c r="V685" s="64" t="str">
        <f t="shared" si="20"/>
        <v>31-40 Гб</v>
      </c>
    </row>
    <row r="686" spans="1:22" ht="15.75" customHeight="1" x14ac:dyDescent="0.25">
      <c r="A686" s="62" t="s">
        <v>777</v>
      </c>
      <c r="B686" s="56">
        <v>36243</v>
      </c>
      <c r="C686" s="62" t="s">
        <v>88</v>
      </c>
      <c r="D686" s="62" t="s">
        <v>84</v>
      </c>
      <c r="E686" s="62" t="s">
        <v>92</v>
      </c>
      <c r="F686" s="62" t="s">
        <v>89</v>
      </c>
      <c r="G686" s="56">
        <v>43465</v>
      </c>
      <c r="H686" s="62">
        <v>5</v>
      </c>
      <c r="I686" s="62">
        <v>10964</v>
      </c>
      <c r="J686" s="62">
        <v>160000000</v>
      </c>
      <c r="L686" s="62">
        <v>1</v>
      </c>
      <c r="N686" s="62">
        <v>1</v>
      </c>
      <c r="P686" s="63">
        <f t="shared" si="14"/>
        <v>120</v>
      </c>
      <c r="Q686" s="64">
        <f t="shared" si="15"/>
        <v>45.68333333333333</v>
      </c>
      <c r="R686" s="64">
        <f t="shared" si="16"/>
        <v>38.14697265625</v>
      </c>
      <c r="S686" s="64">
        <f t="shared" si="17"/>
        <v>23</v>
      </c>
      <c r="T686" s="64">
        <f t="shared" si="18"/>
        <v>10.659444444444443</v>
      </c>
      <c r="U686" s="64" t="str">
        <f t="shared" si="19"/>
        <v>&lt;35</v>
      </c>
      <c r="V686" s="64" t="str">
        <f t="shared" si="20"/>
        <v>31-40 Гб</v>
      </c>
    </row>
    <row r="687" spans="1:22" ht="15.75" customHeight="1" x14ac:dyDescent="0.25">
      <c r="A687" s="62" t="s">
        <v>778</v>
      </c>
      <c r="B687" s="56">
        <v>36242</v>
      </c>
      <c r="C687" s="62" t="s">
        <v>83</v>
      </c>
      <c r="D687" s="62" t="s">
        <v>84</v>
      </c>
      <c r="E687" s="62" t="s">
        <v>85</v>
      </c>
      <c r="F687" s="62" t="s">
        <v>96</v>
      </c>
      <c r="G687" s="56">
        <v>43533</v>
      </c>
      <c r="H687" s="62">
        <v>5</v>
      </c>
      <c r="I687" s="62">
        <v>24428</v>
      </c>
      <c r="J687" s="62">
        <v>44000000</v>
      </c>
      <c r="K687" s="62">
        <v>1</v>
      </c>
      <c r="O687" s="62">
        <v>1</v>
      </c>
      <c r="P687" s="63">
        <f t="shared" si="14"/>
        <v>120</v>
      </c>
      <c r="Q687" s="64">
        <f t="shared" si="15"/>
        <v>101.78333333333333</v>
      </c>
      <c r="R687" s="64">
        <f t="shared" si="16"/>
        <v>10.49041748046875</v>
      </c>
      <c r="S687" s="64">
        <f t="shared" si="17"/>
        <v>23</v>
      </c>
      <c r="T687" s="64">
        <f t="shared" si="18"/>
        <v>23.749444444444446</v>
      </c>
      <c r="U687" s="64" t="str">
        <f t="shared" si="19"/>
        <v>&lt;35</v>
      </c>
      <c r="V687" s="64" t="str">
        <f t="shared" si="20"/>
        <v>10-20 Гб</v>
      </c>
    </row>
    <row r="688" spans="1:22" ht="15.75" customHeight="1" x14ac:dyDescent="0.25">
      <c r="A688" s="62" t="s">
        <v>779</v>
      </c>
      <c r="B688" s="56">
        <v>36241</v>
      </c>
      <c r="C688" s="62" t="s">
        <v>83</v>
      </c>
      <c r="D688" s="62" t="s">
        <v>84</v>
      </c>
      <c r="E688" s="62" t="s">
        <v>85</v>
      </c>
      <c r="F688" s="62" t="s">
        <v>89</v>
      </c>
      <c r="G688" s="56">
        <v>44273</v>
      </c>
      <c r="H688" s="62">
        <v>5</v>
      </c>
      <c r="I688" s="62">
        <v>10716</v>
      </c>
      <c r="J688" s="62">
        <v>152000000</v>
      </c>
      <c r="N688" s="62">
        <v>1</v>
      </c>
      <c r="P688" s="63">
        <f t="shared" si="14"/>
        <v>120</v>
      </c>
      <c r="Q688" s="64">
        <f t="shared" si="15"/>
        <v>44.65</v>
      </c>
      <c r="R688" s="64">
        <f t="shared" si="16"/>
        <v>36.2396240234375</v>
      </c>
      <c r="S688" s="64">
        <f t="shared" si="17"/>
        <v>23</v>
      </c>
      <c r="T688" s="64">
        <f t="shared" si="18"/>
        <v>10.418333333333333</v>
      </c>
      <c r="U688" s="64" t="str">
        <f t="shared" si="19"/>
        <v>&lt;35</v>
      </c>
      <c r="V688" s="64" t="str">
        <f t="shared" si="20"/>
        <v>31-40 Гб</v>
      </c>
    </row>
    <row r="689" spans="1:22" ht="15.75" customHeight="1" x14ac:dyDescent="0.25">
      <c r="A689" s="62" t="s">
        <v>780</v>
      </c>
      <c r="B689" s="56">
        <v>36240</v>
      </c>
      <c r="C689" s="62" t="s">
        <v>83</v>
      </c>
      <c r="D689" s="62" t="s">
        <v>84</v>
      </c>
      <c r="E689" s="62" t="s">
        <v>85</v>
      </c>
      <c r="F689" s="62" t="s">
        <v>93</v>
      </c>
      <c r="G689" s="56">
        <v>43564</v>
      </c>
      <c r="H689" s="62">
        <v>5</v>
      </c>
      <c r="I689" s="62">
        <v>20140</v>
      </c>
      <c r="J689" s="62">
        <v>8000000</v>
      </c>
      <c r="P689" s="63">
        <f t="shared" si="14"/>
        <v>120</v>
      </c>
      <c r="Q689" s="64">
        <f t="shared" si="15"/>
        <v>83.916666666666671</v>
      </c>
      <c r="R689" s="64">
        <f t="shared" si="16"/>
        <v>1.9073486328125002</v>
      </c>
      <c r="S689" s="64">
        <f t="shared" si="17"/>
        <v>23</v>
      </c>
      <c r="T689" s="64">
        <f t="shared" si="18"/>
        <v>19.580555555555559</v>
      </c>
      <c r="U689" s="64" t="str">
        <f t="shared" si="19"/>
        <v>&lt;35</v>
      </c>
      <c r="V689" s="64" t="str">
        <f t="shared" si="20"/>
        <v>&lt;10 Гб</v>
      </c>
    </row>
    <row r="690" spans="1:22" ht="15.75" customHeight="1" x14ac:dyDescent="0.25">
      <c r="A690" s="62" t="s">
        <v>781</v>
      </c>
      <c r="B690" s="56">
        <v>36238</v>
      </c>
      <c r="C690" s="62" t="s">
        <v>88</v>
      </c>
      <c r="D690" s="62" t="s">
        <v>84</v>
      </c>
      <c r="E690" s="62" t="s">
        <v>85</v>
      </c>
      <c r="F690" s="62" t="s">
        <v>89</v>
      </c>
      <c r="G690" s="56">
        <v>42797</v>
      </c>
      <c r="H690" s="62">
        <v>5</v>
      </c>
      <c r="I690" s="62">
        <v>22844</v>
      </c>
      <c r="J690" s="62">
        <v>144000000</v>
      </c>
      <c r="P690" s="63">
        <f t="shared" si="14"/>
        <v>120</v>
      </c>
      <c r="Q690" s="64">
        <f t="shared" si="15"/>
        <v>95.183333333333337</v>
      </c>
      <c r="R690" s="64">
        <f t="shared" si="16"/>
        <v>34.332275390625</v>
      </c>
      <c r="S690" s="64">
        <f t="shared" si="17"/>
        <v>23</v>
      </c>
      <c r="T690" s="64">
        <f t="shared" si="18"/>
        <v>22.209444444444443</v>
      </c>
      <c r="U690" s="64" t="str">
        <f t="shared" si="19"/>
        <v>&lt;35</v>
      </c>
      <c r="V690" s="64" t="str">
        <f t="shared" si="20"/>
        <v>31-40 Гб</v>
      </c>
    </row>
    <row r="691" spans="1:22" ht="15.75" customHeight="1" x14ac:dyDescent="0.25">
      <c r="A691" s="62" t="s">
        <v>782</v>
      </c>
      <c r="B691" s="56">
        <v>36237</v>
      </c>
      <c r="C691" s="62" t="s">
        <v>83</v>
      </c>
      <c r="D691" s="62" t="s">
        <v>84</v>
      </c>
      <c r="E691" s="62" t="s">
        <v>92</v>
      </c>
      <c r="F691" s="62" t="s">
        <v>100</v>
      </c>
      <c r="G691" s="56">
        <v>44450</v>
      </c>
      <c r="H691" s="62">
        <v>5</v>
      </c>
      <c r="I691" s="62">
        <v>93432</v>
      </c>
      <c r="J691" s="62">
        <v>136000000</v>
      </c>
      <c r="K691" s="62">
        <v>1</v>
      </c>
      <c r="P691" s="63">
        <f t="shared" si="14"/>
        <v>120</v>
      </c>
      <c r="Q691" s="64">
        <f t="shared" si="15"/>
        <v>389.3</v>
      </c>
      <c r="R691" s="64">
        <f t="shared" si="16"/>
        <v>32.4249267578125</v>
      </c>
      <c r="S691" s="64">
        <f t="shared" si="17"/>
        <v>23</v>
      </c>
      <c r="T691" s="64">
        <f t="shared" si="18"/>
        <v>90.836666666666659</v>
      </c>
      <c r="U691" s="64" t="str">
        <f t="shared" si="19"/>
        <v>91-120</v>
      </c>
      <c r="V691" s="64" t="str">
        <f t="shared" si="20"/>
        <v>31-40 Гб</v>
      </c>
    </row>
    <row r="692" spans="1:22" ht="15.75" customHeight="1" x14ac:dyDescent="0.25">
      <c r="A692" s="62" t="s">
        <v>783</v>
      </c>
      <c r="B692" s="56">
        <v>36230</v>
      </c>
      <c r="C692" s="62" t="s">
        <v>83</v>
      </c>
      <c r="D692" s="62" t="s">
        <v>84</v>
      </c>
      <c r="E692" s="62" t="s">
        <v>92</v>
      </c>
      <c r="F692" s="62" t="s">
        <v>89</v>
      </c>
      <c r="G692" s="56">
        <v>44316</v>
      </c>
      <c r="H692" s="62">
        <v>5</v>
      </c>
      <c r="I692" s="62">
        <v>3608</v>
      </c>
      <c r="J692" s="62">
        <v>148000000</v>
      </c>
      <c r="L692" s="62">
        <v>1</v>
      </c>
      <c r="N692" s="62">
        <v>1</v>
      </c>
      <c r="P692" s="63">
        <f t="shared" si="14"/>
        <v>120</v>
      </c>
      <c r="Q692" s="64">
        <f t="shared" si="15"/>
        <v>15.033333333333331</v>
      </c>
      <c r="R692" s="64">
        <f t="shared" si="16"/>
        <v>35.28594970703125</v>
      </c>
      <c r="S692" s="64">
        <f t="shared" si="17"/>
        <v>23</v>
      </c>
      <c r="T692" s="64">
        <f t="shared" si="18"/>
        <v>3.5077777777777772</v>
      </c>
      <c r="U692" s="64" t="str">
        <f t="shared" si="19"/>
        <v>&lt;35</v>
      </c>
      <c r="V692" s="64" t="str">
        <f t="shared" si="20"/>
        <v>31-40 Гб</v>
      </c>
    </row>
    <row r="693" spans="1:22" ht="15.75" customHeight="1" x14ac:dyDescent="0.25">
      <c r="A693" s="62" t="s">
        <v>784</v>
      </c>
      <c r="B693" s="56">
        <v>36228</v>
      </c>
      <c r="C693" s="62" t="s">
        <v>83</v>
      </c>
      <c r="D693" s="62" t="s">
        <v>84</v>
      </c>
      <c r="E693" s="62" t="s">
        <v>92</v>
      </c>
      <c r="F693" s="62" t="s">
        <v>100</v>
      </c>
      <c r="G693" s="56">
        <v>43471</v>
      </c>
      <c r="H693" s="62">
        <v>5</v>
      </c>
      <c r="I693" s="62">
        <v>119544</v>
      </c>
      <c r="J693" s="62">
        <v>112000000</v>
      </c>
      <c r="P693" s="63">
        <f t="shared" si="14"/>
        <v>120</v>
      </c>
      <c r="Q693" s="64">
        <f t="shared" si="15"/>
        <v>498.10000000000008</v>
      </c>
      <c r="R693" s="64">
        <f t="shared" si="16"/>
        <v>26.702880859375</v>
      </c>
      <c r="S693" s="64">
        <f t="shared" si="17"/>
        <v>23</v>
      </c>
      <c r="T693" s="64">
        <f t="shared" si="18"/>
        <v>116.22333333333336</v>
      </c>
      <c r="U693" s="64" t="str">
        <f t="shared" si="19"/>
        <v>91-120</v>
      </c>
      <c r="V693" s="64" t="str">
        <f t="shared" si="20"/>
        <v>21-30 Гб</v>
      </c>
    </row>
    <row r="694" spans="1:22" ht="15.75" customHeight="1" x14ac:dyDescent="0.25">
      <c r="A694" s="62" t="s">
        <v>785</v>
      </c>
      <c r="B694" s="56">
        <v>36227</v>
      </c>
      <c r="C694" s="62" t="s">
        <v>83</v>
      </c>
      <c r="D694" s="62" t="s">
        <v>84</v>
      </c>
      <c r="E694" s="62" t="s">
        <v>92</v>
      </c>
      <c r="F694" s="62" t="s">
        <v>96</v>
      </c>
      <c r="G694" s="56">
        <v>43335</v>
      </c>
      <c r="H694" s="62">
        <v>5</v>
      </c>
      <c r="I694" s="62">
        <v>10320</v>
      </c>
      <c r="J694" s="62">
        <v>120000000</v>
      </c>
      <c r="L694" s="62">
        <v>1</v>
      </c>
      <c r="P694" s="63">
        <f t="shared" si="14"/>
        <v>120</v>
      </c>
      <c r="Q694" s="64">
        <f t="shared" si="15"/>
        <v>43</v>
      </c>
      <c r="R694" s="64">
        <f t="shared" si="16"/>
        <v>28.6102294921875</v>
      </c>
      <c r="S694" s="64">
        <f t="shared" si="17"/>
        <v>23</v>
      </c>
      <c r="T694" s="64">
        <f t="shared" si="18"/>
        <v>10.033333333333333</v>
      </c>
      <c r="U694" s="64" t="str">
        <f t="shared" si="19"/>
        <v>&lt;35</v>
      </c>
      <c r="V694" s="64" t="str">
        <f t="shared" si="20"/>
        <v>21-30 Гб</v>
      </c>
    </row>
    <row r="695" spans="1:22" ht="15.75" customHeight="1" x14ac:dyDescent="0.25">
      <c r="A695" s="62" t="s">
        <v>786</v>
      </c>
      <c r="B695" s="56">
        <v>36224</v>
      </c>
      <c r="C695" s="62" t="s">
        <v>88</v>
      </c>
      <c r="D695" s="62" t="s">
        <v>84</v>
      </c>
      <c r="E695" s="62" t="s">
        <v>85</v>
      </c>
      <c r="F695" s="62" t="s">
        <v>89</v>
      </c>
      <c r="G695" s="56">
        <v>43874</v>
      </c>
      <c r="H695" s="62">
        <v>5</v>
      </c>
      <c r="I695" s="62">
        <v>28796</v>
      </c>
      <c r="J695" s="62">
        <v>140000000</v>
      </c>
      <c r="K695" s="62">
        <v>1</v>
      </c>
      <c r="P695" s="63">
        <f t="shared" si="14"/>
        <v>120</v>
      </c>
      <c r="Q695" s="64">
        <f t="shared" si="15"/>
        <v>119.98333333333333</v>
      </c>
      <c r="R695" s="64">
        <f t="shared" si="16"/>
        <v>33.37860107421875</v>
      </c>
      <c r="S695" s="64">
        <f t="shared" si="17"/>
        <v>23</v>
      </c>
      <c r="T695" s="64">
        <f t="shared" si="18"/>
        <v>27.996111111111112</v>
      </c>
      <c r="U695" s="64" t="str">
        <f t="shared" si="19"/>
        <v>&lt;35</v>
      </c>
      <c r="V695" s="64" t="str">
        <f t="shared" si="20"/>
        <v>31-40 Гб</v>
      </c>
    </row>
    <row r="696" spans="1:22" ht="15.75" customHeight="1" x14ac:dyDescent="0.25">
      <c r="A696" s="62" t="s">
        <v>787</v>
      </c>
      <c r="B696" s="56">
        <v>36218</v>
      </c>
      <c r="C696" s="62" t="s">
        <v>83</v>
      </c>
      <c r="D696" s="62" t="s">
        <v>84</v>
      </c>
      <c r="E696" s="62" t="s">
        <v>85</v>
      </c>
      <c r="F696" s="62" t="s">
        <v>96</v>
      </c>
      <c r="G696" s="56">
        <v>44287</v>
      </c>
      <c r="H696" s="62">
        <v>5</v>
      </c>
      <c r="I696" s="62">
        <v>18524</v>
      </c>
      <c r="J696" s="62">
        <v>60000000</v>
      </c>
      <c r="P696" s="63">
        <f t="shared" si="14"/>
        <v>120</v>
      </c>
      <c r="Q696" s="64">
        <f t="shared" si="15"/>
        <v>77.183333333333337</v>
      </c>
      <c r="R696" s="64">
        <f t="shared" si="16"/>
        <v>14.30511474609375</v>
      </c>
      <c r="S696" s="64">
        <f t="shared" si="17"/>
        <v>23</v>
      </c>
      <c r="T696" s="64">
        <f t="shared" si="18"/>
        <v>18.009444444444444</v>
      </c>
      <c r="U696" s="64" t="str">
        <f t="shared" si="19"/>
        <v>&lt;35</v>
      </c>
      <c r="V696" s="64" t="str">
        <f t="shared" si="20"/>
        <v>10-20 Гб</v>
      </c>
    </row>
    <row r="697" spans="1:22" ht="15.75" customHeight="1" x14ac:dyDescent="0.25">
      <c r="A697" s="62" t="s">
        <v>788</v>
      </c>
      <c r="B697" s="56">
        <v>36217</v>
      </c>
      <c r="C697" s="62" t="s">
        <v>83</v>
      </c>
      <c r="D697" s="62" t="s">
        <v>84</v>
      </c>
      <c r="E697" s="62" t="s">
        <v>85</v>
      </c>
      <c r="F697" s="62" t="s">
        <v>89</v>
      </c>
      <c r="G697" s="56">
        <v>43869</v>
      </c>
      <c r="H697" s="62">
        <v>5</v>
      </c>
      <c r="I697" s="62">
        <v>18720</v>
      </c>
      <c r="J697" s="62">
        <v>152000000</v>
      </c>
      <c r="P697" s="63">
        <f t="shared" si="14"/>
        <v>120</v>
      </c>
      <c r="Q697" s="64">
        <f t="shared" si="15"/>
        <v>78</v>
      </c>
      <c r="R697" s="64">
        <f t="shared" si="16"/>
        <v>36.2396240234375</v>
      </c>
      <c r="S697" s="64">
        <f t="shared" si="17"/>
        <v>23</v>
      </c>
      <c r="T697" s="64">
        <f t="shared" si="18"/>
        <v>18.2</v>
      </c>
      <c r="U697" s="64" t="str">
        <f t="shared" si="19"/>
        <v>&lt;35</v>
      </c>
      <c r="V697" s="64" t="str">
        <f t="shared" si="20"/>
        <v>31-40 Гб</v>
      </c>
    </row>
    <row r="698" spans="1:22" ht="15.75" customHeight="1" x14ac:dyDescent="0.25">
      <c r="A698" s="62" t="s">
        <v>789</v>
      </c>
      <c r="B698" s="56">
        <v>36216</v>
      </c>
      <c r="C698" s="62" t="s">
        <v>83</v>
      </c>
      <c r="D698" s="62" t="s">
        <v>84</v>
      </c>
      <c r="E698" s="62" t="s">
        <v>92</v>
      </c>
      <c r="F698" s="62" t="s">
        <v>89</v>
      </c>
      <c r="G698" s="56">
        <v>43915</v>
      </c>
      <c r="H698" s="62">
        <v>5</v>
      </c>
      <c r="I698" s="62">
        <v>4120</v>
      </c>
      <c r="J698" s="62">
        <v>144000000</v>
      </c>
      <c r="K698" s="62">
        <v>1</v>
      </c>
      <c r="P698" s="63">
        <f t="shared" si="14"/>
        <v>120</v>
      </c>
      <c r="Q698" s="64">
        <f t="shared" si="15"/>
        <v>17.166666666666668</v>
      </c>
      <c r="R698" s="64">
        <f t="shared" si="16"/>
        <v>34.332275390625</v>
      </c>
      <c r="S698" s="64">
        <f t="shared" si="17"/>
        <v>23</v>
      </c>
      <c r="T698" s="64">
        <f t="shared" si="18"/>
        <v>4.0055555555555555</v>
      </c>
      <c r="U698" s="64" t="str">
        <f t="shared" si="19"/>
        <v>&lt;35</v>
      </c>
      <c r="V698" s="64" t="str">
        <f t="shared" si="20"/>
        <v>31-40 Гб</v>
      </c>
    </row>
    <row r="699" spans="1:22" ht="15.75" customHeight="1" x14ac:dyDescent="0.25">
      <c r="A699" s="62" t="s">
        <v>790</v>
      </c>
      <c r="B699" s="56">
        <v>36215</v>
      </c>
      <c r="C699" s="62" t="s">
        <v>88</v>
      </c>
      <c r="D699" s="62" t="s">
        <v>84</v>
      </c>
      <c r="E699" s="62" t="s">
        <v>85</v>
      </c>
      <c r="F699" s="62" t="s">
        <v>89</v>
      </c>
      <c r="G699" s="56">
        <v>44543</v>
      </c>
      <c r="H699" s="62">
        <v>4</v>
      </c>
      <c r="I699" s="62">
        <v>11656</v>
      </c>
      <c r="J699" s="62">
        <v>44000000</v>
      </c>
      <c r="P699" s="63">
        <f t="shared" si="14"/>
        <v>120</v>
      </c>
      <c r="Q699" s="64">
        <f t="shared" si="15"/>
        <v>48.56666666666667</v>
      </c>
      <c r="R699" s="64">
        <f t="shared" si="16"/>
        <v>10.49041748046875</v>
      </c>
      <c r="S699" s="64">
        <f t="shared" si="17"/>
        <v>23</v>
      </c>
      <c r="T699" s="64">
        <f t="shared" si="18"/>
        <v>11.332222222222223</v>
      </c>
      <c r="U699" s="64" t="str">
        <f t="shared" si="19"/>
        <v>&lt;35</v>
      </c>
      <c r="V699" s="64" t="str">
        <f t="shared" si="20"/>
        <v>10-20 Гб</v>
      </c>
    </row>
    <row r="700" spans="1:22" ht="15.75" customHeight="1" x14ac:dyDescent="0.25">
      <c r="A700" s="62" t="s">
        <v>791</v>
      </c>
      <c r="B700" s="56">
        <v>36215</v>
      </c>
      <c r="C700" s="62" t="s">
        <v>83</v>
      </c>
      <c r="D700" s="62" t="s">
        <v>84</v>
      </c>
      <c r="E700" s="62" t="s">
        <v>85</v>
      </c>
      <c r="F700" s="62" t="s">
        <v>96</v>
      </c>
      <c r="G700" s="56">
        <v>42821</v>
      </c>
      <c r="H700" s="62">
        <v>5</v>
      </c>
      <c r="I700" s="62">
        <v>4115</v>
      </c>
      <c r="J700" s="62">
        <v>156000000</v>
      </c>
      <c r="P700" s="63">
        <f t="shared" si="14"/>
        <v>120</v>
      </c>
      <c r="Q700" s="64">
        <f t="shared" si="15"/>
        <v>17.145833333333332</v>
      </c>
      <c r="R700" s="64">
        <f t="shared" si="16"/>
        <v>37.19329833984375</v>
      </c>
      <c r="S700" s="64">
        <f t="shared" si="17"/>
        <v>23</v>
      </c>
      <c r="T700" s="64">
        <f t="shared" si="18"/>
        <v>4.0006944444444441</v>
      </c>
      <c r="U700" s="64" t="str">
        <f t="shared" si="19"/>
        <v>&lt;35</v>
      </c>
      <c r="V700" s="64" t="str">
        <f t="shared" si="20"/>
        <v>31-40 Гб</v>
      </c>
    </row>
    <row r="701" spans="1:22" ht="15.75" customHeight="1" x14ac:dyDescent="0.25">
      <c r="A701" s="62" t="s">
        <v>792</v>
      </c>
      <c r="B701" s="56">
        <v>36213</v>
      </c>
      <c r="C701" s="62" t="s">
        <v>83</v>
      </c>
      <c r="D701" s="62" t="s">
        <v>84</v>
      </c>
      <c r="E701" s="62" t="s">
        <v>92</v>
      </c>
      <c r="F701" s="62" t="s">
        <v>96</v>
      </c>
      <c r="G701" s="56">
        <v>43458</v>
      </c>
      <c r="H701" s="62">
        <v>5</v>
      </c>
      <c r="I701" s="62">
        <v>64368</v>
      </c>
      <c r="J701" s="62">
        <v>4000000</v>
      </c>
      <c r="P701" s="63">
        <f t="shared" si="14"/>
        <v>120</v>
      </c>
      <c r="Q701" s="64">
        <f t="shared" si="15"/>
        <v>268.2</v>
      </c>
      <c r="R701" s="64">
        <f t="shared" si="16"/>
        <v>0.95367431640625011</v>
      </c>
      <c r="S701" s="64">
        <f t="shared" si="17"/>
        <v>23</v>
      </c>
      <c r="T701" s="64">
        <f t="shared" si="18"/>
        <v>62.58</v>
      </c>
      <c r="U701" s="64" t="str">
        <f t="shared" si="19"/>
        <v>61-90</v>
      </c>
      <c r="V701" s="64" t="str">
        <f t="shared" si="20"/>
        <v>&lt;10 Гб</v>
      </c>
    </row>
    <row r="702" spans="1:22" ht="15.75" customHeight="1" x14ac:dyDescent="0.25">
      <c r="A702" s="62" t="s">
        <v>793</v>
      </c>
      <c r="B702" s="56">
        <v>36213</v>
      </c>
      <c r="C702" s="62" t="s">
        <v>88</v>
      </c>
      <c r="D702" s="62" t="s">
        <v>84</v>
      </c>
      <c r="E702" s="62" t="s">
        <v>92</v>
      </c>
      <c r="F702" s="62" t="s">
        <v>93</v>
      </c>
      <c r="G702" s="56">
        <v>43313</v>
      </c>
      <c r="H702" s="62">
        <v>5</v>
      </c>
      <c r="I702" s="62">
        <v>43164</v>
      </c>
      <c r="J702" s="62">
        <v>20000000</v>
      </c>
      <c r="P702" s="63">
        <f t="shared" si="14"/>
        <v>120</v>
      </c>
      <c r="Q702" s="64">
        <f t="shared" si="15"/>
        <v>179.85</v>
      </c>
      <c r="R702" s="64">
        <f t="shared" si="16"/>
        <v>4.76837158203125</v>
      </c>
      <c r="S702" s="64">
        <f t="shared" si="17"/>
        <v>23</v>
      </c>
      <c r="T702" s="64">
        <f t="shared" si="18"/>
        <v>41.965000000000003</v>
      </c>
      <c r="U702" s="64" t="str">
        <f t="shared" si="19"/>
        <v>35-60</v>
      </c>
      <c r="V702" s="64" t="str">
        <f t="shared" si="20"/>
        <v>&lt;10 Гб</v>
      </c>
    </row>
    <row r="703" spans="1:22" ht="15.75" customHeight="1" x14ac:dyDescent="0.25">
      <c r="A703" s="62" t="s">
        <v>794</v>
      </c>
      <c r="B703" s="56">
        <v>36211</v>
      </c>
      <c r="C703" s="62" t="s">
        <v>83</v>
      </c>
      <c r="D703" s="62" t="s">
        <v>84</v>
      </c>
      <c r="E703" s="62" t="s">
        <v>92</v>
      </c>
      <c r="F703" s="62" t="s">
        <v>100</v>
      </c>
      <c r="G703" s="56">
        <v>44099</v>
      </c>
      <c r="H703" s="62">
        <v>5</v>
      </c>
      <c r="I703" s="62">
        <v>108752</v>
      </c>
      <c r="J703" s="62">
        <v>72000000</v>
      </c>
      <c r="P703" s="63">
        <f t="shared" si="14"/>
        <v>120</v>
      </c>
      <c r="Q703" s="64">
        <f t="shared" si="15"/>
        <v>453.13333333333333</v>
      </c>
      <c r="R703" s="64">
        <f t="shared" si="16"/>
        <v>17.1661376953125</v>
      </c>
      <c r="S703" s="64">
        <f t="shared" si="17"/>
        <v>23</v>
      </c>
      <c r="T703" s="64">
        <f t="shared" si="18"/>
        <v>105.73111111111112</v>
      </c>
      <c r="U703" s="64" t="str">
        <f t="shared" si="19"/>
        <v>91-120</v>
      </c>
      <c r="V703" s="64" t="str">
        <f t="shared" si="20"/>
        <v>10-20 Гб</v>
      </c>
    </row>
    <row r="704" spans="1:22" ht="15.75" customHeight="1" x14ac:dyDescent="0.25">
      <c r="A704" s="62" t="s">
        <v>795</v>
      </c>
      <c r="B704" s="56">
        <v>36210</v>
      </c>
      <c r="C704" s="62" t="s">
        <v>88</v>
      </c>
      <c r="D704" s="62" t="s">
        <v>84</v>
      </c>
      <c r="E704" s="62" t="s">
        <v>85</v>
      </c>
      <c r="F704" s="62" t="s">
        <v>89</v>
      </c>
      <c r="G704" s="56">
        <v>42786</v>
      </c>
      <c r="H704" s="62">
        <v>5</v>
      </c>
      <c r="I704" s="62">
        <v>17640</v>
      </c>
      <c r="J704" s="62">
        <v>28000000</v>
      </c>
      <c r="K704" s="62">
        <v>1</v>
      </c>
      <c r="L704" s="62">
        <v>1</v>
      </c>
      <c r="N704" s="62">
        <v>1</v>
      </c>
      <c r="P704" s="63">
        <f t="shared" si="14"/>
        <v>120</v>
      </c>
      <c r="Q704" s="64">
        <f t="shared" si="15"/>
        <v>73.5</v>
      </c>
      <c r="R704" s="64">
        <f t="shared" si="16"/>
        <v>6.67572021484375</v>
      </c>
      <c r="S704" s="64">
        <f t="shared" si="17"/>
        <v>23</v>
      </c>
      <c r="T704" s="64">
        <f t="shared" si="18"/>
        <v>17.149999999999999</v>
      </c>
      <c r="U704" s="64" t="str">
        <f t="shared" si="19"/>
        <v>&lt;35</v>
      </c>
      <c r="V704" s="64" t="str">
        <f t="shared" si="20"/>
        <v>&lt;10 Гб</v>
      </c>
    </row>
    <row r="705" spans="1:22" ht="15.75" customHeight="1" x14ac:dyDescent="0.25">
      <c r="A705" s="62" t="s">
        <v>796</v>
      </c>
      <c r="B705" s="56">
        <v>36209</v>
      </c>
      <c r="C705" s="62" t="s">
        <v>88</v>
      </c>
      <c r="D705" s="62" t="s">
        <v>84</v>
      </c>
      <c r="E705" s="62" t="s">
        <v>85</v>
      </c>
      <c r="F705" s="62" t="s">
        <v>89</v>
      </c>
      <c r="G705" s="56">
        <v>43467</v>
      </c>
      <c r="H705" s="62">
        <v>5</v>
      </c>
      <c r="I705" s="62">
        <v>34912</v>
      </c>
      <c r="J705" s="62">
        <v>148000000</v>
      </c>
      <c r="P705" s="63">
        <f t="shared" si="14"/>
        <v>120</v>
      </c>
      <c r="Q705" s="64">
        <f t="shared" si="15"/>
        <v>145.46666666666667</v>
      </c>
      <c r="R705" s="64">
        <f t="shared" si="16"/>
        <v>35.28594970703125</v>
      </c>
      <c r="S705" s="64">
        <f t="shared" si="17"/>
        <v>23</v>
      </c>
      <c r="T705" s="64">
        <f t="shared" si="18"/>
        <v>33.94222222222222</v>
      </c>
      <c r="U705" s="64" t="str">
        <f t="shared" si="19"/>
        <v>&lt;35</v>
      </c>
      <c r="V705" s="64" t="str">
        <f t="shared" si="20"/>
        <v>31-40 Гб</v>
      </c>
    </row>
    <row r="706" spans="1:22" ht="15.75" customHeight="1" x14ac:dyDescent="0.25">
      <c r="A706" s="62" t="s">
        <v>797</v>
      </c>
      <c r="B706" s="56">
        <v>36208</v>
      </c>
      <c r="C706" s="62" t="s">
        <v>88</v>
      </c>
      <c r="D706" s="62" t="s">
        <v>84</v>
      </c>
      <c r="E706" s="62" t="s">
        <v>92</v>
      </c>
      <c r="F706" s="62" t="s">
        <v>96</v>
      </c>
      <c r="G706" s="56">
        <v>43092</v>
      </c>
      <c r="H706" s="62">
        <v>5</v>
      </c>
      <c r="I706" s="62">
        <v>75616</v>
      </c>
      <c r="J706" s="62">
        <v>104000000</v>
      </c>
      <c r="P706" s="63">
        <f t="shared" si="14"/>
        <v>120</v>
      </c>
      <c r="Q706" s="64">
        <f t="shared" si="15"/>
        <v>315.06666666666666</v>
      </c>
      <c r="R706" s="64">
        <f t="shared" si="16"/>
        <v>24.7955322265625</v>
      </c>
      <c r="S706" s="64">
        <f t="shared" si="17"/>
        <v>23</v>
      </c>
      <c r="T706" s="64">
        <f t="shared" si="18"/>
        <v>73.515555555555551</v>
      </c>
      <c r="U706" s="64" t="str">
        <f t="shared" si="19"/>
        <v>61-90</v>
      </c>
      <c r="V706" s="64" t="str">
        <f t="shared" si="20"/>
        <v>21-30 Гб</v>
      </c>
    </row>
    <row r="707" spans="1:22" ht="15.75" customHeight="1" x14ac:dyDescent="0.25">
      <c r="A707" s="62" t="s">
        <v>798</v>
      </c>
      <c r="B707" s="56">
        <v>36208</v>
      </c>
      <c r="C707" s="62" t="s">
        <v>83</v>
      </c>
      <c r="D707" s="62" t="s">
        <v>84</v>
      </c>
      <c r="E707" s="62" t="s">
        <v>92</v>
      </c>
      <c r="F707" s="62" t="s">
        <v>89</v>
      </c>
      <c r="G707" s="56">
        <v>43132</v>
      </c>
      <c r="H707" s="62">
        <v>5</v>
      </c>
      <c r="I707" s="62">
        <v>2128</v>
      </c>
      <c r="J707" s="62">
        <v>88000000</v>
      </c>
      <c r="K707" s="62">
        <v>1</v>
      </c>
      <c r="P707" s="63">
        <f t="shared" si="14"/>
        <v>120</v>
      </c>
      <c r="Q707" s="64">
        <f t="shared" si="15"/>
        <v>8.8666666666666671</v>
      </c>
      <c r="R707" s="64">
        <f t="shared" si="16"/>
        <v>20.9808349609375</v>
      </c>
      <c r="S707" s="64">
        <f t="shared" si="17"/>
        <v>23</v>
      </c>
      <c r="T707" s="64">
        <f t="shared" si="18"/>
        <v>2.068888888888889</v>
      </c>
      <c r="U707" s="64" t="str">
        <f t="shared" si="19"/>
        <v>&lt;35</v>
      </c>
      <c r="V707" s="64" t="str">
        <f t="shared" si="20"/>
        <v>21-30 Гб</v>
      </c>
    </row>
    <row r="708" spans="1:22" ht="15.75" customHeight="1" x14ac:dyDescent="0.25">
      <c r="A708" s="62" t="s">
        <v>799</v>
      </c>
      <c r="B708" s="56">
        <v>36200</v>
      </c>
      <c r="C708" s="62" t="s">
        <v>88</v>
      </c>
      <c r="D708" s="62" t="s">
        <v>84</v>
      </c>
      <c r="E708" s="62" t="s">
        <v>85</v>
      </c>
      <c r="F708" s="62" t="s">
        <v>93</v>
      </c>
      <c r="G708" s="56">
        <v>43294</v>
      </c>
      <c r="H708" s="62">
        <v>5</v>
      </c>
      <c r="I708" s="62">
        <v>43024</v>
      </c>
      <c r="J708" s="62">
        <v>16000000</v>
      </c>
      <c r="M708" s="62">
        <v>1</v>
      </c>
      <c r="P708" s="63">
        <f t="shared" si="14"/>
        <v>120</v>
      </c>
      <c r="Q708" s="64">
        <f t="shared" si="15"/>
        <v>179.26666666666668</v>
      </c>
      <c r="R708" s="64">
        <f t="shared" si="16"/>
        <v>3.8146972656250004</v>
      </c>
      <c r="S708" s="64">
        <f t="shared" si="17"/>
        <v>23</v>
      </c>
      <c r="T708" s="64">
        <f t="shared" si="18"/>
        <v>41.828888888888891</v>
      </c>
      <c r="U708" s="64" t="str">
        <f t="shared" si="19"/>
        <v>35-60</v>
      </c>
      <c r="V708" s="64" t="str">
        <f t="shared" si="20"/>
        <v>&lt;10 Гб</v>
      </c>
    </row>
    <row r="709" spans="1:22" ht="15.75" customHeight="1" x14ac:dyDescent="0.25">
      <c r="A709" s="62" t="s">
        <v>800</v>
      </c>
      <c r="B709" s="56">
        <v>36197</v>
      </c>
      <c r="C709" s="62" t="s">
        <v>83</v>
      </c>
      <c r="D709" s="62" t="s">
        <v>84</v>
      </c>
      <c r="E709" s="62" t="s">
        <v>85</v>
      </c>
      <c r="F709" s="62" t="s">
        <v>96</v>
      </c>
      <c r="G709" s="56">
        <v>44018</v>
      </c>
      <c r="H709" s="62">
        <v>5</v>
      </c>
      <c r="I709" s="62">
        <v>58024</v>
      </c>
      <c r="J709" s="62">
        <v>100000000</v>
      </c>
      <c r="P709" s="63">
        <f t="shared" si="14"/>
        <v>120</v>
      </c>
      <c r="Q709" s="64">
        <f t="shared" si="15"/>
        <v>241.76666666666668</v>
      </c>
      <c r="R709" s="64">
        <f t="shared" si="16"/>
        <v>23.84185791015625</v>
      </c>
      <c r="S709" s="64">
        <f t="shared" si="17"/>
        <v>23</v>
      </c>
      <c r="T709" s="64">
        <f t="shared" si="18"/>
        <v>56.412222222222226</v>
      </c>
      <c r="U709" s="64" t="str">
        <f t="shared" si="19"/>
        <v>35-60</v>
      </c>
      <c r="V709" s="64" t="str">
        <f t="shared" si="20"/>
        <v>21-30 Гб</v>
      </c>
    </row>
    <row r="710" spans="1:22" ht="15.75" customHeight="1" x14ac:dyDescent="0.25">
      <c r="A710" s="62" t="s">
        <v>801</v>
      </c>
      <c r="B710" s="56">
        <v>36194</v>
      </c>
      <c r="C710" s="62" t="s">
        <v>88</v>
      </c>
      <c r="D710" s="62" t="s">
        <v>84</v>
      </c>
      <c r="E710" s="62" t="s">
        <v>85</v>
      </c>
      <c r="F710" s="62" t="s">
        <v>96</v>
      </c>
      <c r="G710" s="56">
        <v>43172</v>
      </c>
      <c r="H710" s="62">
        <v>5</v>
      </c>
      <c r="I710" s="62">
        <v>69536</v>
      </c>
      <c r="J710" s="62">
        <v>64000000</v>
      </c>
      <c r="N710" s="62">
        <v>1</v>
      </c>
      <c r="P710" s="63">
        <f t="shared" si="14"/>
        <v>120</v>
      </c>
      <c r="Q710" s="64">
        <f t="shared" si="15"/>
        <v>289.73333333333335</v>
      </c>
      <c r="R710" s="64">
        <f t="shared" si="16"/>
        <v>15.258789062500002</v>
      </c>
      <c r="S710" s="64">
        <f t="shared" si="17"/>
        <v>23</v>
      </c>
      <c r="T710" s="64">
        <f t="shared" si="18"/>
        <v>67.604444444444454</v>
      </c>
      <c r="U710" s="64" t="str">
        <f t="shared" si="19"/>
        <v>61-90</v>
      </c>
      <c r="V710" s="64" t="str">
        <f t="shared" si="20"/>
        <v>10-20 Гб</v>
      </c>
    </row>
    <row r="711" spans="1:22" ht="15.75" customHeight="1" x14ac:dyDescent="0.25">
      <c r="A711" s="62" t="s">
        <v>802</v>
      </c>
      <c r="B711" s="56">
        <v>36191</v>
      </c>
      <c r="C711" s="62" t="s">
        <v>88</v>
      </c>
      <c r="D711" s="62" t="s">
        <v>84</v>
      </c>
      <c r="E711" s="62" t="s">
        <v>92</v>
      </c>
      <c r="F711" s="62" t="s">
        <v>100</v>
      </c>
      <c r="G711" s="56">
        <v>44596</v>
      </c>
      <c r="H711" s="62">
        <v>2</v>
      </c>
      <c r="I711" s="62">
        <v>50835</v>
      </c>
      <c r="J711" s="62">
        <v>88866667</v>
      </c>
      <c r="P711" s="63">
        <f t="shared" si="14"/>
        <v>86</v>
      </c>
      <c r="Q711" s="64">
        <f t="shared" si="15"/>
        <v>295.55232558139534</v>
      </c>
      <c r="R711" s="64">
        <f t="shared" si="16"/>
        <v>29.563903919486112</v>
      </c>
      <c r="S711" s="64">
        <f t="shared" si="17"/>
        <v>23</v>
      </c>
      <c r="T711" s="64">
        <f t="shared" si="18"/>
        <v>68.962209302325576</v>
      </c>
      <c r="U711" s="64" t="str">
        <f t="shared" si="19"/>
        <v>61-90</v>
      </c>
      <c r="V711" s="64" t="str">
        <f t="shared" si="20"/>
        <v>21-30 Гб</v>
      </c>
    </row>
    <row r="712" spans="1:22" ht="15.75" customHeight="1" x14ac:dyDescent="0.25">
      <c r="A712" s="62" t="s">
        <v>803</v>
      </c>
      <c r="B712" s="56">
        <v>36191</v>
      </c>
      <c r="C712" s="62" t="s">
        <v>83</v>
      </c>
      <c r="D712" s="62" t="s">
        <v>84</v>
      </c>
      <c r="E712" s="62" t="s">
        <v>92</v>
      </c>
      <c r="F712" s="62" t="s">
        <v>96</v>
      </c>
      <c r="G712" s="56">
        <v>43152</v>
      </c>
      <c r="H712" s="62">
        <v>5</v>
      </c>
      <c r="I712" s="62">
        <v>33840</v>
      </c>
      <c r="J712" s="62">
        <v>56000000</v>
      </c>
      <c r="K712" s="62">
        <v>1</v>
      </c>
      <c r="O712" s="62">
        <v>1</v>
      </c>
      <c r="P712" s="63">
        <f t="shared" si="14"/>
        <v>120</v>
      </c>
      <c r="Q712" s="64">
        <f t="shared" si="15"/>
        <v>141</v>
      </c>
      <c r="R712" s="64">
        <f t="shared" si="16"/>
        <v>13.3514404296875</v>
      </c>
      <c r="S712" s="64">
        <f t="shared" si="17"/>
        <v>23</v>
      </c>
      <c r="T712" s="64">
        <f t="shared" si="18"/>
        <v>32.9</v>
      </c>
      <c r="U712" s="64" t="str">
        <f t="shared" si="19"/>
        <v>&lt;35</v>
      </c>
      <c r="V712" s="64" t="str">
        <f t="shared" si="20"/>
        <v>10-20 Гб</v>
      </c>
    </row>
    <row r="713" spans="1:22" ht="15.75" customHeight="1" x14ac:dyDescent="0.25">
      <c r="A713" s="62" t="s">
        <v>804</v>
      </c>
      <c r="B713" s="56">
        <v>36191</v>
      </c>
      <c r="C713" s="62" t="s">
        <v>83</v>
      </c>
      <c r="D713" s="62" t="s">
        <v>84</v>
      </c>
      <c r="E713" s="62" t="s">
        <v>85</v>
      </c>
      <c r="F713" s="62" t="s">
        <v>89</v>
      </c>
      <c r="G713" s="56">
        <v>44155</v>
      </c>
      <c r="H713" s="62">
        <v>5</v>
      </c>
      <c r="I713" s="62">
        <v>9936</v>
      </c>
      <c r="J713" s="62">
        <v>132000000</v>
      </c>
      <c r="P713" s="63">
        <f t="shared" si="14"/>
        <v>120</v>
      </c>
      <c r="Q713" s="64">
        <f t="shared" si="15"/>
        <v>41.4</v>
      </c>
      <c r="R713" s="64">
        <f t="shared" si="16"/>
        <v>31.47125244140625</v>
      </c>
      <c r="S713" s="64">
        <f t="shared" si="17"/>
        <v>23</v>
      </c>
      <c r="T713" s="64">
        <f t="shared" si="18"/>
        <v>9.66</v>
      </c>
      <c r="U713" s="64" t="str">
        <f t="shared" si="19"/>
        <v>&lt;35</v>
      </c>
      <c r="V713" s="64" t="str">
        <f t="shared" si="20"/>
        <v>31-40 Гб</v>
      </c>
    </row>
    <row r="714" spans="1:22" ht="15.75" customHeight="1" x14ac:dyDescent="0.25">
      <c r="A714" s="62" t="s">
        <v>805</v>
      </c>
      <c r="B714" s="56">
        <v>36190</v>
      </c>
      <c r="C714" s="62" t="s">
        <v>83</v>
      </c>
      <c r="D714" s="62" t="s">
        <v>84</v>
      </c>
      <c r="E714" s="62" t="s">
        <v>85</v>
      </c>
      <c r="F714" s="62" t="s">
        <v>89</v>
      </c>
      <c r="G714" s="56">
        <v>42805</v>
      </c>
      <c r="H714" s="62">
        <v>5</v>
      </c>
      <c r="I714" s="62">
        <v>18572</v>
      </c>
      <c r="J714" s="62">
        <v>148000000</v>
      </c>
      <c r="M714" s="62">
        <v>1</v>
      </c>
      <c r="P714" s="63">
        <f t="shared" si="14"/>
        <v>120</v>
      </c>
      <c r="Q714" s="64">
        <f t="shared" si="15"/>
        <v>77.38333333333334</v>
      </c>
      <c r="R714" s="64">
        <f t="shared" si="16"/>
        <v>35.28594970703125</v>
      </c>
      <c r="S714" s="64">
        <f t="shared" si="17"/>
        <v>23</v>
      </c>
      <c r="T714" s="64">
        <f t="shared" si="18"/>
        <v>18.056111111111115</v>
      </c>
      <c r="U714" s="64" t="str">
        <f t="shared" si="19"/>
        <v>&lt;35</v>
      </c>
      <c r="V714" s="64" t="str">
        <f t="shared" si="20"/>
        <v>31-40 Гб</v>
      </c>
    </row>
    <row r="715" spans="1:22" ht="15.75" customHeight="1" x14ac:dyDescent="0.25">
      <c r="A715" s="62" t="s">
        <v>806</v>
      </c>
      <c r="B715" s="56">
        <v>36189</v>
      </c>
      <c r="C715" s="62" t="s">
        <v>88</v>
      </c>
      <c r="D715" s="62" t="s">
        <v>84</v>
      </c>
      <c r="E715" s="62" t="s">
        <v>85</v>
      </c>
      <c r="F715" s="62" t="s">
        <v>89</v>
      </c>
      <c r="G715" s="56">
        <v>44627</v>
      </c>
      <c r="H715" s="62">
        <v>1</v>
      </c>
      <c r="I715" s="62">
        <v>3801</v>
      </c>
      <c r="J715" s="62">
        <v>71500000</v>
      </c>
      <c r="P715" s="63">
        <f t="shared" si="14"/>
        <v>55</v>
      </c>
      <c r="Q715" s="64">
        <f t="shared" si="15"/>
        <v>34.554545454545455</v>
      </c>
      <c r="R715" s="64">
        <f t="shared" si="16"/>
        <v>37.19329833984375</v>
      </c>
      <c r="S715" s="64">
        <f t="shared" si="17"/>
        <v>23</v>
      </c>
      <c r="T715" s="64">
        <f t="shared" si="18"/>
        <v>8.0627272727272725</v>
      </c>
      <c r="U715" s="64" t="str">
        <f t="shared" si="19"/>
        <v>&lt;35</v>
      </c>
      <c r="V715" s="64" t="str">
        <f t="shared" si="20"/>
        <v>31-40 Гб</v>
      </c>
    </row>
    <row r="716" spans="1:22" ht="15.75" customHeight="1" x14ac:dyDescent="0.25">
      <c r="A716" s="62" t="s">
        <v>807</v>
      </c>
      <c r="B716" s="56">
        <v>36183</v>
      </c>
      <c r="C716" s="62" t="s">
        <v>83</v>
      </c>
      <c r="D716" s="62" t="s">
        <v>84</v>
      </c>
      <c r="E716" s="62" t="s">
        <v>92</v>
      </c>
      <c r="F716" s="62" t="s">
        <v>89</v>
      </c>
      <c r="G716" s="56">
        <v>44235</v>
      </c>
      <c r="H716" s="62">
        <v>5</v>
      </c>
      <c r="I716" s="62">
        <v>33016</v>
      </c>
      <c r="J716" s="62">
        <v>108000000</v>
      </c>
      <c r="P716" s="63">
        <f t="shared" si="14"/>
        <v>120</v>
      </c>
      <c r="Q716" s="64">
        <f t="shared" si="15"/>
        <v>137.56666666666666</v>
      </c>
      <c r="R716" s="64">
        <f t="shared" si="16"/>
        <v>25.74920654296875</v>
      </c>
      <c r="S716" s="64">
        <f t="shared" si="17"/>
        <v>23</v>
      </c>
      <c r="T716" s="64">
        <f t="shared" si="18"/>
        <v>32.098888888888887</v>
      </c>
      <c r="U716" s="64" t="str">
        <f t="shared" si="19"/>
        <v>&lt;35</v>
      </c>
      <c r="V716" s="64" t="str">
        <f t="shared" si="20"/>
        <v>21-30 Гб</v>
      </c>
    </row>
    <row r="717" spans="1:22" ht="15.75" customHeight="1" x14ac:dyDescent="0.25">
      <c r="A717" s="62" t="s">
        <v>808</v>
      </c>
      <c r="B717" s="56">
        <v>36180</v>
      </c>
      <c r="C717" s="62" t="s">
        <v>83</v>
      </c>
      <c r="D717" s="62" t="s">
        <v>84</v>
      </c>
      <c r="E717" s="62" t="s">
        <v>85</v>
      </c>
      <c r="F717" s="62" t="s">
        <v>96</v>
      </c>
      <c r="G717" s="56">
        <v>44124</v>
      </c>
      <c r="H717" s="62">
        <v>5</v>
      </c>
      <c r="I717" s="62">
        <v>76360</v>
      </c>
      <c r="J717" s="62">
        <v>108000000</v>
      </c>
      <c r="P717" s="63">
        <f t="shared" si="14"/>
        <v>120</v>
      </c>
      <c r="Q717" s="64">
        <f t="shared" si="15"/>
        <v>318.16666666666669</v>
      </c>
      <c r="R717" s="64">
        <f t="shared" si="16"/>
        <v>25.74920654296875</v>
      </c>
      <c r="S717" s="64">
        <f t="shared" si="17"/>
        <v>23</v>
      </c>
      <c r="T717" s="64">
        <f t="shared" si="18"/>
        <v>74.238888888888894</v>
      </c>
      <c r="U717" s="64" t="str">
        <f t="shared" si="19"/>
        <v>61-90</v>
      </c>
      <c r="V717" s="64" t="str">
        <f t="shared" si="20"/>
        <v>21-30 Гб</v>
      </c>
    </row>
    <row r="718" spans="1:22" ht="15.75" customHeight="1" x14ac:dyDescent="0.25">
      <c r="A718" s="62" t="s">
        <v>809</v>
      </c>
      <c r="B718" s="56">
        <v>36177</v>
      </c>
      <c r="C718" s="62" t="s">
        <v>88</v>
      </c>
      <c r="D718" s="62" t="s">
        <v>84</v>
      </c>
      <c r="E718" s="62" t="s">
        <v>85</v>
      </c>
      <c r="F718" s="62" t="s">
        <v>86</v>
      </c>
      <c r="G718" s="56">
        <v>43482</v>
      </c>
      <c r="H718" s="62">
        <v>5</v>
      </c>
      <c r="I718" s="62">
        <v>156948</v>
      </c>
      <c r="J718" s="62">
        <v>196000000</v>
      </c>
      <c r="P718" s="63">
        <f t="shared" si="14"/>
        <v>120</v>
      </c>
      <c r="Q718" s="64">
        <f t="shared" si="15"/>
        <v>653.95000000000005</v>
      </c>
      <c r="R718" s="64">
        <f t="shared" si="16"/>
        <v>46.73004150390625</v>
      </c>
      <c r="S718" s="64">
        <f t="shared" si="17"/>
        <v>23</v>
      </c>
      <c r="T718" s="64">
        <f t="shared" si="18"/>
        <v>152.58833333333334</v>
      </c>
      <c r="U718" s="64" t="str">
        <f t="shared" si="19"/>
        <v>120+</v>
      </c>
      <c r="V718" s="64" t="str">
        <f t="shared" si="20"/>
        <v>40+ Гб</v>
      </c>
    </row>
    <row r="719" spans="1:22" ht="15.75" customHeight="1" x14ac:dyDescent="0.25">
      <c r="A719" s="62" t="s">
        <v>810</v>
      </c>
      <c r="B719" s="56">
        <v>36172</v>
      </c>
      <c r="C719" s="62" t="s">
        <v>83</v>
      </c>
      <c r="D719" s="62" t="s">
        <v>84</v>
      </c>
      <c r="E719" s="62" t="s">
        <v>92</v>
      </c>
      <c r="F719" s="62" t="s">
        <v>89</v>
      </c>
      <c r="G719" s="56">
        <v>44663</v>
      </c>
      <c r="H719" s="62">
        <v>0</v>
      </c>
      <c r="I719" s="62">
        <v>3535</v>
      </c>
      <c r="J719" s="62">
        <v>24066667</v>
      </c>
      <c r="L719" s="62">
        <v>1</v>
      </c>
      <c r="P719" s="63">
        <f t="shared" si="14"/>
        <v>19</v>
      </c>
      <c r="Q719" s="64">
        <f t="shared" si="15"/>
        <v>93.026315789473671</v>
      </c>
      <c r="R719" s="64">
        <f t="shared" si="16"/>
        <v>36.239624525371347</v>
      </c>
      <c r="S719" s="64">
        <f t="shared" si="17"/>
        <v>23</v>
      </c>
      <c r="T719" s="64">
        <f t="shared" si="18"/>
        <v>21.706140350877192</v>
      </c>
      <c r="U719" s="64" t="str">
        <f t="shared" si="19"/>
        <v>&lt;35</v>
      </c>
      <c r="V719" s="64" t="str">
        <f t="shared" si="20"/>
        <v>31-40 Гб</v>
      </c>
    </row>
    <row r="720" spans="1:22" ht="15.75" customHeight="1" x14ac:dyDescent="0.25">
      <c r="A720" s="62" t="s">
        <v>811</v>
      </c>
      <c r="B720" s="56">
        <v>36172</v>
      </c>
      <c r="C720" s="62" t="s">
        <v>88</v>
      </c>
      <c r="D720" s="62" t="s">
        <v>84</v>
      </c>
      <c r="E720" s="62" t="s">
        <v>85</v>
      </c>
      <c r="F720" s="62" t="s">
        <v>96</v>
      </c>
      <c r="G720" s="56">
        <v>43483</v>
      </c>
      <c r="H720" s="62">
        <v>5</v>
      </c>
      <c r="I720" s="62">
        <v>60108</v>
      </c>
      <c r="J720" s="62">
        <v>68000000</v>
      </c>
      <c r="P720" s="63">
        <f t="shared" si="14"/>
        <v>120</v>
      </c>
      <c r="Q720" s="64">
        <f t="shared" si="15"/>
        <v>250.45</v>
      </c>
      <c r="R720" s="64">
        <f t="shared" si="16"/>
        <v>16.21246337890625</v>
      </c>
      <c r="S720" s="64">
        <f t="shared" si="17"/>
        <v>23</v>
      </c>
      <c r="T720" s="64">
        <f t="shared" si="18"/>
        <v>58.438333333333325</v>
      </c>
      <c r="U720" s="64" t="str">
        <f t="shared" si="19"/>
        <v>35-60</v>
      </c>
      <c r="V720" s="64" t="str">
        <f t="shared" si="20"/>
        <v>10-20 Гб</v>
      </c>
    </row>
    <row r="721" spans="1:22" ht="15.75" customHeight="1" x14ac:dyDescent="0.25">
      <c r="A721" s="62" t="s">
        <v>812</v>
      </c>
      <c r="B721" s="56">
        <v>36171</v>
      </c>
      <c r="C721" s="62" t="s">
        <v>83</v>
      </c>
      <c r="D721" s="62" t="s">
        <v>84</v>
      </c>
      <c r="E721" s="62" t="s">
        <v>92</v>
      </c>
      <c r="F721" s="62" t="s">
        <v>93</v>
      </c>
      <c r="G721" s="56">
        <v>43119</v>
      </c>
      <c r="H721" s="62">
        <v>5</v>
      </c>
      <c r="I721" s="62">
        <v>1768</v>
      </c>
      <c r="J721" s="62">
        <v>4000000</v>
      </c>
      <c r="L721" s="62">
        <v>1</v>
      </c>
      <c r="P721" s="63">
        <f t="shared" si="14"/>
        <v>120</v>
      </c>
      <c r="Q721" s="64">
        <f t="shared" si="15"/>
        <v>7.3666666666666663</v>
      </c>
      <c r="R721" s="64">
        <f t="shared" si="16"/>
        <v>0.95367431640625011</v>
      </c>
      <c r="S721" s="64">
        <f t="shared" si="17"/>
        <v>23</v>
      </c>
      <c r="T721" s="64">
        <f t="shared" si="18"/>
        <v>1.7188888888888887</v>
      </c>
      <c r="U721" s="64" t="str">
        <f t="shared" si="19"/>
        <v>&lt;35</v>
      </c>
      <c r="V721" s="64" t="str">
        <f t="shared" si="20"/>
        <v>&lt;10 Гб</v>
      </c>
    </row>
    <row r="722" spans="1:22" ht="15.75" customHeight="1" x14ac:dyDescent="0.25">
      <c r="A722" s="62" t="s">
        <v>813</v>
      </c>
      <c r="B722" s="56">
        <v>36170</v>
      </c>
      <c r="C722" s="62" t="s">
        <v>88</v>
      </c>
      <c r="D722" s="62" t="s">
        <v>84</v>
      </c>
      <c r="E722" s="62" t="s">
        <v>92</v>
      </c>
      <c r="F722" s="62" t="s">
        <v>100</v>
      </c>
      <c r="G722" s="56">
        <v>44630</v>
      </c>
      <c r="H722" s="62">
        <v>1</v>
      </c>
      <c r="I722" s="62">
        <v>7476</v>
      </c>
      <c r="J722" s="62">
        <v>50266667</v>
      </c>
      <c r="P722" s="63">
        <f t="shared" si="14"/>
        <v>52</v>
      </c>
      <c r="Q722" s="64">
        <f t="shared" si="15"/>
        <v>71.884615384615387</v>
      </c>
      <c r="R722" s="64">
        <f t="shared" si="16"/>
        <v>27.656555359180157</v>
      </c>
      <c r="S722" s="64">
        <f t="shared" si="17"/>
        <v>23</v>
      </c>
      <c r="T722" s="64">
        <f t="shared" si="18"/>
        <v>16.773076923076925</v>
      </c>
      <c r="U722" s="64" t="str">
        <f t="shared" si="19"/>
        <v>&lt;35</v>
      </c>
      <c r="V722" s="64" t="str">
        <f t="shared" si="20"/>
        <v>21-30 Гб</v>
      </c>
    </row>
    <row r="723" spans="1:22" ht="15.75" customHeight="1" x14ac:dyDescent="0.25">
      <c r="A723" s="62" t="s">
        <v>814</v>
      </c>
      <c r="B723" s="56">
        <v>36168</v>
      </c>
      <c r="C723" s="62" t="s">
        <v>83</v>
      </c>
      <c r="D723" s="62" t="s">
        <v>84</v>
      </c>
      <c r="E723" s="62" t="s">
        <v>85</v>
      </c>
      <c r="F723" s="62" t="s">
        <v>96</v>
      </c>
      <c r="G723" s="56">
        <v>42985</v>
      </c>
      <c r="H723" s="62">
        <v>5</v>
      </c>
      <c r="I723" s="62">
        <v>68348</v>
      </c>
      <c r="J723" s="62">
        <v>76000000</v>
      </c>
      <c r="P723" s="63">
        <f t="shared" si="14"/>
        <v>120</v>
      </c>
      <c r="Q723" s="64">
        <f t="shared" si="15"/>
        <v>284.78333333333336</v>
      </c>
      <c r="R723" s="64">
        <f t="shared" si="16"/>
        <v>18.11981201171875</v>
      </c>
      <c r="S723" s="64">
        <f t="shared" si="17"/>
        <v>23</v>
      </c>
      <c r="T723" s="64">
        <f t="shared" si="18"/>
        <v>66.449444444444453</v>
      </c>
      <c r="U723" s="64" t="str">
        <f t="shared" si="19"/>
        <v>61-90</v>
      </c>
      <c r="V723" s="64" t="str">
        <f t="shared" si="20"/>
        <v>10-20 Гб</v>
      </c>
    </row>
    <row r="724" spans="1:22" ht="15.75" customHeight="1" x14ac:dyDescent="0.25">
      <c r="A724" s="62" t="s">
        <v>815</v>
      </c>
      <c r="B724" s="56">
        <v>36165</v>
      </c>
      <c r="C724" s="62" t="s">
        <v>88</v>
      </c>
      <c r="D724" s="62" t="s">
        <v>84</v>
      </c>
      <c r="E724" s="62" t="s">
        <v>85</v>
      </c>
      <c r="F724" s="62" t="s">
        <v>96</v>
      </c>
      <c r="G724" s="56">
        <v>42989</v>
      </c>
      <c r="H724" s="62">
        <v>5</v>
      </c>
      <c r="I724" s="62">
        <v>79568</v>
      </c>
      <c r="J724" s="62">
        <v>88000000</v>
      </c>
      <c r="K724" s="62">
        <v>1</v>
      </c>
      <c r="L724" s="62">
        <v>1</v>
      </c>
      <c r="P724" s="63">
        <f t="shared" si="14"/>
        <v>120</v>
      </c>
      <c r="Q724" s="64">
        <f t="shared" si="15"/>
        <v>331.53333333333336</v>
      </c>
      <c r="R724" s="64">
        <f t="shared" si="16"/>
        <v>20.9808349609375</v>
      </c>
      <c r="S724" s="64">
        <f t="shared" si="17"/>
        <v>23</v>
      </c>
      <c r="T724" s="64">
        <f t="shared" si="18"/>
        <v>77.357777777777784</v>
      </c>
      <c r="U724" s="64" t="str">
        <f t="shared" si="19"/>
        <v>61-90</v>
      </c>
      <c r="V724" s="64" t="str">
        <f t="shared" si="20"/>
        <v>21-30 Гб</v>
      </c>
    </row>
    <row r="725" spans="1:22" ht="15.75" customHeight="1" x14ac:dyDescent="0.25">
      <c r="A725" s="62" t="s">
        <v>816</v>
      </c>
      <c r="B725" s="56">
        <v>36165</v>
      </c>
      <c r="C725" s="62" t="s">
        <v>83</v>
      </c>
      <c r="D725" s="62" t="s">
        <v>84</v>
      </c>
      <c r="E725" s="62" t="s">
        <v>85</v>
      </c>
      <c r="F725" s="62" t="s">
        <v>89</v>
      </c>
      <c r="G725" s="56">
        <v>43929</v>
      </c>
      <c r="H725" s="62">
        <v>5</v>
      </c>
      <c r="I725" s="62">
        <v>8348</v>
      </c>
      <c r="J725" s="62">
        <v>144000000</v>
      </c>
      <c r="L725" s="62">
        <v>1</v>
      </c>
      <c r="P725" s="63">
        <f t="shared" si="14"/>
        <v>120</v>
      </c>
      <c r="Q725" s="64">
        <f t="shared" si="15"/>
        <v>34.783333333333331</v>
      </c>
      <c r="R725" s="64">
        <f t="shared" si="16"/>
        <v>34.332275390625</v>
      </c>
      <c r="S725" s="64">
        <f t="shared" si="17"/>
        <v>23</v>
      </c>
      <c r="T725" s="64">
        <f t="shared" si="18"/>
        <v>8.1161111111111115</v>
      </c>
      <c r="U725" s="64" t="str">
        <f t="shared" si="19"/>
        <v>&lt;35</v>
      </c>
      <c r="V725" s="64" t="str">
        <f t="shared" si="20"/>
        <v>31-40 Гб</v>
      </c>
    </row>
    <row r="726" spans="1:22" ht="15.75" customHeight="1" x14ac:dyDescent="0.25">
      <c r="A726" s="62" t="s">
        <v>817</v>
      </c>
      <c r="B726" s="56">
        <v>36162</v>
      </c>
      <c r="C726" s="62" t="s">
        <v>83</v>
      </c>
      <c r="D726" s="62" t="s">
        <v>84</v>
      </c>
      <c r="E726" s="62" t="s">
        <v>85</v>
      </c>
      <c r="F726" s="62" t="s">
        <v>100</v>
      </c>
      <c r="G726" s="56">
        <v>43905</v>
      </c>
      <c r="H726" s="62">
        <v>5</v>
      </c>
      <c r="I726" s="62">
        <v>102048</v>
      </c>
      <c r="J726" s="62">
        <v>96000000</v>
      </c>
      <c r="P726" s="63">
        <f t="shared" si="14"/>
        <v>120</v>
      </c>
      <c r="Q726" s="64">
        <f t="shared" si="15"/>
        <v>425.2</v>
      </c>
      <c r="R726" s="64">
        <f t="shared" si="16"/>
        <v>22.88818359375</v>
      </c>
      <c r="S726" s="64">
        <f t="shared" si="17"/>
        <v>23</v>
      </c>
      <c r="T726" s="64">
        <f t="shared" si="18"/>
        <v>99.213333333333338</v>
      </c>
      <c r="U726" s="64" t="str">
        <f t="shared" si="19"/>
        <v>91-120</v>
      </c>
      <c r="V726" s="64" t="str">
        <f t="shared" si="20"/>
        <v>21-30 Гб</v>
      </c>
    </row>
    <row r="727" spans="1:22" ht="15.75" customHeight="1" x14ac:dyDescent="0.25">
      <c r="A727" s="62" t="s">
        <v>818</v>
      </c>
      <c r="B727" s="56">
        <v>36162</v>
      </c>
      <c r="C727" s="62" t="s">
        <v>83</v>
      </c>
      <c r="D727" s="62" t="s">
        <v>84</v>
      </c>
      <c r="E727" s="62" t="s">
        <v>92</v>
      </c>
      <c r="F727" s="62" t="s">
        <v>89</v>
      </c>
      <c r="G727" s="56">
        <v>43324</v>
      </c>
      <c r="H727" s="62">
        <v>5</v>
      </c>
      <c r="I727" s="62">
        <v>32912</v>
      </c>
      <c r="J727" s="62">
        <v>148000000</v>
      </c>
      <c r="P727" s="63">
        <f t="shared" si="14"/>
        <v>120</v>
      </c>
      <c r="Q727" s="64">
        <f t="shared" si="15"/>
        <v>137.13333333333333</v>
      </c>
      <c r="R727" s="64">
        <f t="shared" si="16"/>
        <v>35.28594970703125</v>
      </c>
      <c r="S727" s="64">
        <f t="shared" si="17"/>
        <v>23</v>
      </c>
      <c r="T727" s="64">
        <f t="shared" si="18"/>
        <v>31.997777777777777</v>
      </c>
      <c r="U727" s="64" t="str">
        <f t="shared" si="19"/>
        <v>&lt;35</v>
      </c>
      <c r="V727" s="64" t="str">
        <f t="shared" si="20"/>
        <v>31-40 Гб</v>
      </c>
    </row>
    <row r="728" spans="1:22" ht="15.75" customHeight="1" x14ac:dyDescent="0.25">
      <c r="A728" s="62" t="s">
        <v>819</v>
      </c>
      <c r="B728" s="56">
        <v>36157</v>
      </c>
      <c r="C728" s="62" t="s">
        <v>88</v>
      </c>
      <c r="D728" s="62" t="s">
        <v>84</v>
      </c>
      <c r="E728" s="62" t="s">
        <v>85</v>
      </c>
      <c r="F728" s="62" t="s">
        <v>100</v>
      </c>
      <c r="G728" s="56">
        <v>43512</v>
      </c>
      <c r="H728" s="62">
        <v>5</v>
      </c>
      <c r="I728" s="62">
        <v>78864</v>
      </c>
      <c r="J728" s="62">
        <v>128000000</v>
      </c>
      <c r="L728" s="62">
        <v>1</v>
      </c>
      <c r="P728" s="63">
        <f t="shared" si="14"/>
        <v>120</v>
      </c>
      <c r="Q728" s="64">
        <f t="shared" si="15"/>
        <v>328.6</v>
      </c>
      <c r="R728" s="64">
        <f t="shared" si="16"/>
        <v>30.517578125000004</v>
      </c>
      <c r="S728" s="64">
        <f t="shared" si="17"/>
        <v>23</v>
      </c>
      <c r="T728" s="64">
        <f t="shared" si="18"/>
        <v>76.673333333333346</v>
      </c>
      <c r="U728" s="64" t="str">
        <f t="shared" si="19"/>
        <v>61-90</v>
      </c>
      <c r="V728" s="64" t="str">
        <f t="shared" si="20"/>
        <v>31-40 Гб</v>
      </c>
    </row>
    <row r="729" spans="1:22" ht="15.75" customHeight="1" x14ac:dyDescent="0.25">
      <c r="A729" s="62" t="s">
        <v>820</v>
      </c>
      <c r="B729" s="56">
        <v>36154</v>
      </c>
      <c r="C729" s="62" t="s">
        <v>88</v>
      </c>
      <c r="D729" s="62" t="s">
        <v>84</v>
      </c>
      <c r="E729" s="62" t="s">
        <v>92</v>
      </c>
      <c r="F729" s="62" t="s">
        <v>100</v>
      </c>
      <c r="G729" s="56">
        <v>42810</v>
      </c>
      <c r="H729" s="62">
        <v>5</v>
      </c>
      <c r="I729" s="62">
        <v>114508</v>
      </c>
      <c r="J729" s="62">
        <v>136000000</v>
      </c>
      <c r="P729" s="63">
        <f t="shared" si="14"/>
        <v>120</v>
      </c>
      <c r="Q729" s="64">
        <f t="shared" si="15"/>
        <v>477.11666666666667</v>
      </c>
      <c r="R729" s="64">
        <f t="shared" si="16"/>
        <v>32.4249267578125</v>
      </c>
      <c r="S729" s="64">
        <f t="shared" si="17"/>
        <v>23</v>
      </c>
      <c r="T729" s="64">
        <f t="shared" si="18"/>
        <v>111.32722222222222</v>
      </c>
      <c r="U729" s="64" t="str">
        <f t="shared" si="19"/>
        <v>91-120</v>
      </c>
      <c r="V729" s="64" t="str">
        <f t="shared" si="20"/>
        <v>31-40 Гб</v>
      </c>
    </row>
    <row r="730" spans="1:22" ht="15.75" customHeight="1" x14ac:dyDescent="0.25">
      <c r="A730" s="62" t="s">
        <v>821</v>
      </c>
      <c r="B730" s="56">
        <v>36152</v>
      </c>
      <c r="C730" s="62" t="s">
        <v>88</v>
      </c>
      <c r="D730" s="62" t="s">
        <v>84</v>
      </c>
      <c r="E730" s="62" t="s">
        <v>85</v>
      </c>
      <c r="F730" s="62" t="s">
        <v>96</v>
      </c>
      <c r="G730" s="56">
        <v>44319</v>
      </c>
      <c r="H730" s="62">
        <v>5</v>
      </c>
      <c r="I730" s="62">
        <v>90576</v>
      </c>
      <c r="J730" s="62">
        <v>68000000</v>
      </c>
      <c r="K730" s="62">
        <v>1</v>
      </c>
      <c r="L730" s="62">
        <v>1</v>
      </c>
      <c r="P730" s="63">
        <f t="shared" si="14"/>
        <v>120</v>
      </c>
      <c r="Q730" s="64">
        <f t="shared" si="15"/>
        <v>377.4</v>
      </c>
      <c r="R730" s="64">
        <f t="shared" si="16"/>
        <v>16.21246337890625</v>
      </c>
      <c r="S730" s="64">
        <f t="shared" si="17"/>
        <v>23</v>
      </c>
      <c r="T730" s="64">
        <f t="shared" si="18"/>
        <v>88.059999999999988</v>
      </c>
      <c r="U730" s="64" t="str">
        <f t="shared" si="19"/>
        <v>61-90</v>
      </c>
      <c r="V730" s="64" t="str">
        <f t="shared" si="20"/>
        <v>10-20 Гб</v>
      </c>
    </row>
    <row r="731" spans="1:22" ht="15.75" customHeight="1" x14ac:dyDescent="0.25">
      <c r="A731" s="62" t="s">
        <v>822</v>
      </c>
      <c r="B731" s="56">
        <v>36143</v>
      </c>
      <c r="C731" s="62" t="s">
        <v>88</v>
      </c>
      <c r="D731" s="62" t="s">
        <v>84</v>
      </c>
      <c r="E731" s="62" t="s">
        <v>85</v>
      </c>
      <c r="F731" s="62" t="s">
        <v>100</v>
      </c>
      <c r="G731" s="56">
        <v>43782</v>
      </c>
      <c r="H731" s="62">
        <v>5</v>
      </c>
      <c r="I731" s="62">
        <v>44364</v>
      </c>
      <c r="J731" s="62">
        <v>128000000</v>
      </c>
      <c r="P731" s="63">
        <f t="shared" si="14"/>
        <v>120</v>
      </c>
      <c r="Q731" s="64">
        <f t="shared" si="15"/>
        <v>184.85</v>
      </c>
      <c r="R731" s="64">
        <f t="shared" si="16"/>
        <v>30.517578125000004</v>
      </c>
      <c r="S731" s="64">
        <f t="shared" si="17"/>
        <v>23</v>
      </c>
      <c r="T731" s="64">
        <f t="shared" si="18"/>
        <v>43.131666666666668</v>
      </c>
      <c r="U731" s="64" t="str">
        <f t="shared" si="19"/>
        <v>35-60</v>
      </c>
      <c r="V731" s="64" t="str">
        <f t="shared" si="20"/>
        <v>31-40 Гб</v>
      </c>
    </row>
    <row r="732" spans="1:22" ht="15.75" customHeight="1" x14ac:dyDescent="0.25">
      <c r="A732" s="62" t="s">
        <v>823</v>
      </c>
      <c r="B732" s="56">
        <v>36140</v>
      </c>
      <c r="C732" s="62" t="s">
        <v>88</v>
      </c>
      <c r="D732" s="62" t="s">
        <v>84</v>
      </c>
      <c r="E732" s="62" t="s">
        <v>92</v>
      </c>
      <c r="F732" s="62" t="s">
        <v>96</v>
      </c>
      <c r="G732" s="56">
        <v>44588</v>
      </c>
      <c r="H732" s="62">
        <v>3</v>
      </c>
      <c r="I732" s="62">
        <v>75200</v>
      </c>
      <c r="J732" s="62">
        <v>65800000</v>
      </c>
      <c r="P732" s="63">
        <f t="shared" si="14"/>
        <v>94</v>
      </c>
      <c r="Q732" s="64">
        <f t="shared" si="15"/>
        <v>399.99999999999994</v>
      </c>
      <c r="R732" s="64">
        <f t="shared" si="16"/>
        <v>20.02716064453125</v>
      </c>
      <c r="S732" s="64">
        <f t="shared" si="17"/>
        <v>23</v>
      </c>
      <c r="T732" s="64">
        <f t="shared" si="18"/>
        <v>93.333333333333314</v>
      </c>
      <c r="U732" s="64" t="str">
        <f t="shared" si="19"/>
        <v>91-120</v>
      </c>
      <c r="V732" s="64" t="str">
        <f t="shared" si="20"/>
        <v>21-30 Гб</v>
      </c>
    </row>
    <row r="733" spans="1:22" ht="15.75" customHeight="1" x14ac:dyDescent="0.25">
      <c r="A733" s="62" t="s">
        <v>824</v>
      </c>
      <c r="B733" s="56">
        <v>36136</v>
      </c>
      <c r="C733" s="62" t="s">
        <v>83</v>
      </c>
      <c r="D733" s="62" t="s">
        <v>84</v>
      </c>
      <c r="E733" s="62" t="s">
        <v>85</v>
      </c>
      <c r="F733" s="62" t="s">
        <v>86</v>
      </c>
      <c r="G733" s="56">
        <v>44526</v>
      </c>
      <c r="H733" s="62">
        <v>5</v>
      </c>
      <c r="I733" s="62">
        <v>109148</v>
      </c>
      <c r="J733" s="62">
        <v>132000000</v>
      </c>
      <c r="K733" s="62">
        <v>1</v>
      </c>
      <c r="L733" s="62">
        <v>1</v>
      </c>
      <c r="M733" s="62">
        <v>1</v>
      </c>
      <c r="O733" s="62">
        <v>1</v>
      </c>
      <c r="P733" s="63">
        <f t="shared" si="14"/>
        <v>120</v>
      </c>
      <c r="Q733" s="64">
        <f t="shared" si="15"/>
        <v>454.78333333333336</v>
      </c>
      <c r="R733" s="64">
        <f t="shared" si="16"/>
        <v>31.47125244140625</v>
      </c>
      <c r="S733" s="64">
        <f t="shared" si="17"/>
        <v>23</v>
      </c>
      <c r="T733" s="64">
        <f t="shared" si="18"/>
        <v>106.11611111111112</v>
      </c>
      <c r="U733" s="64" t="str">
        <f t="shared" si="19"/>
        <v>91-120</v>
      </c>
      <c r="V733" s="64" t="str">
        <f t="shared" si="20"/>
        <v>31-40 Гб</v>
      </c>
    </row>
    <row r="734" spans="1:22" ht="15.75" customHeight="1" x14ac:dyDescent="0.25">
      <c r="A734" s="62" t="s">
        <v>825</v>
      </c>
      <c r="B734" s="56">
        <v>36132</v>
      </c>
      <c r="C734" s="62" t="s">
        <v>83</v>
      </c>
      <c r="D734" s="62" t="s">
        <v>84</v>
      </c>
      <c r="E734" s="62" t="s">
        <v>85</v>
      </c>
      <c r="F734" s="62" t="s">
        <v>89</v>
      </c>
      <c r="G734" s="56">
        <v>44551</v>
      </c>
      <c r="H734" s="62">
        <v>4</v>
      </c>
      <c r="I734" s="62">
        <v>93956</v>
      </c>
      <c r="J734" s="62">
        <v>16000000</v>
      </c>
      <c r="K734" s="62">
        <v>1</v>
      </c>
      <c r="P734" s="63">
        <f t="shared" si="14"/>
        <v>120</v>
      </c>
      <c r="Q734" s="64">
        <f t="shared" si="15"/>
        <v>391.48333333333335</v>
      </c>
      <c r="R734" s="64">
        <f t="shared" si="16"/>
        <v>3.8146972656250004</v>
      </c>
      <c r="S734" s="64">
        <f t="shared" si="17"/>
        <v>23</v>
      </c>
      <c r="T734" s="64">
        <f t="shared" si="18"/>
        <v>91.346111111111114</v>
      </c>
      <c r="U734" s="64" t="str">
        <f t="shared" si="19"/>
        <v>91-120</v>
      </c>
      <c r="V734" s="64" t="str">
        <f t="shared" si="20"/>
        <v>&lt;10 Гб</v>
      </c>
    </row>
    <row r="735" spans="1:22" ht="15.75" customHeight="1" x14ac:dyDescent="0.25">
      <c r="A735" s="62" t="s">
        <v>826</v>
      </c>
      <c r="B735" s="56">
        <v>36132</v>
      </c>
      <c r="C735" s="62" t="s">
        <v>83</v>
      </c>
      <c r="D735" s="62" t="s">
        <v>84</v>
      </c>
      <c r="E735" s="62" t="s">
        <v>92</v>
      </c>
      <c r="F735" s="62" t="s">
        <v>100</v>
      </c>
      <c r="G735" s="56">
        <v>42838</v>
      </c>
      <c r="H735" s="62">
        <v>5</v>
      </c>
      <c r="I735" s="62">
        <v>26360</v>
      </c>
      <c r="J735" s="62">
        <v>144000000</v>
      </c>
      <c r="M735" s="62">
        <v>1</v>
      </c>
      <c r="P735" s="63">
        <f t="shared" si="14"/>
        <v>120</v>
      </c>
      <c r="Q735" s="64">
        <f t="shared" si="15"/>
        <v>109.83333333333333</v>
      </c>
      <c r="R735" s="64">
        <f t="shared" si="16"/>
        <v>34.332275390625</v>
      </c>
      <c r="S735" s="64">
        <f t="shared" si="17"/>
        <v>23</v>
      </c>
      <c r="T735" s="64">
        <f t="shared" si="18"/>
        <v>25.627777777777776</v>
      </c>
      <c r="U735" s="64" t="str">
        <f t="shared" si="19"/>
        <v>&lt;35</v>
      </c>
      <c r="V735" s="64" t="str">
        <f t="shared" si="20"/>
        <v>31-40 Гб</v>
      </c>
    </row>
    <row r="736" spans="1:22" ht="15.75" customHeight="1" x14ac:dyDescent="0.25">
      <c r="A736" s="62" t="s">
        <v>827</v>
      </c>
      <c r="B736" s="56">
        <v>36131</v>
      </c>
      <c r="C736" s="62" t="s">
        <v>88</v>
      </c>
      <c r="D736" s="62" t="s">
        <v>84</v>
      </c>
      <c r="E736" s="62" t="s">
        <v>92</v>
      </c>
      <c r="F736" s="62" t="s">
        <v>96</v>
      </c>
      <c r="G736" s="56">
        <v>43813</v>
      </c>
      <c r="H736" s="62">
        <v>5</v>
      </c>
      <c r="I736" s="62">
        <v>57592</v>
      </c>
      <c r="J736" s="62">
        <v>84000000</v>
      </c>
      <c r="P736" s="63">
        <f t="shared" si="14"/>
        <v>120</v>
      </c>
      <c r="Q736" s="64">
        <f t="shared" si="15"/>
        <v>239.96666666666667</v>
      </c>
      <c r="R736" s="64">
        <f t="shared" si="16"/>
        <v>20.02716064453125</v>
      </c>
      <c r="S736" s="64">
        <f t="shared" si="17"/>
        <v>23</v>
      </c>
      <c r="T736" s="64">
        <f t="shared" si="18"/>
        <v>55.992222222222225</v>
      </c>
      <c r="U736" s="64" t="str">
        <f t="shared" si="19"/>
        <v>35-60</v>
      </c>
      <c r="V736" s="64" t="str">
        <f t="shared" si="20"/>
        <v>21-30 Гб</v>
      </c>
    </row>
    <row r="737" spans="1:22" ht="15.75" customHeight="1" x14ac:dyDescent="0.25">
      <c r="A737" s="62" t="s">
        <v>828</v>
      </c>
      <c r="B737" s="56">
        <v>36129</v>
      </c>
      <c r="C737" s="62" t="s">
        <v>88</v>
      </c>
      <c r="D737" s="62" t="s">
        <v>84</v>
      </c>
      <c r="E737" s="62" t="s">
        <v>85</v>
      </c>
      <c r="F737" s="62" t="s">
        <v>86</v>
      </c>
      <c r="G737" s="56">
        <v>42749</v>
      </c>
      <c r="H737" s="62">
        <v>5</v>
      </c>
      <c r="I737" s="62">
        <v>126444</v>
      </c>
      <c r="J737" s="62">
        <v>104000000</v>
      </c>
      <c r="P737" s="63">
        <f t="shared" si="14"/>
        <v>120</v>
      </c>
      <c r="Q737" s="64">
        <f t="shared" si="15"/>
        <v>526.85</v>
      </c>
      <c r="R737" s="64">
        <f t="shared" si="16"/>
        <v>24.7955322265625</v>
      </c>
      <c r="S737" s="64">
        <f t="shared" si="17"/>
        <v>23</v>
      </c>
      <c r="T737" s="64">
        <f t="shared" si="18"/>
        <v>122.93166666666667</v>
      </c>
      <c r="U737" s="64" t="str">
        <f t="shared" si="19"/>
        <v>120+</v>
      </c>
      <c r="V737" s="64" t="str">
        <f t="shared" si="20"/>
        <v>21-30 Гб</v>
      </c>
    </row>
    <row r="738" spans="1:22" ht="15.75" customHeight="1" x14ac:dyDescent="0.25">
      <c r="A738" s="62" t="s">
        <v>829</v>
      </c>
      <c r="B738" s="56">
        <v>36122</v>
      </c>
      <c r="C738" s="62" t="s">
        <v>83</v>
      </c>
      <c r="D738" s="62" t="s">
        <v>84</v>
      </c>
      <c r="E738" s="62" t="s">
        <v>92</v>
      </c>
      <c r="F738" s="62" t="s">
        <v>96</v>
      </c>
      <c r="G738" s="56">
        <v>43130</v>
      </c>
      <c r="H738" s="62">
        <v>5</v>
      </c>
      <c r="I738" s="62">
        <v>95840</v>
      </c>
      <c r="J738" s="62">
        <v>16000000</v>
      </c>
      <c r="P738" s="63">
        <f t="shared" si="14"/>
        <v>120</v>
      </c>
      <c r="Q738" s="64">
        <f t="shared" si="15"/>
        <v>399.33333333333331</v>
      </c>
      <c r="R738" s="64">
        <f t="shared" si="16"/>
        <v>3.8146972656250004</v>
      </c>
      <c r="S738" s="64">
        <f t="shared" si="17"/>
        <v>23</v>
      </c>
      <c r="T738" s="64">
        <f t="shared" si="18"/>
        <v>93.177777777777763</v>
      </c>
      <c r="U738" s="64" t="str">
        <f t="shared" si="19"/>
        <v>91-120</v>
      </c>
      <c r="V738" s="64" t="str">
        <f t="shared" si="20"/>
        <v>&lt;10 Гб</v>
      </c>
    </row>
    <row r="739" spans="1:22" ht="15.75" customHeight="1" x14ac:dyDescent="0.25">
      <c r="A739" s="62" t="s">
        <v>830</v>
      </c>
      <c r="B739" s="56">
        <v>36121</v>
      </c>
      <c r="C739" s="62" t="s">
        <v>83</v>
      </c>
      <c r="D739" s="62" t="s">
        <v>84</v>
      </c>
      <c r="E739" s="62" t="s">
        <v>92</v>
      </c>
      <c r="F739" s="62" t="s">
        <v>96</v>
      </c>
      <c r="G739" s="56">
        <v>42865</v>
      </c>
      <c r="H739" s="62">
        <v>5</v>
      </c>
      <c r="I739" s="62">
        <v>71984</v>
      </c>
      <c r="J739" s="62">
        <v>92000000</v>
      </c>
      <c r="P739" s="63">
        <f t="shared" si="14"/>
        <v>120</v>
      </c>
      <c r="Q739" s="64">
        <f t="shared" si="15"/>
        <v>299.93333333333334</v>
      </c>
      <c r="R739" s="64">
        <f t="shared" si="16"/>
        <v>21.93450927734375</v>
      </c>
      <c r="S739" s="64">
        <f t="shared" si="17"/>
        <v>23</v>
      </c>
      <c r="T739" s="64">
        <f t="shared" si="18"/>
        <v>69.984444444444449</v>
      </c>
      <c r="U739" s="64" t="str">
        <f t="shared" si="19"/>
        <v>61-90</v>
      </c>
      <c r="V739" s="64" t="str">
        <f t="shared" si="20"/>
        <v>21-30 Гб</v>
      </c>
    </row>
    <row r="740" spans="1:22" ht="15.75" customHeight="1" x14ac:dyDescent="0.25">
      <c r="A740" s="62" t="s">
        <v>831</v>
      </c>
      <c r="B740" s="56">
        <v>36118</v>
      </c>
      <c r="C740" s="62" t="s">
        <v>83</v>
      </c>
      <c r="D740" s="62" t="s">
        <v>84</v>
      </c>
      <c r="E740" s="62" t="s">
        <v>85</v>
      </c>
      <c r="F740" s="62" t="s">
        <v>93</v>
      </c>
      <c r="G740" s="56">
        <v>44585</v>
      </c>
      <c r="H740" s="62">
        <v>3</v>
      </c>
      <c r="I740" s="62">
        <v>21685</v>
      </c>
      <c r="J740" s="62">
        <v>3233333</v>
      </c>
      <c r="K740" s="62">
        <v>1</v>
      </c>
      <c r="L740" s="62">
        <v>1</v>
      </c>
      <c r="O740" s="62">
        <v>1</v>
      </c>
      <c r="P740" s="63">
        <f t="shared" si="14"/>
        <v>97</v>
      </c>
      <c r="Q740" s="64">
        <f t="shared" si="15"/>
        <v>111.77835051546393</v>
      </c>
      <c r="R740" s="64">
        <f t="shared" si="16"/>
        <v>0.95367421808931008</v>
      </c>
      <c r="S740" s="64">
        <f t="shared" si="17"/>
        <v>23</v>
      </c>
      <c r="T740" s="64">
        <f t="shared" si="18"/>
        <v>26.081615120274918</v>
      </c>
      <c r="U740" s="64" t="str">
        <f t="shared" si="19"/>
        <v>&lt;35</v>
      </c>
      <c r="V740" s="64" t="str">
        <f t="shared" si="20"/>
        <v>&lt;10 Гб</v>
      </c>
    </row>
    <row r="741" spans="1:22" ht="15.75" customHeight="1" x14ac:dyDescent="0.25">
      <c r="A741" s="62" t="s">
        <v>832</v>
      </c>
      <c r="B741" s="56">
        <v>36118</v>
      </c>
      <c r="C741" s="62" t="s">
        <v>88</v>
      </c>
      <c r="D741" s="62" t="s">
        <v>84</v>
      </c>
      <c r="E741" s="62" t="s">
        <v>85</v>
      </c>
      <c r="F741" s="62" t="s">
        <v>93</v>
      </c>
      <c r="G741" s="56">
        <v>44381</v>
      </c>
      <c r="H741" s="62">
        <v>5</v>
      </c>
      <c r="I741" s="62">
        <v>34280</v>
      </c>
      <c r="J741" s="62">
        <v>16000000</v>
      </c>
      <c r="L741" s="62">
        <v>1</v>
      </c>
      <c r="P741" s="63">
        <f t="shared" si="14"/>
        <v>120</v>
      </c>
      <c r="Q741" s="64">
        <f t="shared" si="15"/>
        <v>142.83333333333334</v>
      </c>
      <c r="R741" s="64">
        <f t="shared" si="16"/>
        <v>3.8146972656250004</v>
      </c>
      <c r="S741" s="64">
        <f t="shared" si="17"/>
        <v>23</v>
      </c>
      <c r="T741" s="64">
        <f t="shared" si="18"/>
        <v>33.327777777777776</v>
      </c>
      <c r="U741" s="64" t="str">
        <f t="shared" si="19"/>
        <v>&lt;35</v>
      </c>
      <c r="V741" s="64" t="str">
        <f t="shared" si="20"/>
        <v>&lt;10 Гб</v>
      </c>
    </row>
    <row r="742" spans="1:22" ht="15.75" customHeight="1" x14ac:dyDescent="0.25">
      <c r="A742" s="62" t="s">
        <v>833</v>
      </c>
      <c r="B742" s="56">
        <v>36116</v>
      </c>
      <c r="C742" s="62" t="s">
        <v>83</v>
      </c>
      <c r="D742" s="62" t="s">
        <v>84</v>
      </c>
      <c r="E742" s="62" t="s">
        <v>85</v>
      </c>
      <c r="F742" s="62" t="s">
        <v>93</v>
      </c>
      <c r="G742" s="56">
        <v>44639</v>
      </c>
      <c r="H742" s="62">
        <v>1</v>
      </c>
      <c r="I742" s="62">
        <v>13879</v>
      </c>
      <c r="J742" s="62">
        <v>4300000</v>
      </c>
      <c r="K742" s="62">
        <v>1</v>
      </c>
      <c r="P742" s="63">
        <f t="shared" si="14"/>
        <v>43</v>
      </c>
      <c r="Q742" s="64">
        <f t="shared" si="15"/>
        <v>161.38372093023256</v>
      </c>
      <c r="R742" s="64">
        <f t="shared" si="16"/>
        <v>2.86102294921875</v>
      </c>
      <c r="S742" s="64">
        <f t="shared" si="17"/>
        <v>23</v>
      </c>
      <c r="T742" s="64">
        <f t="shared" si="18"/>
        <v>37.656201550387593</v>
      </c>
      <c r="U742" s="64" t="str">
        <f t="shared" si="19"/>
        <v>35-60</v>
      </c>
      <c r="V742" s="64" t="str">
        <f t="shared" si="20"/>
        <v>&lt;10 Гб</v>
      </c>
    </row>
    <row r="743" spans="1:22" ht="15.75" customHeight="1" x14ac:dyDescent="0.25">
      <c r="A743" s="62" t="s">
        <v>834</v>
      </c>
      <c r="B743" s="56">
        <v>36115</v>
      </c>
      <c r="C743" s="62" t="s">
        <v>83</v>
      </c>
      <c r="D743" s="62" t="s">
        <v>84</v>
      </c>
      <c r="E743" s="62" t="s">
        <v>92</v>
      </c>
      <c r="F743" s="62" t="s">
        <v>89</v>
      </c>
      <c r="G743" s="56">
        <v>44146</v>
      </c>
      <c r="H743" s="62">
        <v>5</v>
      </c>
      <c r="I743" s="62">
        <v>33640</v>
      </c>
      <c r="J743" s="62">
        <v>152000000</v>
      </c>
      <c r="P743" s="63">
        <f t="shared" si="14"/>
        <v>120</v>
      </c>
      <c r="Q743" s="64">
        <f t="shared" si="15"/>
        <v>140.16666666666666</v>
      </c>
      <c r="R743" s="64">
        <f t="shared" si="16"/>
        <v>36.2396240234375</v>
      </c>
      <c r="S743" s="64">
        <f t="shared" si="17"/>
        <v>23</v>
      </c>
      <c r="T743" s="64">
        <f t="shared" si="18"/>
        <v>32.705555555555556</v>
      </c>
      <c r="U743" s="64" t="str">
        <f t="shared" si="19"/>
        <v>&lt;35</v>
      </c>
      <c r="V743" s="64" t="str">
        <f t="shared" si="20"/>
        <v>31-40 Гб</v>
      </c>
    </row>
    <row r="744" spans="1:22" ht="15.75" customHeight="1" x14ac:dyDescent="0.25">
      <c r="A744" s="62" t="s">
        <v>835</v>
      </c>
      <c r="B744" s="56">
        <v>36110</v>
      </c>
      <c r="C744" s="62" t="s">
        <v>83</v>
      </c>
      <c r="D744" s="62" t="s">
        <v>84</v>
      </c>
      <c r="E744" s="62" t="s">
        <v>85</v>
      </c>
      <c r="F744" s="62" t="s">
        <v>89</v>
      </c>
      <c r="G744" s="56">
        <v>44624</v>
      </c>
      <c r="H744" s="62">
        <v>1</v>
      </c>
      <c r="I744" s="62">
        <v>8951</v>
      </c>
      <c r="J744" s="62">
        <v>9666667</v>
      </c>
      <c r="K744" s="62">
        <v>1</v>
      </c>
      <c r="P744" s="63">
        <f t="shared" si="14"/>
        <v>58</v>
      </c>
      <c r="Q744" s="64">
        <f t="shared" si="15"/>
        <v>77.163793103448285</v>
      </c>
      <c r="R744" s="64">
        <f t="shared" si="16"/>
        <v>4.7683717464578566</v>
      </c>
      <c r="S744" s="64">
        <f t="shared" si="17"/>
        <v>23</v>
      </c>
      <c r="T744" s="64">
        <f t="shared" si="18"/>
        <v>18.004885057471267</v>
      </c>
      <c r="U744" s="64" t="str">
        <f t="shared" si="19"/>
        <v>&lt;35</v>
      </c>
      <c r="V744" s="64" t="str">
        <f t="shared" si="20"/>
        <v>&lt;10 Гб</v>
      </c>
    </row>
    <row r="745" spans="1:22" ht="15.75" customHeight="1" x14ac:dyDescent="0.25">
      <c r="A745" s="62" t="s">
        <v>836</v>
      </c>
      <c r="B745" s="56">
        <v>36105</v>
      </c>
      <c r="C745" s="62" t="s">
        <v>83</v>
      </c>
      <c r="D745" s="62" t="s">
        <v>84</v>
      </c>
      <c r="E745" s="62" t="s">
        <v>92</v>
      </c>
      <c r="F745" s="62" t="s">
        <v>89</v>
      </c>
      <c r="G745" s="56">
        <v>44578</v>
      </c>
      <c r="H745" s="62">
        <v>3</v>
      </c>
      <c r="I745" s="62">
        <v>24805</v>
      </c>
      <c r="J745" s="62">
        <v>131733333</v>
      </c>
      <c r="P745" s="63">
        <f t="shared" si="14"/>
        <v>104</v>
      </c>
      <c r="Q745" s="64">
        <f t="shared" si="15"/>
        <v>119.25480769230769</v>
      </c>
      <c r="R745" s="64">
        <f t="shared" si="16"/>
        <v>36.239623931738045</v>
      </c>
      <c r="S745" s="64">
        <f t="shared" si="17"/>
        <v>23</v>
      </c>
      <c r="T745" s="64">
        <f t="shared" si="18"/>
        <v>27.826121794871792</v>
      </c>
      <c r="U745" s="64" t="str">
        <f t="shared" si="19"/>
        <v>&lt;35</v>
      </c>
      <c r="V745" s="64" t="str">
        <f t="shared" si="20"/>
        <v>31-40 Гб</v>
      </c>
    </row>
    <row r="746" spans="1:22" ht="15.75" customHeight="1" x14ac:dyDescent="0.25">
      <c r="A746" s="62" t="s">
        <v>837</v>
      </c>
      <c r="B746" s="56">
        <v>36104</v>
      </c>
      <c r="C746" s="62" t="s">
        <v>83</v>
      </c>
      <c r="D746" s="62" t="s">
        <v>84</v>
      </c>
      <c r="E746" s="62" t="s">
        <v>85</v>
      </c>
      <c r="F746" s="62" t="s">
        <v>96</v>
      </c>
      <c r="G746" s="56">
        <v>44569</v>
      </c>
      <c r="H746" s="62">
        <v>3</v>
      </c>
      <c r="I746" s="62">
        <v>12810</v>
      </c>
      <c r="J746" s="62">
        <v>90400000</v>
      </c>
      <c r="K746" s="62">
        <v>1</v>
      </c>
      <c r="P746" s="63">
        <f t="shared" si="14"/>
        <v>113</v>
      </c>
      <c r="Q746" s="64">
        <f t="shared" si="15"/>
        <v>56.681415929203538</v>
      </c>
      <c r="R746" s="64">
        <f t="shared" si="16"/>
        <v>22.88818359375</v>
      </c>
      <c r="S746" s="64">
        <f t="shared" si="17"/>
        <v>23</v>
      </c>
      <c r="T746" s="64">
        <f t="shared" si="18"/>
        <v>13.225663716814159</v>
      </c>
      <c r="U746" s="64" t="str">
        <f t="shared" si="19"/>
        <v>&lt;35</v>
      </c>
      <c r="V746" s="64" t="str">
        <f t="shared" si="20"/>
        <v>21-30 Гб</v>
      </c>
    </row>
    <row r="747" spans="1:22" ht="15.75" customHeight="1" x14ac:dyDescent="0.25">
      <c r="A747" s="62" t="s">
        <v>838</v>
      </c>
      <c r="B747" s="56">
        <v>36104</v>
      </c>
      <c r="C747" s="62" t="s">
        <v>83</v>
      </c>
      <c r="D747" s="62" t="s">
        <v>84</v>
      </c>
      <c r="E747" s="62" t="s">
        <v>85</v>
      </c>
      <c r="F747" s="62" t="s">
        <v>100</v>
      </c>
      <c r="G747" s="56">
        <v>44395</v>
      </c>
      <c r="H747" s="62">
        <v>5</v>
      </c>
      <c r="I747" s="62">
        <v>71364</v>
      </c>
      <c r="J747" s="62">
        <v>104000000</v>
      </c>
      <c r="L747" s="62">
        <v>1</v>
      </c>
      <c r="P747" s="63">
        <f t="shared" si="14"/>
        <v>120</v>
      </c>
      <c r="Q747" s="64">
        <f t="shared" si="15"/>
        <v>297.35000000000002</v>
      </c>
      <c r="R747" s="64">
        <f t="shared" si="16"/>
        <v>24.7955322265625</v>
      </c>
      <c r="S747" s="64">
        <f t="shared" si="17"/>
        <v>23</v>
      </c>
      <c r="T747" s="64">
        <f t="shared" si="18"/>
        <v>69.381666666666675</v>
      </c>
      <c r="U747" s="64" t="str">
        <f t="shared" si="19"/>
        <v>61-90</v>
      </c>
      <c r="V747" s="64" t="str">
        <f t="shared" si="20"/>
        <v>21-30 Гб</v>
      </c>
    </row>
    <row r="748" spans="1:22" ht="15.75" customHeight="1" x14ac:dyDescent="0.25">
      <c r="A748" s="62" t="s">
        <v>839</v>
      </c>
      <c r="B748" s="56">
        <v>36099</v>
      </c>
      <c r="C748" s="62" t="s">
        <v>88</v>
      </c>
      <c r="D748" s="62" t="s">
        <v>84</v>
      </c>
      <c r="E748" s="62" t="s">
        <v>92</v>
      </c>
      <c r="F748" s="62" t="s">
        <v>89</v>
      </c>
      <c r="G748" s="56">
        <v>42938</v>
      </c>
      <c r="H748" s="62">
        <v>5</v>
      </c>
      <c r="I748" s="62">
        <v>15056</v>
      </c>
      <c r="J748" s="62">
        <v>156000000</v>
      </c>
      <c r="N748" s="62">
        <v>1</v>
      </c>
      <c r="P748" s="63">
        <f t="shared" si="14"/>
        <v>120</v>
      </c>
      <c r="Q748" s="64">
        <f t="shared" si="15"/>
        <v>62.733333333333334</v>
      </c>
      <c r="R748" s="64">
        <f t="shared" si="16"/>
        <v>37.19329833984375</v>
      </c>
      <c r="S748" s="64">
        <f t="shared" si="17"/>
        <v>23</v>
      </c>
      <c r="T748" s="64">
        <f t="shared" si="18"/>
        <v>14.637777777777778</v>
      </c>
      <c r="U748" s="64" t="str">
        <f t="shared" si="19"/>
        <v>&lt;35</v>
      </c>
      <c r="V748" s="64" t="str">
        <f t="shared" si="20"/>
        <v>31-40 Гб</v>
      </c>
    </row>
    <row r="749" spans="1:22" ht="15.75" customHeight="1" x14ac:dyDescent="0.25">
      <c r="A749" s="62" t="s">
        <v>840</v>
      </c>
      <c r="B749" s="56">
        <v>36098</v>
      </c>
      <c r="C749" s="62" t="s">
        <v>88</v>
      </c>
      <c r="D749" s="62" t="s">
        <v>84</v>
      </c>
      <c r="E749" s="62" t="s">
        <v>85</v>
      </c>
      <c r="F749" s="62" t="s">
        <v>100</v>
      </c>
      <c r="G749" s="56">
        <v>44209</v>
      </c>
      <c r="H749" s="62">
        <v>5</v>
      </c>
      <c r="I749" s="62">
        <v>115844</v>
      </c>
      <c r="J749" s="62">
        <v>112000000</v>
      </c>
      <c r="P749" s="63">
        <f t="shared" si="14"/>
        <v>120</v>
      </c>
      <c r="Q749" s="64">
        <f t="shared" si="15"/>
        <v>482.68333333333339</v>
      </c>
      <c r="R749" s="64">
        <f t="shared" si="16"/>
        <v>26.702880859375</v>
      </c>
      <c r="S749" s="64">
        <f t="shared" si="17"/>
        <v>23</v>
      </c>
      <c r="T749" s="64">
        <f t="shared" si="18"/>
        <v>112.62611111111113</v>
      </c>
      <c r="U749" s="64" t="str">
        <f t="shared" si="19"/>
        <v>91-120</v>
      </c>
      <c r="V749" s="64" t="str">
        <f t="shared" si="20"/>
        <v>21-30 Гб</v>
      </c>
    </row>
    <row r="750" spans="1:22" ht="15.75" customHeight="1" x14ac:dyDescent="0.25">
      <c r="A750" s="62" t="s">
        <v>841</v>
      </c>
      <c r="B750" s="56">
        <v>36095</v>
      </c>
      <c r="C750" s="62" t="s">
        <v>88</v>
      </c>
      <c r="D750" s="62" t="s">
        <v>84</v>
      </c>
      <c r="E750" s="62" t="s">
        <v>92</v>
      </c>
      <c r="F750" s="62" t="s">
        <v>96</v>
      </c>
      <c r="G750" s="56">
        <v>43460</v>
      </c>
      <c r="H750" s="62">
        <v>5</v>
      </c>
      <c r="I750" s="62">
        <v>52772</v>
      </c>
      <c r="J750" s="62">
        <v>8000000</v>
      </c>
      <c r="P750" s="63">
        <f t="shared" si="14"/>
        <v>120</v>
      </c>
      <c r="Q750" s="64">
        <f t="shared" si="15"/>
        <v>219.88333333333333</v>
      </c>
      <c r="R750" s="64">
        <f t="shared" si="16"/>
        <v>1.9073486328125002</v>
      </c>
      <c r="S750" s="64">
        <f t="shared" si="17"/>
        <v>23</v>
      </c>
      <c r="T750" s="64">
        <f t="shared" si="18"/>
        <v>51.306111111111115</v>
      </c>
      <c r="U750" s="64" t="str">
        <f t="shared" si="19"/>
        <v>35-60</v>
      </c>
      <c r="V750" s="64" t="str">
        <f t="shared" si="20"/>
        <v>&lt;10 Гб</v>
      </c>
    </row>
    <row r="751" spans="1:22" ht="15.75" customHeight="1" x14ac:dyDescent="0.25">
      <c r="A751" s="62" t="s">
        <v>842</v>
      </c>
      <c r="B751" s="56">
        <v>36091</v>
      </c>
      <c r="C751" s="62" t="s">
        <v>83</v>
      </c>
      <c r="D751" s="62" t="s">
        <v>84</v>
      </c>
      <c r="E751" s="62" t="s">
        <v>85</v>
      </c>
      <c r="F751" s="62" t="s">
        <v>89</v>
      </c>
      <c r="G751" s="56">
        <v>44492</v>
      </c>
      <c r="H751" s="62">
        <v>5</v>
      </c>
      <c r="I751" s="62">
        <v>35568</v>
      </c>
      <c r="J751" s="62">
        <v>140000000</v>
      </c>
      <c r="P751" s="63">
        <f t="shared" si="14"/>
        <v>120</v>
      </c>
      <c r="Q751" s="64">
        <f t="shared" si="15"/>
        <v>148.19999999999999</v>
      </c>
      <c r="R751" s="64">
        <f t="shared" si="16"/>
        <v>33.37860107421875</v>
      </c>
      <c r="S751" s="64">
        <f t="shared" si="17"/>
        <v>23</v>
      </c>
      <c r="T751" s="64">
        <f t="shared" si="18"/>
        <v>34.58</v>
      </c>
      <c r="U751" s="64" t="str">
        <f t="shared" si="19"/>
        <v>&lt;35</v>
      </c>
      <c r="V751" s="64" t="str">
        <f t="shared" si="20"/>
        <v>31-40 Гб</v>
      </c>
    </row>
    <row r="752" spans="1:22" ht="15.75" customHeight="1" x14ac:dyDescent="0.25">
      <c r="A752" s="62" t="s">
        <v>843</v>
      </c>
      <c r="B752" s="56">
        <v>36089</v>
      </c>
      <c r="C752" s="62" t="s">
        <v>88</v>
      </c>
      <c r="D752" s="62" t="s">
        <v>84</v>
      </c>
      <c r="E752" s="62" t="s">
        <v>92</v>
      </c>
      <c r="F752" s="62" t="s">
        <v>96</v>
      </c>
      <c r="G752" s="56">
        <v>43961</v>
      </c>
      <c r="H752" s="62">
        <v>5</v>
      </c>
      <c r="I752" s="62">
        <v>80012</v>
      </c>
      <c r="J752" s="62">
        <v>92000000</v>
      </c>
      <c r="P752" s="63">
        <f t="shared" si="14"/>
        <v>120</v>
      </c>
      <c r="Q752" s="64">
        <f t="shared" si="15"/>
        <v>333.38333333333333</v>
      </c>
      <c r="R752" s="64">
        <f t="shared" si="16"/>
        <v>21.93450927734375</v>
      </c>
      <c r="S752" s="64">
        <f t="shared" si="17"/>
        <v>23</v>
      </c>
      <c r="T752" s="64">
        <f t="shared" si="18"/>
        <v>77.789444444444442</v>
      </c>
      <c r="U752" s="64" t="str">
        <f t="shared" si="19"/>
        <v>61-90</v>
      </c>
      <c r="V752" s="64" t="str">
        <f t="shared" si="20"/>
        <v>21-30 Гб</v>
      </c>
    </row>
    <row r="753" spans="1:22" ht="15.75" customHeight="1" x14ac:dyDescent="0.25">
      <c r="A753" s="62" t="s">
        <v>844</v>
      </c>
      <c r="B753" s="56">
        <v>36089</v>
      </c>
      <c r="C753" s="62" t="s">
        <v>83</v>
      </c>
      <c r="D753" s="62" t="s">
        <v>84</v>
      </c>
      <c r="E753" s="62" t="s">
        <v>85</v>
      </c>
      <c r="F753" s="62" t="s">
        <v>96</v>
      </c>
      <c r="G753" s="56">
        <v>42739</v>
      </c>
      <c r="H753" s="62">
        <v>5</v>
      </c>
      <c r="I753" s="62">
        <v>37068</v>
      </c>
      <c r="J753" s="62">
        <v>16000000</v>
      </c>
      <c r="P753" s="63">
        <f t="shared" si="14"/>
        <v>120</v>
      </c>
      <c r="Q753" s="64">
        <f t="shared" si="15"/>
        <v>154.44999999999999</v>
      </c>
      <c r="R753" s="64">
        <f t="shared" si="16"/>
        <v>3.8146972656250004</v>
      </c>
      <c r="S753" s="64">
        <f t="shared" si="17"/>
        <v>23</v>
      </c>
      <c r="T753" s="64">
        <f t="shared" si="18"/>
        <v>36.038333333333327</v>
      </c>
      <c r="U753" s="64" t="str">
        <f t="shared" si="19"/>
        <v>35-60</v>
      </c>
      <c r="V753" s="64" t="str">
        <f t="shared" si="20"/>
        <v>&lt;10 Гб</v>
      </c>
    </row>
    <row r="754" spans="1:22" ht="15.75" customHeight="1" x14ac:dyDescent="0.25">
      <c r="A754" s="62" t="s">
        <v>845</v>
      </c>
      <c r="B754" s="56">
        <v>36085</v>
      </c>
      <c r="C754" s="62" t="s">
        <v>83</v>
      </c>
      <c r="D754" s="62" t="s">
        <v>84</v>
      </c>
      <c r="E754" s="62" t="s">
        <v>92</v>
      </c>
      <c r="F754" s="62" t="s">
        <v>96</v>
      </c>
      <c r="G754" s="56">
        <v>44022</v>
      </c>
      <c r="H754" s="62">
        <v>5</v>
      </c>
      <c r="I754" s="62">
        <v>54972</v>
      </c>
      <c r="J754" s="62">
        <v>108000000</v>
      </c>
      <c r="M754" s="62">
        <v>1</v>
      </c>
      <c r="P754" s="63">
        <f t="shared" si="14"/>
        <v>120</v>
      </c>
      <c r="Q754" s="64">
        <f t="shared" si="15"/>
        <v>229.05</v>
      </c>
      <c r="R754" s="64">
        <f t="shared" si="16"/>
        <v>25.74920654296875</v>
      </c>
      <c r="S754" s="64">
        <f t="shared" si="17"/>
        <v>23</v>
      </c>
      <c r="T754" s="64">
        <f t="shared" si="18"/>
        <v>53.445000000000007</v>
      </c>
      <c r="U754" s="64" t="str">
        <f t="shared" si="19"/>
        <v>35-60</v>
      </c>
      <c r="V754" s="64" t="str">
        <f t="shared" si="20"/>
        <v>21-30 Гб</v>
      </c>
    </row>
    <row r="755" spans="1:22" ht="15.75" customHeight="1" x14ac:dyDescent="0.25">
      <c r="A755" s="62" t="s">
        <v>846</v>
      </c>
      <c r="B755" s="56">
        <v>36084</v>
      </c>
      <c r="C755" s="62" t="s">
        <v>83</v>
      </c>
      <c r="D755" s="62" t="s">
        <v>84</v>
      </c>
      <c r="E755" s="62" t="s">
        <v>92</v>
      </c>
      <c r="F755" s="62" t="s">
        <v>96</v>
      </c>
      <c r="G755" s="56">
        <v>43774</v>
      </c>
      <c r="H755" s="62">
        <v>5</v>
      </c>
      <c r="I755" s="62">
        <v>82480</v>
      </c>
      <c r="J755" s="62">
        <v>20000000</v>
      </c>
      <c r="P755" s="63">
        <f t="shared" si="14"/>
        <v>120</v>
      </c>
      <c r="Q755" s="64">
        <f t="shared" si="15"/>
        <v>343.66666666666669</v>
      </c>
      <c r="R755" s="64">
        <f t="shared" si="16"/>
        <v>4.76837158203125</v>
      </c>
      <c r="S755" s="64">
        <f t="shared" si="17"/>
        <v>23</v>
      </c>
      <c r="T755" s="64">
        <f t="shared" si="18"/>
        <v>80.188888888888897</v>
      </c>
      <c r="U755" s="64" t="str">
        <f t="shared" si="19"/>
        <v>61-90</v>
      </c>
      <c r="V755" s="64" t="str">
        <f t="shared" si="20"/>
        <v>&lt;10 Гб</v>
      </c>
    </row>
    <row r="756" spans="1:22" ht="15.75" customHeight="1" x14ac:dyDescent="0.25">
      <c r="A756" s="62" t="s">
        <v>847</v>
      </c>
      <c r="B756" s="56">
        <v>36084</v>
      </c>
      <c r="C756" s="62" t="s">
        <v>83</v>
      </c>
      <c r="D756" s="62" t="s">
        <v>84</v>
      </c>
      <c r="E756" s="62" t="s">
        <v>92</v>
      </c>
      <c r="F756" s="62" t="s">
        <v>96</v>
      </c>
      <c r="G756" s="56">
        <v>44397</v>
      </c>
      <c r="H756" s="62">
        <v>5</v>
      </c>
      <c r="I756" s="62">
        <v>71848</v>
      </c>
      <c r="J756" s="62">
        <v>52000000</v>
      </c>
      <c r="P756" s="63">
        <f t="shared" si="14"/>
        <v>120</v>
      </c>
      <c r="Q756" s="64">
        <f t="shared" si="15"/>
        <v>299.36666666666667</v>
      </c>
      <c r="R756" s="64">
        <f t="shared" si="16"/>
        <v>12.39776611328125</v>
      </c>
      <c r="S756" s="64">
        <f t="shared" si="17"/>
        <v>23</v>
      </c>
      <c r="T756" s="64">
        <f t="shared" si="18"/>
        <v>69.852222222222224</v>
      </c>
      <c r="U756" s="64" t="str">
        <f t="shared" si="19"/>
        <v>61-90</v>
      </c>
      <c r="V756" s="64" t="str">
        <f t="shared" si="20"/>
        <v>10-20 Гб</v>
      </c>
    </row>
    <row r="757" spans="1:22" ht="15.75" customHeight="1" x14ac:dyDescent="0.25">
      <c r="A757" s="62" t="s">
        <v>848</v>
      </c>
      <c r="B757" s="56">
        <v>36079</v>
      </c>
      <c r="C757" s="62" t="s">
        <v>83</v>
      </c>
      <c r="D757" s="62" t="s">
        <v>84</v>
      </c>
      <c r="E757" s="62" t="s">
        <v>85</v>
      </c>
      <c r="F757" s="62" t="s">
        <v>96</v>
      </c>
      <c r="G757" s="56">
        <v>43560</v>
      </c>
      <c r="H757" s="62">
        <v>5</v>
      </c>
      <c r="I757" s="62">
        <v>36672</v>
      </c>
      <c r="J757" s="62">
        <v>100000000</v>
      </c>
      <c r="M757" s="62">
        <v>1</v>
      </c>
      <c r="P757" s="63">
        <f t="shared" si="14"/>
        <v>120</v>
      </c>
      <c r="Q757" s="64">
        <f t="shared" si="15"/>
        <v>152.80000000000001</v>
      </c>
      <c r="R757" s="64">
        <f t="shared" si="16"/>
        <v>23.84185791015625</v>
      </c>
      <c r="S757" s="64">
        <f t="shared" si="17"/>
        <v>23</v>
      </c>
      <c r="T757" s="64">
        <f t="shared" si="18"/>
        <v>35.653333333333336</v>
      </c>
      <c r="U757" s="64" t="str">
        <f t="shared" si="19"/>
        <v>35-60</v>
      </c>
      <c r="V757" s="64" t="str">
        <f t="shared" si="20"/>
        <v>21-30 Гб</v>
      </c>
    </row>
    <row r="758" spans="1:22" ht="15.75" customHeight="1" x14ac:dyDescent="0.25">
      <c r="A758" s="62" t="s">
        <v>849</v>
      </c>
      <c r="B758" s="56">
        <v>36077</v>
      </c>
      <c r="C758" s="62" t="s">
        <v>83</v>
      </c>
      <c r="D758" s="62" t="s">
        <v>84</v>
      </c>
      <c r="E758" s="62" t="s">
        <v>85</v>
      </c>
      <c r="F758" s="62" t="s">
        <v>96</v>
      </c>
      <c r="G758" s="56">
        <v>43946</v>
      </c>
      <c r="H758" s="62">
        <v>5</v>
      </c>
      <c r="I758" s="62">
        <v>53836</v>
      </c>
      <c r="J758" s="62">
        <v>28000000</v>
      </c>
      <c r="P758" s="63">
        <f t="shared" si="14"/>
        <v>120</v>
      </c>
      <c r="Q758" s="64">
        <f t="shared" si="15"/>
        <v>224.31666666666666</v>
      </c>
      <c r="R758" s="64">
        <f t="shared" si="16"/>
        <v>6.67572021484375</v>
      </c>
      <c r="S758" s="64">
        <f t="shared" si="17"/>
        <v>23</v>
      </c>
      <c r="T758" s="64">
        <f t="shared" si="18"/>
        <v>52.340555555555554</v>
      </c>
      <c r="U758" s="64" t="str">
        <f t="shared" si="19"/>
        <v>35-60</v>
      </c>
      <c r="V758" s="64" t="str">
        <f t="shared" si="20"/>
        <v>&lt;10 Гб</v>
      </c>
    </row>
    <row r="759" spans="1:22" ht="15.75" customHeight="1" x14ac:dyDescent="0.25">
      <c r="A759" s="62" t="s">
        <v>850</v>
      </c>
      <c r="B759" s="56">
        <v>36076</v>
      </c>
      <c r="C759" s="62" t="s">
        <v>88</v>
      </c>
      <c r="D759" s="62" t="s">
        <v>84</v>
      </c>
      <c r="E759" s="62" t="s">
        <v>85</v>
      </c>
      <c r="F759" s="62" t="s">
        <v>96</v>
      </c>
      <c r="G759" s="56">
        <v>43378</v>
      </c>
      <c r="H759" s="62">
        <v>5</v>
      </c>
      <c r="I759" s="62">
        <v>44812</v>
      </c>
      <c r="J759" s="62">
        <v>8000000</v>
      </c>
      <c r="P759" s="63">
        <f t="shared" si="14"/>
        <v>120</v>
      </c>
      <c r="Q759" s="64">
        <f t="shared" si="15"/>
        <v>186.71666666666667</v>
      </c>
      <c r="R759" s="64">
        <f t="shared" si="16"/>
        <v>1.9073486328125002</v>
      </c>
      <c r="S759" s="64">
        <f t="shared" si="17"/>
        <v>23</v>
      </c>
      <c r="T759" s="64">
        <f t="shared" si="18"/>
        <v>43.56722222222222</v>
      </c>
      <c r="U759" s="64" t="str">
        <f t="shared" si="19"/>
        <v>35-60</v>
      </c>
      <c r="V759" s="64" t="str">
        <f t="shared" si="20"/>
        <v>&lt;10 Гб</v>
      </c>
    </row>
    <row r="760" spans="1:22" ht="15.75" customHeight="1" x14ac:dyDescent="0.25">
      <c r="A760" s="62" t="s">
        <v>851</v>
      </c>
      <c r="B760" s="56">
        <v>36076</v>
      </c>
      <c r="C760" s="62" t="s">
        <v>83</v>
      </c>
      <c r="D760" s="62" t="s">
        <v>84</v>
      </c>
      <c r="E760" s="62" t="s">
        <v>92</v>
      </c>
      <c r="F760" s="62" t="s">
        <v>89</v>
      </c>
      <c r="G760" s="56">
        <v>43242</v>
      </c>
      <c r="H760" s="62">
        <v>5</v>
      </c>
      <c r="I760" s="62">
        <v>240</v>
      </c>
      <c r="J760" s="62">
        <v>116000000</v>
      </c>
      <c r="M760" s="62">
        <v>1</v>
      </c>
      <c r="N760" s="62">
        <v>1</v>
      </c>
      <c r="P760" s="63">
        <f t="shared" si="14"/>
        <v>120</v>
      </c>
      <c r="Q760" s="64">
        <f t="shared" si="15"/>
        <v>1</v>
      </c>
      <c r="R760" s="64">
        <f t="shared" si="16"/>
        <v>27.65655517578125</v>
      </c>
      <c r="S760" s="64">
        <f t="shared" si="17"/>
        <v>23</v>
      </c>
      <c r="T760" s="64">
        <f t="shared" si="18"/>
        <v>0.23333333333333334</v>
      </c>
      <c r="U760" s="64" t="str">
        <f t="shared" si="19"/>
        <v>&lt;35</v>
      </c>
      <c r="V760" s="64" t="str">
        <f t="shared" si="20"/>
        <v>21-30 Гб</v>
      </c>
    </row>
    <row r="761" spans="1:22" ht="15.75" customHeight="1" x14ac:dyDescent="0.25">
      <c r="A761" s="62" t="s">
        <v>852</v>
      </c>
      <c r="B761" s="56">
        <v>36075</v>
      </c>
      <c r="C761" s="62" t="s">
        <v>83</v>
      </c>
      <c r="D761" s="62" t="s">
        <v>84</v>
      </c>
      <c r="E761" s="62" t="s">
        <v>92</v>
      </c>
      <c r="F761" s="62" t="s">
        <v>100</v>
      </c>
      <c r="G761" s="56">
        <v>44510</v>
      </c>
      <c r="H761" s="62">
        <v>5</v>
      </c>
      <c r="I761" s="62">
        <v>100444</v>
      </c>
      <c r="J761" s="62">
        <v>28000000</v>
      </c>
      <c r="K761" s="62">
        <v>1</v>
      </c>
      <c r="P761" s="63">
        <f t="shared" si="14"/>
        <v>120</v>
      </c>
      <c r="Q761" s="64">
        <f t="shared" si="15"/>
        <v>418.51666666666665</v>
      </c>
      <c r="R761" s="64">
        <f t="shared" si="16"/>
        <v>6.67572021484375</v>
      </c>
      <c r="S761" s="64">
        <f t="shared" si="17"/>
        <v>23</v>
      </c>
      <c r="T761" s="64">
        <f t="shared" si="18"/>
        <v>97.653888888888886</v>
      </c>
      <c r="U761" s="64" t="str">
        <f t="shared" si="19"/>
        <v>91-120</v>
      </c>
      <c r="V761" s="64" t="str">
        <f t="shared" si="20"/>
        <v>&lt;10 Гб</v>
      </c>
    </row>
    <row r="762" spans="1:22" ht="15.75" customHeight="1" x14ac:dyDescent="0.25">
      <c r="A762" s="62" t="s">
        <v>853</v>
      </c>
      <c r="B762" s="56">
        <v>36070</v>
      </c>
      <c r="C762" s="62" t="s">
        <v>83</v>
      </c>
      <c r="D762" s="62" t="s">
        <v>84</v>
      </c>
      <c r="E762" s="62" t="s">
        <v>85</v>
      </c>
      <c r="F762" s="62" t="s">
        <v>86</v>
      </c>
      <c r="G762" s="56">
        <v>44388</v>
      </c>
      <c r="H762" s="62">
        <v>5</v>
      </c>
      <c r="I762" s="62">
        <v>87808</v>
      </c>
      <c r="J762" s="62">
        <v>164000000</v>
      </c>
      <c r="K762" s="62">
        <v>1</v>
      </c>
      <c r="L762" s="62">
        <v>1</v>
      </c>
      <c r="M762" s="62">
        <v>1</v>
      </c>
      <c r="O762" s="62">
        <v>1</v>
      </c>
      <c r="P762" s="63">
        <f t="shared" si="14"/>
        <v>120</v>
      </c>
      <c r="Q762" s="64">
        <f t="shared" si="15"/>
        <v>365.86666666666667</v>
      </c>
      <c r="R762" s="64">
        <f t="shared" si="16"/>
        <v>39.10064697265625</v>
      </c>
      <c r="S762" s="64">
        <f t="shared" si="17"/>
        <v>23</v>
      </c>
      <c r="T762" s="64">
        <f t="shared" si="18"/>
        <v>85.36888888888889</v>
      </c>
      <c r="U762" s="64" t="str">
        <f t="shared" si="19"/>
        <v>61-90</v>
      </c>
      <c r="V762" s="64" t="str">
        <f t="shared" si="20"/>
        <v>31-40 Гб</v>
      </c>
    </row>
    <row r="763" spans="1:22" ht="15.75" customHeight="1" x14ac:dyDescent="0.25">
      <c r="A763" s="62" t="s">
        <v>854</v>
      </c>
      <c r="B763" s="56">
        <v>36068</v>
      </c>
      <c r="C763" s="62" t="s">
        <v>83</v>
      </c>
      <c r="D763" s="62" t="s">
        <v>84</v>
      </c>
      <c r="E763" s="62" t="s">
        <v>92</v>
      </c>
      <c r="F763" s="62" t="s">
        <v>100</v>
      </c>
      <c r="G763" s="56">
        <v>44592</v>
      </c>
      <c r="H763" s="62">
        <v>3</v>
      </c>
      <c r="I763" s="62">
        <v>48720</v>
      </c>
      <c r="J763" s="62">
        <v>81000000</v>
      </c>
      <c r="L763" s="62">
        <v>1</v>
      </c>
      <c r="O763" s="62">
        <v>1</v>
      </c>
      <c r="P763" s="63">
        <f t="shared" si="14"/>
        <v>90</v>
      </c>
      <c r="Q763" s="64">
        <f t="shared" si="15"/>
        <v>270.66666666666669</v>
      </c>
      <c r="R763" s="64">
        <f t="shared" si="16"/>
        <v>25.74920654296875</v>
      </c>
      <c r="S763" s="64">
        <f t="shared" si="17"/>
        <v>23</v>
      </c>
      <c r="T763" s="64">
        <f t="shared" si="18"/>
        <v>63.155555555555559</v>
      </c>
      <c r="U763" s="64" t="str">
        <f t="shared" si="19"/>
        <v>61-90</v>
      </c>
      <c r="V763" s="64" t="str">
        <f t="shared" si="20"/>
        <v>21-30 Гб</v>
      </c>
    </row>
    <row r="764" spans="1:22" ht="15.75" customHeight="1" x14ac:dyDescent="0.25">
      <c r="A764" s="62" t="s">
        <v>855</v>
      </c>
      <c r="B764" s="56">
        <v>36068</v>
      </c>
      <c r="C764" s="62" t="s">
        <v>83</v>
      </c>
      <c r="D764" s="62" t="s">
        <v>84</v>
      </c>
      <c r="E764" s="62" t="s">
        <v>85</v>
      </c>
      <c r="F764" s="62" t="s">
        <v>96</v>
      </c>
      <c r="G764" s="56">
        <v>44102</v>
      </c>
      <c r="H764" s="62">
        <v>5</v>
      </c>
      <c r="I764" s="62">
        <v>58400</v>
      </c>
      <c r="J764" s="62">
        <v>84000000</v>
      </c>
      <c r="K764" s="62">
        <v>1</v>
      </c>
      <c r="P764" s="63">
        <f t="shared" si="14"/>
        <v>120</v>
      </c>
      <c r="Q764" s="64">
        <f t="shared" si="15"/>
        <v>243.33333333333331</v>
      </c>
      <c r="R764" s="64">
        <f t="shared" si="16"/>
        <v>20.02716064453125</v>
      </c>
      <c r="S764" s="64">
        <f t="shared" si="17"/>
        <v>23</v>
      </c>
      <c r="T764" s="64">
        <f t="shared" si="18"/>
        <v>56.777777777777779</v>
      </c>
      <c r="U764" s="64" t="str">
        <f t="shared" si="19"/>
        <v>35-60</v>
      </c>
      <c r="V764" s="64" t="str">
        <f t="shared" si="20"/>
        <v>21-30 Гб</v>
      </c>
    </row>
    <row r="765" spans="1:22" ht="15.75" customHeight="1" x14ac:dyDescent="0.25">
      <c r="A765" s="62" t="s">
        <v>856</v>
      </c>
      <c r="B765" s="56">
        <v>36068</v>
      </c>
      <c r="C765" s="62" t="s">
        <v>83</v>
      </c>
      <c r="D765" s="62" t="s">
        <v>84</v>
      </c>
      <c r="E765" s="62" t="s">
        <v>85</v>
      </c>
      <c r="F765" s="62" t="s">
        <v>89</v>
      </c>
      <c r="G765" s="56">
        <v>42810</v>
      </c>
      <c r="H765" s="62">
        <v>5</v>
      </c>
      <c r="I765" s="62">
        <v>7272</v>
      </c>
      <c r="J765" s="62">
        <v>136000000</v>
      </c>
      <c r="L765" s="62">
        <v>1</v>
      </c>
      <c r="P765" s="63">
        <f t="shared" si="14"/>
        <v>120</v>
      </c>
      <c r="Q765" s="64">
        <f t="shared" si="15"/>
        <v>30.3</v>
      </c>
      <c r="R765" s="64">
        <f t="shared" si="16"/>
        <v>32.4249267578125</v>
      </c>
      <c r="S765" s="64">
        <f t="shared" si="17"/>
        <v>23</v>
      </c>
      <c r="T765" s="64">
        <f t="shared" si="18"/>
        <v>7.0699999999999994</v>
      </c>
      <c r="U765" s="64" t="str">
        <f t="shared" si="19"/>
        <v>&lt;35</v>
      </c>
      <c r="V765" s="64" t="str">
        <f t="shared" si="20"/>
        <v>31-40 Гб</v>
      </c>
    </row>
    <row r="766" spans="1:22" ht="15.75" customHeight="1" x14ac:dyDescent="0.25">
      <c r="A766" s="62" t="s">
        <v>857</v>
      </c>
      <c r="B766" s="56">
        <v>36067</v>
      </c>
      <c r="C766" s="62" t="s">
        <v>83</v>
      </c>
      <c r="D766" s="62" t="s">
        <v>84</v>
      </c>
      <c r="E766" s="62" t="s">
        <v>85</v>
      </c>
      <c r="F766" s="62" t="s">
        <v>96</v>
      </c>
      <c r="G766" s="56">
        <v>42781</v>
      </c>
      <c r="H766" s="62">
        <v>5</v>
      </c>
      <c r="I766" s="62">
        <v>20408</v>
      </c>
      <c r="J766" s="62">
        <v>104000000</v>
      </c>
      <c r="P766" s="63">
        <f t="shared" si="14"/>
        <v>120</v>
      </c>
      <c r="Q766" s="64">
        <f t="shared" si="15"/>
        <v>85.033333333333331</v>
      </c>
      <c r="R766" s="64">
        <f t="shared" si="16"/>
        <v>24.7955322265625</v>
      </c>
      <c r="S766" s="64">
        <f t="shared" si="17"/>
        <v>23</v>
      </c>
      <c r="T766" s="64">
        <f t="shared" si="18"/>
        <v>19.841111111111111</v>
      </c>
      <c r="U766" s="64" t="str">
        <f t="shared" si="19"/>
        <v>&lt;35</v>
      </c>
      <c r="V766" s="64" t="str">
        <f t="shared" si="20"/>
        <v>21-30 Гб</v>
      </c>
    </row>
    <row r="767" spans="1:22" ht="15.75" customHeight="1" x14ac:dyDescent="0.25">
      <c r="A767" s="62" t="s">
        <v>858</v>
      </c>
      <c r="B767" s="56">
        <v>36066</v>
      </c>
      <c r="C767" s="62" t="s">
        <v>88</v>
      </c>
      <c r="D767" s="62" t="s">
        <v>84</v>
      </c>
      <c r="E767" s="62" t="s">
        <v>85</v>
      </c>
      <c r="F767" s="62" t="s">
        <v>100</v>
      </c>
      <c r="G767" s="56">
        <v>44453</v>
      </c>
      <c r="H767" s="62">
        <v>5</v>
      </c>
      <c r="I767" s="62">
        <v>30784</v>
      </c>
      <c r="J767" s="62">
        <v>140000000</v>
      </c>
      <c r="P767" s="63">
        <f t="shared" si="14"/>
        <v>120</v>
      </c>
      <c r="Q767" s="64">
        <f t="shared" si="15"/>
        <v>128.26666666666668</v>
      </c>
      <c r="R767" s="64">
        <f t="shared" si="16"/>
        <v>33.37860107421875</v>
      </c>
      <c r="S767" s="64">
        <f t="shared" si="17"/>
        <v>23</v>
      </c>
      <c r="T767" s="64">
        <f t="shared" si="18"/>
        <v>29.928888888888892</v>
      </c>
      <c r="U767" s="64" t="str">
        <f t="shared" si="19"/>
        <v>&lt;35</v>
      </c>
      <c r="V767" s="64" t="str">
        <f t="shared" si="20"/>
        <v>31-40 Гб</v>
      </c>
    </row>
    <row r="768" spans="1:22" ht="15.75" customHeight="1" x14ac:dyDescent="0.25">
      <c r="A768" s="62" t="s">
        <v>859</v>
      </c>
      <c r="B768" s="56">
        <v>36066</v>
      </c>
      <c r="C768" s="62" t="s">
        <v>83</v>
      </c>
      <c r="D768" s="62" t="s">
        <v>84</v>
      </c>
      <c r="E768" s="62" t="s">
        <v>92</v>
      </c>
      <c r="F768" s="62" t="s">
        <v>89</v>
      </c>
      <c r="G768" s="56">
        <v>43539</v>
      </c>
      <c r="H768" s="62">
        <v>5</v>
      </c>
      <c r="I768" s="62">
        <v>19572</v>
      </c>
      <c r="J768" s="62">
        <v>148000000</v>
      </c>
      <c r="N768" s="62">
        <v>1</v>
      </c>
      <c r="P768" s="63">
        <f t="shared" si="14"/>
        <v>120</v>
      </c>
      <c r="Q768" s="64">
        <f t="shared" si="15"/>
        <v>81.55</v>
      </c>
      <c r="R768" s="64">
        <f t="shared" si="16"/>
        <v>35.28594970703125</v>
      </c>
      <c r="S768" s="64">
        <f t="shared" si="17"/>
        <v>23</v>
      </c>
      <c r="T768" s="64">
        <f t="shared" si="18"/>
        <v>19.028333333333332</v>
      </c>
      <c r="U768" s="64" t="str">
        <f t="shared" si="19"/>
        <v>&lt;35</v>
      </c>
      <c r="V768" s="64" t="str">
        <f t="shared" si="20"/>
        <v>31-40 Гб</v>
      </c>
    </row>
    <row r="769" spans="1:22" ht="15.75" customHeight="1" x14ac:dyDescent="0.25">
      <c r="A769" s="62" t="s">
        <v>860</v>
      </c>
      <c r="B769" s="56">
        <v>36064</v>
      </c>
      <c r="C769" s="62" t="s">
        <v>88</v>
      </c>
      <c r="D769" s="62" t="s">
        <v>84</v>
      </c>
      <c r="E769" s="62" t="s">
        <v>92</v>
      </c>
      <c r="F769" s="62" t="s">
        <v>93</v>
      </c>
      <c r="G769" s="56">
        <v>43914</v>
      </c>
      <c r="H769" s="62">
        <v>5</v>
      </c>
      <c r="I769" s="62">
        <v>36524</v>
      </c>
      <c r="J769" s="62">
        <v>8000000</v>
      </c>
      <c r="P769" s="63">
        <f t="shared" si="14"/>
        <v>120</v>
      </c>
      <c r="Q769" s="64">
        <f t="shared" si="15"/>
        <v>152.18333333333334</v>
      </c>
      <c r="R769" s="64">
        <f t="shared" si="16"/>
        <v>1.9073486328125002</v>
      </c>
      <c r="S769" s="64">
        <f t="shared" si="17"/>
        <v>23</v>
      </c>
      <c r="T769" s="64">
        <f t="shared" si="18"/>
        <v>35.509444444444441</v>
      </c>
      <c r="U769" s="64" t="str">
        <f t="shared" si="19"/>
        <v>35-60</v>
      </c>
      <c r="V769" s="64" t="str">
        <f t="shared" si="20"/>
        <v>&lt;10 Гб</v>
      </c>
    </row>
    <row r="770" spans="1:22" ht="15.75" customHeight="1" x14ac:dyDescent="0.25">
      <c r="A770" s="62" t="s">
        <v>861</v>
      </c>
      <c r="B770" s="56">
        <v>36061</v>
      </c>
      <c r="C770" s="62" t="s">
        <v>88</v>
      </c>
      <c r="D770" s="62" t="s">
        <v>84</v>
      </c>
      <c r="E770" s="62" t="s">
        <v>92</v>
      </c>
      <c r="F770" s="62" t="s">
        <v>86</v>
      </c>
      <c r="G770" s="56">
        <v>43463</v>
      </c>
      <c r="H770" s="62">
        <v>5</v>
      </c>
      <c r="I770" s="62">
        <v>128192</v>
      </c>
      <c r="J770" s="62">
        <v>184000000</v>
      </c>
      <c r="P770" s="63">
        <f t="shared" si="14"/>
        <v>120</v>
      </c>
      <c r="Q770" s="64">
        <f t="shared" si="15"/>
        <v>534.13333333333333</v>
      </c>
      <c r="R770" s="64">
        <f t="shared" si="16"/>
        <v>43.8690185546875</v>
      </c>
      <c r="S770" s="64">
        <f t="shared" si="17"/>
        <v>23</v>
      </c>
      <c r="T770" s="64">
        <f t="shared" si="18"/>
        <v>124.63111111111111</v>
      </c>
      <c r="U770" s="64" t="str">
        <f t="shared" si="19"/>
        <v>120+</v>
      </c>
      <c r="V770" s="64" t="str">
        <f t="shared" si="20"/>
        <v>40+ Гб</v>
      </c>
    </row>
    <row r="771" spans="1:22" ht="15.75" customHeight="1" x14ac:dyDescent="0.25">
      <c r="A771" s="62" t="s">
        <v>862</v>
      </c>
      <c r="B771" s="56">
        <v>36060</v>
      </c>
      <c r="C771" s="62" t="s">
        <v>83</v>
      </c>
      <c r="D771" s="62" t="s">
        <v>84</v>
      </c>
      <c r="E771" s="62" t="s">
        <v>85</v>
      </c>
      <c r="F771" s="62" t="s">
        <v>89</v>
      </c>
      <c r="G771" s="56">
        <v>43594</v>
      </c>
      <c r="H771" s="62">
        <v>5</v>
      </c>
      <c r="I771" s="62">
        <v>32512</v>
      </c>
      <c r="J771" s="62">
        <v>116000000</v>
      </c>
      <c r="K771" s="62">
        <v>1</v>
      </c>
      <c r="M771" s="62">
        <v>1</v>
      </c>
      <c r="P771" s="63">
        <f t="shared" ref="P771:P1025" si="21">IF(G771&gt;$C$3,DATEDIF(G771,$C$2,"D"),DATEDIF($C$3,$C$2,"D"))</f>
        <v>120</v>
      </c>
      <c r="Q771" s="64">
        <f t="shared" ref="Q771:Q1025" si="22">I771/60/P771*30</f>
        <v>135.46666666666667</v>
      </c>
      <c r="R771" s="64">
        <f t="shared" ref="R771:R1025" si="23">J771/1024^2/P771*30</f>
        <v>27.65655517578125</v>
      </c>
      <c r="S771" s="64">
        <f t="shared" ref="S771:S1025" si="24">DATEDIF(B771,$C$2,"Y")</f>
        <v>23</v>
      </c>
      <c r="T771" s="64">
        <f t="shared" ref="T771:T1025" si="25">(Q771*7)/30</f>
        <v>31.608888888888888</v>
      </c>
      <c r="U771" s="64" t="str">
        <f t="shared" ref="U771:U1025" si="26">IF(T771&gt;120,"120+",IF(T771&gt;90,"91-120",IF(T771&gt;60,"61-90",IF(T771&gt;35,"35-60","&lt;35"))))</f>
        <v>&lt;35</v>
      </c>
      <c r="V771" s="64" t="str">
        <f t="shared" ref="V771:V1025" si="27">IF(R771&gt;40,"40+ Гб",IF(R771&gt;30,"31-40 Гб",IF(R771&gt;20,"21-30 Гб",IF(R771&gt;10,"10-20 Гб","&lt;10 Гб"))))</f>
        <v>21-30 Гб</v>
      </c>
    </row>
    <row r="772" spans="1:22" ht="15.75" customHeight="1" x14ac:dyDescent="0.25">
      <c r="A772" s="62" t="s">
        <v>863</v>
      </c>
      <c r="B772" s="56">
        <v>36053</v>
      </c>
      <c r="C772" s="62" t="s">
        <v>88</v>
      </c>
      <c r="D772" s="62" t="s">
        <v>84</v>
      </c>
      <c r="E772" s="62" t="s">
        <v>85</v>
      </c>
      <c r="F772" s="62" t="s">
        <v>96</v>
      </c>
      <c r="G772" s="56">
        <v>44328</v>
      </c>
      <c r="H772" s="62">
        <v>5</v>
      </c>
      <c r="I772" s="62">
        <v>60168</v>
      </c>
      <c r="J772" s="62">
        <v>108000000</v>
      </c>
      <c r="P772" s="63">
        <f t="shared" si="21"/>
        <v>120</v>
      </c>
      <c r="Q772" s="64">
        <f t="shared" si="22"/>
        <v>250.69999999999996</v>
      </c>
      <c r="R772" s="64">
        <f t="shared" si="23"/>
        <v>25.74920654296875</v>
      </c>
      <c r="S772" s="64">
        <f t="shared" si="24"/>
        <v>23</v>
      </c>
      <c r="T772" s="64">
        <f t="shared" si="25"/>
        <v>58.496666666666655</v>
      </c>
      <c r="U772" s="64" t="str">
        <f t="shared" si="26"/>
        <v>35-60</v>
      </c>
      <c r="V772" s="64" t="str">
        <f t="shared" si="27"/>
        <v>21-30 Гб</v>
      </c>
    </row>
    <row r="773" spans="1:22" ht="15.75" customHeight="1" x14ac:dyDescent="0.25">
      <c r="A773" s="62" t="s">
        <v>864</v>
      </c>
      <c r="B773" s="56">
        <v>36052</v>
      </c>
      <c r="C773" s="62" t="s">
        <v>83</v>
      </c>
      <c r="D773" s="62" t="s">
        <v>84</v>
      </c>
      <c r="E773" s="62" t="s">
        <v>92</v>
      </c>
      <c r="F773" s="62" t="s">
        <v>100</v>
      </c>
      <c r="G773" s="56">
        <v>43434</v>
      </c>
      <c r="H773" s="62">
        <v>5</v>
      </c>
      <c r="I773" s="62">
        <v>107208</v>
      </c>
      <c r="J773" s="62">
        <v>0</v>
      </c>
      <c r="P773" s="63">
        <f t="shared" si="21"/>
        <v>120</v>
      </c>
      <c r="Q773" s="64">
        <f t="shared" si="22"/>
        <v>446.7</v>
      </c>
      <c r="R773" s="64">
        <f t="shared" si="23"/>
        <v>0</v>
      </c>
      <c r="S773" s="64">
        <f t="shared" si="24"/>
        <v>23</v>
      </c>
      <c r="T773" s="64">
        <f t="shared" si="25"/>
        <v>104.23</v>
      </c>
      <c r="U773" s="64" t="str">
        <f t="shared" si="26"/>
        <v>91-120</v>
      </c>
      <c r="V773" s="64" t="str">
        <f t="shared" si="27"/>
        <v>&lt;10 Гб</v>
      </c>
    </row>
    <row r="774" spans="1:22" ht="15.75" customHeight="1" x14ac:dyDescent="0.25">
      <c r="A774" s="62" t="s">
        <v>865</v>
      </c>
      <c r="B774" s="56">
        <v>36050</v>
      </c>
      <c r="C774" s="62" t="s">
        <v>83</v>
      </c>
      <c r="D774" s="62" t="s">
        <v>84</v>
      </c>
      <c r="E774" s="62" t="s">
        <v>85</v>
      </c>
      <c r="F774" s="62" t="s">
        <v>89</v>
      </c>
      <c r="G774" s="56">
        <v>43497</v>
      </c>
      <c r="H774" s="62">
        <v>5</v>
      </c>
      <c r="I774" s="62">
        <v>28560</v>
      </c>
      <c r="J774" s="62">
        <v>128000000</v>
      </c>
      <c r="P774" s="63">
        <f t="shared" si="21"/>
        <v>120</v>
      </c>
      <c r="Q774" s="64">
        <f t="shared" si="22"/>
        <v>119</v>
      </c>
      <c r="R774" s="64">
        <f t="shared" si="23"/>
        <v>30.517578125000004</v>
      </c>
      <c r="S774" s="64">
        <f t="shared" si="24"/>
        <v>23</v>
      </c>
      <c r="T774" s="64">
        <f t="shared" si="25"/>
        <v>27.766666666666666</v>
      </c>
      <c r="U774" s="64" t="str">
        <f t="shared" si="26"/>
        <v>&lt;35</v>
      </c>
      <c r="V774" s="64" t="str">
        <f t="shared" si="27"/>
        <v>31-40 Гб</v>
      </c>
    </row>
    <row r="775" spans="1:22" ht="15.75" customHeight="1" x14ac:dyDescent="0.25">
      <c r="A775" s="62" t="s">
        <v>866</v>
      </c>
      <c r="B775" s="56">
        <v>36050</v>
      </c>
      <c r="C775" s="62" t="s">
        <v>83</v>
      </c>
      <c r="D775" s="62" t="s">
        <v>84</v>
      </c>
      <c r="E775" s="62" t="s">
        <v>85</v>
      </c>
      <c r="F775" s="62" t="s">
        <v>93</v>
      </c>
      <c r="G775" s="56">
        <v>43700</v>
      </c>
      <c r="H775" s="62">
        <v>5</v>
      </c>
      <c r="I775" s="62">
        <v>11552</v>
      </c>
      <c r="J775" s="62">
        <v>20000000</v>
      </c>
      <c r="P775" s="63">
        <f t="shared" si="21"/>
        <v>120</v>
      </c>
      <c r="Q775" s="64">
        <f t="shared" si="22"/>
        <v>48.133333333333333</v>
      </c>
      <c r="R775" s="64">
        <f t="shared" si="23"/>
        <v>4.76837158203125</v>
      </c>
      <c r="S775" s="64">
        <f t="shared" si="24"/>
        <v>23</v>
      </c>
      <c r="T775" s="64">
        <f t="shared" si="25"/>
        <v>11.231111111111112</v>
      </c>
      <c r="U775" s="64" t="str">
        <f t="shared" si="26"/>
        <v>&lt;35</v>
      </c>
      <c r="V775" s="64" t="str">
        <f t="shared" si="27"/>
        <v>&lt;10 Гб</v>
      </c>
    </row>
    <row r="776" spans="1:22" ht="15.75" customHeight="1" x14ac:dyDescent="0.25">
      <c r="A776" s="62" t="s">
        <v>867</v>
      </c>
      <c r="B776" s="56">
        <v>36049</v>
      </c>
      <c r="C776" s="62" t="s">
        <v>88</v>
      </c>
      <c r="D776" s="62" t="s">
        <v>84</v>
      </c>
      <c r="E776" s="62" t="s">
        <v>92</v>
      </c>
      <c r="F776" s="62" t="s">
        <v>96</v>
      </c>
      <c r="G776" s="56">
        <v>43851</v>
      </c>
      <c r="H776" s="62">
        <v>5</v>
      </c>
      <c r="I776" s="62">
        <v>54464</v>
      </c>
      <c r="J776" s="62">
        <v>120000000</v>
      </c>
      <c r="P776" s="63">
        <f t="shared" si="21"/>
        <v>120</v>
      </c>
      <c r="Q776" s="64">
        <f t="shared" si="22"/>
        <v>226.93333333333334</v>
      </c>
      <c r="R776" s="64">
        <f t="shared" si="23"/>
        <v>28.6102294921875</v>
      </c>
      <c r="S776" s="64">
        <f t="shared" si="24"/>
        <v>23</v>
      </c>
      <c r="T776" s="64">
        <f t="shared" si="25"/>
        <v>52.951111111111111</v>
      </c>
      <c r="U776" s="64" t="str">
        <f t="shared" si="26"/>
        <v>35-60</v>
      </c>
      <c r="V776" s="64" t="str">
        <f t="shared" si="27"/>
        <v>21-30 Гб</v>
      </c>
    </row>
    <row r="777" spans="1:22" ht="15.75" customHeight="1" x14ac:dyDescent="0.25">
      <c r="A777" s="62" t="s">
        <v>868</v>
      </c>
      <c r="B777" s="56">
        <v>36047</v>
      </c>
      <c r="C777" s="62" t="s">
        <v>88</v>
      </c>
      <c r="D777" s="62" t="s">
        <v>84</v>
      </c>
      <c r="E777" s="62" t="s">
        <v>85</v>
      </c>
      <c r="F777" s="62" t="s">
        <v>100</v>
      </c>
      <c r="G777" s="56">
        <v>44172</v>
      </c>
      <c r="H777" s="62">
        <v>5</v>
      </c>
      <c r="I777" s="62">
        <v>90600</v>
      </c>
      <c r="J777" s="62">
        <v>28000000</v>
      </c>
      <c r="P777" s="63">
        <f t="shared" si="21"/>
        <v>120</v>
      </c>
      <c r="Q777" s="64">
        <f t="shared" si="22"/>
        <v>377.5</v>
      </c>
      <c r="R777" s="64">
        <f t="shared" si="23"/>
        <v>6.67572021484375</v>
      </c>
      <c r="S777" s="64">
        <f t="shared" si="24"/>
        <v>23</v>
      </c>
      <c r="T777" s="64">
        <f t="shared" si="25"/>
        <v>88.083333333333329</v>
      </c>
      <c r="U777" s="64" t="str">
        <f t="shared" si="26"/>
        <v>61-90</v>
      </c>
      <c r="V777" s="64" t="str">
        <f t="shared" si="27"/>
        <v>&lt;10 Гб</v>
      </c>
    </row>
    <row r="778" spans="1:22" ht="15.75" customHeight="1" x14ac:dyDescent="0.25">
      <c r="A778" s="62" t="s">
        <v>869</v>
      </c>
      <c r="B778" s="56">
        <v>36043</v>
      </c>
      <c r="C778" s="62" t="s">
        <v>88</v>
      </c>
      <c r="D778" s="62" t="s">
        <v>84</v>
      </c>
      <c r="E778" s="62" t="s">
        <v>92</v>
      </c>
      <c r="F778" s="62" t="s">
        <v>89</v>
      </c>
      <c r="G778" s="56">
        <v>44433</v>
      </c>
      <c r="H778" s="62">
        <v>5</v>
      </c>
      <c r="I778" s="62">
        <v>4576</v>
      </c>
      <c r="J778" s="62">
        <v>140000000</v>
      </c>
      <c r="N778" s="62">
        <v>1</v>
      </c>
      <c r="P778" s="63">
        <f t="shared" si="21"/>
        <v>120</v>
      </c>
      <c r="Q778" s="64">
        <f t="shared" si="22"/>
        <v>19.066666666666666</v>
      </c>
      <c r="R778" s="64">
        <f t="shared" si="23"/>
        <v>33.37860107421875</v>
      </c>
      <c r="S778" s="64">
        <f t="shared" si="24"/>
        <v>23</v>
      </c>
      <c r="T778" s="64">
        <f t="shared" si="25"/>
        <v>4.4488888888888889</v>
      </c>
      <c r="U778" s="64" t="str">
        <f t="shared" si="26"/>
        <v>&lt;35</v>
      </c>
      <c r="V778" s="64" t="str">
        <f t="shared" si="27"/>
        <v>31-40 Гб</v>
      </c>
    </row>
    <row r="779" spans="1:22" ht="15.75" customHeight="1" x14ac:dyDescent="0.25">
      <c r="A779" s="62" t="s">
        <v>870</v>
      </c>
      <c r="B779" s="56">
        <v>36041</v>
      </c>
      <c r="C779" s="62" t="s">
        <v>83</v>
      </c>
      <c r="D779" s="62" t="s">
        <v>84</v>
      </c>
      <c r="E779" s="62" t="s">
        <v>92</v>
      </c>
      <c r="F779" s="62" t="s">
        <v>89</v>
      </c>
      <c r="G779" s="56">
        <v>44535</v>
      </c>
      <c r="H779" s="62">
        <v>4</v>
      </c>
      <c r="I779" s="62">
        <v>44100</v>
      </c>
      <c r="J779" s="62">
        <v>156000000</v>
      </c>
      <c r="P779" s="63">
        <f t="shared" si="21"/>
        <v>120</v>
      </c>
      <c r="Q779" s="64">
        <f t="shared" si="22"/>
        <v>183.75</v>
      </c>
      <c r="R779" s="64">
        <f t="shared" si="23"/>
        <v>37.19329833984375</v>
      </c>
      <c r="S779" s="64">
        <f t="shared" si="24"/>
        <v>23</v>
      </c>
      <c r="T779" s="64">
        <f t="shared" si="25"/>
        <v>42.875</v>
      </c>
      <c r="U779" s="64" t="str">
        <f t="shared" si="26"/>
        <v>35-60</v>
      </c>
      <c r="V779" s="64" t="str">
        <f t="shared" si="27"/>
        <v>31-40 Гб</v>
      </c>
    </row>
    <row r="780" spans="1:22" ht="15.75" customHeight="1" x14ac:dyDescent="0.25">
      <c r="A780" s="62" t="s">
        <v>871</v>
      </c>
      <c r="B780" s="56">
        <v>36040</v>
      </c>
      <c r="C780" s="62" t="s">
        <v>83</v>
      </c>
      <c r="D780" s="62" t="s">
        <v>84</v>
      </c>
      <c r="E780" s="62" t="s">
        <v>85</v>
      </c>
      <c r="F780" s="62" t="s">
        <v>86</v>
      </c>
      <c r="G780" s="56">
        <v>43134</v>
      </c>
      <c r="H780" s="62">
        <v>5</v>
      </c>
      <c r="I780" s="62">
        <v>155480</v>
      </c>
      <c r="J780" s="62">
        <v>184000000</v>
      </c>
      <c r="K780" s="62">
        <v>1</v>
      </c>
      <c r="L780" s="62">
        <v>1</v>
      </c>
      <c r="O780" s="62">
        <v>1</v>
      </c>
      <c r="P780" s="63">
        <f t="shared" si="21"/>
        <v>120</v>
      </c>
      <c r="Q780" s="64">
        <f t="shared" si="22"/>
        <v>647.83333333333337</v>
      </c>
      <c r="R780" s="64">
        <f t="shared" si="23"/>
        <v>43.8690185546875</v>
      </c>
      <c r="S780" s="64">
        <f t="shared" si="24"/>
        <v>23</v>
      </c>
      <c r="T780" s="64">
        <f t="shared" si="25"/>
        <v>151.16111111111113</v>
      </c>
      <c r="U780" s="64" t="str">
        <f t="shared" si="26"/>
        <v>120+</v>
      </c>
      <c r="V780" s="64" t="str">
        <f t="shared" si="27"/>
        <v>40+ Гб</v>
      </c>
    </row>
    <row r="781" spans="1:22" ht="15.75" customHeight="1" x14ac:dyDescent="0.25">
      <c r="A781" s="62" t="s">
        <v>872</v>
      </c>
      <c r="B781" s="56">
        <v>36028</v>
      </c>
      <c r="C781" s="62" t="s">
        <v>83</v>
      </c>
      <c r="D781" s="62" t="s">
        <v>84</v>
      </c>
      <c r="E781" s="62" t="s">
        <v>92</v>
      </c>
      <c r="F781" s="62" t="s">
        <v>100</v>
      </c>
      <c r="G781" s="56">
        <v>42828</v>
      </c>
      <c r="H781" s="62">
        <v>5</v>
      </c>
      <c r="I781" s="62">
        <v>7404</v>
      </c>
      <c r="J781" s="62">
        <v>112000000</v>
      </c>
      <c r="P781" s="63">
        <f t="shared" si="21"/>
        <v>120</v>
      </c>
      <c r="Q781" s="64">
        <f t="shared" si="22"/>
        <v>30.85</v>
      </c>
      <c r="R781" s="64">
        <f t="shared" si="23"/>
        <v>26.702880859375</v>
      </c>
      <c r="S781" s="64">
        <f t="shared" si="24"/>
        <v>23</v>
      </c>
      <c r="T781" s="64">
        <f t="shared" si="25"/>
        <v>7.1983333333333341</v>
      </c>
      <c r="U781" s="64" t="str">
        <f t="shared" si="26"/>
        <v>&lt;35</v>
      </c>
      <c r="V781" s="64" t="str">
        <f t="shared" si="27"/>
        <v>21-30 Гб</v>
      </c>
    </row>
    <row r="782" spans="1:22" ht="15.75" customHeight="1" x14ac:dyDescent="0.25">
      <c r="A782" s="62" t="s">
        <v>873</v>
      </c>
      <c r="B782" s="56">
        <v>36028</v>
      </c>
      <c r="C782" s="62" t="s">
        <v>83</v>
      </c>
      <c r="D782" s="62" t="s">
        <v>84</v>
      </c>
      <c r="E782" s="62" t="s">
        <v>85</v>
      </c>
      <c r="F782" s="62" t="s">
        <v>96</v>
      </c>
      <c r="G782" s="56">
        <v>43153</v>
      </c>
      <c r="H782" s="62">
        <v>5</v>
      </c>
      <c r="I782" s="62">
        <v>13232</v>
      </c>
      <c r="J782" s="62">
        <v>8000000</v>
      </c>
      <c r="P782" s="63">
        <f t="shared" si="21"/>
        <v>120</v>
      </c>
      <c r="Q782" s="64">
        <f t="shared" si="22"/>
        <v>55.133333333333333</v>
      </c>
      <c r="R782" s="64">
        <f t="shared" si="23"/>
        <v>1.9073486328125002</v>
      </c>
      <c r="S782" s="64">
        <f t="shared" si="24"/>
        <v>23</v>
      </c>
      <c r="T782" s="64">
        <f t="shared" si="25"/>
        <v>12.864444444444445</v>
      </c>
      <c r="U782" s="64" t="str">
        <f t="shared" si="26"/>
        <v>&lt;35</v>
      </c>
      <c r="V782" s="64" t="str">
        <f t="shared" si="27"/>
        <v>&lt;10 Гб</v>
      </c>
    </row>
    <row r="783" spans="1:22" ht="15.75" customHeight="1" x14ac:dyDescent="0.25">
      <c r="A783" s="62" t="s">
        <v>874</v>
      </c>
      <c r="B783" s="56">
        <v>36025</v>
      </c>
      <c r="C783" s="62" t="s">
        <v>83</v>
      </c>
      <c r="D783" s="62" t="s">
        <v>84</v>
      </c>
      <c r="E783" s="62" t="s">
        <v>85</v>
      </c>
      <c r="F783" s="62" t="s">
        <v>89</v>
      </c>
      <c r="G783" s="56">
        <v>43671</v>
      </c>
      <c r="H783" s="62">
        <v>5</v>
      </c>
      <c r="I783" s="62">
        <v>29280</v>
      </c>
      <c r="J783" s="62">
        <v>160000000</v>
      </c>
      <c r="P783" s="63">
        <f t="shared" si="21"/>
        <v>120</v>
      </c>
      <c r="Q783" s="64">
        <f t="shared" si="22"/>
        <v>122</v>
      </c>
      <c r="R783" s="64">
        <f t="shared" si="23"/>
        <v>38.14697265625</v>
      </c>
      <c r="S783" s="64">
        <f t="shared" si="24"/>
        <v>23</v>
      </c>
      <c r="T783" s="64">
        <f t="shared" si="25"/>
        <v>28.466666666666665</v>
      </c>
      <c r="U783" s="64" t="str">
        <f t="shared" si="26"/>
        <v>&lt;35</v>
      </c>
      <c r="V783" s="64" t="str">
        <f t="shared" si="27"/>
        <v>31-40 Гб</v>
      </c>
    </row>
    <row r="784" spans="1:22" ht="15.75" customHeight="1" x14ac:dyDescent="0.25">
      <c r="A784" s="62" t="s">
        <v>875</v>
      </c>
      <c r="B784" s="56">
        <v>36024</v>
      </c>
      <c r="C784" s="62" t="s">
        <v>88</v>
      </c>
      <c r="D784" s="62" t="s">
        <v>84</v>
      </c>
      <c r="E784" s="62" t="s">
        <v>85</v>
      </c>
      <c r="F784" s="62" t="s">
        <v>100</v>
      </c>
      <c r="G784" s="56">
        <v>43635</v>
      </c>
      <c r="H784" s="62">
        <v>5</v>
      </c>
      <c r="I784" s="62">
        <v>85504</v>
      </c>
      <c r="J784" s="62">
        <v>136000000</v>
      </c>
      <c r="K784" s="62">
        <v>1</v>
      </c>
      <c r="L784" s="62">
        <v>1</v>
      </c>
      <c r="O784" s="62">
        <v>1</v>
      </c>
      <c r="P784" s="63">
        <f t="shared" si="21"/>
        <v>120</v>
      </c>
      <c r="Q784" s="64">
        <f t="shared" si="22"/>
        <v>356.26666666666665</v>
      </c>
      <c r="R784" s="64">
        <f t="shared" si="23"/>
        <v>32.4249267578125</v>
      </c>
      <c r="S784" s="64">
        <f t="shared" si="24"/>
        <v>23</v>
      </c>
      <c r="T784" s="64">
        <f t="shared" si="25"/>
        <v>83.128888888888895</v>
      </c>
      <c r="U784" s="64" t="str">
        <f t="shared" si="26"/>
        <v>61-90</v>
      </c>
      <c r="V784" s="64" t="str">
        <f t="shared" si="27"/>
        <v>31-40 Гб</v>
      </c>
    </row>
    <row r="785" spans="1:22" ht="15.75" customHeight="1" x14ac:dyDescent="0.25">
      <c r="A785" s="62" t="s">
        <v>876</v>
      </c>
      <c r="B785" s="56">
        <v>36024</v>
      </c>
      <c r="C785" s="62" t="s">
        <v>83</v>
      </c>
      <c r="D785" s="62" t="s">
        <v>84</v>
      </c>
      <c r="E785" s="62" t="s">
        <v>85</v>
      </c>
      <c r="F785" s="62" t="s">
        <v>89</v>
      </c>
      <c r="G785" s="56">
        <v>43395</v>
      </c>
      <c r="H785" s="62">
        <v>5</v>
      </c>
      <c r="I785" s="62">
        <v>5248</v>
      </c>
      <c r="J785" s="62">
        <v>144000000</v>
      </c>
      <c r="P785" s="63">
        <f t="shared" si="21"/>
        <v>120</v>
      </c>
      <c r="Q785" s="64">
        <f t="shared" si="22"/>
        <v>21.866666666666667</v>
      </c>
      <c r="R785" s="64">
        <f t="shared" si="23"/>
        <v>34.332275390625</v>
      </c>
      <c r="S785" s="64">
        <f t="shared" si="24"/>
        <v>23</v>
      </c>
      <c r="T785" s="64">
        <f t="shared" si="25"/>
        <v>5.1022222222222222</v>
      </c>
      <c r="U785" s="64" t="str">
        <f t="shared" si="26"/>
        <v>&lt;35</v>
      </c>
      <c r="V785" s="64" t="str">
        <f t="shared" si="27"/>
        <v>31-40 Гб</v>
      </c>
    </row>
    <row r="786" spans="1:22" ht="15.75" customHeight="1" x14ac:dyDescent="0.25">
      <c r="A786" s="62" t="s">
        <v>877</v>
      </c>
      <c r="B786" s="56">
        <v>36022</v>
      </c>
      <c r="C786" s="62" t="s">
        <v>88</v>
      </c>
      <c r="D786" s="62" t="s">
        <v>84</v>
      </c>
      <c r="E786" s="62" t="s">
        <v>92</v>
      </c>
      <c r="F786" s="62" t="s">
        <v>86</v>
      </c>
      <c r="G786" s="56">
        <v>43423</v>
      </c>
      <c r="H786" s="62">
        <v>5</v>
      </c>
      <c r="I786" s="62">
        <v>128640</v>
      </c>
      <c r="J786" s="62">
        <v>176000000</v>
      </c>
      <c r="P786" s="63">
        <f t="shared" si="21"/>
        <v>120</v>
      </c>
      <c r="Q786" s="64">
        <f t="shared" si="22"/>
        <v>536</v>
      </c>
      <c r="R786" s="64">
        <f t="shared" si="23"/>
        <v>41.961669921875</v>
      </c>
      <c r="S786" s="64">
        <f t="shared" si="24"/>
        <v>23</v>
      </c>
      <c r="T786" s="64">
        <f t="shared" si="25"/>
        <v>125.06666666666666</v>
      </c>
      <c r="U786" s="64" t="str">
        <f t="shared" si="26"/>
        <v>120+</v>
      </c>
      <c r="V786" s="64" t="str">
        <f t="shared" si="27"/>
        <v>40+ Гб</v>
      </c>
    </row>
    <row r="787" spans="1:22" ht="15.75" customHeight="1" x14ac:dyDescent="0.25">
      <c r="A787" s="62" t="s">
        <v>878</v>
      </c>
      <c r="B787" s="56">
        <v>36020</v>
      </c>
      <c r="C787" s="62" t="s">
        <v>83</v>
      </c>
      <c r="D787" s="62" t="s">
        <v>84</v>
      </c>
      <c r="E787" s="62" t="s">
        <v>92</v>
      </c>
      <c r="F787" s="62" t="s">
        <v>89</v>
      </c>
      <c r="G787" s="56">
        <v>43332</v>
      </c>
      <c r="H787" s="62">
        <v>5</v>
      </c>
      <c r="I787" s="62">
        <v>10080</v>
      </c>
      <c r="J787" s="62">
        <v>148000000</v>
      </c>
      <c r="K787" s="62">
        <v>1</v>
      </c>
      <c r="P787" s="63">
        <f t="shared" si="21"/>
        <v>120</v>
      </c>
      <c r="Q787" s="64">
        <f t="shared" si="22"/>
        <v>42</v>
      </c>
      <c r="R787" s="64">
        <f t="shared" si="23"/>
        <v>35.28594970703125</v>
      </c>
      <c r="S787" s="64">
        <f t="shared" si="24"/>
        <v>23</v>
      </c>
      <c r="T787" s="64">
        <f t="shared" si="25"/>
        <v>9.8000000000000007</v>
      </c>
      <c r="U787" s="64" t="str">
        <f t="shared" si="26"/>
        <v>&lt;35</v>
      </c>
      <c r="V787" s="64" t="str">
        <f t="shared" si="27"/>
        <v>31-40 Гб</v>
      </c>
    </row>
    <row r="788" spans="1:22" ht="15.75" customHeight="1" x14ac:dyDescent="0.25">
      <c r="A788" s="62" t="s">
        <v>879</v>
      </c>
      <c r="B788" s="56">
        <v>36019</v>
      </c>
      <c r="C788" s="62" t="s">
        <v>83</v>
      </c>
      <c r="D788" s="62" t="s">
        <v>84</v>
      </c>
      <c r="E788" s="62" t="s">
        <v>92</v>
      </c>
      <c r="F788" s="62" t="s">
        <v>89</v>
      </c>
      <c r="G788" s="56">
        <v>44577</v>
      </c>
      <c r="H788" s="62">
        <v>3</v>
      </c>
      <c r="I788" s="62">
        <v>3665</v>
      </c>
      <c r="J788" s="62">
        <v>3500000</v>
      </c>
      <c r="L788" s="62">
        <v>1</v>
      </c>
      <c r="P788" s="63">
        <f t="shared" si="21"/>
        <v>105</v>
      </c>
      <c r="Q788" s="64">
        <f t="shared" si="22"/>
        <v>17.452380952380953</v>
      </c>
      <c r="R788" s="64">
        <f t="shared" si="23"/>
        <v>0.95367431640625011</v>
      </c>
      <c r="S788" s="64">
        <f t="shared" si="24"/>
        <v>23</v>
      </c>
      <c r="T788" s="64">
        <f t="shared" si="25"/>
        <v>4.072222222222222</v>
      </c>
      <c r="U788" s="64" t="str">
        <f t="shared" si="26"/>
        <v>&lt;35</v>
      </c>
      <c r="V788" s="64" t="str">
        <f t="shared" si="27"/>
        <v>&lt;10 Гб</v>
      </c>
    </row>
    <row r="789" spans="1:22" ht="15.75" customHeight="1" x14ac:dyDescent="0.25">
      <c r="A789" s="62" t="s">
        <v>880</v>
      </c>
      <c r="B789" s="56">
        <v>36019</v>
      </c>
      <c r="C789" s="62" t="s">
        <v>83</v>
      </c>
      <c r="D789" s="62" t="s">
        <v>84</v>
      </c>
      <c r="E789" s="62" t="s">
        <v>85</v>
      </c>
      <c r="F789" s="62" t="s">
        <v>100</v>
      </c>
      <c r="G789" s="56">
        <v>43547</v>
      </c>
      <c r="H789" s="62">
        <v>5</v>
      </c>
      <c r="I789" s="62">
        <v>37688</v>
      </c>
      <c r="J789" s="62">
        <v>124000000</v>
      </c>
      <c r="M789" s="62">
        <v>1</v>
      </c>
      <c r="P789" s="63">
        <f t="shared" si="21"/>
        <v>120</v>
      </c>
      <c r="Q789" s="64">
        <f t="shared" si="22"/>
        <v>157.03333333333333</v>
      </c>
      <c r="R789" s="64">
        <f t="shared" si="23"/>
        <v>29.56390380859375</v>
      </c>
      <c r="S789" s="64">
        <f t="shared" si="24"/>
        <v>23</v>
      </c>
      <c r="T789" s="64">
        <f t="shared" si="25"/>
        <v>36.641111111111108</v>
      </c>
      <c r="U789" s="64" t="str">
        <f t="shared" si="26"/>
        <v>35-60</v>
      </c>
      <c r="V789" s="64" t="str">
        <f t="shared" si="27"/>
        <v>21-30 Гб</v>
      </c>
    </row>
    <row r="790" spans="1:22" ht="15.75" customHeight="1" x14ac:dyDescent="0.25">
      <c r="A790" s="62" t="s">
        <v>881</v>
      </c>
      <c r="B790" s="56">
        <v>36016</v>
      </c>
      <c r="C790" s="62" t="s">
        <v>83</v>
      </c>
      <c r="D790" s="62" t="s">
        <v>84</v>
      </c>
      <c r="E790" s="62" t="s">
        <v>85</v>
      </c>
      <c r="F790" s="62" t="s">
        <v>96</v>
      </c>
      <c r="G790" s="56">
        <v>43916</v>
      </c>
      <c r="H790" s="62">
        <v>5</v>
      </c>
      <c r="I790" s="62">
        <v>21468</v>
      </c>
      <c r="J790" s="62">
        <v>92000000</v>
      </c>
      <c r="P790" s="63">
        <f t="shared" si="21"/>
        <v>120</v>
      </c>
      <c r="Q790" s="64">
        <f t="shared" si="22"/>
        <v>89.45</v>
      </c>
      <c r="R790" s="64">
        <f t="shared" si="23"/>
        <v>21.93450927734375</v>
      </c>
      <c r="S790" s="64">
        <f t="shared" si="24"/>
        <v>23</v>
      </c>
      <c r="T790" s="64">
        <f t="shared" si="25"/>
        <v>20.871666666666666</v>
      </c>
      <c r="U790" s="64" t="str">
        <f t="shared" si="26"/>
        <v>&lt;35</v>
      </c>
      <c r="V790" s="64" t="str">
        <f t="shared" si="27"/>
        <v>21-30 Гб</v>
      </c>
    </row>
    <row r="791" spans="1:22" ht="15.75" customHeight="1" x14ac:dyDescent="0.25">
      <c r="A791" s="62" t="s">
        <v>882</v>
      </c>
      <c r="B791" s="56">
        <v>36014</v>
      </c>
      <c r="C791" s="62" t="s">
        <v>88</v>
      </c>
      <c r="D791" s="62" t="s">
        <v>84</v>
      </c>
      <c r="E791" s="62" t="s">
        <v>92</v>
      </c>
      <c r="F791" s="62" t="s">
        <v>86</v>
      </c>
      <c r="G791" s="56">
        <v>43685</v>
      </c>
      <c r="H791" s="62">
        <v>5</v>
      </c>
      <c r="I791" s="62">
        <v>127092</v>
      </c>
      <c r="J791" s="62">
        <v>180000000</v>
      </c>
      <c r="P791" s="63">
        <f t="shared" si="21"/>
        <v>120</v>
      </c>
      <c r="Q791" s="64">
        <f t="shared" si="22"/>
        <v>529.54999999999995</v>
      </c>
      <c r="R791" s="64">
        <f t="shared" si="23"/>
        <v>42.91534423828125</v>
      </c>
      <c r="S791" s="64">
        <f t="shared" si="24"/>
        <v>23</v>
      </c>
      <c r="T791" s="64">
        <f t="shared" si="25"/>
        <v>123.56166666666665</v>
      </c>
      <c r="U791" s="64" t="str">
        <f t="shared" si="26"/>
        <v>120+</v>
      </c>
      <c r="V791" s="64" t="str">
        <f t="shared" si="27"/>
        <v>40+ Гб</v>
      </c>
    </row>
    <row r="792" spans="1:22" ht="15.75" customHeight="1" x14ac:dyDescent="0.25">
      <c r="A792" s="62" t="s">
        <v>883</v>
      </c>
      <c r="B792" s="56">
        <v>36009</v>
      </c>
      <c r="C792" s="62" t="s">
        <v>88</v>
      </c>
      <c r="D792" s="62" t="s">
        <v>84</v>
      </c>
      <c r="E792" s="62" t="s">
        <v>85</v>
      </c>
      <c r="F792" s="62" t="s">
        <v>96</v>
      </c>
      <c r="G792" s="56">
        <v>43244</v>
      </c>
      <c r="H792" s="62">
        <v>5</v>
      </c>
      <c r="I792" s="62">
        <v>88728</v>
      </c>
      <c r="J792" s="62">
        <v>100000000</v>
      </c>
      <c r="P792" s="63">
        <f t="shared" si="21"/>
        <v>120</v>
      </c>
      <c r="Q792" s="64">
        <f t="shared" si="22"/>
        <v>369.7</v>
      </c>
      <c r="R792" s="64">
        <f t="shared" si="23"/>
        <v>23.84185791015625</v>
      </c>
      <c r="S792" s="64">
        <f t="shared" si="24"/>
        <v>23</v>
      </c>
      <c r="T792" s="64">
        <f t="shared" si="25"/>
        <v>86.263333333333335</v>
      </c>
      <c r="U792" s="64" t="str">
        <f t="shared" si="26"/>
        <v>61-90</v>
      </c>
      <c r="V792" s="64" t="str">
        <f t="shared" si="27"/>
        <v>21-30 Гб</v>
      </c>
    </row>
    <row r="793" spans="1:22" ht="15.75" customHeight="1" x14ac:dyDescent="0.25">
      <c r="A793" s="62" t="s">
        <v>884</v>
      </c>
      <c r="B793" s="56">
        <v>35999</v>
      </c>
      <c r="C793" s="62" t="s">
        <v>83</v>
      </c>
      <c r="D793" s="62" t="s">
        <v>84</v>
      </c>
      <c r="E793" s="62" t="s">
        <v>92</v>
      </c>
      <c r="F793" s="62" t="s">
        <v>100</v>
      </c>
      <c r="G793" s="56">
        <v>44104</v>
      </c>
      <c r="H793" s="62">
        <v>5</v>
      </c>
      <c r="I793" s="62">
        <v>47684</v>
      </c>
      <c r="J793" s="62">
        <v>112000000</v>
      </c>
      <c r="K793" s="62">
        <v>1</v>
      </c>
      <c r="P793" s="63">
        <f t="shared" si="21"/>
        <v>120</v>
      </c>
      <c r="Q793" s="64">
        <f t="shared" si="22"/>
        <v>198.68333333333334</v>
      </c>
      <c r="R793" s="64">
        <f t="shared" si="23"/>
        <v>26.702880859375</v>
      </c>
      <c r="S793" s="64">
        <f t="shared" si="24"/>
        <v>23</v>
      </c>
      <c r="T793" s="64">
        <f t="shared" si="25"/>
        <v>46.359444444444442</v>
      </c>
      <c r="U793" s="64" t="str">
        <f t="shared" si="26"/>
        <v>35-60</v>
      </c>
      <c r="V793" s="64" t="str">
        <f t="shared" si="27"/>
        <v>21-30 Гб</v>
      </c>
    </row>
    <row r="794" spans="1:22" ht="15.75" customHeight="1" x14ac:dyDescent="0.25">
      <c r="A794" s="62" t="s">
        <v>885</v>
      </c>
      <c r="B794" s="56">
        <v>35994</v>
      </c>
      <c r="C794" s="62" t="s">
        <v>88</v>
      </c>
      <c r="D794" s="62" t="s">
        <v>84</v>
      </c>
      <c r="E794" s="62" t="s">
        <v>85</v>
      </c>
      <c r="F794" s="62" t="s">
        <v>89</v>
      </c>
      <c r="G794" s="56">
        <v>42901</v>
      </c>
      <c r="H794" s="62">
        <v>5</v>
      </c>
      <c r="I794" s="62">
        <v>34244</v>
      </c>
      <c r="J794" s="62">
        <v>96000000</v>
      </c>
      <c r="L794" s="62">
        <v>1</v>
      </c>
      <c r="P794" s="63">
        <f t="shared" si="21"/>
        <v>120</v>
      </c>
      <c r="Q794" s="64">
        <f t="shared" si="22"/>
        <v>142.68333333333334</v>
      </c>
      <c r="R794" s="64">
        <f t="shared" si="23"/>
        <v>22.88818359375</v>
      </c>
      <c r="S794" s="64">
        <f t="shared" si="24"/>
        <v>23</v>
      </c>
      <c r="T794" s="64">
        <f t="shared" si="25"/>
        <v>33.292777777777779</v>
      </c>
      <c r="U794" s="64" t="str">
        <f t="shared" si="26"/>
        <v>&lt;35</v>
      </c>
      <c r="V794" s="64" t="str">
        <f t="shared" si="27"/>
        <v>21-30 Гб</v>
      </c>
    </row>
    <row r="795" spans="1:22" ht="15.75" customHeight="1" x14ac:dyDescent="0.25">
      <c r="A795" s="62" t="s">
        <v>886</v>
      </c>
      <c r="B795" s="56">
        <v>35992</v>
      </c>
      <c r="C795" s="62" t="s">
        <v>83</v>
      </c>
      <c r="D795" s="62" t="s">
        <v>84</v>
      </c>
      <c r="E795" s="62" t="s">
        <v>92</v>
      </c>
      <c r="F795" s="62" t="s">
        <v>89</v>
      </c>
      <c r="G795" s="56">
        <v>43239</v>
      </c>
      <c r="H795" s="62">
        <v>5</v>
      </c>
      <c r="I795" s="62">
        <v>16732</v>
      </c>
      <c r="J795" s="62">
        <v>120000000</v>
      </c>
      <c r="M795" s="62">
        <v>1</v>
      </c>
      <c r="P795" s="63">
        <f t="shared" si="21"/>
        <v>120</v>
      </c>
      <c r="Q795" s="64">
        <f t="shared" si="22"/>
        <v>69.716666666666669</v>
      </c>
      <c r="R795" s="64">
        <f t="shared" si="23"/>
        <v>28.6102294921875</v>
      </c>
      <c r="S795" s="64">
        <f t="shared" si="24"/>
        <v>23</v>
      </c>
      <c r="T795" s="64">
        <f t="shared" si="25"/>
        <v>16.267222222222223</v>
      </c>
      <c r="U795" s="64" t="str">
        <f t="shared" si="26"/>
        <v>&lt;35</v>
      </c>
      <c r="V795" s="64" t="str">
        <f t="shared" si="27"/>
        <v>21-30 Гб</v>
      </c>
    </row>
    <row r="796" spans="1:22" ht="15.75" customHeight="1" x14ac:dyDescent="0.25">
      <c r="A796" s="62" t="s">
        <v>887</v>
      </c>
      <c r="B796" s="56">
        <v>35992</v>
      </c>
      <c r="C796" s="62" t="s">
        <v>83</v>
      </c>
      <c r="D796" s="62" t="s">
        <v>84</v>
      </c>
      <c r="E796" s="62" t="s">
        <v>92</v>
      </c>
      <c r="F796" s="62" t="s">
        <v>93</v>
      </c>
      <c r="G796" s="56">
        <v>43428</v>
      </c>
      <c r="H796" s="62">
        <v>5</v>
      </c>
      <c r="I796" s="62">
        <v>17644</v>
      </c>
      <c r="J796" s="62">
        <v>20000000</v>
      </c>
      <c r="P796" s="63">
        <f t="shared" si="21"/>
        <v>120</v>
      </c>
      <c r="Q796" s="64">
        <f t="shared" si="22"/>
        <v>73.516666666666666</v>
      </c>
      <c r="R796" s="64">
        <f t="shared" si="23"/>
        <v>4.76837158203125</v>
      </c>
      <c r="S796" s="64">
        <f t="shared" si="24"/>
        <v>23</v>
      </c>
      <c r="T796" s="64">
        <f t="shared" si="25"/>
        <v>17.15388888888889</v>
      </c>
      <c r="U796" s="64" t="str">
        <f t="shared" si="26"/>
        <v>&lt;35</v>
      </c>
      <c r="V796" s="64" t="str">
        <f t="shared" si="27"/>
        <v>&lt;10 Гб</v>
      </c>
    </row>
    <row r="797" spans="1:22" ht="15.75" customHeight="1" x14ac:dyDescent="0.25">
      <c r="A797" s="62" t="s">
        <v>888</v>
      </c>
      <c r="B797" s="56">
        <v>35990</v>
      </c>
      <c r="C797" s="62" t="s">
        <v>83</v>
      </c>
      <c r="D797" s="62" t="s">
        <v>84</v>
      </c>
      <c r="E797" s="62" t="s">
        <v>85</v>
      </c>
      <c r="F797" s="62" t="s">
        <v>96</v>
      </c>
      <c r="G797" s="56">
        <v>44591</v>
      </c>
      <c r="H797" s="62">
        <v>3</v>
      </c>
      <c r="I797" s="62">
        <v>72800</v>
      </c>
      <c r="J797" s="62">
        <v>66733333</v>
      </c>
      <c r="P797" s="63">
        <f t="shared" si="21"/>
        <v>91</v>
      </c>
      <c r="Q797" s="64">
        <f t="shared" si="22"/>
        <v>399.99999999999994</v>
      </c>
      <c r="R797" s="64">
        <f t="shared" si="23"/>
        <v>20.980834856138124</v>
      </c>
      <c r="S797" s="64">
        <f t="shared" si="24"/>
        <v>23</v>
      </c>
      <c r="T797" s="64">
        <f t="shared" si="25"/>
        <v>93.333333333333314</v>
      </c>
      <c r="U797" s="64" t="str">
        <f t="shared" si="26"/>
        <v>91-120</v>
      </c>
      <c r="V797" s="64" t="str">
        <f t="shared" si="27"/>
        <v>21-30 Гб</v>
      </c>
    </row>
    <row r="798" spans="1:22" ht="15.75" customHeight="1" x14ac:dyDescent="0.25">
      <c r="A798" s="62" t="s">
        <v>889</v>
      </c>
      <c r="B798" s="56">
        <v>35985</v>
      </c>
      <c r="C798" s="62" t="s">
        <v>88</v>
      </c>
      <c r="D798" s="62" t="s">
        <v>84</v>
      </c>
      <c r="E798" s="62" t="s">
        <v>85</v>
      </c>
      <c r="F798" s="62" t="s">
        <v>89</v>
      </c>
      <c r="G798" s="56">
        <v>44005</v>
      </c>
      <c r="H798" s="62">
        <v>5</v>
      </c>
      <c r="I798" s="62">
        <v>27008</v>
      </c>
      <c r="J798" s="62">
        <v>156000000</v>
      </c>
      <c r="P798" s="63">
        <f t="shared" si="21"/>
        <v>120</v>
      </c>
      <c r="Q798" s="64">
        <f t="shared" si="22"/>
        <v>112.53333333333333</v>
      </c>
      <c r="R798" s="64">
        <f t="shared" si="23"/>
        <v>37.19329833984375</v>
      </c>
      <c r="S798" s="64">
        <f t="shared" si="24"/>
        <v>23</v>
      </c>
      <c r="T798" s="64">
        <f t="shared" si="25"/>
        <v>26.257777777777779</v>
      </c>
      <c r="U798" s="64" t="str">
        <f t="shared" si="26"/>
        <v>&lt;35</v>
      </c>
      <c r="V798" s="64" t="str">
        <f t="shared" si="27"/>
        <v>31-40 Гб</v>
      </c>
    </row>
    <row r="799" spans="1:22" ht="15.75" customHeight="1" x14ac:dyDescent="0.25">
      <c r="A799" s="62" t="s">
        <v>890</v>
      </c>
      <c r="B799" s="56">
        <v>35984</v>
      </c>
      <c r="C799" s="62" t="s">
        <v>88</v>
      </c>
      <c r="D799" s="62" t="s">
        <v>84</v>
      </c>
      <c r="E799" s="62" t="s">
        <v>85</v>
      </c>
      <c r="F799" s="62" t="s">
        <v>89</v>
      </c>
      <c r="G799" s="56">
        <v>43596</v>
      </c>
      <c r="H799" s="62">
        <v>5</v>
      </c>
      <c r="I799" s="62">
        <v>660</v>
      </c>
      <c r="J799" s="62">
        <v>36000000</v>
      </c>
      <c r="K799" s="62">
        <v>1</v>
      </c>
      <c r="P799" s="63">
        <f t="shared" si="21"/>
        <v>120</v>
      </c>
      <c r="Q799" s="64">
        <f t="shared" si="22"/>
        <v>2.75</v>
      </c>
      <c r="R799" s="64">
        <f t="shared" si="23"/>
        <v>8.58306884765625</v>
      </c>
      <c r="S799" s="64">
        <f t="shared" si="24"/>
        <v>23</v>
      </c>
      <c r="T799" s="64">
        <f t="shared" si="25"/>
        <v>0.64166666666666672</v>
      </c>
      <c r="U799" s="64" t="str">
        <f t="shared" si="26"/>
        <v>&lt;35</v>
      </c>
      <c r="V799" s="64" t="str">
        <f t="shared" si="27"/>
        <v>&lt;10 Гб</v>
      </c>
    </row>
    <row r="800" spans="1:22" ht="15.75" customHeight="1" x14ac:dyDescent="0.25">
      <c r="A800" s="62" t="s">
        <v>891</v>
      </c>
      <c r="B800" s="56">
        <v>35981</v>
      </c>
      <c r="C800" s="62" t="s">
        <v>88</v>
      </c>
      <c r="D800" s="62" t="s">
        <v>84</v>
      </c>
      <c r="E800" s="62" t="s">
        <v>85</v>
      </c>
      <c r="F800" s="62" t="s">
        <v>100</v>
      </c>
      <c r="G800" s="56">
        <v>44132</v>
      </c>
      <c r="H800" s="62">
        <v>5</v>
      </c>
      <c r="I800" s="62">
        <v>114700</v>
      </c>
      <c r="J800" s="62">
        <v>96000000</v>
      </c>
      <c r="P800" s="63">
        <f t="shared" si="21"/>
        <v>120</v>
      </c>
      <c r="Q800" s="64">
        <f t="shared" si="22"/>
        <v>477.91666666666669</v>
      </c>
      <c r="R800" s="64">
        <f t="shared" si="23"/>
        <v>22.88818359375</v>
      </c>
      <c r="S800" s="64">
        <f t="shared" si="24"/>
        <v>23</v>
      </c>
      <c r="T800" s="64">
        <f t="shared" si="25"/>
        <v>111.5138888888889</v>
      </c>
      <c r="U800" s="64" t="str">
        <f t="shared" si="26"/>
        <v>91-120</v>
      </c>
      <c r="V800" s="64" t="str">
        <f t="shared" si="27"/>
        <v>21-30 Гб</v>
      </c>
    </row>
    <row r="801" spans="1:22" ht="15.75" customHeight="1" x14ac:dyDescent="0.25">
      <c r="A801" s="62" t="s">
        <v>892</v>
      </c>
      <c r="B801" s="56">
        <v>35980</v>
      </c>
      <c r="C801" s="62" t="s">
        <v>83</v>
      </c>
      <c r="D801" s="62" t="s">
        <v>84</v>
      </c>
      <c r="E801" s="62" t="s">
        <v>92</v>
      </c>
      <c r="F801" s="62" t="s">
        <v>100</v>
      </c>
      <c r="G801" s="56">
        <v>43448</v>
      </c>
      <c r="H801" s="62">
        <v>5</v>
      </c>
      <c r="I801" s="62">
        <v>70028</v>
      </c>
      <c r="J801" s="62">
        <v>76000000</v>
      </c>
      <c r="K801" s="62">
        <v>1</v>
      </c>
      <c r="P801" s="63">
        <f t="shared" si="21"/>
        <v>120</v>
      </c>
      <c r="Q801" s="64">
        <f t="shared" si="22"/>
        <v>291.78333333333336</v>
      </c>
      <c r="R801" s="64">
        <f t="shared" si="23"/>
        <v>18.11981201171875</v>
      </c>
      <c r="S801" s="64">
        <f t="shared" si="24"/>
        <v>23</v>
      </c>
      <c r="T801" s="64">
        <f t="shared" si="25"/>
        <v>68.082777777777792</v>
      </c>
      <c r="U801" s="64" t="str">
        <f t="shared" si="26"/>
        <v>61-90</v>
      </c>
      <c r="V801" s="64" t="str">
        <f t="shared" si="27"/>
        <v>10-20 Гб</v>
      </c>
    </row>
    <row r="802" spans="1:22" ht="15.75" customHeight="1" x14ac:dyDescent="0.25">
      <c r="A802" s="62" t="s">
        <v>893</v>
      </c>
      <c r="B802" s="56">
        <v>35980</v>
      </c>
      <c r="C802" s="62" t="s">
        <v>88</v>
      </c>
      <c r="D802" s="62" t="s">
        <v>84</v>
      </c>
      <c r="E802" s="62" t="s">
        <v>92</v>
      </c>
      <c r="F802" s="62" t="s">
        <v>96</v>
      </c>
      <c r="G802" s="56">
        <v>44132</v>
      </c>
      <c r="H802" s="62">
        <v>5</v>
      </c>
      <c r="I802" s="62">
        <v>89764</v>
      </c>
      <c r="J802" s="62">
        <v>68000000</v>
      </c>
      <c r="M802" s="62">
        <v>1</v>
      </c>
      <c r="P802" s="63">
        <f t="shared" si="21"/>
        <v>120</v>
      </c>
      <c r="Q802" s="64">
        <f t="shared" si="22"/>
        <v>374.01666666666665</v>
      </c>
      <c r="R802" s="64">
        <f t="shared" si="23"/>
        <v>16.21246337890625</v>
      </c>
      <c r="S802" s="64">
        <f t="shared" si="24"/>
        <v>23</v>
      </c>
      <c r="T802" s="64">
        <f t="shared" si="25"/>
        <v>87.270555555555561</v>
      </c>
      <c r="U802" s="64" t="str">
        <f t="shared" si="26"/>
        <v>61-90</v>
      </c>
      <c r="V802" s="64" t="str">
        <f t="shared" si="27"/>
        <v>10-20 Гб</v>
      </c>
    </row>
    <row r="803" spans="1:22" ht="15.75" customHeight="1" x14ac:dyDescent="0.25">
      <c r="A803" s="62" t="s">
        <v>894</v>
      </c>
      <c r="B803" s="56">
        <v>35980</v>
      </c>
      <c r="C803" s="62" t="s">
        <v>88</v>
      </c>
      <c r="D803" s="62" t="s">
        <v>84</v>
      </c>
      <c r="E803" s="62" t="s">
        <v>85</v>
      </c>
      <c r="F803" s="62" t="s">
        <v>96</v>
      </c>
      <c r="G803" s="56">
        <v>44297</v>
      </c>
      <c r="H803" s="62">
        <v>5</v>
      </c>
      <c r="I803" s="62">
        <v>88420</v>
      </c>
      <c r="J803" s="62">
        <v>52000000</v>
      </c>
      <c r="L803" s="62">
        <v>1</v>
      </c>
      <c r="N803" s="62">
        <v>1</v>
      </c>
      <c r="P803" s="63">
        <f t="shared" si="21"/>
        <v>120</v>
      </c>
      <c r="Q803" s="64">
        <f t="shared" si="22"/>
        <v>368.41666666666669</v>
      </c>
      <c r="R803" s="64">
        <f t="shared" si="23"/>
        <v>12.39776611328125</v>
      </c>
      <c r="S803" s="64">
        <f t="shared" si="24"/>
        <v>23</v>
      </c>
      <c r="T803" s="64">
        <f t="shared" si="25"/>
        <v>85.963888888888903</v>
      </c>
      <c r="U803" s="64" t="str">
        <f t="shared" si="26"/>
        <v>61-90</v>
      </c>
      <c r="V803" s="64" t="str">
        <f t="shared" si="27"/>
        <v>10-20 Гб</v>
      </c>
    </row>
    <row r="804" spans="1:22" ht="15.75" customHeight="1" x14ac:dyDescent="0.25">
      <c r="A804" s="62" t="s">
        <v>895</v>
      </c>
      <c r="B804" s="56">
        <v>35980</v>
      </c>
      <c r="C804" s="62" t="s">
        <v>83</v>
      </c>
      <c r="D804" s="62" t="s">
        <v>84</v>
      </c>
      <c r="E804" s="62" t="s">
        <v>85</v>
      </c>
      <c r="F804" s="62" t="s">
        <v>89</v>
      </c>
      <c r="G804" s="56">
        <v>43970</v>
      </c>
      <c r="H804" s="62">
        <v>5</v>
      </c>
      <c r="I804" s="62">
        <v>19036</v>
      </c>
      <c r="J804" s="62">
        <v>156000000</v>
      </c>
      <c r="K804" s="62">
        <v>1</v>
      </c>
      <c r="L804" s="62">
        <v>1</v>
      </c>
      <c r="P804" s="63">
        <f t="shared" si="21"/>
        <v>120</v>
      </c>
      <c r="Q804" s="64">
        <f t="shared" si="22"/>
        <v>79.316666666666663</v>
      </c>
      <c r="R804" s="64">
        <f t="shared" si="23"/>
        <v>37.19329833984375</v>
      </c>
      <c r="S804" s="64">
        <f t="shared" si="24"/>
        <v>23</v>
      </c>
      <c r="T804" s="64">
        <f t="shared" si="25"/>
        <v>18.507222222222222</v>
      </c>
      <c r="U804" s="64" t="str">
        <f t="shared" si="26"/>
        <v>&lt;35</v>
      </c>
      <c r="V804" s="64" t="str">
        <f t="shared" si="27"/>
        <v>31-40 Гб</v>
      </c>
    </row>
    <row r="805" spans="1:22" ht="15.75" customHeight="1" x14ac:dyDescent="0.25">
      <c r="A805" s="62" t="s">
        <v>896</v>
      </c>
      <c r="B805" s="56">
        <v>35979</v>
      </c>
      <c r="C805" s="62" t="s">
        <v>88</v>
      </c>
      <c r="D805" s="62" t="s">
        <v>84</v>
      </c>
      <c r="E805" s="62" t="s">
        <v>85</v>
      </c>
      <c r="F805" s="62" t="s">
        <v>96</v>
      </c>
      <c r="G805" s="56">
        <v>43484</v>
      </c>
      <c r="H805" s="62">
        <v>5</v>
      </c>
      <c r="I805" s="62">
        <v>82556</v>
      </c>
      <c r="J805" s="62">
        <v>112000000</v>
      </c>
      <c r="P805" s="63">
        <f t="shared" si="21"/>
        <v>120</v>
      </c>
      <c r="Q805" s="64">
        <f t="shared" si="22"/>
        <v>343.98333333333335</v>
      </c>
      <c r="R805" s="64">
        <f t="shared" si="23"/>
        <v>26.702880859375</v>
      </c>
      <c r="S805" s="64">
        <f t="shared" si="24"/>
        <v>23</v>
      </c>
      <c r="T805" s="64">
        <f t="shared" si="25"/>
        <v>80.262777777777771</v>
      </c>
      <c r="U805" s="64" t="str">
        <f t="shared" si="26"/>
        <v>61-90</v>
      </c>
      <c r="V805" s="64" t="str">
        <f t="shared" si="27"/>
        <v>21-30 Гб</v>
      </c>
    </row>
    <row r="806" spans="1:22" ht="15.75" customHeight="1" x14ac:dyDescent="0.25">
      <c r="A806" s="62" t="s">
        <v>897</v>
      </c>
      <c r="B806" s="56">
        <v>35979</v>
      </c>
      <c r="C806" s="62" t="s">
        <v>83</v>
      </c>
      <c r="D806" s="62" t="s">
        <v>84</v>
      </c>
      <c r="E806" s="62" t="s">
        <v>85</v>
      </c>
      <c r="F806" s="62" t="s">
        <v>93</v>
      </c>
      <c r="G806" s="56">
        <v>43465</v>
      </c>
      <c r="H806" s="62">
        <v>5</v>
      </c>
      <c r="I806" s="62">
        <v>37188</v>
      </c>
      <c r="J806" s="62">
        <v>8000000</v>
      </c>
      <c r="P806" s="63">
        <f t="shared" si="21"/>
        <v>120</v>
      </c>
      <c r="Q806" s="64">
        <f t="shared" si="22"/>
        <v>154.94999999999999</v>
      </c>
      <c r="R806" s="64">
        <f t="shared" si="23"/>
        <v>1.9073486328125002</v>
      </c>
      <c r="S806" s="64">
        <f t="shared" si="24"/>
        <v>23</v>
      </c>
      <c r="T806" s="64">
        <f t="shared" si="25"/>
        <v>36.154999999999994</v>
      </c>
      <c r="U806" s="64" t="str">
        <f t="shared" si="26"/>
        <v>35-60</v>
      </c>
      <c r="V806" s="64" t="str">
        <f t="shared" si="27"/>
        <v>&lt;10 Гб</v>
      </c>
    </row>
    <row r="807" spans="1:22" ht="15.75" customHeight="1" x14ac:dyDescent="0.25">
      <c r="A807" s="62" t="s">
        <v>898</v>
      </c>
      <c r="B807" s="56">
        <v>35972</v>
      </c>
      <c r="C807" s="62" t="s">
        <v>88</v>
      </c>
      <c r="D807" s="62" t="s">
        <v>84</v>
      </c>
      <c r="E807" s="62" t="s">
        <v>85</v>
      </c>
      <c r="F807" s="62" t="s">
        <v>96</v>
      </c>
      <c r="G807" s="56">
        <v>43238</v>
      </c>
      <c r="H807" s="62">
        <v>5</v>
      </c>
      <c r="I807" s="62">
        <v>75304</v>
      </c>
      <c r="J807" s="62">
        <v>56000000</v>
      </c>
      <c r="P807" s="63">
        <f t="shared" si="21"/>
        <v>120</v>
      </c>
      <c r="Q807" s="64">
        <f t="shared" si="22"/>
        <v>313.76666666666665</v>
      </c>
      <c r="R807" s="64">
        <f t="shared" si="23"/>
        <v>13.3514404296875</v>
      </c>
      <c r="S807" s="64">
        <f t="shared" si="24"/>
        <v>23</v>
      </c>
      <c r="T807" s="64">
        <f t="shared" si="25"/>
        <v>73.212222222222223</v>
      </c>
      <c r="U807" s="64" t="str">
        <f t="shared" si="26"/>
        <v>61-90</v>
      </c>
      <c r="V807" s="64" t="str">
        <f t="shared" si="27"/>
        <v>10-20 Гб</v>
      </c>
    </row>
    <row r="808" spans="1:22" ht="15.75" customHeight="1" x14ac:dyDescent="0.25">
      <c r="A808" s="62" t="s">
        <v>899</v>
      </c>
      <c r="B808" s="56">
        <v>35970</v>
      </c>
      <c r="C808" s="62" t="s">
        <v>88</v>
      </c>
      <c r="D808" s="62" t="s">
        <v>84</v>
      </c>
      <c r="E808" s="62" t="s">
        <v>92</v>
      </c>
      <c r="F808" s="62" t="s">
        <v>93</v>
      </c>
      <c r="G808" s="56">
        <v>43875</v>
      </c>
      <c r="H808" s="62">
        <v>5</v>
      </c>
      <c r="I808" s="62">
        <v>14864</v>
      </c>
      <c r="J808" s="62">
        <v>16000000</v>
      </c>
      <c r="M808" s="62">
        <v>1</v>
      </c>
      <c r="P808" s="63">
        <f t="shared" si="21"/>
        <v>120</v>
      </c>
      <c r="Q808" s="64">
        <f t="shared" si="22"/>
        <v>61.93333333333333</v>
      </c>
      <c r="R808" s="64">
        <f t="shared" si="23"/>
        <v>3.8146972656250004</v>
      </c>
      <c r="S808" s="64">
        <f t="shared" si="24"/>
        <v>23</v>
      </c>
      <c r="T808" s="64">
        <f t="shared" si="25"/>
        <v>14.451111111111111</v>
      </c>
      <c r="U808" s="64" t="str">
        <f t="shared" si="26"/>
        <v>&lt;35</v>
      </c>
      <c r="V808" s="64" t="str">
        <f t="shared" si="27"/>
        <v>&lt;10 Гб</v>
      </c>
    </row>
    <row r="809" spans="1:22" ht="15.75" customHeight="1" x14ac:dyDescent="0.25">
      <c r="A809" s="62" t="s">
        <v>900</v>
      </c>
      <c r="B809" s="56">
        <v>35967</v>
      </c>
      <c r="C809" s="62" t="s">
        <v>88</v>
      </c>
      <c r="D809" s="62" t="s">
        <v>84</v>
      </c>
      <c r="E809" s="62" t="s">
        <v>85</v>
      </c>
      <c r="F809" s="62" t="s">
        <v>89</v>
      </c>
      <c r="G809" s="56">
        <v>43091</v>
      </c>
      <c r="H809" s="62">
        <v>5</v>
      </c>
      <c r="I809" s="62">
        <v>8796</v>
      </c>
      <c r="J809" s="62">
        <v>28000000</v>
      </c>
      <c r="P809" s="63">
        <f t="shared" si="21"/>
        <v>120</v>
      </c>
      <c r="Q809" s="64">
        <f t="shared" si="22"/>
        <v>36.65</v>
      </c>
      <c r="R809" s="64">
        <f t="shared" si="23"/>
        <v>6.67572021484375</v>
      </c>
      <c r="S809" s="64">
        <f t="shared" si="24"/>
        <v>23</v>
      </c>
      <c r="T809" s="64">
        <f t="shared" si="25"/>
        <v>8.5516666666666676</v>
      </c>
      <c r="U809" s="64" t="str">
        <f t="shared" si="26"/>
        <v>&lt;35</v>
      </c>
      <c r="V809" s="64" t="str">
        <f t="shared" si="27"/>
        <v>&lt;10 Гб</v>
      </c>
    </row>
    <row r="810" spans="1:22" ht="15.75" customHeight="1" x14ac:dyDescent="0.25">
      <c r="A810" s="62" t="s">
        <v>901</v>
      </c>
      <c r="B810" s="56">
        <v>35961</v>
      </c>
      <c r="C810" s="62" t="s">
        <v>88</v>
      </c>
      <c r="D810" s="62" t="s">
        <v>84</v>
      </c>
      <c r="E810" s="62" t="s">
        <v>92</v>
      </c>
      <c r="F810" s="62" t="s">
        <v>89</v>
      </c>
      <c r="G810" s="56">
        <v>43895</v>
      </c>
      <c r="H810" s="62">
        <v>5</v>
      </c>
      <c r="I810" s="62">
        <v>17276</v>
      </c>
      <c r="J810" s="62">
        <v>128000000</v>
      </c>
      <c r="P810" s="63">
        <f t="shared" si="21"/>
        <v>120</v>
      </c>
      <c r="Q810" s="64">
        <f t="shared" si="22"/>
        <v>71.983333333333334</v>
      </c>
      <c r="R810" s="64">
        <f t="shared" si="23"/>
        <v>30.517578125000004</v>
      </c>
      <c r="S810" s="64">
        <f t="shared" si="24"/>
        <v>23</v>
      </c>
      <c r="T810" s="64">
        <f t="shared" si="25"/>
        <v>16.796111111111109</v>
      </c>
      <c r="U810" s="64" t="str">
        <f t="shared" si="26"/>
        <v>&lt;35</v>
      </c>
      <c r="V810" s="64" t="str">
        <f t="shared" si="27"/>
        <v>31-40 Гб</v>
      </c>
    </row>
    <row r="811" spans="1:22" ht="15.75" customHeight="1" x14ac:dyDescent="0.25">
      <c r="A811" s="62" t="s">
        <v>902</v>
      </c>
      <c r="B811" s="56">
        <v>35960</v>
      </c>
      <c r="C811" s="62" t="s">
        <v>88</v>
      </c>
      <c r="D811" s="62" t="s">
        <v>84</v>
      </c>
      <c r="E811" s="62" t="s">
        <v>85</v>
      </c>
      <c r="F811" s="62" t="s">
        <v>96</v>
      </c>
      <c r="G811" s="56">
        <v>43068</v>
      </c>
      <c r="H811" s="62">
        <v>5</v>
      </c>
      <c r="I811" s="62">
        <v>7156</v>
      </c>
      <c r="J811" s="62">
        <v>104000000</v>
      </c>
      <c r="K811" s="62">
        <v>1</v>
      </c>
      <c r="P811" s="63">
        <f t="shared" si="21"/>
        <v>120</v>
      </c>
      <c r="Q811" s="64">
        <f t="shared" si="22"/>
        <v>29.816666666666666</v>
      </c>
      <c r="R811" s="64">
        <f t="shared" si="23"/>
        <v>24.7955322265625</v>
      </c>
      <c r="S811" s="64">
        <f t="shared" si="24"/>
        <v>23</v>
      </c>
      <c r="T811" s="64">
        <f t="shared" si="25"/>
        <v>6.9572222222222226</v>
      </c>
      <c r="U811" s="64" t="str">
        <f t="shared" si="26"/>
        <v>&lt;35</v>
      </c>
      <c r="V811" s="64" t="str">
        <f t="shared" si="27"/>
        <v>21-30 Гб</v>
      </c>
    </row>
    <row r="812" spans="1:22" ht="15.75" customHeight="1" x14ac:dyDescent="0.25">
      <c r="A812" s="62" t="s">
        <v>903</v>
      </c>
      <c r="B812" s="56">
        <v>35958</v>
      </c>
      <c r="C812" s="62" t="s">
        <v>83</v>
      </c>
      <c r="D812" s="62" t="s">
        <v>84</v>
      </c>
      <c r="E812" s="62" t="s">
        <v>92</v>
      </c>
      <c r="F812" s="62" t="s">
        <v>89</v>
      </c>
      <c r="G812" s="56">
        <v>43609</v>
      </c>
      <c r="H812" s="62">
        <v>5</v>
      </c>
      <c r="I812" s="62">
        <v>21420</v>
      </c>
      <c r="J812" s="62">
        <v>112000000</v>
      </c>
      <c r="L812" s="62">
        <v>1</v>
      </c>
      <c r="P812" s="63">
        <f t="shared" si="21"/>
        <v>120</v>
      </c>
      <c r="Q812" s="64">
        <f t="shared" si="22"/>
        <v>89.25</v>
      </c>
      <c r="R812" s="64">
        <f t="shared" si="23"/>
        <v>26.702880859375</v>
      </c>
      <c r="S812" s="64">
        <f t="shared" si="24"/>
        <v>23</v>
      </c>
      <c r="T812" s="64">
        <f t="shared" si="25"/>
        <v>20.824999999999999</v>
      </c>
      <c r="U812" s="64" t="str">
        <f t="shared" si="26"/>
        <v>&lt;35</v>
      </c>
      <c r="V812" s="64" t="str">
        <f t="shared" si="27"/>
        <v>21-30 Гб</v>
      </c>
    </row>
    <row r="813" spans="1:22" ht="15.75" customHeight="1" x14ac:dyDescent="0.25">
      <c r="A813" s="62" t="s">
        <v>904</v>
      </c>
      <c r="B813" s="56">
        <v>35957</v>
      </c>
      <c r="C813" s="62" t="s">
        <v>83</v>
      </c>
      <c r="D813" s="62" t="s">
        <v>84</v>
      </c>
      <c r="E813" s="62" t="s">
        <v>85</v>
      </c>
      <c r="F813" s="62" t="s">
        <v>89</v>
      </c>
      <c r="G813" s="56">
        <v>43855</v>
      </c>
      <c r="H813" s="62">
        <v>5</v>
      </c>
      <c r="I813" s="62">
        <v>27184</v>
      </c>
      <c r="J813" s="62">
        <v>148000000</v>
      </c>
      <c r="P813" s="63">
        <f t="shared" si="21"/>
        <v>120</v>
      </c>
      <c r="Q813" s="64">
        <f t="shared" si="22"/>
        <v>113.26666666666667</v>
      </c>
      <c r="R813" s="64">
        <f t="shared" si="23"/>
        <v>35.28594970703125</v>
      </c>
      <c r="S813" s="64">
        <f t="shared" si="24"/>
        <v>23</v>
      </c>
      <c r="T813" s="64">
        <f t="shared" si="25"/>
        <v>26.428888888888888</v>
      </c>
      <c r="U813" s="64" t="str">
        <f t="shared" si="26"/>
        <v>&lt;35</v>
      </c>
      <c r="V813" s="64" t="str">
        <f t="shared" si="27"/>
        <v>31-40 Гб</v>
      </c>
    </row>
    <row r="814" spans="1:22" ht="15.75" customHeight="1" x14ac:dyDescent="0.25">
      <c r="A814" s="62" t="s">
        <v>905</v>
      </c>
      <c r="B814" s="56">
        <v>35955</v>
      </c>
      <c r="C814" s="62" t="s">
        <v>88</v>
      </c>
      <c r="D814" s="62" t="s">
        <v>84</v>
      </c>
      <c r="E814" s="62" t="s">
        <v>85</v>
      </c>
      <c r="F814" s="62" t="s">
        <v>100</v>
      </c>
      <c r="G814" s="56">
        <v>44494</v>
      </c>
      <c r="H814" s="62">
        <v>5</v>
      </c>
      <c r="I814" s="62">
        <v>102296</v>
      </c>
      <c r="J814" s="62">
        <v>116000000</v>
      </c>
      <c r="P814" s="63">
        <f t="shared" si="21"/>
        <v>120</v>
      </c>
      <c r="Q814" s="64">
        <f t="shared" si="22"/>
        <v>426.23333333333335</v>
      </c>
      <c r="R814" s="64">
        <f t="shared" si="23"/>
        <v>27.65655517578125</v>
      </c>
      <c r="S814" s="64">
        <f t="shared" si="24"/>
        <v>23</v>
      </c>
      <c r="T814" s="64">
        <f t="shared" si="25"/>
        <v>99.454444444444434</v>
      </c>
      <c r="U814" s="64" t="str">
        <f t="shared" si="26"/>
        <v>91-120</v>
      </c>
      <c r="V814" s="64" t="str">
        <f t="shared" si="27"/>
        <v>21-30 Гб</v>
      </c>
    </row>
    <row r="815" spans="1:22" ht="15.75" customHeight="1" x14ac:dyDescent="0.25">
      <c r="A815" s="62" t="s">
        <v>906</v>
      </c>
      <c r="B815" s="56">
        <v>35952</v>
      </c>
      <c r="C815" s="62" t="s">
        <v>83</v>
      </c>
      <c r="D815" s="62" t="s">
        <v>84</v>
      </c>
      <c r="E815" s="62" t="s">
        <v>85</v>
      </c>
      <c r="F815" s="62" t="s">
        <v>96</v>
      </c>
      <c r="G815" s="56">
        <v>44349</v>
      </c>
      <c r="H815" s="62">
        <v>5</v>
      </c>
      <c r="I815" s="62">
        <v>42676</v>
      </c>
      <c r="J815" s="62">
        <v>72000000</v>
      </c>
      <c r="L815" s="62">
        <v>1</v>
      </c>
      <c r="P815" s="63">
        <f t="shared" si="21"/>
        <v>120</v>
      </c>
      <c r="Q815" s="64">
        <f t="shared" si="22"/>
        <v>177.81666666666666</v>
      </c>
      <c r="R815" s="64">
        <f t="shared" si="23"/>
        <v>17.1661376953125</v>
      </c>
      <c r="S815" s="64">
        <f t="shared" si="24"/>
        <v>23</v>
      </c>
      <c r="T815" s="64">
        <f t="shared" si="25"/>
        <v>41.490555555555559</v>
      </c>
      <c r="U815" s="64" t="str">
        <f t="shared" si="26"/>
        <v>35-60</v>
      </c>
      <c r="V815" s="64" t="str">
        <f t="shared" si="27"/>
        <v>10-20 Гб</v>
      </c>
    </row>
    <row r="816" spans="1:22" ht="15.75" customHeight="1" x14ac:dyDescent="0.25">
      <c r="A816" s="62" t="s">
        <v>907</v>
      </c>
      <c r="B816" s="56">
        <v>35949</v>
      </c>
      <c r="C816" s="62" t="s">
        <v>83</v>
      </c>
      <c r="D816" s="62" t="s">
        <v>84</v>
      </c>
      <c r="E816" s="62" t="s">
        <v>85</v>
      </c>
      <c r="F816" s="62" t="s">
        <v>89</v>
      </c>
      <c r="G816" s="56">
        <v>43345</v>
      </c>
      <c r="H816" s="62">
        <v>5</v>
      </c>
      <c r="I816" s="62">
        <v>13004</v>
      </c>
      <c r="J816" s="62">
        <v>76000000</v>
      </c>
      <c r="K816" s="62">
        <v>1</v>
      </c>
      <c r="L816" s="62">
        <v>1</v>
      </c>
      <c r="O816" s="62">
        <v>1</v>
      </c>
      <c r="P816" s="63">
        <f t="shared" si="21"/>
        <v>120</v>
      </c>
      <c r="Q816" s="64">
        <f t="shared" si="22"/>
        <v>54.18333333333333</v>
      </c>
      <c r="R816" s="64">
        <f t="shared" si="23"/>
        <v>18.11981201171875</v>
      </c>
      <c r="S816" s="64">
        <f t="shared" si="24"/>
        <v>23</v>
      </c>
      <c r="T816" s="64">
        <f t="shared" si="25"/>
        <v>12.642777777777777</v>
      </c>
      <c r="U816" s="64" t="str">
        <f t="shared" si="26"/>
        <v>&lt;35</v>
      </c>
      <c r="V816" s="64" t="str">
        <f t="shared" si="27"/>
        <v>10-20 Гб</v>
      </c>
    </row>
    <row r="817" spans="1:22" ht="15.75" customHeight="1" x14ac:dyDescent="0.25">
      <c r="A817" s="62" t="s">
        <v>908</v>
      </c>
      <c r="B817" s="56">
        <v>35947</v>
      </c>
      <c r="C817" s="62" t="s">
        <v>83</v>
      </c>
      <c r="D817" s="62" t="s">
        <v>84</v>
      </c>
      <c r="E817" s="62" t="s">
        <v>85</v>
      </c>
      <c r="F817" s="62" t="s">
        <v>96</v>
      </c>
      <c r="G817" s="56">
        <v>44390</v>
      </c>
      <c r="H817" s="62">
        <v>5</v>
      </c>
      <c r="I817" s="62">
        <v>62132</v>
      </c>
      <c r="J817" s="62">
        <v>72000000</v>
      </c>
      <c r="P817" s="63">
        <f t="shared" si="21"/>
        <v>120</v>
      </c>
      <c r="Q817" s="64">
        <f t="shared" si="22"/>
        <v>258.88333333333333</v>
      </c>
      <c r="R817" s="64">
        <f t="shared" si="23"/>
        <v>17.1661376953125</v>
      </c>
      <c r="S817" s="64">
        <f t="shared" si="24"/>
        <v>23</v>
      </c>
      <c r="T817" s="64">
        <f t="shared" si="25"/>
        <v>60.406111111111116</v>
      </c>
      <c r="U817" s="64" t="str">
        <f t="shared" si="26"/>
        <v>61-90</v>
      </c>
      <c r="V817" s="64" t="str">
        <f t="shared" si="27"/>
        <v>10-20 Гб</v>
      </c>
    </row>
    <row r="818" spans="1:22" ht="15.75" customHeight="1" x14ac:dyDescent="0.25">
      <c r="A818" s="62" t="s">
        <v>909</v>
      </c>
      <c r="B818" s="56">
        <v>35945</v>
      </c>
      <c r="C818" s="62" t="s">
        <v>83</v>
      </c>
      <c r="D818" s="62" t="s">
        <v>84</v>
      </c>
      <c r="E818" s="62" t="s">
        <v>92</v>
      </c>
      <c r="F818" s="62" t="s">
        <v>96</v>
      </c>
      <c r="G818" s="56">
        <v>44539</v>
      </c>
      <c r="H818" s="62">
        <v>4</v>
      </c>
      <c r="I818" s="62">
        <v>114400</v>
      </c>
      <c r="J818" s="62">
        <v>112000000</v>
      </c>
      <c r="P818" s="63">
        <f t="shared" si="21"/>
        <v>120</v>
      </c>
      <c r="Q818" s="64">
        <f t="shared" si="22"/>
        <v>476.66666666666669</v>
      </c>
      <c r="R818" s="64">
        <f t="shared" si="23"/>
        <v>26.702880859375</v>
      </c>
      <c r="S818" s="64">
        <f t="shared" si="24"/>
        <v>23</v>
      </c>
      <c r="T818" s="64">
        <f t="shared" si="25"/>
        <v>111.22222222222223</v>
      </c>
      <c r="U818" s="64" t="str">
        <f t="shared" si="26"/>
        <v>91-120</v>
      </c>
      <c r="V818" s="64" t="str">
        <f t="shared" si="27"/>
        <v>21-30 Гб</v>
      </c>
    </row>
    <row r="819" spans="1:22" ht="15.75" customHeight="1" x14ac:dyDescent="0.25">
      <c r="A819" s="62" t="s">
        <v>910</v>
      </c>
      <c r="B819" s="56">
        <v>35944</v>
      </c>
      <c r="C819" s="62" t="s">
        <v>83</v>
      </c>
      <c r="D819" s="62" t="s">
        <v>84</v>
      </c>
      <c r="E819" s="62" t="s">
        <v>92</v>
      </c>
      <c r="F819" s="62" t="s">
        <v>93</v>
      </c>
      <c r="G819" s="56">
        <v>43413</v>
      </c>
      <c r="H819" s="62">
        <v>5</v>
      </c>
      <c r="I819" s="62">
        <v>19576</v>
      </c>
      <c r="J819" s="62">
        <v>20000000</v>
      </c>
      <c r="P819" s="63">
        <f t="shared" si="21"/>
        <v>120</v>
      </c>
      <c r="Q819" s="64">
        <f t="shared" si="22"/>
        <v>81.566666666666663</v>
      </c>
      <c r="R819" s="64">
        <f t="shared" si="23"/>
        <v>4.76837158203125</v>
      </c>
      <c r="S819" s="64">
        <f t="shared" si="24"/>
        <v>23</v>
      </c>
      <c r="T819" s="64">
        <f t="shared" si="25"/>
        <v>19.032222222222224</v>
      </c>
      <c r="U819" s="64" t="str">
        <f t="shared" si="26"/>
        <v>&lt;35</v>
      </c>
      <c r="V819" s="64" t="str">
        <f t="shared" si="27"/>
        <v>&lt;10 Гб</v>
      </c>
    </row>
    <row r="820" spans="1:22" ht="15.75" customHeight="1" x14ac:dyDescent="0.25">
      <c r="A820" s="62" t="s">
        <v>911</v>
      </c>
      <c r="B820" s="56">
        <v>35942</v>
      </c>
      <c r="C820" s="62" t="s">
        <v>83</v>
      </c>
      <c r="D820" s="62" t="s">
        <v>84</v>
      </c>
      <c r="E820" s="62" t="s">
        <v>92</v>
      </c>
      <c r="F820" s="62" t="s">
        <v>89</v>
      </c>
      <c r="G820" s="56">
        <v>42835</v>
      </c>
      <c r="H820" s="62">
        <v>5</v>
      </c>
      <c r="I820" s="62">
        <v>20532</v>
      </c>
      <c r="J820" s="62">
        <v>88000000</v>
      </c>
      <c r="M820" s="62">
        <v>1</v>
      </c>
      <c r="P820" s="63">
        <f t="shared" si="21"/>
        <v>120</v>
      </c>
      <c r="Q820" s="64">
        <f t="shared" si="22"/>
        <v>85.55</v>
      </c>
      <c r="R820" s="64">
        <f t="shared" si="23"/>
        <v>20.9808349609375</v>
      </c>
      <c r="S820" s="64">
        <f t="shared" si="24"/>
        <v>23</v>
      </c>
      <c r="T820" s="64">
        <f t="shared" si="25"/>
        <v>19.961666666666666</v>
      </c>
      <c r="U820" s="64" t="str">
        <f t="shared" si="26"/>
        <v>&lt;35</v>
      </c>
      <c r="V820" s="64" t="str">
        <f t="shared" si="27"/>
        <v>21-30 Гб</v>
      </c>
    </row>
    <row r="821" spans="1:22" ht="15.75" customHeight="1" x14ac:dyDescent="0.25">
      <c r="A821" s="62" t="s">
        <v>912</v>
      </c>
      <c r="B821" s="56">
        <v>35939</v>
      </c>
      <c r="C821" s="62" t="s">
        <v>83</v>
      </c>
      <c r="D821" s="62" t="s">
        <v>84</v>
      </c>
      <c r="E821" s="62" t="s">
        <v>92</v>
      </c>
      <c r="F821" s="62" t="s">
        <v>96</v>
      </c>
      <c r="G821" s="56">
        <v>42978</v>
      </c>
      <c r="H821" s="62">
        <v>5</v>
      </c>
      <c r="I821" s="62">
        <v>66140</v>
      </c>
      <c r="J821" s="62">
        <v>72000000</v>
      </c>
      <c r="P821" s="63">
        <f t="shared" si="21"/>
        <v>120</v>
      </c>
      <c r="Q821" s="64">
        <f t="shared" si="22"/>
        <v>275.58333333333331</v>
      </c>
      <c r="R821" s="64">
        <f t="shared" si="23"/>
        <v>17.1661376953125</v>
      </c>
      <c r="S821" s="64">
        <f t="shared" si="24"/>
        <v>23</v>
      </c>
      <c r="T821" s="64">
        <f t="shared" si="25"/>
        <v>64.302777777777777</v>
      </c>
      <c r="U821" s="64" t="str">
        <f t="shared" si="26"/>
        <v>61-90</v>
      </c>
      <c r="V821" s="64" t="str">
        <f t="shared" si="27"/>
        <v>10-20 Гб</v>
      </c>
    </row>
    <row r="822" spans="1:22" ht="15.75" customHeight="1" x14ac:dyDescent="0.25">
      <c r="A822" s="62" t="s">
        <v>913</v>
      </c>
      <c r="B822" s="56">
        <v>35931</v>
      </c>
      <c r="C822" s="62" t="s">
        <v>88</v>
      </c>
      <c r="D822" s="62" t="s">
        <v>84</v>
      </c>
      <c r="E822" s="62" t="s">
        <v>92</v>
      </c>
      <c r="F822" s="62" t="s">
        <v>96</v>
      </c>
      <c r="G822" s="56">
        <v>44379</v>
      </c>
      <c r="H822" s="62">
        <v>5</v>
      </c>
      <c r="I822" s="62">
        <v>50676</v>
      </c>
      <c r="J822" s="62">
        <v>84000000</v>
      </c>
      <c r="P822" s="63">
        <f t="shared" si="21"/>
        <v>120</v>
      </c>
      <c r="Q822" s="64">
        <f t="shared" si="22"/>
        <v>211.15</v>
      </c>
      <c r="R822" s="64">
        <f t="shared" si="23"/>
        <v>20.02716064453125</v>
      </c>
      <c r="S822" s="64">
        <f t="shared" si="24"/>
        <v>23</v>
      </c>
      <c r="T822" s="64">
        <f t="shared" si="25"/>
        <v>49.268333333333331</v>
      </c>
      <c r="U822" s="64" t="str">
        <f t="shared" si="26"/>
        <v>35-60</v>
      </c>
      <c r="V822" s="64" t="str">
        <f t="shared" si="27"/>
        <v>21-30 Гб</v>
      </c>
    </row>
    <row r="823" spans="1:22" ht="15.75" customHeight="1" x14ac:dyDescent="0.25">
      <c r="A823" s="62" t="s">
        <v>914</v>
      </c>
      <c r="B823" s="56">
        <v>35927</v>
      </c>
      <c r="C823" s="62" t="s">
        <v>88</v>
      </c>
      <c r="D823" s="62" t="s">
        <v>84</v>
      </c>
      <c r="E823" s="62" t="s">
        <v>85</v>
      </c>
      <c r="F823" s="62" t="s">
        <v>89</v>
      </c>
      <c r="G823" s="56">
        <v>44614</v>
      </c>
      <c r="H823" s="62">
        <v>2</v>
      </c>
      <c r="I823" s="62">
        <v>9811</v>
      </c>
      <c r="J823" s="62">
        <v>83866667</v>
      </c>
      <c r="K823" s="62">
        <v>1</v>
      </c>
      <c r="P823" s="63">
        <f t="shared" si="21"/>
        <v>68</v>
      </c>
      <c r="Q823" s="64">
        <f t="shared" si="22"/>
        <v>72.139705882352942</v>
      </c>
      <c r="R823" s="64">
        <f t="shared" si="23"/>
        <v>35.285949847277479</v>
      </c>
      <c r="S823" s="64">
        <f t="shared" si="24"/>
        <v>23</v>
      </c>
      <c r="T823" s="64">
        <f t="shared" si="25"/>
        <v>16.832598039215686</v>
      </c>
      <c r="U823" s="64" t="str">
        <f t="shared" si="26"/>
        <v>&lt;35</v>
      </c>
      <c r="V823" s="64" t="str">
        <f t="shared" si="27"/>
        <v>31-40 Гб</v>
      </c>
    </row>
    <row r="824" spans="1:22" ht="15.75" customHeight="1" x14ac:dyDescent="0.25">
      <c r="A824" s="62" t="s">
        <v>915</v>
      </c>
      <c r="B824" s="56">
        <v>35924</v>
      </c>
      <c r="C824" s="62" t="s">
        <v>88</v>
      </c>
      <c r="D824" s="62" t="s">
        <v>84</v>
      </c>
      <c r="E824" s="62" t="s">
        <v>85</v>
      </c>
      <c r="F824" s="62" t="s">
        <v>96</v>
      </c>
      <c r="G824" s="56">
        <v>42752</v>
      </c>
      <c r="H824" s="62">
        <v>5</v>
      </c>
      <c r="I824" s="62">
        <v>77064</v>
      </c>
      <c r="J824" s="62">
        <v>112000000</v>
      </c>
      <c r="P824" s="63">
        <f t="shared" si="21"/>
        <v>120</v>
      </c>
      <c r="Q824" s="64">
        <f t="shared" si="22"/>
        <v>321.10000000000002</v>
      </c>
      <c r="R824" s="64">
        <f t="shared" si="23"/>
        <v>26.702880859375</v>
      </c>
      <c r="S824" s="64">
        <f t="shared" si="24"/>
        <v>23</v>
      </c>
      <c r="T824" s="64">
        <f t="shared" si="25"/>
        <v>74.923333333333346</v>
      </c>
      <c r="U824" s="64" t="str">
        <f t="shared" si="26"/>
        <v>61-90</v>
      </c>
      <c r="V824" s="64" t="str">
        <f t="shared" si="27"/>
        <v>21-30 Гб</v>
      </c>
    </row>
    <row r="825" spans="1:22" ht="15.75" customHeight="1" x14ac:dyDescent="0.25">
      <c r="A825" s="62" t="s">
        <v>916</v>
      </c>
      <c r="B825" s="56">
        <v>35918</v>
      </c>
      <c r="C825" s="62" t="s">
        <v>88</v>
      </c>
      <c r="D825" s="62" t="s">
        <v>84</v>
      </c>
      <c r="E825" s="62" t="s">
        <v>92</v>
      </c>
      <c r="F825" s="62" t="s">
        <v>89</v>
      </c>
      <c r="G825" s="56">
        <v>43674</v>
      </c>
      <c r="H825" s="62">
        <v>5</v>
      </c>
      <c r="I825" s="62">
        <v>5028</v>
      </c>
      <c r="J825" s="62">
        <v>144000000</v>
      </c>
      <c r="P825" s="63">
        <f t="shared" si="21"/>
        <v>120</v>
      </c>
      <c r="Q825" s="64">
        <f t="shared" si="22"/>
        <v>20.95</v>
      </c>
      <c r="R825" s="64">
        <f t="shared" si="23"/>
        <v>34.332275390625</v>
      </c>
      <c r="S825" s="64">
        <f t="shared" si="24"/>
        <v>23</v>
      </c>
      <c r="T825" s="64">
        <f t="shared" si="25"/>
        <v>4.8883333333333336</v>
      </c>
      <c r="U825" s="64" t="str">
        <f t="shared" si="26"/>
        <v>&lt;35</v>
      </c>
      <c r="V825" s="64" t="str">
        <f t="shared" si="27"/>
        <v>31-40 Гб</v>
      </c>
    </row>
    <row r="826" spans="1:22" ht="15.75" customHeight="1" x14ac:dyDescent="0.25">
      <c r="A826" s="62" t="s">
        <v>917</v>
      </c>
      <c r="B826" s="56">
        <v>35917</v>
      </c>
      <c r="C826" s="62" t="s">
        <v>88</v>
      </c>
      <c r="D826" s="62" t="s">
        <v>84</v>
      </c>
      <c r="E826" s="62" t="s">
        <v>85</v>
      </c>
      <c r="F826" s="62" t="s">
        <v>86</v>
      </c>
      <c r="G826" s="56">
        <v>44500</v>
      </c>
      <c r="H826" s="62">
        <v>5</v>
      </c>
      <c r="I826" s="62">
        <v>87712</v>
      </c>
      <c r="J826" s="62">
        <v>168000000</v>
      </c>
      <c r="P826" s="63">
        <f t="shared" si="21"/>
        <v>120</v>
      </c>
      <c r="Q826" s="64">
        <f t="shared" si="22"/>
        <v>365.46666666666664</v>
      </c>
      <c r="R826" s="64">
        <f t="shared" si="23"/>
        <v>40.0543212890625</v>
      </c>
      <c r="S826" s="64">
        <f t="shared" si="24"/>
        <v>23</v>
      </c>
      <c r="T826" s="64">
        <f t="shared" si="25"/>
        <v>85.275555555555542</v>
      </c>
      <c r="U826" s="64" t="str">
        <f t="shared" si="26"/>
        <v>61-90</v>
      </c>
      <c r="V826" s="64" t="str">
        <f t="shared" si="27"/>
        <v>40+ Гб</v>
      </c>
    </row>
    <row r="827" spans="1:22" ht="15.75" customHeight="1" x14ac:dyDescent="0.25">
      <c r="A827" s="62" t="s">
        <v>918</v>
      </c>
      <c r="B827" s="56">
        <v>35915</v>
      </c>
      <c r="C827" s="62" t="s">
        <v>88</v>
      </c>
      <c r="D827" s="62" t="s">
        <v>84</v>
      </c>
      <c r="E827" s="62" t="s">
        <v>85</v>
      </c>
      <c r="F827" s="62" t="s">
        <v>100</v>
      </c>
      <c r="G827" s="56">
        <v>44070</v>
      </c>
      <c r="H827" s="62">
        <v>5</v>
      </c>
      <c r="I827" s="62">
        <v>74256</v>
      </c>
      <c r="J827" s="62">
        <v>40000000</v>
      </c>
      <c r="P827" s="63">
        <f t="shared" si="21"/>
        <v>120</v>
      </c>
      <c r="Q827" s="64">
        <f t="shared" si="22"/>
        <v>309.39999999999998</v>
      </c>
      <c r="R827" s="64">
        <f t="shared" si="23"/>
        <v>9.5367431640625</v>
      </c>
      <c r="S827" s="64">
        <f t="shared" si="24"/>
        <v>24</v>
      </c>
      <c r="T827" s="64">
        <f t="shared" si="25"/>
        <v>72.193333333333328</v>
      </c>
      <c r="U827" s="64" t="str">
        <f t="shared" si="26"/>
        <v>61-90</v>
      </c>
      <c r="V827" s="64" t="str">
        <f t="shared" si="27"/>
        <v>&lt;10 Гб</v>
      </c>
    </row>
    <row r="828" spans="1:22" ht="15.75" customHeight="1" x14ac:dyDescent="0.25">
      <c r="A828" s="62" t="s">
        <v>919</v>
      </c>
      <c r="B828" s="56">
        <v>35912</v>
      </c>
      <c r="C828" s="62" t="s">
        <v>83</v>
      </c>
      <c r="D828" s="62" t="s">
        <v>84</v>
      </c>
      <c r="E828" s="62" t="s">
        <v>92</v>
      </c>
      <c r="F828" s="62" t="s">
        <v>96</v>
      </c>
      <c r="G828" s="56">
        <v>42914</v>
      </c>
      <c r="H828" s="62">
        <v>5</v>
      </c>
      <c r="I828" s="62">
        <v>42644</v>
      </c>
      <c r="J828" s="62">
        <v>108000000</v>
      </c>
      <c r="P828" s="63">
        <f t="shared" si="21"/>
        <v>120</v>
      </c>
      <c r="Q828" s="64">
        <f t="shared" si="22"/>
        <v>177.68333333333334</v>
      </c>
      <c r="R828" s="64">
        <f t="shared" si="23"/>
        <v>25.74920654296875</v>
      </c>
      <c r="S828" s="64">
        <f t="shared" si="24"/>
        <v>24</v>
      </c>
      <c r="T828" s="64">
        <f t="shared" si="25"/>
        <v>41.459444444444443</v>
      </c>
      <c r="U828" s="64" t="str">
        <f t="shared" si="26"/>
        <v>35-60</v>
      </c>
      <c r="V828" s="64" t="str">
        <f t="shared" si="27"/>
        <v>21-30 Гб</v>
      </c>
    </row>
    <row r="829" spans="1:22" ht="15.75" customHeight="1" x14ac:dyDescent="0.25">
      <c r="A829" s="62" t="s">
        <v>920</v>
      </c>
      <c r="B829" s="56">
        <v>35911</v>
      </c>
      <c r="C829" s="62" t="s">
        <v>88</v>
      </c>
      <c r="D829" s="62" t="s">
        <v>84</v>
      </c>
      <c r="E829" s="62" t="s">
        <v>85</v>
      </c>
      <c r="F829" s="62" t="s">
        <v>96</v>
      </c>
      <c r="G829" s="56">
        <v>44017</v>
      </c>
      <c r="H829" s="62">
        <v>5</v>
      </c>
      <c r="I829" s="62">
        <v>88440</v>
      </c>
      <c r="J829" s="62">
        <v>32000000</v>
      </c>
      <c r="P829" s="63">
        <f t="shared" si="21"/>
        <v>120</v>
      </c>
      <c r="Q829" s="64">
        <f t="shared" si="22"/>
        <v>368.5</v>
      </c>
      <c r="R829" s="64">
        <f t="shared" si="23"/>
        <v>7.6293945312500009</v>
      </c>
      <c r="S829" s="64">
        <f t="shared" si="24"/>
        <v>24</v>
      </c>
      <c r="T829" s="64">
        <f t="shared" si="25"/>
        <v>85.983333333333334</v>
      </c>
      <c r="U829" s="64" t="str">
        <f t="shared" si="26"/>
        <v>61-90</v>
      </c>
      <c r="V829" s="64" t="str">
        <f t="shared" si="27"/>
        <v>&lt;10 Гб</v>
      </c>
    </row>
    <row r="830" spans="1:22" ht="15.75" customHeight="1" x14ac:dyDescent="0.25">
      <c r="A830" s="62" t="s">
        <v>921</v>
      </c>
      <c r="B830" s="56">
        <v>35910</v>
      </c>
      <c r="C830" s="62" t="s">
        <v>83</v>
      </c>
      <c r="D830" s="62" t="s">
        <v>84</v>
      </c>
      <c r="E830" s="62" t="s">
        <v>85</v>
      </c>
      <c r="F830" s="62" t="s">
        <v>89</v>
      </c>
      <c r="G830" s="56">
        <v>43382</v>
      </c>
      <c r="H830" s="62">
        <v>5</v>
      </c>
      <c r="I830" s="62">
        <v>22480</v>
      </c>
      <c r="J830" s="62">
        <v>144000000</v>
      </c>
      <c r="K830" s="62">
        <v>1</v>
      </c>
      <c r="L830" s="62">
        <v>1</v>
      </c>
      <c r="O830" s="62">
        <v>1</v>
      </c>
      <c r="P830" s="63">
        <f t="shared" si="21"/>
        <v>120</v>
      </c>
      <c r="Q830" s="64">
        <f t="shared" si="22"/>
        <v>93.666666666666671</v>
      </c>
      <c r="R830" s="64">
        <f t="shared" si="23"/>
        <v>34.332275390625</v>
      </c>
      <c r="S830" s="64">
        <f t="shared" si="24"/>
        <v>24</v>
      </c>
      <c r="T830" s="64">
        <f t="shared" si="25"/>
        <v>21.855555555555558</v>
      </c>
      <c r="U830" s="64" t="str">
        <f t="shared" si="26"/>
        <v>&lt;35</v>
      </c>
      <c r="V830" s="64" t="str">
        <f t="shared" si="27"/>
        <v>31-40 Гб</v>
      </c>
    </row>
    <row r="831" spans="1:22" ht="15.75" customHeight="1" x14ac:dyDescent="0.25">
      <c r="A831" s="62" t="s">
        <v>922</v>
      </c>
      <c r="B831" s="56">
        <v>35905</v>
      </c>
      <c r="C831" s="62" t="s">
        <v>83</v>
      </c>
      <c r="D831" s="62" t="s">
        <v>84</v>
      </c>
      <c r="E831" s="62" t="s">
        <v>92</v>
      </c>
      <c r="F831" s="62" t="s">
        <v>96</v>
      </c>
      <c r="G831" s="56">
        <v>43592</v>
      </c>
      <c r="H831" s="62">
        <v>5</v>
      </c>
      <c r="I831" s="62">
        <v>36464</v>
      </c>
      <c r="J831" s="62">
        <v>116000000</v>
      </c>
      <c r="P831" s="63">
        <f t="shared" si="21"/>
        <v>120</v>
      </c>
      <c r="Q831" s="64">
        <f t="shared" si="22"/>
        <v>151.93333333333334</v>
      </c>
      <c r="R831" s="64">
        <f t="shared" si="23"/>
        <v>27.65655517578125</v>
      </c>
      <c r="S831" s="64">
        <f t="shared" si="24"/>
        <v>24</v>
      </c>
      <c r="T831" s="64">
        <f t="shared" si="25"/>
        <v>35.451111111111111</v>
      </c>
      <c r="U831" s="64" t="str">
        <f t="shared" si="26"/>
        <v>35-60</v>
      </c>
      <c r="V831" s="64" t="str">
        <f t="shared" si="27"/>
        <v>21-30 Гб</v>
      </c>
    </row>
    <row r="832" spans="1:22" ht="15.75" customHeight="1" x14ac:dyDescent="0.25">
      <c r="A832" s="62" t="s">
        <v>923</v>
      </c>
      <c r="B832" s="56">
        <v>35903</v>
      </c>
      <c r="C832" s="62" t="s">
        <v>88</v>
      </c>
      <c r="D832" s="62" t="s">
        <v>84</v>
      </c>
      <c r="E832" s="62" t="s">
        <v>85</v>
      </c>
      <c r="F832" s="62" t="s">
        <v>86</v>
      </c>
      <c r="G832" s="56">
        <v>43466</v>
      </c>
      <c r="H832" s="62">
        <v>5</v>
      </c>
      <c r="I832" s="62">
        <v>125396</v>
      </c>
      <c r="J832" s="62">
        <v>188000000</v>
      </c>
      <c r="P832" s="63">
        <f t="shared" si="21"/>
        <v>120</v>
      </c>
      <c r="Q832" s="64">
        <f t="shared" si="22"/>
        <v>522.48333333333335</v>
      </c>
      <c r="R832" s="64">
        <f t="shared" si="23"/>
        <v>44.82269287109375</v>
      </c>
      <c r="S832" s="64">
        <f t="shared" si="24"/>
        <v>24</v>
      </c>
      <c r="T832" s="64">
        <f t="shared" si="25"/>
        <v>121.91277777777778</v>
      </c>
      <c r="U832" s="64" t="str">
        <f t="shared" si="26"/>
        <v>120+</v>
      </c>
      <c r="V832" s="64" t="str">
        <f t="shared" si="27"/>
        <v>40+ Гб</v>
      </c>
    </row>
    <row r="833" spans="1:22" ht="15.75" customHeight="1" x14ac:dyDescent="0.25">
      <c r="A833" s="62" t="s">
        <v>924</v>
      </c>
      <c r="B833" s="56">
        <v>35903</v>
      </c>
      <c r="C833" s="62" t="s">
        <v>83</v>
      </c>
      <c r="D833" s="62" t="s">
        <v>84</v>
      </c>
      <c r="E833" s="62" t="s">
        <v>85</v>
      </c>
      <c r="F833" s="62" t="s">
        <v>89</v>
      </c>
      <c r="G833" s="56">
        <v>43390</v>
      </c>
      <c r="H833" s="62">
        <v>5</v>
      </c>
      <c r="I833" s="62">
        <v>21652</v>
      </c>
      <c r="J833" s="62">
        <v>28000000</v>
      </c>
      <c r="P833" s="63">
        <f t="shared" si="21"/>
        <v>120</v>
      </c>
      <c r="Q833" s="64">
        <f t="shared" si="22"/>
        <v>90.216666666666669</v>
      </c>
      <c r="R833" s="64">
        <f t="shared" si="23"/>
        <v>6.67572021484375</v>
      </c>
      <c r="S833" s="64">
        <f t="shared" si="24"/>
        <v>24</v>
      </c>
      <c r="T833" s="64">
        <f t="shared" si="25"/>
        <v>21.050555555555555</v>
      </c>
      <c r="U833" s="64" t="str">
        <f t="shared" si="26"/>
        <v>&lt;35</v>
      </c>
      <c r="V833" s="64" t="str">
        <f t="shared" si="27"/>
        <v>&lt;10 Гб</v>
      </c>
    </row>
    <row r="834" spans="1:22" ht="15.75" customHeight="1" x14ac:dyDescent="0.25">
      <c r="A834" s="62" t="s">
        <v>925</v>
      </c>
      <c r="B834" s="56">
        <v>35900</v>
      </c>
      <c r="C834" s="62" t="s">
        <v>88</v>
      </c>
      <c r="D834" s="62" t="s">
        <v>84</v>
      </c>
      <c r="E834" s="62" t="s">
        <v>85</v>
      </c>
      <c r="F834" s="62" t="s">
        <v>96</v>
      </c>
      <c r="G834" s="56">
        <v>43209</v>
      </c>
      <c r="H834" s="62">
        <v>5</v>
      </c>
      <c r="I834" s="62">
        <v>76644</v>
      </c>
      <c r="J834" s="62">
        <v>88000000</v>
      </c>
      <c r="P834" s="63">
        <f t="shared" si="21"/>
        <v>120</v>
      </c>
      <c r="Q834" s="64">
        <f t="shared" si="22"/>
        <v>319.35000000000002</v>
      </c>
      <c r="R834" s="64">
        <f t="shared" si="23"/>
        <v>20.9808349609375</v>
      </c>
      <c r="S834" s="64">
        <f t="shared" si="24"/>
        <v>24</v>
      </c>
      <c r="T834" s="64">
        <f t="shared" si="25"/>
        <v>74.515000000000015</v>
      </c>
      <c r="U834" s="64" t="str">
        <f t="shared" si="26"/>
        <v>61-90</v>
      </c>
      <c r="V834" s="64" t="str">
        <f t="shared" si="27"/>
        <v>21-30 Гб</v>
      </c>
    </row>
    <row r="835" spans="1:22" ht="15.75" customHeight="1" x14ac:dyDescent="0.25">
      <c r="A835" s="62" t="s">
        <v>926</v>
      </c>
      <c r="B835" s="56">
        <v>35899</v>
      </c>
      <c r="C835" s="62" t="s">
        <v>83</v>
      </c>
      <c r="D835" s="62" t="s">
        <v>84</v>
      </c>
      <c r="E835" s="62" t="s">
        <v>85</v>
      </c>
      <c r="F835" s="62" t="s">
        <v>89</v>
      </c>
      <c r="G835" s="56">
        <v>43229</v>
      </c>
      <c r="H835" s="62">
        <v>5</v>
      </c>
      <c r="I835" s="62">
        <v>31704</v>
      </c>
      <c r="J835" s="62">
        <v>148000000</v>
      </c>
      <c r="P835" s="63">
        <f t="shared" si="21"/>
        <v>120</v>
      </c>
      <c r="Q835" s="64">
        <f t="shared" si="22"/>
        <v>132.1</v>
      </c>
      <c r="R835" s="64">
        <f t="shared" si="23"/>
        <v>35.28594970703125</v>
      </c>
      <c r="S835" s="64">
        <f t="shared" si="24"/>
        <v>24</v>
      </c>
      <c r="T835" s="64">
        <f t="shared" si="25"/>
        <v>30.823333333333331</v>
      </c>
      <c r="U835" s="64" t="str">
        <f t="shared" si="26"/>
        <v>&lt;35</v>
      </c>
      <c r="V835" s="64" t="str">
        <f t="shared" si="27"/>
        <v>31-40 Гб</v>
      </c>
    </row>
    <row r="836" spans="1:22" ht="15.75" customHeight="1" x14ac:dyDescent="0.25">
      <c r="A836" s="62" t="s">
        <v>927</v>
      </c>
      <c r="B836" s="56">
        <v>35897</v>
      </c>
      <c r="C836" s="62" t="s">
        <v>83</v>
      </c>
      <c r="D836" s="62" t="s">
        <v>84</v>
      </c>
      <c r="E836" s="62" t="s">
        <v>92</v>
      </c>
      <c r="F836" s="62" t="s">
        <v>96</v>
      </c>
      <c r="G836" s="56">
        <v>43419</v>
      </c>
      <c r="H836" s="62">
        <v>5</v>
      </c>
      <c r="I836" s="62">
        <v>47036</v>
      </c>
      <c r="J836" s="62">
        <v>108000000</v>
      </c>
      <c r="L836" s="62">
        <v>1</v>
      </c>
      <c r="P836" s="63">
        <f t="shared" si="21"/>
        <v>120</v>
      </c>
      <c r="Q836" s="64">
        <f t="shared" si="22"/>
        <v>195.98333333333332</v>
      </c>
      <c r="R836" s="64">
        <f t="shared" si="23"/>
        <v>25.74920654296875</v>
      </c>
      <c r="S836" s="64">
        <f t="shared" si="24"/>
        <v>24</v>
      </c>
      <c r="T836" s="64">
        <f t="shared" si="25"/>
        <v>45.729444444444439</v>
      </c>
      <c r="U836" s="64" t="str">
        <f t="shared" si="26"/>
        <v>35-60</v>
      </c>
      <c r="V836" s="64" t="str">
        <f t="shared" si="27"/>
        <v>21-30 Гб</v>
      </c>
    </row>
    <row r="837" spans="1:22" ht="15.75" customHeight="1" x14ac:dyDescent="0.25">
      <c r="A837" s="62" t="s">
        <v>928</v>
      </c>
      <c r="B837" s="56">
        <v>35896</v>
      </c>
      <c r="C837" s="62" t="s">
        <v>88</v>
      </c>
      <c r="D837" s="62" t="s">
        <v>84</v>
      </c>
      <c r="E837" s="62" t="s">
        <v>85</v>
      </c>
      <c r="F837" s="62" t="s">
        <v>96</v>
      </c>
      <c r="G837" s="56">
        <v>43293</v>
      </c>
      <c r="H837" s="62">
        <v>5</v>
      </c>
      <c r="I837" s="62">
        <v>92788</v>
      </c>
      <c r="J837" s="62">
        <v>112000000</v>
      </c>
      <c r="M837" s="62">
        <v>1</v>
      </c>
      <c r="P837" s="63">
        <f t="shared" si="21"/>
        <v>120</v>
      </c>
      <c r="Q837" s="64">
        <f t="shared" si="22"/>
        <v>386.61666666666667</v>
      </c>
      <c r="R837" s="64">
        <f t="shared" si="23"/>
        <v>26.702880859375</v>
      </c>
      <c r="S837" s="64">
        <f t="shared" si="24"/>
        <v>24</v>
      </c>
      <c r="T837" s="64">
        <f t="shared" si="25"/>
        <v>90.210555555555558</v>
      </c>
      <c r="U837" s="64" t="str">
        <f t="shared" si="26"/>
        <v>91-120</v>
      </c>
      <c r="V837" s="64" t="str">
        <f t="shared" si="27"/>
        <v>21-30 Гб</v>
      </c>
    </row>
    <row r="838" spans="1:22" ht="15.75" customHeight="1" x14ac:dyDescent="0.25">
      <c r="A838" s="62" t="s">
        <v>929</v>
      </c>
      <c r="B838" s="56">
        <v>35896</v>
      </c>
      <c r="C838" s="62" t="s">
        <v>88</v>
      </c>
      <c r="D838" s="62" t="s">
        <v>84</v>
      </c>
      <c r="E838" s="62" t="s">
        <v>85</v>
      </c>
      <c r="F838" s="62" t="s">
        <v>89</v>
      </c>
      <c r="G838" s="56">
        <v>43966</v>
      </c>
      <c r="H838" s="62">
        <v>5</v>
      </c>
      <c r="I838" s="62">
        <v>32952</v>
      </c>
      <c r="J838" s="62">
        <v>60000000</v>
      </c>
      <c r="P838" s="63">
        <f t="shared" si="21"/>
        <v>120</v>
      </c>
      <c r="Q838" s="64">
        <f t="shared" si="22"/>
        <v>137.30000000000001</v>
      </c>
      <c r="R838" s="64">
        <f t="shared" si="23"/>
        <v>14.30511474609375</v>
      </c>
      <c r="S838" s="64">
        <f t="shared" si="24"/>
        <v>24</v>
      </c>
      <c r="T838" s="64">
        <f t="shared" si="25"/>
        <v>32.036666666666669</v>
      </c>
      <c r="U838" s="64" t="str">
        <f t="shared" si="26"/>
        <v>&lt;35</v>
      </c>
      <c r="V838" s="64" t="str">
        <f t="shared" si="27"/>
        <v>10-20 Гб</v>
      </c>
    </row>
    <row r="839" spans="1:22" ht="15.75" customHeight="1" x14ac:dyDescent="0.25">
      <c r="A839" s="62" t="s">
        <v>930</v>
      </c>
      <c r="B839" s="56">
        <v>35894</v>
      </c>
      <c r="C839" s="62" t="s">
        <v>88</v>
      </c>
      <c r="D839" s="62" t="s">
        <v>84</v>
      </c>
      <c r="E839" s="62" t="s">
        <v>92</v>
      </c>
      <c r="F839" s="62" t="s">
        <v>89</v>
      </c>
      <c r="G839" s="56">
        <v>44487</v>
      </c>
      <c r="H839" s="62">
        <v>5</v>
      </c>
      <c r="I839" s="62">
        <v>17680</v>
      </c>
      <c r="J839" s="62">
        <v>160000000</v>
      </c>
      <c r="L839" s="62">
        <v>1</v>
      </c>
      <c r="P839" s="63">
        <f t="shared" si="21"/>
        <v>120</v>
      </c>
      <c r="Q839" s="64">
        <f t="shared" si="22"/>
        <v>73.666666666666671</v>
      </c>
      <c r="R839" s="64">
        <f t="shared" si="23"/>
        <v>38.14697265625</v>
      </c>
      <c r="S839" s="64">
        <f t="shared" si="24"/>
        <v>24</v>
      </c>
      <c r="T839" s="64">
        <f t="shared" si="25"/>
        <v>17.18888888888889</v>
      </c>
      <c r="U839" s="64" t="str">
        <f t="shared" si="26"/>
        <v>&lt;35</v>
      </c>
      <c r="V839" s="64" t="str">
        <f t="shared" si="27"/>
        <v>31-40 Гб</v>
      </c>
    </row>
    <row r="840" spans="1:22" ht="15.75" customHeight="1" x14ac:dyDescent="0.25">
      <c r="A840" s="62" t="s">
        <v>931</v>
      </c>
      <c r="B840" s="56">
        <v>35893</v>
      </c>
      <c r="C840" s="62" t="s">
        <v>88</v>
      </c>
      <c r="D840" s="62" t="s">
        <v>84</v>
      </c>
      <c r="E840" s="62" t="s">
        <v>85</v>
      </c>
      <c r="F840" s="62" t="s">
        <v>100</v>
      </c>
      <c r="G840" s="56">
        <v>44043</v>
      </c>
      <c r="H840" s="62">
        <v>5</v>
      </c>
      <c r="I840" s="62">
        <v>24876</v>
      </c>
      <c r="J840" s="62">
        <v>52000000</v>
      </c>
      <c r="P840" s="63">
        <f t="shared" si="21"/>
        <v>120</v>
      </c>
      <c r="Q840" s="64">
        <f t="shared" si="22"/>
        <v>103.65</v>
      </c>
      <c r="R840" s="64">
        <f t="shared" si="23"/>
        <v>12.39776611328125</v>
      </c>
      <c r="S840" s="64">
        <f t="shared" si="24"/>
        <v>24</v>
      </c>
      <c r="T840" s="64">
        <f t="shared" si="25"/>
        <v>24.185000000000002</v>
      </c>
      <c r="U840" s="64" t="str">
        <f t="shared" si="26"/>
        <v>&lt;35</v>
      </c>
      <c r="V840" s="64" t="str">
        <f t="shared" si="27"/>
        <v>10-20 Гб</v>
      </c>
    </row>
    <row r="841" spans="1:22" ht="15.75" customHeight="1" x14ac:dyDescent="0.25">
      <c r="A841" s="62" t="s">
        <v>932</v>
      </c>
      <c r="B841" s="56">
        <v>35892</v>
      </c>
      <c r="C841" s="62" t="s">
        <v>88</v>
      </c>
      <c r="D841" s="62" t="s">
        <v>84</v>
      </c>
      <c r="E841" s="62" t="s">
        <v>85</v>
      </c>
      <c r="F841" s="62" t="s">
        <v>89</v>
      </c>
      <c r="G841" s="56">
        <v>43801</v>
      </c>
      <c r="H841" s="62">
        <v>5</v>
      </c>
      <c r="I841" s="62">
        <v>18004</v>
      </c>
      <c r="J841" s="62">
        <v>140000000</v>
      </c>
      <c r="L841" s="62">
        <v>1</v>
      </c>
      <c r="P841" s="63">
        <f t="shared" si="21"/>
        <v>120</v>
      </c>
      <c r="Q841" s="64">
        <f t="shared" si="22"/>
        <v>75.016666666666666</v>
      </c>
      <c r="R841" s="64">
        <f t="shared" si="23"/>
        <v>33.37860107421875</v>
      </c>
      <c r="S841" s="64">
        <f t="shared" si="24"/>
        <v>24</v>
      </c>
      <c r="T841" s="64">
        <f t="shared" si="25"/>
        <v>17.503888888888888</v>
      </c>
      <c r="U841" s="64" t="str">
        <f t="shared" si="26"/>
        <v>&lt;35</v>
      </c>
      <c r="V841" s="64" t="str">
        <f t="shared" si="27"/>
        <v>31-40 Гб</v>
      </c>
    </row>
    <row r="842" spans="1:22" ht="15.75" customHeight="1" x14ac:dyDescent="0.25">
      <c r="A842" s="62" t="s">
        <v>933</v>
      </c>
      <c r="B842" s="56">
        <v>35890</v>
      </c>
      <c r="C842" s="62" t="s">
        <v>83</v>
      </c>
      <c r="D842" s="62" t="s">
        <v>84</v>
      </c>
      <c r="E842" s="62" t="s">
        <v>92</v>
      </c>
      <c r="F842" s="62" t="s">
        <v>96</v>
      </c>
      <c r="G842" s="56">
        <v>43403</v>
      </c>
      <c r="H842" s="62">
        <v>5</v>
      </c>
      <c r="I842" s="62">
        <v>17732</v>
      </c>
      <c r="J842" s="62">
        <v>120000000</v>
      </c>
      <c r="P842" s="63">
        <f t="shared" si="21"/>
        <v>120</v>
      </c>
      <c r="Q842" s="64">
        <f t="shared" si="22"/>
        <v>73.88333333333334</v>
      </c>
      <c r="R842" s="64">
        <f t="shared" si="23"/>
        <v>28.6102294921875</v>
      </c>
      <c r="S842" s="64">
        <f t="shared" si="24"/>
        <v>24</v>
      </c>
      <c r="T842" s="64">
        <f t="shared" si="25"/>
        <v>17.239444444444448</v>
      </c>
      <c r="U842" s="64" t="str">
        <f t="shared" si="26"/>
        <v>&lt;35</v>
      </c>
      <c r="V842" s="64" t="str">
        <f t="shared" si="27"/>
        <v>21-30 Гб</v>
      </c>
    </row>
    <row r="843" spans="1:22" ht="15.75" customHeight="1" x14ac:dyDescent="0.25">
      <c r="A843" s="62" t="s">
        <v>934</v>
      </c>
      <c r="B843" s="56">
        <v>35890</v>
      </c>
      <c r="C843" s="62" t="s">
        <v>88</v>
      </c>
      <c r="D843" s="62" t="s">
        <v>84</v>
      </c>
      <c r="E843" s="62" t="s">
        <v>92</v>
      </c>
      <c r="F843" s="62" t="s">
        <v>96</v>
      </c>
      <c r="G843" s="56">
        <v>42936</v>
      </c>
      <c r="H843" s="62">
        <v>5</v>
      </c>
      <c r="I843" s="62">
        <v>52684</v>
      </c>
      <c r="J843" s="62">
        <v>96000000</v>
      </c>
      <c r="P843" s="63">
        <f t="shared" si="21"/>
        <v>120</v>
      </c>
      <c r="Q843" s="64">
        <f t="shared" si="22"/>
        <v>219.51666666666668</v>
      </c>
      <c r="R843" s="64">
        <f t="shared" si="23"/>
        <v>22.88818359375</v>
      </c>
      <c r="S843" s="64">
        <f t="shared" si="24"/>
        <v>24</v>
      </c>
      <c r="T843" s="64">
        <f t="shared" si="25"/>
        <v>51.220555555555556</v>
      </c>
      <c r="U843" s="64" t="str">
        <f t="shared" si="26"/>
        <v>35-60</v>
      </c>
      <c r="V843" s="64" t="str">
        <f t="shared" si="27"/>
        <v>21-30 Гб</v>
      </c>
    </row>
    <row r="844" spans="1:22" ht="15.75" customHeight="1" x14ac:dyDescent="0.25">
      <c r="A844" s="62" t="s">
        <v>935</v>
      </c>
      <c r="B844" s="56">
        <v>35888</v>
      </c>
      <c r="C844" s="62" t="s">
        <v>83</v>
      </c>
      <c r="D844" s="62" t="s">
        <v>84</v>
      </c>
      <c r="E844" s="62" t="s">
        <v>85</v>
      </c>
      <c r="F844" s="62" t="s">
        <v>96</v>
      </c>
      <c r="G844" s="56">
        <v>43121</v>
      </c>
      <c r="H844" s="62">
        <v>5</v>
      </c>
      <c r="I844" s="62">
        <v>45572</v>
      </c>
      <c r="J844" s="62">
        <v>100000000</v>
      </c>
      <c r="K844" s="62">
        <v>1</v>
      </c>
      <c r="L844" s="62">
        <v>1</v>
      </c>
      <c r="P844" s="63">
        <f t="shared" si="21"/>
        <v>120</v>
      </c>
      <c r="Q844" s="64">
        <f t="shared" si="22"/>
        <v>189.88333333333333</v>
      </c>
      <c r="R844" s="64">
        <f t="shared" si="23"/>
        <v>23.84185791015625</v>
      </c>
      <c r="S844" s="64">
        <f t="shared" si="24"/>
        <v>24</v>
      </c>
      <c r="T844" s="64">
        <f t="shared" si="25"/>
        <v>44.306111111111115</v>
      </c>
      <c r="U844" s="64" t="str">
        <f t="shared" si="26"/>
        <v>35-60</v>
      </c>
      <c r="V844" s="64" t="str">
        <f t="shared" si="27"/>
        <v>21-30 Гб</v>
      </c>
    </row>
    <row r="845" spans="1:22" ht="15.75" customHeight="1" x14ac:dyDescent="0.25">
      <c r="A845" s="62" t="s">
        <v>936</v>
      </c>
      <c r="B845" s="56">
        <v>35888</v>
      </c>
      <c r="C845" s="62" t="s">
        <v>88</v>
      </c>
      <c r="D845" s="62" t="s">
        <v>84</v>
      </c>
      <c r="E845" s="62" t="s">
        <v>85</v>
      </c>
      <c r="F845" s="62" t="s">
        <v>96</v>
      </c>
      <c r="G845" s="56">
        <v>44452</v>
      </c>
      <c r="H845" s="62">
        <v>5</v>
      </c>
      <c r="I845" s="62">
        <v>84940</v>
      </c>
      <c r="J845" s="62">
        <v>72000000</v>
      </c>
      <c r="M845" s="62">
        <v>1</v>
      </c>
      <c r="P845" s="63">
        <f t="shared" si="21"/>
        <v>120</v>
      </c>
      <c r="Q845" s="64">
        <f t="shared" si="22"/>
        <v>353.91666666666669</v>
      </c>
      <c r="R845" s="64">
        <f t="shared" si="23"/>
        <v>17.1661376953125</v>
      </c>
      <c r="S845" s="64">
        <f t="shared" si="24"/>
        <v>24</v>
      </c>
      <c r="T845" s="64">
        <f t="shared" si="25"/>
        <v>82.580555555555563</v>
      </c>
      <c r="U845" s="64" t="str">
        <f t="shared" si="26"/>
        <v>61-90</v>
      </c>
      <c r="V845" s="64" t="str">
        <f t="shared" si="27"/>
        <v>10-20 Гб</v>
      </c>
    </row>
    <row r="846" spans="1:22" ht="15.75" customHeight="1" x14ac:dyDescent="0.25">
      <c r="A846" s="62" t="s">
        <v>937</v>
      </c>
      <c r="B846" s="56">
        <v>35887</v>
      </c>
      <c r="C846" s="62" t="s">
        <v>88</v>
      </c>
      <c r="D846" s="62" t="s">
        <v>84</v>
      </c>
      <c r="E846" s="62" t="s">
        <v>85</v>
      </c>
      <c r="F846" s="62" t="s">
        <v>96</v>
      </c>
      <c r="G846" s="56">
        <v>42759</v>
      </c>
      <c r="H846" s="62">
        <v>5</v>
      </c>
      <c r="I846" s="62">
        <v>23316</v>
      </c>
      <c r="J846" s="62">
        <v>84000000</v>
      </c>
      <c r="P846" s="63">
        <f t="shared" si="21"/>
        <v>120</v>
      </c>
      <c r="Q846" s="64">
        <f t="shared" si="22"/>
        <v>97.15</v>
      </c>
      <c r="R846" s="64">
        <f t="shared" si="23"/>
        <v>20.02716064453125</v>
      </c>
      <c r="S846" s="64">
        <f t="shared" si="24"/>
        <v>24</v>
      </c>
      <c r="T846" s="64">
        <f t="shared" si="25"/>
        <v>22.668333333333337</v>
      </c>
      <c r="U846" s="64" t="str">
        <f t="shared" si="26"/>
        <v>&lt;35</v>
      </c>
      <c r="V846" s="64" t="str">
        <f t="shared" si="27"/>
        <v>21-30 Гб</v>
      </c>
    </row>
    <row r="847" spans="1:22" ht="15.75" customHeight="1" x14ac:dyDescent="0.25">
      <c r="A847" s="62" t="s">
        <v>938</v>
      </c>
      <c r="B847" s="56">
        <v>35883</v>
      </c>
      <c r="C847" s="62" t="s">
        <v>83</v>
      </c>
      <c r="D847" s="62" t="s">
        <v>84</v>
      </c>
      <c r="E847" s="62" t="s">
        <v>85</v>
      </c>
      <c r="F847" s="62" t="s">
        <v>100</v>
      </c>
      <c r="G847" s="56">
        <v>43008</v>
      </c>
      <c r="H847" s="62">
        <v>5</v>
      </c>
      <c r="I847" s="62">
        <v>37928</v>
      </c>
      <c r="J847" s="62">
        <v>112000000</v>
      </c>
      <c r="K847" s="62">
        <v>1</v>
      </c>
      <c r="L847" s="62">
        <v>1</v>
      </c>
      <c r="O847" s="62">
        <v>1</v>
      </c>
      <c r="P847" s="63">
        <f t="shared" si="21"/>
        <v>120</v>
      </c>
      <c r="Q847" s="64">
        <f t="shared" si="22"/>
        <v>158.03333333333333</v>
      </c>
      <c r="R847" s="64">
        <f t="shared" si="23"/>
        <v>26.702880859375</v>
      </c>
      <c r="S847" s="64">
        <f t="shared" si="24"/>
        <v>24</v>
      </c>
      <c r="T847" s="64">
        <f t="shared" si="25"/>
        <v>36.874444444444443</v>
      </c>
      <c r="U847" s="64" t="str">
        <f t="shared" si="26"/>
        <v>35-60</v>
      </c>
      <c r="V847" s="64" t="str">
        <f t="shared" si="27"/>
        <v>21-30 Гб</v>
      </c>
    </row>
    <row r="848" spans="1:22" ht="15.75" customHeight="1" x14ac:dyDescent="0.25">
      <c r="A848" s="62" t="s">
        <v>939</v>
      </c>
      <c r="B848" s="56">
        <v>35883</v>
      </c>
      <c r="C848" s="62" t="s">
        <v>83</v>
      </c>
      <c r="D848" s="62" t="s">
        <v>84</v>
      </c>
      <c r="E848" s="62" t="s">
        <v>92</v>
      </c>
      <c r="F848" s="62" t="s">
        <v>93</v>
      </c>
      <c r="G848" s="56">
        <v>44393</v>
      </c>
      <c r="H848" s="62">
        <v>5</v>
      </c>
      <c r="I848" s="62">
        <v>46500</v>
      </c>
      <c r="J848" s="62">
        <v>12000000</v>
      </c>
      <c r="L848" s="62">
        <v>1</v>
      </c>
      <c r="P848" s="63">
        <f t="shared" si="21"/>
        <v>120</v>
      </c>
      <c r="Q848" s="64">
        <f t="shared" si="22"/>
        <v>193.75</v>
      </c>
      <c r="R848" s="64">
        <f t="shared" si="23"/>
        <v>2.86102294921875</v>
      </c>
      <c r="S848" s="64">
        <f t="shared" si="24"/>
        <v>24</v>
      </c>
      <c r="T848" s="64">
        <f t="shared" si="25"/>
        <v>45.208333333333336</v>
      </c>
      <c r="U848" s="64" t="str">
        <f t="shared" si="26"/>
        <v>35-60</v>
      </c>
      <c r="V848" s="64" t="str">
        <f t="shared" si="27"/>
        <v>&lt;10 Гб</v>
      </c>
    </row>
    <row r="849" spans="1:22" ht="15.75" customHeight="1" x14ac:dyDescent="0.25">
      <c r="A849" s="62" t="s">
        <v>940</v>
      </c>
      <c r="B849" s="56">
        <v>35882</v>
      </c>
      <c r="C849" s="62" t="s">
        <v>83</v>
      </c>
      <c r="D849" s="62" t="s">
        <v>84</v>
      </c>
      <c r="E849" s="62" t="s">
        <v>92</v>
      </c>
      <c r="F849" s="62" t="s">
        <v>100</v>
      </c>
      <c r="G849" s="56">
        <v>42911</v>
      </c>
      <c r="H849" s="62">
        <v>5</v>
      </c>
      <c r="I849" s="62">
        <v>103564</v>
      </c>
      <c r="J849" s="62">
        <v>100000000</v>
      </c>
      <c r="P849" s="63">
        <f t="shared" si="21"/>
        <v>120</v>
      </c>
      <c r="Q849" s="64">
        <f t="shared" si="22"/>
        <v>431.51666666666665</v>
      </c>
      <c r="R849" s="64">
        <f t="shared" si="23"/>
        <v>23.84185791015625</v>
      </c>
      <c r="S849" s="64">
        <f t="shared" si="24"/>
        <v>24</v>
      </c>
      <c r="T849" s="64">
        <f t="shared" si="25"/>
        <v>100.68722222222223</v>
      </c>
      <c r="U849" s="64" t="str">
        <f t="shared" si="26"/>
        <v>91-120</v>
      </c>
      <c r="V849" s="64" t="str">
        <f t="shared" si="27"/>
        <v>21-30 Гб</v>
      </c>
    </row>
    <row r="850" spans="1:22" ht="15.75" customHeight="1" x14ac:dyDescent="0.25">
      <c r="A850" s="62" t="s">
        <v>941</v>
      </c>
      <c r="B850" s="56">
        <v>35882</v>
      </c>
      <c r="C850" s="62" t="s">
        <v>83</v>
      </c>
      <c r="D850" s="62" t="s">
        <v>84</v>
      </c>
      <c r="E850" s="62" t="s">
        <v>92</v>
      </c>
      <c r="F850" s="62" t="s">
        <v>89</v>
      </c>
      <c r="G850" s="56">
        <v>44270</v>
      </c>
      <c r="H850" s="62">
        <v>5</v>
      </c>
      <c r="I850" s="62">
        <v>7692</v>
      </c>
      <c r="J850" s="62">
        <v>156000000</v>
      </c>
      <c r="K850" s="62">
        <v>1</v>
      </c>
      <c r="L850" s="62">
        <v>1</v>
      </c>
      <c r="N850" s="62">
        <v>1</v>
      </c>
      <c r="P850" s="63">
        <f t="shared" si="21"/>
        <v>120</v>
      </c>
      <c r="Q850" s="64">
        <f t="shared" si="22"/>
        <v>32.049999999999997</v>
      </c>
      <c r="R850" s="64">
        <f t="shared" si="23"/>
        <v>37.19329833984375</v>
      </c>
      <c r="S850" s="64">
        <f t="shared" si="24"/>
        <v>24</v>
      </c>
      <c r="T850" s="64">
        <f t="shared" si="25"/>
        <v>7.4783333333333326</v>
      </c>
      <c r="U850" s="64" t="str">
        <f t="shared" si="26"/>
        <v>&lt;35</v>
      </c>
      <c r="V850" s="64" t="str">
        <f t="shared" si="27"/>
        <v>31-40 Гб</v>
      </c>
    </row>
    <row r="851" spans="1:22" ht="15.75" customHeight="1" x14ac:dyDescent="0.25">
      <c r="A851" s="62" t="s">
        <v>942</v>
      </c>
      <c r="B851" s="56">
        <v>35877</v>
      </c>
      <c r="C851" s="62" t="s">
        <v>83</v>
      </c>
      <c r="D851" s="62" t="s">
        <v>84</v>
      </c>
      <c r="E851" s="62" t="s">
        <v>92</v>
      </c>
      <c r="F851" s="62" t="s">
        <v>89</v>
      </c>
      <c r="G851" s="56">
        <v>43925</v>
      </c>
      <c r="H851" s="62">
        <v>5</v>
      </c>
      <c r="I851" s="62">
        <v>17792</v>
      </c>
      <c r="J851" s="62">
        <v>12000000</v>
      </c>
      <c r="P851" s="63">
        <f t="shared" si="21"/>
        <v>120</v>
      </c>
      <c r="Q851" s="64">
        <f t="shared" si="22"/>
        <v>74.13333333333334</v>
      </c>
      <c r="R851" s="64">
        <f t="shared" si="23"/>
        <v>2.86102294921875</v>
      </c>
      <c r="S851" s="64">
        <f t="shared" si="24"/>
        <v>24</v>
      </c>
      <c r="T851" s="64">
        <f t="shared" si="25"/>
        <v>17.297777777777778</v>
      </c>
      <c r="U851" s="64" t="str">
        <f t="shared" si="26"/>
        <v>&lt;35</v>
      </c>
      <c r="V851" s="64" t="str">
        <f t="shared" si="27"/>
        <v>&lt;10 Гб</v>
      </c>
    </row>
    <row r="852" spans="1:22" ht="15.75" customHeight="1" x14ac:dyDescent="0.25">
      <c r="A852" s="62" t="s">
        <v>943</v>
      </c>
      <c r="B852" s="56">
        <v>35874</v>
      </c>
      <c r="C852" s="62" t="s">
        <v>83</v>
      </c>
      <c r="D852" s="62" t="s">
        <v>84</v>
      </c>
      <c r="E852" s="62" t="s">
        <v>85</v>
      </c>
      <c r="F852" s="62" t="s">
        <v>96</v>
      </c>
      <c r="G852" s="56">
        <v>43454</v>
      </c>
      <c r="H852" s="62">
        <v>5</v>
      </c>
      <c r="I852" s="62">
        <v>67664</v>
      </c>
      <c r="J852" s="62">
        <v>104000000</v>
      </c>
      <c r="P852" s="63">
        <f t="shared" si="21"/>
        <v>120</v>
      </c>
      <c r="Q852" s="64">
        <f t="shared" si="22"/>
        <v>281.93333333333334</v>
      </c>
      <c r="R852" s="64">
        <f t="shared" si="23"/>
        <v>24.7955322265625</v>
      </c>
      <c r="S852" s="64">
        <f t="shared" si="24"/>
        <v>24</v>
      </c>
      <c r="T852" s="64">
        <f t="shared" si="25"/>
        <v>65.784444444444446</v>
      </c>
      <c r="U852" s="64" t="str">
        <f t="shared" si="26"/>
        <v>61-90</v>
      </c>
      <c r="V852" s="64" t="str">
        <f t="shared" si="27"/>
        <v>21-30 Гб</v>
      </c>
    </row>
    <row r="853" spans="1:22" ht="15.75" customHeight="1" x14ac:dyDescent="0.25">
      <c r="A853" s="62" t="s">
        <v>944</v>
      </c>
      <c r="B853" s="56">
        <v>35874</v>
      </c>
      <c r="C853" s="62" t="s">
        <v>88</v>
      </c>
      <c r="D853" s="62" t="s">
        <v>84</v>
      </c>
      <c r="E853" s="62" t="s">
        <v>85</v>
      </c>
      <c r="F853" s="62" t="s">
        <v>96</v>
      </c>
      <c r="G853" s="56">
        <v>42887</v>
      </c>
      <c r="H853" s="62">
        <v>5</v>
      </c>
      <c r="I853" s="62">
        <v>31256</v>
      </c>
      <c r="J853" s="62">
        <v>100000000</v>
      </c>
      <c r="M853" s="62">
        <v>1</v>
      </c>
      <c r="P853" s="63">
        <f t="shared" si="21"/>
        <v>120</v>
      </c>
      <c r="Q853" s="64">
        <f t="shared" si="22"/>
        <v>130.23333333333332</v>
      </c>
      <c r="R853" s="64">
        <f t="shared" si="23"/>
        <v>23.84185791015625</v>
      </c>
      <c r="S853" s="64">
        <f t="shared" si="24"/>
        <v>24</v>
      </c>
      <c r="T853" s="64">
        <f t="shared" si="25"/>
        <v>30.387777777777774</v>
      </c>
      <c r="U853" s="64" t="str">
        <f t="shared" si="26"/>
        <v>&lt;35</v>
      </c>
      <c r="V853" s="64" t="str">
        <f t="shared" si="27"/>
        <v>21-30 Гб</v>
      </c>
    </row>
    <row r="854" spans="1:22" ht="15.75" customHeight="1" x14ac:dyDescent="0.25">
      <c r="A854" s="62" t="s">
        <v>945</v>
      </c>
      <c r="B854" s="56">
        <v>35864</v>
      </c>
      <c r="C854" s="62" t="s">
        <v>88</v>
      </c>
      <c r="D854" s="62" t="s">
        <v>84</v>
      </c>
      <c r="E854" s="62" t="s">
        <v>85</v>
      </c>
      <c r="F854" s="62" t="s">
        <v>100</v>
      </c>
      <c r="G854" s="56">
        <v>42946</v>
      </c>
      <c r="H854" s="62">
        <v>5</v>
      </c>
      <c r="I854" s="62">
        <v>61936</v>
      </c>
      <c r="J854" s="62">
        <v>124000000</v>
      </c>
      <c r="P854" s="63">
        <f t="shared" si="21"/>
        <v>120</v>
      </c>
      <c r="Q854" s="64">
        <f t="shared" si="22"/>
        <v>258.06666666666666</v>
      </c>
      <c r="R854" s="64">
        <f t="shared" si="23"/>
        <v>29.56390380859375</v>
      </c>
      <c r="S854" s="64">
        <f t="shared" si="24"/>
        <v>24</v>
      </c>
      <c r="T854" s="64">
        <f t="shared" si="25"/>
        <v>60.215555555555554</v>
      </c>
      <c r="U854" s="64" t="str">
        <f t="shared" si="26"/>
        <v>61-90</v>
      </c>
      <c r="V854" s="64" t="str">
        <f t="shared" si="27"/>
        <v>21-30 Гб</v>
      </c>
    </row>
    <row r="855" spans="1:22" ht="15.75" customHeight="1" x14ac:dyDescent="0.25">
      <c r="A855" s="62" t="s">
        <v>946</v>
      </c>
      <c r="B855" s="56">
        <v>35864</v>
      </c>
      <c r="C855" s="62" t="s">
        <v>88</v>
      </c>
      <c r="D855" s="62" t="s">
        <v>84</v>
      </c>
      <c r="E855" s="62" t="s">
        <v>85</v>
      </c>
      <c r="F855" s="62" t="s">
        <v>89</v>
      </c>
      <c r="G855" s="56">
        <v>43331</v>
      </c>
      <c r="H855" s="62">
        <v>5</v>
      </c>
      <c r="I855" s="62">
        <v>25768</v>
      </c>
      <c r="J855" s="62">
        <v>148000000</v>
      </c>
      <c r="P855" s="63">
        <f t="shared" si="21"/>
        <v>120</v>
      </c>
      <c r="Q855" s="64">
        <f t="shared" si="22"/>
        <v>107.36666666666666</v>
      </c>
      <c r="R855" s="64">
        <f t="shared" si="23"/>
        <v>35.28594970703125</v>
      </c>
      <c r="S855" s="64">
        <f t="shared" si="24"/>
        <v>24</v>
      </c>
      <c r="T855" s="64">
        <f t="shared" si="25"/>
        <v>25.05222222222222</v>
      </c>
      <c r="U855" s="64" t="str">
        <f t="shared" si="26"/>
        <v>&lt;35</v>
      </c>
      <c r="V855" s="64" t="str">
        <f t="shared" si="27"/>
        <v>31-40 Гб</v>
      </c>
    </row>
    <row r="856" spans="1:22" ht="15.75" customHeight="1" x14ac:dyDescent="0.25">
      <c r="A856" s="62" t="s">
        <v>947</v>
      </c>
      <c r="B856" s="56">
        <v>35863</v>
      </c>
      <c r="C856" s="62" t="s">
        <v>83</v>
      </c>
      <c r="D856" s="62" t="s">
        <v>84</v>
      </c>
      <c r="E856" s="62" t="s">
        <v>85</v>
      </c>
      <c r="F856" s="62" t="s">
        <v>89</v>
      </c>
      <c r="G856" s="56">
        <v>44557</v>
      </c>
      <c r="H856" s="62">
        <v>4</v>
      </c>
      <c r="I856" s="62">
        <v>22815</v>
      </c>
      <c r="J856" s="62">
        <v>20000000</v>
      </c>
      <c r="M856" s="62">
        <v>1</v>
      </c>
      <c r="P856" s="63">
        <f t="shared" si="21"/>
        <v>120</v>
      </c>
      <c r="Q856" s="64">
        <f t="shared" si="22"/>
        <v>95.0625</v>
      </c>
      <c r="R856" s="64">
        <f t="shared" si="23"/>
        <v>4.76837158203125</v>
      </c>
      <c r="S856" s="64">
        <f t="shared" si="24"/>
        <v>24</v>
      </c>
      <c r="T856" s="64">
        <f t="shared" si="25"/>
        <v>22.181249999999999</v>
      </c>
      <c r="U856" s="64" t="str">
        <f t="shared" si="26"/>
        <v>&lt;35</v>
      </c>
      <c r="V856" s="64" t="str">
        <f t="shared" si="27"/>
        <v>&lt;10 Гб</v>
      </c>
    </row>
    <row r="857" spans="1:22" ht="15.75" customHeight="1" x14ac:dyDescent="0.25">
      <c r="A857" s="62" t="s">
        <v>948</v>
      </c>
      <c r="B857" s="56">
        <v>35861</v>
      </c>
      <c r="C857" s="62" t="s">
        <v>83</v>
      </c>
      <c r="D857" s="62" t="s">
        <v>84</v>
      </c>
      <c r="E857" s="62" t="s">
        <v>92</v>
      </c>
      <c r="F857" s="62" t="s">
        <v>96</v>
      </c>
      <c r="G857" s="56">
        <v>42861</v>
      </c>
      <c r="H857" s="62">
        <v>5</v>
      </c>
      <c r="I857" s="62">
        <v>60496</v>
      </c>
      <c r="J857" s="62">
        <v>116000000</v>
      </c>
      <c r="L857" s="62">
        <v>1</v>
      </c>
      <c r="P857" s="63">
        <f t="shared" si="21"/>
        <v>120</v>
      </c>
      <c r="Q857" s="64">
        <f t="shared" si="22"/>
        <v>252.06666666666669</v>
      </c>
      <c r="R857" s="64">
        <f t="shared" si="23"/>
        <v>27.65655517578125</v>
      </c>
      <c r="S857" s="64">
        <f t="shared" si="24"/>
        <v>24</v>
      </c>
      <c r="T857" s="64">
        <f t="shared" si="25"/>
        <v>58.815555555555562</v>
      </c>
      <c r="U857" s="64" t="str">
        <f t="shared" si="26"/>
        <v>35-60</v>
      </c>
      <c r="V857" s="64" t="str">
        <f t="shared" si="27"/>
        <v>21-30 Гб</v>
      </c>
    </row>
    <row r="858" spans="1:22" ht="15.75" customHeight="1" x14ac:dyDescent="0.25">
      <c r="A858" s="62" t="s">
        <v>949</v>
      </c>
      <c r="B858" s="56">
        <v>35861</v>
      </c>
      <c r="C858" s="62" t="s">
        <v>88</v>
      </c>
      <c r="D858" s="62" t="s">
        <v>84</v>
      </c>
      <c r="E858" s="62" t="s">
        <v>85</v>
      </c>
      <c r="F858" s="62" t="s">
        <v>89</v>
      </c>
      <c r="G858" s="56">
        <v>44078</v>
      </c>
      <c r="H858" s="62">
        <v>5</v>
      </c>
      <c r="I858" s="62">
        <v>29000</v>
      </c>
      <c r="J858" s="62">
        <v>56000000</v>
      </c>
      <c r="M858" s="62">
        <v>1</v>
      </c>
      <c r="P858" s="63">
        <f t="shared" si="21"/>
        <v>120</v>
      </c>
      <c r="Q858" s="64">
        <f t="shared" si="22"/>
        <v>120.83333333333333</v>
      </c>
      <c r="R858" s="64">
        <f t="shared" si="23"/>
        <v>13.3514404296875</v>
      </c>
      <c r="S858" s="64">
        <f t="shared" si="24"/>
        <v>24</v>
      </c>
      <c r="T858" s="64">
        <f t="shared" si="25"/>
        <v>28.194444444444443</v>
      </c>
      <c r="U858" s="64" t="str">
        <f t="shared" si="26"/>
        <v>&lt;35</v>
      </c>
      <c r="V858" s="64" t="str">
        <f t="shared" si="27"/>
        <v>10-20 Гб</v>
      </c>
    </row>
    <row r="859" spans="1:22" ht="15.75" customHeight="1" x14ac:dyDescent="0.25">
      <c r="A859" s="62" t="s">
        <v>950</v>
      </c>
      <c r="B859" s="56">
        <v>35859</v>
      </c>
      <c r="C859" s="62" t="s">
        <v>88</v>
      </c>
      <c r="D859" s="62" t="s">
        <v>84</v>
      </c>
      <c r="E859" s="62" t="s">
        <v>92</v>
      </c>
      <c r="F859" s="62" t="s">
        <v>89</v>
      </c>
      <c r="G859" s="56">
        <v>42975</v>
      </c>
      <c r="H859" s="62">
        <v>5</v>
      </c>
      <c r="I859" s="62">
        <v>23444</v>
      </c>
      <c r="J859" s="62">
        <v>92000000</v>
      </c>
      <c r="P859" s="63">
        <f t="shared" si="21"/>
        <v>120</v>
      </c>
      <c r="Q859" s="64">
        <f t="shared" si="22"/>
        <v>97.683333333333337</v>
      </c>
      <c r="R859" s="64">
        <f t="shared" si="23"/>
        <v>21.93450927734375</v>
      </c>
      <c r="S859" s="64">
        <f t="shared" si="24"/>
        <v>24</v>
      </c>
      <c r="T859" s="64">
        <f t="shared" si="25"/>
        <v>22.792777777777776</v>
      </c>
      <c r="U859" s="64" t="str">
        <f t="shared" si="26"/>
        <v>&lt;35</v>
      </c>
      <c r="V859" s="64" t="str">
        <f t="shared" si="27"/>
        <v>21-30 Гб</v>
      </c>
    </row>
    <row r="860" spans="1:22" ht="15.75" customHeight="1" x14ac:dyDescent="0.25">
      <c r="A860" s="62" t="s">
        <v>951</v>
      </c>
      <c r="B860" s="56">
        <v>35857</v>
      </c>
      <c r="C860" s="62" t="s">
        <v>83</v>
      </c>
      <c r="D860" s="62" t="s">
        <v>84</v>
      </c>
      <c r="E860" s="62" t="s">
        <v>92</v>
      </c>
      <c r="F860" s="62" t="s">
        <v>100</v>
      </c>
      <c r="G860" s="56">
        <v>43862</v>
      </c>
      <c r="H860" s="62">
        <v>5</v>
      </c>
      <c r="I860" s="62">
        <v>95040</v>
      </c>
      <c r="J860" s="62">
        <v>116000000</v>
      </c>
      <c r="P860" s="63">
        <f t="shared" si="21"/>
        <v>120</v>
      </c>
      <c r="Q860" s="64">
        <f t="shared" si="22"/>
        <v>396</v>
      </c>
      <c r="R860" s="64">
        <f t="shared" si="23"/>
        <v>27.65655517578125</v>
      </c>
      <c r="S860" s="64">
        <f t="shared" si="24"/>
        <v>24</v>
      </c>
      <c r="T860" s="64">
        <f t="shared" si="25"/>
        <v>92.4</v>
      </c>
      <c r="U860" s="64" t="str">
        <f t="shared" si="26"/>
        <v>91-120</v>
      </c>
      <c r="V860" s="64" t="str">
        <f t="shared" si="27"/>
        <v>21-30 Гб</v>
      </c>
    </row>
    <row r="861" spans="1:22" ht="15.75" customHeight="1" x14ac:dyDescent="0.25">
      <c r="A861" s="62" t="s">
        <v>952</v>
      </c>
      <c r="B861" s="56">
        <v>35853</v>
      </c>
      <c r="C861" s="62" t="s">
        <v>83</v>
      </c>
      <c r="D861" s="62" t="s">
        <v>84</v>
      </c>
      <c r="E861" s="62" t="s">
        <v>85</v>
      </c>
      <c r="F861" s="62" t="s">
        <v>100</v>
      </c>
      <c r="G861" s="56">
        <v>43762</v>
      </c>
      <c r="H861" s="62">
        <v>5</v>
      </c>
      <c r="I861" s="62">
        <v>49488</v>
      </c>
      <c r="J861" s="62">
        <v>32000000</v>
      </c>
      <c r="N861" s="62">
        <v>1</v>
      </c>
      <c r="P861" s="63">
        <f t="shared" si="21"/>
        <v>120</v>
      </c>
      <c r="Q861" s="64">
        <f t="shared" si="22"/>
        <v>206.2</v>
      </c>
      <c r="R861" s="64">
        <f t="shared" si="23"/>
        <v>7.6293945312500009</v>
      </c>
      <c r="S861" s="64">
        <f t="shared" si="24"/>
        <v>24</v>
      </c>
      <c r="T861" s="64">
        <f t="shared" si="25"/>
        <v>48.11333333333333</v>
      </c>
      <c r="U861" s="64" t="str">
        <f t="shared" si="26"/>
        <v>35-60</v>
      </c>
      <c r="V861" s="64" t="str">
        <f t="shared" si="27"/>
        <v>&lt;10 Гб</v>
      </c>
    </row>
    <row r="862" spans="1:22" ht="15.75" customHeight="1" x14ac:dyDescent="0.25">
      <c r="A862" s="62" t="s">
        <v>953</v>
      </c>
      <c r="B862" s="56">
        <v>35852</v>
      </c>
      <c r="C862" s="62" t="s">
        <v>83</v>
      </c>
      <c r="D862" s="62" t="s">
        <v>84</v>
      </c>
      <c r="E862" s="62" t="s">
        <v>85</v>
      </c>
      <c r="F862" s="62" t="s">
        <v>89</v>
      </c>
      <c r="G862" s="56">
        <v>43199</v>
      </c>
      <c r="H862" s="62">
        <v>5</v>
      </c>
      <c r="I862" s="62">
        <v>14896</v>
      </c>
      <c r="J862" s="62">
        <v>144000000</v>
      </c>
      <c r="L862" s="62">
        <v>1</v>
      </c>
      <c r="P862" s="63">
        <f t="shared" si="21"/>
        <v>120</v>
      </c>
      <c r="Q862" s="64">
        <f t="shared" si="22"/>
        <v>62.06666666666667</v>
      </c>
      <c r="R862" s="64">
        <f t="shared" si="23"/>
        <v>34.332275390625</v>
      </c>
      <c r="S862" s="64">
        <f t="shared" si="24"/>
        <v>24</v>
      </c>
      <c r="T862" s="64">
        <f t="shared" si="25"/>
        <v>14.482222222222223</v>
      </c>
      <c r="U862" s="64" t="str">
        <f t="shared" si="26"/>
        <v>&lt;35</v>
      </c>
      <c r="V862" s="64" t="str">
        <f t="shared" si="27"/>
        <v>31-40 Гб</v>
      </c>
    </row>
    <row r="863" spans="1:22" ht="15.75" customHeight="1" x14ac:dyDescent="0.25">
      <c r="A863" s="62" t="s">
        <v>954</v>
      </c>
      <c r="B863" s="56">
        <v>35847</v>
      </c>
      <c r="C863" s="62" t="s">
        <v>83</v>
      </c>
      <c r="D863" s="62" t="s">
        <v>84</v>
      </c>
      <c r="E863" s="62" t="s">
        <v>85</v>
      </c>
      <c r="F863" s="62" t="s">
        <v>89</v>
      </c>
      <c r="G863" s="56">
        <v>44000</v>
      </c>
      <c r="H863" s="62">
        <v>5</v>
      </c>
      <c r="I863" s="62">
        <v>29496</v>
      </c>
      <c r="J863" s="62">
        <v>160000000</v>
      </c>
      <c r="P863" s="63">
        <f t="shared" si="21"/>
        <v>120</v>
      </c>
      <c r="Q863" s="64">
        <f t="shared" si="22"/>
        <v>122.9</v>
      </c>
      <c r="R863" s="64">
        <f t="shared" si="23"/>
        <v>38.14697265625</v>
      </c>
      <c r="S863" s="64">
        <f t="shared" si="24"/>
        <v>24</v>
      </c>
      <c r="T863" s="64">
        <f t="shared" si="25"/>
        <v>28.676666666666669</v>
      </c>
      <c r="U863" s="64" t="str">
        <f t="shared" si="26"/>
        <v>&lt;35</v>
      </c>
      <c r="V863" s="64" t="str">
        <f t="shared" si="27"/>
        <v>31-40 Гб</v>
      </c>
    </row>
    <row r="864" spans="1:22" ht="15.75" customHeight="1" x14ac:dyDescent="0.25">
      <c r="A864" s="62" t="s">
        <v>955</v>
      </c>
      <c r="B864" s="56">
        <v>35845</v>
      </c>
      <c r="C864" s="62" t="s">
        <v>88</v>
      </c>
      <c r="D864" s="62" t="s">
        <v>84</v>
      </c>
      <c r="E864" s="62" t="s">
        <v>92</v>
      </c>
      <c r="F864" s="62" t="s">
        <v>93</v>
      </c>
      <c r="G864" s="56">
        <v>43800</v>
      </c>
      <c r="H864" s="62">
        <v>5</v>
      </c>
      <c r="I864" s="62">
        <v>3252</v>
      </c>
      <c r="J864" s="62">
        <v>16000000</v>
      </c>
      <c r="P864" s="63">
        <f t="shared" si="21"/>
        <v>120</v>
      </c>
      <c r="Q864" s="64">
        <f t="shared" si="22"/>
        <v>13.55</v>
      </c>
      <c r="R864" s="64">
        <f t="shared" si="23"/>
        <v>3.8146972656250004</v>
      </c>
      <c r="S864" s="64">
        <f t="shared" si="24"/>
        <v>24</v>
      </c>
      <c r="T864" s="64">
        <f t="shared" si="25"/>
        <v>3.1616666666666671</v>
      </c>
      <c r="U864" s="64" t="str">
        <f t="shared" si="26"/>
        <v>&lt;35</v>
      </c>
      <c r="V864" s="64" t="str">
        <f t="shared" si="27"/>
        <v>&lt;10 Гб</v>
      </c>
    </row>
    <row r="865" spans="1:22" ht="15.75" customHeight="1" x14ac:dyDescent="0.25">
      <c r="A865" s="62" t="s">
        <v>956</v>
      </c>
      <c r="B865" s="56">
        <v>35839</v>
      </c>
      <c r="C865" s="62" t="s">
        <v>83</v>
      </c>
      <c r="D865" s="62" t="s">
        <v>84</v>
      </c>
      <c r="E865" s="62" t="s">
        <v>85</v>
      </c>
      <c r="F865" s="62" t="s">
        <v>89</v>
      </c>
      <c r="G865" s="56">
        <v>44390</v>
      </c>
      <c r="H865" s="62">
        <v>5</v>
      </c>
      <c r="I865" s="62">
        <v>16604</v>
      </c>
      <c r="J865" s="62">
        <v>88000000</v>
      </c>
      <c r="L865" s="62">
        <v>1</v>
      </c>
      <c r="P865" s="63">
        <f t="shared" si="21"/>
        <v>120</v>
      </c>
      <c r="Q865" s="64">
        <f t="shared" si="22"/>
        <v>69.183333333333337</v>
      </c>
      <c r="R865" s="64">
        <f t="shared" si="23"/>
        <v>20.9808349609375</v>
      </c>
      <c r="S865" s="64">
        <f t="shared" si="24"/>
        <v>24</v>
      </c>
      <c r="T865" s="64">
        <f t="shared" si="25"/>
        <v>16.142777777777777</v>
      </c>
      <c r="U865" s="64" t="str">
        <f t="shared" si="26"/>
        <v>&lt;35</v>
      </c>
      <c r="V865" s="64" t="str">
        <f t="shared" si="27"/>
        <v>21-30 Гб</v>
      </c>
    </row>
    <row r="866" spans="1:22" ht="15.75" customHeight="1" x14ac:dyDescent="0.25">
      <c r="A866" s="62" t="s">
        <v>957</v>
      </c>
      <c r="B866" s="56">
        <v>35837</v>
      </c>
      <c r="C866" s="62" t="s">
        <v>83</v>
      </c>
      <c r="D866" s="62" t="s">
        <v>84</v>
      </c>
      <c r="E866" s="62" t="s">
        <v>85</v>
      </c>
      <c r="F866" s="62" t="s">
        <v>96</v>
      </c>
      <c r="G866" s="56">
        <v>43824</v>
      </c>
      <c r="H866" s="62">
        <v>5</v>
      </c>
      <c r="I866" s="62">
        <v>95156</v>
      </c>
      <c r="J866" s="62">
        <v>48000000</v>
      </c>
      <c r="M866" s="62">
        <v>1</v>
      </c>
      <c r="P866" s="63">
        <f t="shared" si="21"/>
        <v>120</v>
      </c>
      <c r="Q866" s="64">
        <f t="shared" si="22"/>
        <v>396.48333333333335</v>
      </c>
      <c r="R866" s="64">
        <f t="shared" si="23"/>
        <v>11.444091796875</v>
      </c>
      <c r="S866" s="64">
        <f t="shared" si="24"/>
        <v>24</v>
      </c>
      <c r="T866" s="64">
        <f t="shared" si="25"/>
        <v>92.512777777777771</v>
      </c>
      <c r="U866" s="64" t="str">
        <f t="shared" si="26"/>
        <v>91-120</v>
      </c>
      <c r="V866" s="64" t="str">
        <f t="shared" si="27"/>
        <v>10-20 Гб</v>
      </c>
    </row>
    <row r="867" spans="1:22" ht="15.75" customHeight="1" x14ac:dyDescent="0.25">
      <c r="A867" s="62" t="s">
        <v>958</v>
      </c>
      <c r="B867" s="56">
        <v>35837</v>
      </c>
      <c r="C867" s="62" t="s">
        <v>88</v>
      </c>
      <c r="D867" s="62" t="s">
        <v>84</v>
      </c>
      <c r="E867" s="62" t="s">
        <v>85</v>
      </c>
      <c r="F867" s="62" t="s">
        <v>96</v>
      </c>
      <c r="G867" s="56">
        <v>43577</v>
      </c>
      <c r="H867" s="62">
        <v>5</v>
      </c>
      <c r="I867" s="62">
        <v>84272</v>
      </c>
      <c r="J867" s="62">
        <v>24000000</v>
      </c>
      <c r="K867" s="62">
        <v>1</v>
      </c>
      <c r="P867" s="63">
        <f t="shared" si="21"/>
        <v>120</v>
      </c>
      <c r="Q867" s="64">
        <f t="shared" si="22"/>
        <v>351.13333333333333</v>
      </c>
      <c r="R867" s="64">
        <f t="shared" si="23"/>
        <v>5.7220458984375</v>
      </c>
      <c r="S867" s="64">
        <f t="shared" si="24"/>
        <v>24</v>
      </c>
      <c r="T867" s="64">
        <f t="shared" si="25"/>
        <v>81.931111111111107</v>
      </c>
      <c r="U867" s="64" t="str">
        <f t="shared" si="26"/>
        <v>61-90</v>
      </c>
      <c r="V867" s="64" t="str">
        <f t="shared" si="27"/>
        <v>&lt;10 Гб</v>
      </c>
    </row>
    <row r="868" spans="1:22" ht="15.75" customHeight="1" x14ac:dyDescent="0.25">
      <c r="A868" s="62" t="s">
        <v>959</v>
      </c>
      <c r="B868" s="56">
        <v>35819</v>
      </c>
      <c r="C868" s="62" t="s">
        <v>88</v>
      </c>
      <c r="D868" s="62" t="s">
        <v>84</v>
      </c>
      <c r="E868" s="62" t="s">
        <v>92</v>
      </c>
      <c r="F868" s="62" t="s">
        <v>89</v>
      </c>
      <c r="G868" s="56">
        <v>42849</v>
      </c>
      <c r="H868" s="62">
        <v>5</v>
      </c>
      <c r="I868" s="62">
        <v>13288</v>
      </c>
      <c r="J868" s="62">
        <v>112000000</v>
      </c>
      <c r="P868" s="63">
        <f t="shared" si="21"/>
        <v>120</v>
      </c>
      <c r="Q868" s="64">
        <f t="shared" si="22"/>
        <v>55.366666666666667</v>
      </c>
      <c r="R868" s="64">
        <f t="shared" si="23"/>
        <v>26.702880859375</v>
      </c>
      <c r="S868" s="64">
        <f t="shared" si="24"/>
        <v>24</v>
      </c>
      <c r="T868" s="64">
        <f t="shared" si="25"/>
        <v>12.918888888888889</v>
      </c>
      <c r="U868" s="64" t="str">
        <f t="shared" si="26"/>
        <v>&lt;35</v>
      </c>
      <c r="V868" s="64" t="str">
        <f t="shared" si="27"/>
        <v>21-30 Гб</v>
      </c>
    </row>
    <row r="869" spans="1:22" ht="15.75" customHeight="1" x14ac:dyDescent="0.25">
      <c r="A869" s="62" t="s">
        <v>960</v>
      </c>
      <c r="B869" s="56">
        <v>35817</v>
      </c>
      <c r="C869" s="62" t="s">
        <v>83</v>
      </c>
      <c r="D869" s="62" t="s">
        <v>84</v>
      </c>
      <c r="E869" s="62" t="s">
        <v>92</v>
      </c>
      <c r="F869" s="62" t="s">
        <v>96</v>
      </c>
      <c r="G869" s="56">
        <v>42882</v>
      </c>
      <c r="H869" s="62">
        <v>5</v>
      </c>
      <c r="I869" s="62">
        <v>38380</v>
      </c>
      <c r="J869" s="62">
        <v>96000000</v>
      </c>
      <c r="P869" s="63">
        <f t="shared" si="21"/>
        <v>120</v>
      </c>
      <c r="Q869" s="64">
        <f t="shared" si="22"/>
        <v>159.91666666666666</v>
      </c>
      <c r="R869" s="64">
        <f t="shared" si="23"/>
        <v>22.88818359375</v>
      </c>
      <c r="S869" s="64">
        <f t="shared" si="24"/>
        <v>24</v>
      </c>
      <c r="T869" s="64">
        <f t="shared" si="25"/>
        <v>37.313888888888883</v>
      </c>
      <c r="U869" s="64" t="str">
        <f t="shared" si="26"/>
        <v>35-60</v>
      </c>
      <c r="V869" s="64" t="str">
        <f t="shared" si="27"/>
        <v>21-30 Гб</v>
      </c>
    </row>
    <row r="870" spans="1:22" ht="15.75" customHeight="1" x14ac:dyDescent="0.25">
      <c r="A870" s="62" t="s">
        <v>961</v>
      </c>
      <c r="B870" s="56">
        <v>35817</v>
      </c>
      <c r="C870" s="62" t="s">
        <v>83</v>
      </c>
      <c r="D870" s="62" t="s">
        <v>84</v>
      </c>
      <c r="E870" s="62" t="s">
        <v>85</v>
      </c>
      <c r="F870" s="62" t="s">
        <v>93</v>
      </c>
      <c r="G870" s="56">
        <v>43567</v>
      </c>
      <c r="H870" s="62">
        <v>5</v>
      </c>
      <c r="I870" s="62">
        <v>29828</v>
      </c>
      <c r="J870" s="62">
        <v>12000000</v>
      </c>
      <c r="P870" s="63">
        <f t="shared" si="21"/>
        <v>120</v>
      </c>
      <c r="Q870" s="64">
        <f t="shared" si="22"/>
        <v>124.28333333333333</v>
      </c>
      <c r="R870" s="64">
        <f t="shared" si="23"/>
        <v>2.86102294921875</v>
      </c>
      <c r="S870" s="64">
        <f t="shared" si="24"/>
        <v>24</v>
      </c>
      <c r="T870" s="64">
        <f t="shared" si="25"/>
        <v>28.999444444444446</v>
      </c>
      <c r="U870" s="64" t="str">
        <f t="shared" si="26"/>
        <v>&lt;35</v>
      </c>
      <c r="V870" s="64" t="str">
        <f t="shared" si="27"/>
        <v>&lt;10 Гб</v>
      </c>
    </row>
    <row r="871" spans="1:22" ht="15.75" customHeight="1" x14ac:dyDescent="0.25">
      <c r="A871" s="62" t="s">
        <v>962</v>
      </c>
      <c r="B871" s="56">
        <v>35816</v>
      </c>
      <c r="C871" s="62" t="s">
        <v>83</v>
      </c>
      <c r="D871" s="62" t="s">
        <v>84</v>
      </c>
      <c r="E871" s="62" t="s">
        <v>85</v>
      </c>
      <c r="F871" s="62" t="s">
        <v>100</v>
      </c>
      <c r="G871" s="56">
        <v>44427</v>
      </c>
      <c r="H871" s="62">
        <v>5</v>
      </c>
      <c r="I871" s="62">
        <v>92908</v>
      </c>
      <c r="J871" s="62">
        <v>120000000</v>
      </c>
      <c r="P871" s="63">
        <f t="shared" si="21"/>
        <v>120</v>
      </c>
      <c r="Q871" s="64">
        <f t="shared" si="22"/>
        <v>387.11666666666667</v>
      </c>
      <c r="R871" s="64">
        <f t="shared" si="23"/>
        <v>28.6102294921875</v>
      </c>
      <c r="S871" s="64">
        <f t="shared" si="24"/>
        <v>24</v>
      </c>
      <c r="T871" s="64">
        <f t="shared" si="25"/>
        <v>90.327222222222218</v>
      </c>
      <c r="U871" s="64" t="str">
        <f t="shared" si="26"/>
        <v>91-120</v>
      </c>
      <c r="V871" s="64" t="str">
        <f t="shared" si="27"/>
        <v>21-30 Гб</v>
      </c>
    </row>
    <row r="872" spans="1:22" ht="15.75" customHeight="1" x14ac:dyDescent="0.25">
      <c r="A872" s="62" t="s">
        <v>963</v>
      </c>
      <c r="B872" s="56">
        <v>35789</v>
      </c>
      <c r="C872" s="62" t="s">
        <v>88</v>
      </c>
      <c r="D872" s="62" t="s">
        <v>84</v>
      </c>
      <c r="E872" s="62" t="s">
        <v>85</v>
      </c>
      <c r="F872" s="62" t="s">
        <v>89</v>
      </c>
      <c r="G872" s="56">
        <v>43185</v>
      </c>
      <c r="H872" s="62">
        <v>5</v>
      </c>
      <c r="I872" s="62">
        <v>25028</v>
      </c>
      <c r="J872" s="62">
        <v>156000000</v>
      </c>
      <c r="M872" s="62">
        <v>1</v>
      </c>
      <c r="P872" s="63">
        <f t="shared" si="21"/>
        <v>120</v>
      </c>
      <c r="Q872" s="64">
        <f t="shared" si="22"/>
        <v>104.28333333333333</v>
      </c>
      <c r="R872" s="64">
        <f t="shared" si="23"/>
        <v>37.19329833984375</v>
      </c>
      <c r="S872" s="64">
        <f t="shared" si="24"/>
        <v>24</v>
      </c>
      <c r="T872" s="64">
        <f t="shared" si="25"/>
        <v>24.332777777777778</v>
      </c>
      <c r="U872" s="64" t="str">
        <f t="shared" si="26"/>
        <v>&lt;35</v>
      </c>
      <c r="V872" s="64" t="str">
        <f t="shared" si="27"/>
        <v>31-40 Гб</v>
      </c>
    </row>
    <row r="873" spans="1:22" ht="15.75" customHeight="1" x14ac:dyDescent="0.25">
      <c r="A873" s="62" t="s">
        <v>964</v>
      </c>
      <c r="B873" s="56">
        <v>35776</v>
      </c>
      <c r="C873" s="62" t="s">
        <v>83</v>
      </c>
      <c r="D873" s="62" t="s">
        <v>84</v>
      </c>
      <c r="E873" s="62" t="s">
        <v>85</v>
      </c>
      <c r="F873" s="62" t="s">
        <v>100</v>
      </c>
      <c r="G873" s="56">
        <v>43506</v>
      </c>
      <c r="H873" s="62">
        <v>5</v>
      </c>
      <c r="I873" s="62">
        <v>38680</v>
      </c>
      <c r="J873" s="62">
        <v>128000000</v>
      </c>
      <c r="L873" s="62">
        <v>1</v>
      </c>
      <c r="P873" s="63">
        <f t="shared" si="21"/>
        <v>120</v>
      </c>
      <c r="Q873" s="64">
        <f t="shared" si="22"/>
        <v>161.16666666666666</v>
      </c>
      <c r="R873" s="64">
        <f t="shared" si="23"/>
        <v>30.517578125000004</v>
      </c>
      <c r="S873" s="64">
        <f t="shared" si="24"/>
        <v>24</v>
      </c>
      <c r="T873" s="64">
        <f t="shared" si="25"/>
        <v>37.605555555555547</v>
      </c>
      <c r="U873" s="64" t="str">
        <f t="shared" si="26"/>
        <v>35-60</v>
      </c>
      <c r="V873" s="64" t="str">
        <f t="shared" si="27"/>
        <v>31-40 Гб</v>
      </c>
    </row>
    <row r="874" spans="1:22" ht="15.75" customHeight="1" x14ac:dyDescent="0.25">
      <c r="A874" s="62" t="s">
        <v>965</v>
      </c>
      <c r="B874" s="56">
        <v>35774</v>
      </c>
      <c r="C874" s="62" t="s">
        <v>83</v>
      </c>
      <c r="D874" s="62" t="s">
        <v>84</v>
      </c>
      <c r="E874" s="62" t="s">
        <v>85</v>
      </c>
      <c r="F874" s="62" t="s">
        <v>86</v>
      </c>
      <c r="G874" s="56">
        <v>42805</v>
      </c>
      <c r="H874" s="62">
        <v>5</v>
      </c>
      <c r="I874" s="62">
        <v>142060</v>
      </c>
      <c r="J874" s="62">
        <v>196000000</v>
      </c>
      <c r="P874" s="63">
        <f t="shared" si="21"/>
        <v>120</v>
      </c>
      <c r="Q874" s="64">
        <f t="shared" si="22"/>
        <v>591.91666666666663</v>
      </c>
      <c r="R874" s="64">
        <f t="shared" si="23"/>
        <v>46.73004150390625</v>
      </c>
      <c r="S874" s="64">
        <f t="shared" si="24"/>
        <v>24</v>
      </c>
      <c r="T874" s="64">
        <f t="shared" si="25"/>
        <v>138.11388888888888</v>
      </c>
      <c r="U874" s="64" t="str">
        <f t="shared" si="26"/>
        <v>120+</v>
      </c>
      <c r="V874" s="64" t="str">
        <f t="shared" si="27"/>
        <v>40+ Гб</v>
      </c>
    </row>
    <row r="875" spans="1:22" ht="15.75" customHeight="1" x14ac:dyDescent="0.25">
      <c r="A875" s="62" t="s">
        <v>966</v>
      </c>
      <c r="B875" s="56">
        <v>35771</v>
      </c>
      <c r="C875" s="62" t="s">
        <v>83</v>
      </c>
      <c r="D875" s="62" t="s">
        <v>84</v>
      </c>
      <c r="E875" s="62" t="s">
        <v>92</v>
      </c>
      <c r="F875" s="62" t="s">
        <v>100</v>
      </c>
      <c r="G875" s="56">
        <v>44219</v>
      </c>
      <c r="H875" s="62">
        <v>5</v>
      </c>
      <c r="I875" s="62">
        <v>94808</v>
      </c>
      <c r="J875" s="62">
        <v>40000000</v>
      </c>
      <c r="O875" s="62">
        <v>1</v>
      </c>
      <c r="P875" s="63">
        <f t="shared" si="21"/>
        <v>120</v>
      </c>
      <c r="Q875" s="64">
        <f t="shared" si="22"/>
        <v>395.03333333333336</v>
      </c>
      <c r="R875" s="64">
        <f t="shared" si="23"/>
        <v>9.5367431640625</v>
      </c>
      <c r="S875" s="64">
        <f t="shared" si="24"/>
        <v>24</v>
      </c>
      <c r="T875" s="64">
        <f t="shared" si="25"/>
        <v>92.174444444444447</v>
      </c>
      <c r="U875" s="64" t="str">
        <f t="shared" si="26"/>
        <v>91-120</v>
      </c>
      <c r="V875" s="64" t="str">
        <f t="shared" si="27"/>
        <v>&lt;10 Гб</v>
      </c>
    </row>
    <row r="876" spans="1:22" ht="15.75" customHeight="1" x14ac:dyDescent="0.25">
      <c r="A876" s="62" t="s">
        <v>967</v>
      </c>
      <c r="B876" s="56">
        <v>35771</v>
      </c>
      <c r="C876" s="62" t="s">
        <v>88</v>
      </c>
      <c r="D876" s="62" t="s">
        <v>84</v>
      </c>
      <c r="E876" s="62" t="s">
        <v>85</v>
      </c>
      <c r="F876" s="62" t="s">
        <v>93</v>
      </c>
      <c r="G876" s="56">
        <v>43524</v>
      </c>
      <c r="H876" s="62">
        <v>5</v>
      </c>
      <c r="I876" s="62">
        <v>19844</v>
      </c>
      <c r="J876" s="62">
        <v>20000000</v>
      </c>
      <c r="K876" s="62">
        <v>1</v>
      </c>
      <c r="O876" s="62">
        <v>1</v>
      </c>
      <c r="P876" s="63">
        <f t="shared" si="21"/>
        <v>120</v>
      </c>
      <c r="Q876" s="64">
        <f t="shared" si="22"/>
        <v>82.683333333333337</v>
      </c>
      <c r="R876" s="64">
        <f t="shared" si="23"/>
        <v>4.76837158203125</v>
      </c>
      <c r="S876" s="64">
        <f t="shared" si="24"/>
        <v>24</v>
      </c>
      <c r="T876" s="64">
        <f t="shared" si="25"/>
        <v>19.292777777777776</v>
      </c>
      <c r="U876" s="64" t="str">
        <f t="shared" si="26"/>
        <v>&lt;35</v>
      </c>
      <c r="V876" s="64" t="str">
        <f t="shared" si="27"/>
        <v>&lt;10 Гб</v>
      </c>
    </row>
    <row r="877" spans="1:22" ht="15.75" customHeight="1" x14ac:dyDescent="0.25">
      <c r="A877" s="62" t="s">
        <v>968</v>
      </c>
      <c r="B877" s="56">
        <v>35770</v>
      </c>
      <c r="C877" s="62" t="s">
        <v>83</v>
      </c>
      <c r="D877" s="62" t="s">
        <v>84</v>
      </c>
      <c r="E877" s="62" t="s">
        <v>85</v>
      </c>
      <c r="F877" s="62" t="s">
        <v>100</v>
      </c>
      <c r="G877" s="56">
        <v>44612</v>
      </c>
      <c r="H877" s="62">
        <v>2</v>
      </c>
      <c r="I877" s="62">
        <v>70000</v>
      </c>
      <c r="J877" s="62">
        <v>60666667</v>
      </c>
      <c r="P877" s="63">
        <f t="shared" si="21"/>
        <v>70</v>
      </c>
      <c r="Q877" s="64">
        <f t="shared" si="22"/>
        <v>500.00000000000006</v>
      </c>
      <c r="R877" s="64">
        <f t="shared" si="23"/>
        <v>24.795532362801687</v>
      </c>
      <c r="S877" s="64">
        <f t="shared" si="24"/>
        <v>24</v>
      </c>
      <c r="T877" s="64">
        <f t="shared" si="25"/>
        <v>116.66666666666669</v>
      </c>
      <c r="U877" s="64" t="str">
        <f t="shared" si="26"/>
        <v>91-120</v>
      </c>
      <c r="V877" s="64" t="str">
        <f t="shared" si="27"/>
        <v>21-30 Гб</v>
      </c>
    </row>
    <row r="878" spans="1:22" ht="15.75" customHeight="1" x14ac:dyDescent="0.25">
      <c r="A878" s="62" t="s">
        <v>969</v>
      </c>
      <c r="B878" s="56">
        <v>35770</v>
      </c>
      <c r="C878" s="62" t="s">
        <v>88</v>
      </c>
      <c r="D878" s="62" t="s">
        <v>84</v>
      </c>
      <c r="E878" s="62" t="s">
        <v>85</v>
      </c>
      <c r="F878" s="62" t="s">
        <v>96</v>
      </c>
      <c r="G878" s="56">
        <v>44388</v>
      </c>
      <c r="H878" s="62">
        <v>5</v>
      </c>
      <c r="I878" s="62">
        <v>77248</v>
      </c>
      <c r="J878" s="62">
        <v>100000000</v>
      </c>
      <c r="P878" s="63">
        <f t="shared" si="21"/>
        <v>120</v>
      </c>
      <c r="Q878" s="64">
        <f t="shared" si="22"/>
        <v>321.86666666666667</v>
      </c>
      <c r="R878" s="64">
        <f t="shared" si="23"/>
        <v>23.84185791015625</v>
      </c>
      <c r="S878" s="64">
        <f t="shared" si="24"/>
        <v>24</v>
      </c>
      <c r="T878" s="64">
        <f t="shared" si="25"/>
        <v>75.102222222222224</v>
      </c>
      <c r="U878" s="64" t="str">
        <f t="shared" si="26"/>
        <v>61-90</v>
      </c>
      <c r="V878" s="64" t="str">
        <f t="shared" si="27"/>
        <v>21-30 Гб</v>
      </c>
    </row>
    <row r="879" spans="1:22" ht="15.75" customHeight="1" x14ac:dyDescent="0.25">
      <c r="A879" s="62" t="s">
        <v>970</v>
      </c>
      <c r="B879" s="56">
        <v>35767</v>
      </c>
      <c r="C879" s="62" t="s">
        <v>83</v>
      </c>
      <c r="D879" s="62" t="s">
        <v>84</v>
      </c>
      <c r="E879" s="62" t="s">
        <v>85</v>
      </c>
      <c r="F879" s="62" t="s">
        <v>96</v>
      </c>
      <c r="G879" s="56">
        <v>43292</v>
      </c>
      <c r="H879" s="62">
        <v>5</v>
      </c>
      <c r="I879" s="62">
        <v>29364</v>
      </c>
      <c r="J879" s="62">
        <v>80000000</v>
      </c>
      <c r="P879" s="63">
        <f t="shared" si="21"/>
        <v>120</v>
      </c>
      <c r="Q879" s="64">
        <f t="shared" si="22"/>
        <v>122.35</v>
      </c>
      <c r="R879" s="64">
        <f t="shared" si="23"/>
        <v>19.073486328125</v>
      </c>
      <c r="S879" s="64">
        <f t="shared" si="24"/>
        <v>24</v>
      </c>
      <c r="T879" s="64">
        <f t="shared" si="25"/>
        <v>28.548333333333332</v>
      </c>
      <c r="U879" s="64" t="str">
        <f t="shared" si="26"/>
        <v>&lt;35</v>
      </c>
      <c r="V879" s="64" t="str">
        <f t="shared" si="27"/>
        <v>10-20 Гб</v>
      </c>
    </row>
    <row r="880" spans="1:22" ht="15.75" customHeight="1" x14ac:dyDescent="0.25">
      <c r="A880" s="62" t="s">
        <v>971</v>
      </c>
      <c r="B880" s="56">
        <v>35767</v>
      </c>
      <c r="C880" s="62" t="s">
        <v>83</v>
      </c>
      <c r="D880" s="62" t="s">
        <v>84</v>
      </c>
      <c r="E880" s="62" t="s">
        <v>85</v>
      </c>
      <c r="F880" s="62" t="s">
        <v>89</v>
      </c>
      <c r="G880" s="56">
        <v>43653</v>
      </c>
      <c r="H880" s="62">
        <v>5</v>
      </c>
      <c r="I880" s="62">
        <v>24600</v>
      </c>
      <c r="J880" s="62">
        <v>44000000</v>
      </c>
      <c r="P880" s="63">
        <f t="shared" si="21"/>
        <v>120</v>
      </c>
      <c r="Q880" s="64">
        <f t="shared" si="22"/>
        <v>102.5</v>
      </c>
      <c r="R880" s="64">
        <f t="shared" si="23"/>
        <v>10.49041748046875</v>
      </c>
      <c r="S880" s="64">
        <f t="shared" si="24"/>
        <v>24</v>
      </c>
      <c r="T880" s="64">
        <f t="shared" si="25"/>
        <v>23.916666666666668</v>
      </c>
      <c r="U880" s="64" t="str">
        <f t="shared" si="26"/>
        <v>&lt;35</v>
      </c>
      <c r="V880" s="64" t="str">
        <f t="shared" si="27"/>
        <v>10-20 Гб</v>
      </c>
    </row>
    <row r="881" spans="1:22" ht="15.75" customHeight="1" x14ac:dyDescent="0.25">
      <c r="A881" s="62" t="s">
        <v>972</v>
      </c>
      <c r="B881" s="56">
        <v>35766</v>
      </c>
      <c r="C881" s="62" t="s">
        <v>83</v>
      </c>
      <c r="D881" s="62" t="s">
        <v>84</v>
      </c>
      <c r="E881" s="62" t="s">
        <v>85</v>
      </c>
      <c r="F881" s="62" t="s">
        <v>96</v>
      </c>
      <c r="G881" s="56">
        <v>44634</v>
      </c>
      <c r="H881" s="62">
        <v>1</v>
      </c>
      <c r="I881" s="62">
        <v>15389</v>
      </c>
      <c r="J881" s="62">
        <v>40000000</v>
      </c>
      <c r="K881" s="62">
        <v>1</v>
      </c>
      <c r="P881" s="63">
        <f t="shared" si="21"/>
        <v>48</v>
      </c>
      <c r="Q881" s="64">
        <f t="shared" si="22"/>
        <v>160.30208333333334</v>
      </c>
      <c r="R881" s="64">
        <f t="shared" si="23"/>
        <v>23.84185791015625</v>
      </c>
      <c r="S881" s="64">
        <f t="shared" si="24"/>
        <v>24</v>
      </c>
      <c r="T881" s="64">
        <f t="shared" si="25"/>
        <v>37.403819444444451</v>
      </c>
      <c r="U881" s="64" t="str">
        <f t="shared" si="26"/>
        <v>35-60</v>
      </c>
      <c r="V881" s="64" t="str">
        <f t="shared" si="27"/>
        <v>21-30 Гб</v>
      </c>
    </row>
    <row r="882" spans="1:22" ht="15.75" customHeight="1" x14ac:dyDescent="0.25">
      <c r="A882" s="62" t="s">
        <v>973</v>
      </c>
      <c r="B882" s="56">
        <v>35764</v>
      </c>
      <c r="C882" s="62" t="s">
        <v>83</v>
      </c>
      <c r="D882" s="62" t="s">
        <v>84</v>
      </c>
      <c r="E882" s="62" t="s">
        <v>85</v>
      </c>
      <c r="F882" s="62" t="s">
        <v>100</v>
      </c>
      <c r="G882" s="56">
        <v>43741</v>
      </c>
      <c r="H882" s="62">
        <v>5</v>
      </c>
      <c r="I882" s="62">
        <v>105824</v>
      </c>
      <c r="J882" s="62">
        <v>124000000</v>
      </c>
      <c r="P882" s="63">
        <f t="shared" si="21"/>
        <v>120</v>
      </c>
      <c r="Q882" s="64">
        <f t="shared" si="22"/>
        <v>440.93333333333334</v>
      </c>
      <c r="R882" s="64">
        <f t="shared" si="23"/>
        <v>29.56390380859375</v>
      </c>
      <c r="S882" s="64">
        <f t="shared" si="24"/>
        <v>24</v>
      </c>
      <c r="T882" s="64">
        <f t="shared" si="25"/>
        <v>102.88444444444444</v>
      </c>
      <c r="U882" s="64" t="str">
        <f t="shared" si="26"/>
        <v>91-120</v>
      </c>
      <c r="V882" s="64" t="str">
        <f t="shared" si="27"/>
        <v>21-30 Гб</v>
      </c>
    </row>
    <row r="883" spans="1:22" ht="15.75" customHeight="1" x14ac:dyDescent="0.25">
      <c r="A883" s="62" t="s">
        <v>974</v>
      </c>
      <c r="B883" s="56">
        <v>35764</v>
      </c>
      <c r="C883" s="62" t="s">
        <v>83</v>
      </c>
      <c r="D883" s="62" t="s">
        <v>84</v>
      </c>
      <c r="E883" s="62" t="s">
        <v>85</v>
      </c>
      <c r="F883" s="62" t="s">
        <v>96</v>
      </c>
      <c r="G883" s="56">
        <v>44206</v>
      </c>
      <c r="H883" s="62">
        <v>5</v>
      </c>
      <c r="I883" s="62">
        <v>67900</v>
      </c>
      <c r="J883" s="62">
        <v>48000000</v>
      </c>
      <c r="P883" s="63">
        <f t="shared" si="21"/>
        <v>120</v>
      </c>
      <c r="Q883" s="64">
        <f t="shared" si="22"/>
        <v>282.91666666666669</v>
      </c>
      <c r="R883" s="64">
        <f t="shared" si="23"/>
        <v>11.444091796875</v>
      </c>
      <c r="S883" s="64">
        <f t="shared" si="24"/>
        <v>24</v>
      </c>
      <c r="T883" s="64">
        <f t="shared" si="25"/>
        <v>66.013888888888886</v>
      </c>
      <c r="U883" s="64" t="str">
        <f t="shared" si="26"/>
        <v>61-90</v>
      </c>
      <c r="V883" s="64" t="str">
        <f t="shared" si="27"/>
        <v>10-20 Гб</v>
      </c>
    </row>
    <row r="884" spans="1:22" ht="15.75" customHeight="1" x14ac:dyDescent="0.25">
      <c r="A884" s="62" t="s">
        <v>975</v>
      </c>
      <c r="B884" s="56">
        <v>35764</v>
      </c>
      <c r="C884" s="62" t="s">
        <v>83</v>
      </c>
      <c r="D884" s="62" t="s">
        <v>84</v>
      </c>
      <c r="E884" s="62" t="s">
        <v>92</v>
      </c>
      <c r="F884" s="62" t="s">
        <v>89</v>
      </c>
      <c r="G884" s="56">
        <v>43556</v>
      </c>
      <c r="H884" s="62">
        <v>5</v>
      </c>
      <c r="I884" s="62">
        <v>35404</v>
      </c>
      <c r="J884" s="62">
        <v>160000000</v>
      </c>
      <c r="K884" s="62">
        <v>1</v>
      </c>
      <c r="L884" s="62">
        <v>1</v>
      </c>
      <c r="P884" s="63">
        <f t="shared" si="21"/>
        <v>120</v>
      </c>
      <c r="Q884" s="64">
        <f t="shared" si="22"/>
        <v>147.51666666666668</v>
      </c>
      <c r="R884" s="64">
        <f t="shared" si="23"/>
        <v>38.14697265625</v>
      </c>
      <c r="S884" s="64">
        <f t="shared" si="24"/>
        <v>24</v>
      </c>
      <c r="T884" s="64">
        <f t="shared" si="25"/>
        <v>34.420555555555559</v>
      </c>
      <c r="U884" s="64" t="str">
        <f t="shared" si="26"/>
        <v>&lt;35</v>
      </c>
      <c r="V884" s="64" t="str">
        <f t="shared" si="27"/>
        <v>31-40 Гб</v>
      </c>
    </row>
    <row r="885" spans="1:22" ht="15.75" customHeight="1" x14ac:dyDescent="0.25">
      <c r="A885" s="62" t="s">
        <v>976</v>
      </c>
      <c r="B885" s="56">
        <v>35759</v>
      </c>
      <c r="C885" s="62" t="s">
        <v>83</v>
      </c>
      <c r="D885" s="62" t="s">
        <v>84</v>
      </c>
      <c r="E885" s="62" t="s">
        <v>92</v>
      </c>
      <c r="F885" s="62" t="s">
        <v>96</v>
      </c>
      <c r="G885" s="56">
        <v>44678</v>
      </c>
      <c r="H885" s="62">
        <v>0</v>
      </c>
      <c r="I885" s="62">
        <v>3041</v>
      </c>
      <c r="J885" s="62">
        <v>3200000</v>
      </c>
      <c r="P885" s="63">
        <f t="shared" si="21"/>
        <v>4</v>
      </c>
      <c r="Q885" s="64">
        <f t="shared" si="22"/>
        <v>380.125</v>
      </c>
      <c r="R885" s="64">
        <f t="shared" si="23"/>
        <v>22.88818359375</v>
      </c>
      <c r="S885" s="64">
        <f t="shared" si="24"/>
        <v>24</v>
      </c>
      <c r="T885" s="64">
        <f t="shared" si="25"/>
        <v>88.69583333333334</v>
      </c>
      <c r="U885" s="64" t="str">
        <f t="shared" si="26"/>
        <v>61-90</v>
      </c>
      <c r="V885" s="64" t="str">
        <f t="shared" si="27"/>
        <v>21-30 Гб</v>
      </c>
    </row>
    <row r="886" spans="1:22" ht="15.75" customHeight="1" x14ac:dyDescent="0.25">
      <c r="A886" s="62" t="s">
        <v>977</v>
      </c>
      <c r="B886" s="56">
        <v>35759</v>
      </c>
      <c r="C886" s="62" t="s">
        <v>83</v>
      </c>
      <c r="D886" s="62" t="s">
        <v>84</v>
      </c>
      <c r="E886" s="62" t="s">
        <v>85</v>
      </c>
      <c r="F886" s="62" t="s">
        <v>89</v>
      </c>
      <c r="G886" s="56">
        <v>43165</v>
      </c>
      <c r="H886" s="62">
        <v>5</v>
      </c>
      <c r="I886" s="62">
        <v>9356</v>
      </c>
      <c r="J886" s="62">
        <v>152000000</v>
      </c>
      <c r="P886" s="63">
        <f t="shared" si="21"/>
        <v>120</v>
      </c>
      <c r="Q886" s="64">
        <f t="shared" si="22"/>
        <v>38.983333333333334</v>
      </c>
      <c r="R886" s="64">
        <f t="shared" si="23"/>
        <v>36.2396240234375</v>
      </c>
      <c r="S886" s="64">
        <f t="shared" si="24"/>
        <v>24</v>
      </c>
      <c r="T886" s="64">
        <f t="shared" si="25"/>
        <v>9.0961111111111101</v>
      </c>
      <c r="U886" s="64" t="str">
        <f t="shared" si="26"/>
        <v>&lt;35</v>
      </c>
      <c r="V886" s="64" t="str">
        <f t="shared" si="27"/>
        <v>31-40 Гб</v>
      </c>
    </row>
    <row r="887" spans="1:22" ht="15.75" customHeight="1" x14ac:dyDescent="0.25">
      <c r="A887" s="62" t="s">
        <v>978</v>
      </c>
      <c r="B887" s="56">
        <v>35758</v>
      </c>
      <c r="C887" s="62" t="s">
        <v>88</v>
      </c>
      <c r="D887" s="62" t="s">
        <v>84</v>
      </c>
      <c r="E887" s="62" t="s">
        <v>85</v>
      </c>
      <c r="F887" s="62" t="s">
        <v>100</v>
      </c>
      <c r="G887" s="56">
        <v>43846</v>
      </c>
      <c r="H887" s="62">
        <v>5</v>
      </c>
      <c r="I887" s="62">
        <v>72712</v>
      </c>
      <c r="J887" s="62">
        <v>116000000</v>
      </c>
      <c r="P887" s="63">
        <f t="shared" si="21"/>
        <v>120</v>
      </c>
      <c r="Q887" s="64">
        <f t="shared" si="22"/>
        <v>302.96666666666664</v>
      </c>
      <c r="R887" s="64">
        <f t="shared" si="23"/>
        <v>27.65655517578125</v>
      </c>
      <c r="S887" s="64">
        <f t="shared" si="24"/>
        <v>24</v>
      </c>
      <c r="T887" s="64">
        <f t="shared" si="25"/>
        <v>70.692222222222213</v>
      </c>
      <c r="U887" s="64" t="str">
        <f t="shared" si="26"/>
        <v>61-90</v>
      </c>
      <c r="V887" s="64" t="str">
        <f t="shared" si="27"/>
        <v>21-30 Гб</v>
      </c>
    </row>
    <row r="888" spans="1:22" ht="15.75" customHeight="1" x14ac:dyDescent="0.25">
      <c r="A888" s="62" t="s">
        <v>979</v>
      </c>
      <c r="B888" s="56">
        <v>35758</v>
      </c>
      <c r="C888" s="62" t="s">
        <v>83</v>
      </c>
      <c r="D888" s="62" t="s">
        <v>84</v>
      </c>
      <c r="E888" s="62" t="s">
        <v>85</v>
      </c>
      <c r="F888" s="62" t="s">
        <v>96</v>
      </c>
      <c r="G888" s="56">
        <v>43208</v>
      </c>
      <c r="H888" s="62">
        <v>5</v>
      </c>
      <c r="I888" s="62">
        <v>9368</v>
      </c>
      <c r="J888" s="62">
        <v>32000000</v>
      </c>
      <c r="K888" s="62">
        <v>1</v>
      </c>
      <c r="O888" s="62">
        <v>1</v>
      </c>
      <c r="P888" s="63">
        <f t="shared" si="21"/>
        <v>120</v>
      </c>
      <c r="Q888" s="64">
        <f t="shared" si="22"/>
        <v>39.033333333333331</v>
      </c>
      <c r="R888" s="64">
        <f t="shared" si="23"/>
        <v>7.6293945312500009</v>
      </c>
      <c r="S888" s="64">
        <f t="shared" si="24"/>
        <v>24</v>
      </c>
      <c r="T888" s="64">
        <f t="shared" si="25"/>
        <v>9.1077777777777786</v>
      </c>
      <c r="U888" s="64" t="str">
        <f t="shared" si="26"/>
        <v>&lt;35</v>
      </c>
      <c r="V888" s="64" t="str">
        <f t="shared" si="27"/>
        <v>&lt;10 Гб</v>
      </c>
    </row>
    <row r="889" spans="1:22" ht="15.75" customHeight="1" x14ac:dyDescent="0.25">
      <c r="A889" s="62" t="s">
        <v>980</v>
      </c>
      <c r="B889" s="56">
        <v>35756</v>
      </c>
      <c r="C889" s="62" t="s">
        <v>83</v>
      </c>
      <c r="D889" s="62" t="s">
        <v>84</v>
      </c>
      <c r="E889" s="62" t="s">
        <v>92</v>
      </c>
      <c r="F889" s="62" t="s">
        <v>89</v>
      </c>
      <c r="G889" s="56">
        <v>44210</v>
      </c>
      <c r="H889" s="62">
        <v>5</v>
      </c>
      <c r="I889" s="62">
        <v>1532</v>
      </c>
      <c r="J889" s="62">
        <v>124000000</v>
      </c>
      <c r="M889" s="62">
        <v>1</v>
      </c>
      <c r="P889" s="63">
        <f t="shared" si="21"/>
        <v>120</v>
      </c>
      <c r="Q889" s="64">
        <f t="shared" si="22"/>
        <v>6.3833333333333337</v>
      </c>
      <c r="R889" s="64">
        <f t="shared" si="23"/>
        <v>29.56390380859375</v>
      </c>
      <c r="S889" s="64">
        <f t="shared" si="24"/>
        <v>24</v>
      </c>
      <c r="T889" s="64">
        <f t="shared" si="25"/>
        <v>1.4894444444444446</v>
      </c>
      <c r="U889" s="64" t="str">
        <f t="shared" si="26"/>
        <v>&lt;35</v>
      </c>
      <c r="V889" s="64" t="str">
        <f t="shared" si="27"/>
        <v>21-30 Гб</v>
      </c>
    </row>
    <row r="890" spans="1:22" ht="15.75" customHeight="1" x14ac:dyDescent="0.25">
      <c r="A890" s="62" t="s">
        <v>981</v>
      </c>
      <c r="B890" s="56">
        <v>35754</v>
      </c>
      <c r="C890" s="62" t="s">
        <v>88</v>
      </c>
      <c r="D890" s="62" t="s">
        <v>84</v>
      </c>
      <c r="E890" s="62" t="s">
        <v>92</v>
      </c>
      <c r="F890" s="62" t="s">
        <v>89</v>
      </c>
      <c r="G890" s="56">
        <v>43405</v>
      </c>
      <c r="H890" s="62">
        <v>5</v>
      </c>
      <c r="I890" s="62">
        <v>27236</v>
      </c>
      <c r="J890" s="62">
        <v>140000000</v>
      </c>
      <c r="P890" s="63">
        <f t="shared" si="21"/>
        <v>120</v>
      </c>
      <c r="Q890" s="64">
        <f t="shared" si="22"/>
        <v>113.48333333333333</v>
      </c>
      <c r="R890" s="64">
        <f t="shared" si="23"/>
        <v>33.37860107421875</v>
      </c>
      <c r="S890" s="64">
        <f t="shared" si="24"/>
        <v>24</v>
      </c>
      <c r="T890" s="64">
        <f t="shared" si="25"/>
        <v>26.479444444444443</v>
      </c>
      <c r="U890" s="64" t="str">
        <f t="shared" si="26"/>
        <v>&lt;35</v>
      </c>
      <c r="V890" s="64" t="str">
        <f t="shared" si="27"/>
        <v>31-40 Гб</v>
      </c>
    </row>
    <row r="891" spans="1:22" ht="15.75" customHeight="1" x14ac:dyDescent="0.25">
      <c r="A891" s="62" t="s">
        <v>982</v>
      </c>
      <c r="B891" s="56">
        <v>35753</v>
      </c>
      <c r="C891" s="62" t="s">
        <v>88</v>
      </c>
      <c r="D891" s="62" t="s">
        <v>84</v>
      </c>
      <c r="E891" s="62" t="s">
        <v>85</v>
      </c>
      <c r="F891" s="62" t="s">
        <v>89</v>
      </c>
      <c r="G891" s="56">
        <v>43095</v>
      </c>
      <c r="H891" s="62">
        <v>5</v>
      </c>
      <c r="I891" s="62">
        <v>4492</v>
      </c>
      <c r="J891" s="62">
        <v>144000000</v>
      </c>
      <c r="K891" s="62">
        <v>1</v>
      </c>
      <c r="P891" s="63">
        <f t="shared" si="21"/>
        <v>120</v>
      </c>
      <c r="Q891" s="64">
        <f t="shared" si="22"/>
        <v>18.716666666666665</v>
      </c>
      <c r="R891" s="64">
        <f t="shared" si="23"/>
        <v>34.332275390625</v>
      </c>
      <c r="S891" s="64">
        <f t="shared" si="24"/>
        <v>24</v>
      </c>
      <c r="T891" s="64">
        <f t="shared" si="25"/>
        <v>4.3672222222222219</v>
      </c>
      <c r="U891" s="64" t="str">
        <f t="shared" si="26"/>
        <v>&lt;35</v>
      </c>
      <c r="V891" s="64" t="str">
        <f t="shared" si="27"/>
        <v>31-40 Гб</v>
      </c>
    </row>
    <row r="892" spans="1:22" ht="15.75" customHeight="1" x14ac:dyDescent="0.25">
      <c r="A892" s="62" t="s">
        <v>983</v>
      </c>
      <c r="B892" s="56">
        <v>35751</v>
      </c>
      <c r="C892" s="62" t="s">
        <v>83</v>
      </c>
      <c r="D892" s="62" t="s">
        <v>84</v>
      </c>
      <c r="E892" s="62" t="s">
        <v>85</v>
      </c>
      <c r="F892" s="62" t="s">
        <v>89</v>
      </c>
      <c r="G892" s="56">
        <v>43937</v>
      </c>
      <c r="H892" s="62">
        <v>5</v>
      </c>
      <c r="I892" s="62">
        <v>35732</v>
      </c>
      <c r="J892" s="62">
        <v>152000000</v>
      </c>
      <c r="O892" s="62">
        <v>1</v>
      </c>
      <c r="P892" s="63">
        <f t="shared" si="21"/>
        <v>120</v>
      </c>
      <c r="Q892" s="64">
        <f t="shared" si="22"/>
        <v>148.88333333333333</v>
      </c>
      <c r="R892" s="64">
        <f t="shared" si="23"/>
        <v>36.2396240234375</v>
      </c>
      <c r="S892" s="64">
        <f t="shared" si="24"/>
        <v>24</v>
      </c>
      <c r="T892" s="64">
        <f t="shared" si="25"/>
        <v>34.739444444444445</v>
      </c>
      <c r="U892" s="64" t="str">
        <f t="shared" si="26"/>
        <v>&lt;35</v>
      </c>
      <c r="V892" s="64" t="str">
        <f t="shared" si="27"/>
        <v>31-40 Гб</v>
      </c>
    </row>
    <row r="893" spans="1:22" ht="15.75" customHeight="1" x14ac:dyDescent="0.25">
      <c r="A893" s="62" t="s">
        <v>984</v>
      </c>
      <c r="B893" s="56">
        <v>35749</v>
      </c>
      <c r="C893" s="62" t="s">
        <v>88</v>
      </c>
      <c r="D893" s="62" t="s">
        <v>84</v>
      </c>
      <c r="E893" s="62" t="s">
        <v>92</v>
      </c>
      <c r="F893" s="62" t="s">
        <v>96</v>
      </c>
      <c r="G893" s="56">
        <v>42902</v>
      </c>
      <c r="H893" s="62">
        <v>5</v>
      </c>
      <c r="I893" s="62">
        <v>29468</v>
      </c>
      <c r="J893" s="62">
        <v>116000000</v>
      </c>
      <c r="K893" s="62">
        <v>1</v>
      </c>
      <c r="P893" s="63">
        <f t="shared" si="21"/>
        <v>120</v>
      </c>
      <c r="Q893" s="64">
        <f t="shared" si="22"/>
        <v>122.78333333333335</v>
      </c>
      <c r="R893" s="64">
        <f t="shared" si="23"/>
        <v>27.65655517578125</v>
      </c>
      <c r="S893" s="64">
        <f t="shared" si="24"/>
        <v>24</v>
      </c>
      <c r="T893" s="64">
        <f t="shared" si="25"/>
        <v>28.649444444444448</v>
      </c>
      <c r="U893" s="64" t="str">
        <f t="shared" si="26"/>
        <v>&lt;35</v>
      </c>
      <c r="V893" s="64" t="str">
        <f t="shared" si="27"/>
        <v>21-30 Гб</v>
      </c>
    </row>
    <row r="894" spans="1:22" ht="15.75" customHeight="1" x14ac:dyDescent="0.25">
      <c r="A894" s="62" t="s">
        <v>985</v>
      </c>
      <c r="B894" s="56">
        <v>35748</v>
      </c>
      <c r="C894" s="62" t="s">
        <v>83</v>
      </c>
      <c r="D894" s="62" t="s">
        <v>84</v>
      </c>
      <c r="E894" s="62" t="s">
        <v>85</v>
      </c>
      <c r="F894" s="62" t="s">
        <v>89</v>
      </c>
      <c r="G894" s="56">
        <v>42766</v>
      </c>
      <c r="H894" s="62">
        <v>5</v>
      </c>
      <c r="I894" s="62">
        <v>18304</v>
      </c>
      <c r="J894" s="62">
        <v>108000000</v>
      </c>
      <c r="K894" s="62">
        <v>1</v>
      </c>
      <c r="P894" s="63">
        <f t="shared" si="21"/>
        <v>120</v>
      </c>
      <c r="Q894" s="64">
        <f t="shared" si="22"/>
        <v>76.266666666666666</v>
      </c>
      <c r="R894" s="64">
        <f t="shared" si="23"/>
        <v>25.74920654296875</v>
      </c>
      <c r="S894" s="64">
        <f t="shared" si="24"/>
        <v>24</v>
      </c>
      <c r="T894" s="64">
        <f t="shared" si="25"/>
        <v>17.795555555555556</v>
      </c>
      <c r="U894" s="64" t="str">
        <f t="shared" si="26"/>
        <v>&lt;35</v>
      </c>
      <c r="V894" s="64" t="str">
        <f t="shared" si="27"/>
        <v>21-30 Гб</v>
      </c>
    </row>
    <row r="895" spans="1:22" ht="15.75" customHeight="1" x14ac:dyDescent="0.25">
      <c r="A895" s="62" t="s">
        <v>986</v>
      </c>
      <c r="B895" s="56">
        <v>35747</v>
      </c>
      <c r="C895" s="62" t="s">
        <v>83</v>
      </c>
      <c r="D895" s="62" t="s">
        <v>84</v>
      </c>
      <c r="E895" s="62" t="s">
        <v>85</v>
      </c>
      <c r="F895" s="62" t="s">
        <v>96</v>
      </c>
      <c r="G895" s="56">
        <v>44166</v>
      </c>
      <c r="H895" s="62">
        <v>5</v>
      </c>
      <c r="I895" s="62">
        <v>37436</v>
      </c>
      <c r="J895" s="62">
        <v>104000000</v>
      </c>
      <c r="P895" s="63">
        <f t="shared" si="21"/>
        <v>120</v>
      </c>
      <c r="Q895" s="64">
        <f t="shared" si="22"/>
        <v>155.98333333333332</v>
      </c>
      <c r="R895" s="64">
        <f t="shared" si="23"/>
        <v>24.7955322265625</v>
      </c>
      <c r="S895" s="64">
        <f t="shared" si="24"/>
        <v>24</v>
      </c>
      <c r="T895" s="64">
        <f t="shared" si="25"/>
        <v>36.396111111111104</v>
      </c>
      <c r="U895" s="64" t="str">
        <f t="shared" si="26"/>
        <v>35-60</v>
      </c>
      <c r="V895" s="64" t="str">
        <f t="shared" si="27"/>
        <v>21-30 Гб</v>
      </c>
    </row>
    <row r="896" spans="1:22" ht="15.75" customHeight="1" x14ac:dyDescent="0.25">
      <c r="A896" s="62" t="s">
        <v>987</v>
      </c>
      <c r="B896" s="56">
        <v>35744</v>
      </c>
      <c r="C896" s="62" t="s">
        <v>83</v>
      </c>
      <c r="D896" s="62" t="s">
        <v>84</v>
      </c>
      <c r="E896" s="62" t="s">
        <v>92</v>
      </c>
      <c r="F896" s="62" t="s">
        <v>100</v>
      </c>
      <c r="G896" s="56">
        <v>43365</v>
      </c>
      <c r="H896" s="62">
        <v>5</v>
      </c>
      <c r="I896" s="62">
        <v>18428</v>
      </c>
      <c r="J896" s="62">
        <v>56000000</v>
      </c>
      <c r="P896" s="63">
        <f t="shared" si="21"/>
        <v>120</v>
      </c>
      <c r="Q896" s="64">
        <f t="shared" si="22"/>
        <v>76.783333333333331</v>
      </c>
      <c r="R896" s="64">
        <f t="shared" si="23"/>
        <v>13.3514404296875</v>
      </c>
      <c r="S896" s="64">
        <f t="shared" si="24"/>
        <v>24</v>
      </c>
      <c r="T896" s="64">
        <f t="shared" si="25"/>
        <v>17.91611111111111</v>
      </c>
      <c r="U896" s="64" t="str">
        <f t="shared" si="26"/>
        <v>&lt;35</v>
      </c>
      <c r="V896" s="64" t="str">
        <f t="shared" si="27"/>
        <v>10-20 Гб</v>
      </c>
    </row>
    <row r="897" spans="1:22" ht="15.75" customHeight="1" x14ac:dyDescent="0.25">
      <c r="A897" s="62" t="s">
        <v>988</v>
      </c>
      <c r="B897" s="56">
        <v>35741</v>
      </c>
      <c r="C897" s="62" t="s">
        <v>88</v>
      </c>
      <c r="D897" s="62" t="s">
        <v>84</v>
      </c>
      <c r="E897" s="62" t="s">
        <v>92</v>
      </c>
      <c r="F897" s="62" t="s">
        <v>96</v>
      </c>
      <c r="G897" s="56">
        <v>44271</v>
      </c>
      <c r="H897" s="62">
        <v>5</v>
      </c>
      <c r="I897" s="62">
        <v>48240</v>
      </c>
      <c r="J897" s="62">
        <v>0</v>
      </c>
      <c r="P897" s="63">
        <f t="shared" si="21"/>
        <v>120</v>
      </c>
      <c r="Q897" s="64">
        <f t="shared" si="22"/>
        <v>201</v>
      </c>
      <c r="R897" s="64">
        <f t="shared" si="23"/>
        <v>0</v>
      </c>
      <c r="S897" s="64">
        <f t="shared" si="24"/>
        <v>24</v>
      </c>
      <c r="T897" s="64">
        <f t="shared" si="25"/>
        <v>46.9</v>
      </c>
      <c r="U897" s="64" t="str">
        <f t="shared" si="26"/>
        <v>35-60</v>
      </c>
      <c r="V897" s="64" t="str">
        <f t="shared" si="27"/>
        <v>&lt;10 Гб</v>
      </c>
    </row>
    <row r="898" spans="1:22" ht="15.75" customHeight="1" x14ac:dyDescent="0.25">
      <c r="A898" s="62" t="s">
        <v>989</v>
      </c>
      <c r="B898" s="56">
        <v>35738</v>
      </c>
      <c r="C898" s="62" t="s">
        <v>88</v>
      </c>
      <c r="D898" s="62" t="s">
        <v>84</v>
      </c>
      <c r="E898" s="62" t="s">
        <v>92</v>
      </c>
      <c r="F898" s="62" t="s">
        <v>100</v>
      </c>
      <c r="G898" s="56">
        <v>44364</v>
      </c>
      <c r="H898" s="62">
        <v>5</v>
      </c>
      <c r="I898" s="62">
        <v>77804</v>
      </c>
      <c r="J898" s="62">
        <v>136000000</v>
      </c>
      <c r="P898" s="63">
        <f t="shared" si="21"/>
        <v>120</v>
      </c>
      <c r="Q898" s="64">
        <f t="shared" si="22"/>
        <v>324.18333333333334</v>
      </c>
      <c r="R898" s="64">
        <f t="shared" si="23"/>
        <v>32.4249267578125</v>
      </c>
      <c r="S898" s="64">
        <f t="shared" si="24"/>
        <v>24</v>
      </c>
      <c r="T898" s="64">
        <f t="shared" si="25"/>
        <v>75.642777777777781</v>
      </c>
      <c r="U898" s="64" t="str">
        <f t="shared" si="26"/>
        <v>61-90</v>
      </c>
      <c r="V898" s="64" t="str">
        <f t="shared" si="27"/>
        <v>31-40 Гб</v>
      </c>
    </row>
    <row r="899" spans="1:22" ht="15.75" customHeight="1" x14ac:dyDescent="0.25">
      <c r="A899" s="62" t="s">
        <v>990</v>
      </c>
      <c r="B899" s="56">
        <v>35737</v>
      </c>
      <c r="C899" s="62" t="s">
        <v>83</v>
      </c>
      <c r="D899" s="62" t="s">
        <v>84</v>
      </c>
      <c r="E899" s="62" t="s">
        <v>92</v>
      </c>
      <c r="F899" s="62" t="s">
        <v>96</v>
      </c>
      <c r="G899" s="56">
        <v>43540</v>
      </c>
      <c r="H899" s="62">
        <v>5</v>
      </c>
      <c r="I899" s="62">
        <v>45748</v>
      </c>
      <c r="J899" s="62">
        <v>120000000</v>
      </c>
      <c r="P899" s="63">
        <f t="shared" si="21"/>
        <v>120</v>
      </c>
      <c r="Q899" s="64">
        <f t="shared" si="22"/>
        <v>190.61666666666667</v>
      </c>
      <c r="R899" s="64">
        <f t="shared" si="23"/>
        <v>28.6102294921875</v>
      </c>
      <c r="S899" s="64">
        <f t="shared" si="24"/>
        <v>24</v>
      </c>
      <c r="T899" s="64">
        <f t="shared" si="25"/>
        <v>44.477222222222217</v>
      </c>
      <c r="U899" s="64" t="str">
        <f t="shared" si="26"/>
        <v>35-60</v>
      </c>
      <c r="V899" s="64" t="str">
        <f t="shared" si="27"/>
        <v>21-30 Гб</v>
      </c>
    </row>
    <row r="900" spans="1:22" ht="15.75" customHeight="1" x14ac:dyDescent="0.25">
      <c r="A900" s="62" t="s">
        <v>991</v>
      </c>
      <c r="B900" s="56">
        <v>35737</v>
      </c>
      <c r="C900" s="62" t="s">
        <v>83</v>
      </c>
      <c r="D900" s="62" t="s">
        <v>84</v>
      </c>
      <c r="E900" s="62" t="s">
        <v>92</v>
      </c>
      <c r="F900" s="62" t="s">
        <v>96</v>
      </c>
      <c r="G900" s="56">
        <v>42999</v>
      </c>
      <c r="H900" s="62">
        <v>5</v>
      </c>
      <c r="I900" s="62">
        <v>47700</v>
      </c>
      <c r="J900" s="62">
        <v>92000000</v>
      </c>
      <c r="K900" s="62">
        <v>1</v>
      </c>
      <c r="P900" s="63">
        <f t="shared" si="21"/>
        <v>120</v>
      </c>
      <c r="Q900" s="64">
        <f t="shared" si="22"/>
        <v>198.75</v>
      </c>
      <c r="R900" s="64">
        <f t="shared" si="23"/>
        <v>21.93450927734375</v>
      </c>
      <c r="S900" s="64">
        <f t="shared" si="24"/>
        <v>24</v>
      </c>
      <c r="T900" s="64">
        <f t="shared" si="25"/>
        <v>46.375</v>
      </c>
      <c r="U900" s="64" t="str">
        <f t="shared" si="26"/>
        <v>35-60</v>
      </c>
      <c r="V900" s="64" t="str">
        <f t="shared" si="27"/>
        <v>21-30 Гб</v>
      </c>
    </row>
    <row r="901" spans="1:22" ht="15.75" customHeight="1" x14ac:dyDescent="0.25">
      <c r="A901" s="62" t="s">
        <v>992</v>
      </c>
      <c r="B901" s="56">
        <v>35736</v>
      </c>
      <c r="C901" s="62" t="s">
        <v>88</v>
      </c>
      <c r="D901" s="62" t="s">
        <v>84</v>
      </c>
      <c r="E901" s="62" t="s">
        <v>85</v>
      </c>
      <c r="F901" s="62" t="s">
        <v>96</v>
      </c>
      <c r="G901" s="56">
        <v>44453</v>
      </c>
      <c r="H901" s="62">
        <v>5</v>
      </c>
      <c r="I901" s="62">
        <v>54460</v>
      </c>
      <c r="J901" s="62">
        <v>104000000</v>
      </c>
      <c r="N901" s="62">
        <v>1</v>
      </c>
      <c r="P901" s="63">
        <f t="shared" si="21"/>
        <v>120</v>
      </c>
      <c r="Q901" s="64">
        <f t="shared" si="22"/>
        <v>226.91666666666666</v>
      </c>
      <c r="R901" s="64">
        <f t="shared" si="23"/>
        <v>24.7955322265625</v>
      </c>
      <c r="S901" s="64">
        <f t="shared" si="24"/>
        <v>24</v>
      </c>
      <c r="T901" s="64">
        <f t="shared" si="25"/>
        <v>52.947222222222216</v>
      </c>
      <c r="U901" s="64" t="str">
        <f t="shared" si="26"/>
        <v>35-60</v>
      </c>
      <c r="V901" s="64" t="str">
        <f t="shared" si="27"/>
        <v>21-30 Гб</v>
      </c>
    </row>
    <row r="902" spans="1:22" ht="15.75" customHeight="1" x14ac:dyDescent="0.25">
      <c r="A902" s="62" t="s">
        <v>993</v>
      </c>
      <c r="B902" s="56">
        <v>35734</v>
      </c>
      <c r="C902" s="62" t="s">
        <v>88</v>
      </c>
      <c r="D902" s="62" t="s">
        <v>84</v>
      </c>
      <c r="E902" s="62" t="s">
        <v>85</v>
      </c>
      <c r="F902" s="62" t="s">
        <v>96</v>
      </c>
      <c r="G902" s="56">
        <v>43346</v>
      </c>
      <c r="H902" s="62">
        <v>5</v>
      </c>
      <c r="I902" s="62">
        <v>90208</v>
      </c>
      <c r="J902" s="62">
        <v>56000000</v>
      </c>
      <c r="K902" s="62">
        <v>1</v>
      </c>
      <c r="P902" s="63">
        <f t="shared" si="21"/>
        <v>120</v>
      </c>
      <c r="Q902" s="64">
        <f t="shared" si="22"/>
        <v>375.86666666666667</v>
      </c>
      <c r="R902" s="64">
        <f t="shared" si="23"/>
        <v>13.3514404296875</v>
      </c>
      <c r="S902" s="64">
        <f t="shared" si="24"/>
        <v>24</v>
      </c>
      <c r="T902" s="64">
        <f t="shared" si="25"/>
        <v>87.702222222222218</v>
      </c>
      <c r="U902" s="64" t="str">
        <f t="shared" si="26"/>
        <v>61-90</v>
      </c>
      <c r="V902" s="64" t="str">
        <f t="shared" si="27"/>
        <v>10-20 Гб</v>
      </c>
    </row>
    <row r="903" spans="1:22" ht="15.75" customHeight="1" x14ac:dyDescent="0.25">
      <c r="A903" s="62" t="s">
        <v>994</v>
      </c>
      <c r="B903" s="56">
        <v>35734</v>
      </c>
      <c r="C903" s="62" t="s">
        <v>83</v>
      </c>
      <c r="D903" s="62" t="s">
        <v>84</v>
      </c>
      <c r="E903" s="62" t="s">
        <v>92</v>
      </c>
      <c r="F903" s="62" t="s">
        <v>96</v>
      </c>
      <c r="G903" s="56">
        <v>44136</v>
      </c>
      <c r="H903" s="62">
        <v>5</v>
      </c>
      <c r="I903" s="62">
        <v>16788</v>
      </c>
      <c r="J903" s="62">
        <v>32000000</v>
      </c>
      <c r="P903" s="63">
        <f t="shared" si="21"/>
        <v>120</v>
      </c>
      <c r="Q903" s="64">
        <f t="shared" si="22"/>
        <v>69.95</v>
      </c>
      <c r="R903" s="64">
        <f t="shared" si="23"/>
        <v>7.6293945312500009</v>
      </c>
      <c r="S903" s="64">
        <f t="shared" si="24"/>
        <v>24</v>
      </c>
      <c r="T903" s="64">
        <f t="shared" si="25"/>
        <v>16.321666666666669</v>
      </c>
      <c r="U903" s="64" t="str">
        <f t="shared" si="26"/>
        <v>&lt;35</v>
      </c>
      <c r="V903" s="64" t="str">
        <f t="shared" si="27"/>
        <v>&lt;10 Гб</v>
      </c>
    </row>
    <row r="904" spans="1:22" ht="15.75" customHeight="1" x14ac:dyDescent="0.25">
      <c r="A904" s="62" t="s">
        <v>995</v>
      </c>
      <c r="B904" s="56">
        <v>35727</v>
      </c>
      <c r="C904" s="62" t="s">
        <v>88</v>
      </c>
      <c r="D904" s="62" t="s">
        <v>84</v>
      </c>
      <c r="E904" s="62" t="s">
        <v>92</v>
      </c>
      <c r="F904" s="62" t="s">
        <v>96</v>
      </c>
      <c r="G904" s="56">
        <v>43850</v>
      </c>
      <c r="H904" s="62">
        <v>5</v>
      </c>
      <c r="I904" s="62">
        <v>24136</v>
      </c>
      <c r="J904" s="62">
        <v>80000000</v>
      </c>
      <c r="P904" s="63">
        <f t="shared" si="21"/>
        <v>120</v>
      </c>
      <c r="Q904" s="64">
        <f t="shared" si="22"/>
        <v>100.56666666666666</v>
      </c>
      <c r="R904" s="64">
        <f t="shared" si="23"/>
        <v>19.073486328125</v>
      </c>
      <c r="S904" s="64">
        <f t="shared" si="24"/>
        <v>24</v>
      </c>
      <c r="T904" s="64">
        <f t="shared" si="25"/>
        <v>23.465555555555557</v>
      </c>
      <c r="U904" s="64" t="str">
        <f t="shared" si="26"/>
        <v>&lt;35</v>
      </c>
      <c r="V904" s="64" t="str">
        <f t="shared" si="27"/>
        <v>10-20 Гб</v>
      </c>
    </row>
    <row r="905" spans="1:22" ht="15.75" customHeight="1" x14ac:dyDescent="0.25">
      <c r="A905" s="62" t="s">
        <v>996</v>
      </c>
      <c r="B905" s="56">
        <v>35725</v>
      </c>
      <c r="C905" s="62" t="s">
        <v>88</v>
      </c>
      <c r="D905" s="62" t="s">
        <v>84</v>
      </c>
      <c r="E905" s="62" t="s">
        <v>92</v>
      </c>
      <c r="F905" s="62" t="s">
        <v>86</v>
      </c>
      <c r="G905" s="56">
        <v>43452</v>
      </c>
      <c r="H905" s="62">
        <v>5</v>
      </c>
      <c r="I905" s="62">
        <v>63480</v>
      </c>
      <c r="J905" s="62">
        <v>36000000</v>
      </c>
      <c r="P905" s="63">
        <f t="shared" si="21"/>
        <v>120</v>
      </c>
      <c r="Q905" s="64">
        <f t="shared" si="22"/>
        <v>264.5</v>
      </c>
      <c r="R905" s="64">
        <f t="shared" si="23"/>
        <v>8.58306884765625</v>
      </c>
      <c r="S905" s="64">
        <f t="shared" si="24"/>
        <v>24</v>
      </c>
      <c r="T905" s="64">
        <f t="shared" si="25"/>
        <v>61.716666666666669</v>
      </c>
      <c r="U905" s="64" t="str">
        <f t="shared" si="26"/>
        <v>61-90</v>
      </c>
      <c r="V905" s="64" t="str">
        <f t="shared" si="27"/>
        <v>&lt;10 Гб</v>
      </c>
    </row>
    <row r="906" spans="1:22" ht="15.75" customHeight="1" x14ac:dyDescent="0.25">
      <c r="A906" s="62" t="s">
        <v>997</v>
      </c>
      <c r="B906" s="56">
        <v>35721</v>
      </c>
      <c r="C906" s="62" t="s">
        <v>88</v>
      </c>
      <c r="D906" s="62" t="s">
        <v>84</v>
      </c>
      <c r="E906" s="62" t="s">
        <v>85</v>
      </c>
      <c r="F906" s="62" t="s">
        <v>96</v>
      </c>
      <c r="G906" s="56">
        <v>44374</v>
      </c>
      <c r="H906" s="62">
        <v>5</v>
      </c>
      <c r="I906" s="62">
        <v>59004</v>
      </c>
      <c r="J906" s="62">
        <v>20000000</v>
      </c>
      <c r="P906" s="63">
        <f t="shared" si="21"/>
        <v>120</v>
      </c>
      <c r="Q906" s="64">
        <f t="shared" si="22"/>
        <v>245.85000000000002</v>
      </c>
      <c r="R906" s="64">
        <f t="shared" si="23"/>
        <v>4.76837158203125</v>
      </c>
      <c r="S906" s="64">
        <f t="shared" si="24"/>
        <v>24</v>
      </c>
      <c r="T906" s="64">
        <f t="shared" si="25"/>
        <v>57.365000000000009</v>
      </c>
      <c r="U906" s="64" t="str">
        <f t="shared" si="26"/>
        <v>35-60</v>
      </c>
      <c r="V906" s="64" t="str">
        <f t="shared" si="27"/>
        <v>&lt;10 Гб</v>
      </c>
    </row>
    <row r="907" spans="1:22" ht="15.75" customHeight="1" x14ac:dyDescent="0.25">
      <c r="A907" s="62" t="s">
        <v>998</v>
      </c>
      <c r="B907" s="56">
        <v>35721</v>
      </c>
      <c r="C907" s="62" t="s">
        <v>88</v>
      </c>
      <c r="D907" s="62" t="s">
        <v>84</v>
      </c>
      <c r="E907" s="62" t="s">
        <v>85</v>
      </c>
      <c r="F907" s="62" t="s">
        <v>96</v>
      </c>
      <c r="G907" s="56">
        <v>43704</v>
      </c>
      <c r="H907" s="62">
        <v>5</v>
      </c>
      <c r="I907" s="62">
        <v>60156</v>
      </c>
      <c r="J907" s="62">
        <v>96000000</v>
      </c>
      <c r="P907" s="63">
        <f t="shared" si="21"/>
        <v>120</v>
      </c>
      <c r="Q907" s="64">
        <f t="shared" si="22"/>
        <v>250.65</v>
      </c>
      <c r="R907" s="64">
        <f t="shared" si="23"/>
        <v>22.88818359375</v>
      </c>
      <c r="S907" s="64">
        <f t="shared" si="24"/>
        <v>24</v>
      </c>
      <c r="T907" s="64">
        <f t="shared" si="25"/>
        <v>58.484999999999999</v>
      </c>
      <c r="U907" s="64" t="str">
        <f t="shared" si="26"/>
        <v>35-60</v>
      </c>
      <c r="V907" s="64" t="str">
        <f t="shared" si="27"/>
        <v>21-30 Гб</v>
      </c>
    </row>
    <row r="908" spans="1:22" ht="15.75" customHeight="1" x14ac:dyDescent="0.25">
      <c r="A908" s="62" t="s">
        <v>999</v>
      </c>
      <c r="B908" s="56">
        <v>35717</v>
      </c>
      <c r="C908" s="62" t="s">
        <v>83</v>
      </c>
      <c r="D908" s="62" t="s">
        <v>84</v>
      </c>
      <c r="E908" s="62" t="s">
        <v>85</v>
      </c>
      <c r="F908" s="62" t="s">
        <v>89</v>
      </c>
      <c r="G908" s="56">
        <v>43162</v>
      </c>
      <c r="H908" s="62">
        <v>5</v>
      </c>
      <c r="I908" s="62">
        <v>9616</v>
      </c>
      <c r="J908" s="62">
        <v>152000000</v>
      </c>
      <c r="P908" s="63">
        <f t="shared" si="21"/>
        <v>120</v>
      </c>
      <c r="Q908" s="64">
        <f t="shared" si="22"/>
        <v>40.06666666666667</v>
      </c>
      <c r="R908" s="64">
        <f t="shared" si="23"/>
        <v>36.2396240234375</v>
      </c>
      <c r="S908" s="64">
        <f t="shared" si="24"/>
        <v>24</v>
      </c>
      <c r="T908" s="64">
        <f t="shared" si="25"/>
        <v>9.3488888888888901</v>
      </c>
      <c r="U908" s="64" t="str">
        <f t="shared" si="26"/>
        <v>&lt;35</v>
      </c>
      <c r="V908" s="64" t="str">
        <f t="shared" si="27"/>
        <v>31-40 Гб</v>
      </c>
    </row>
    <row r="909" spans="1:22" ht="15.75" customHeight="1" x14ac:dyDescent="0.25">
      <c r="A909" s="62" t="s">
        <v>1000</v>
      </c>
      <c r="B909" s="56">
        <v>35716</v>
      </c>
      <c r="C909" s="62" t="s">
        <v>88</v>
      </c>
      <c r="D909" s="62" t="s">
        <v>84</v>
      </c>
      <c r="E909" s="62" t="s">
        <v>85</v>
      </c>
      <c r="F909" s="62" t="s">
        <v>100</v>
      </c>
      <c r="G909" s="56">
        <v>43292</v>
      </c>
      <c r="H909" s="62">
        <v>5</v>
      </c>
      <c r="I909" s="62">
        <v>98852</v>
      </c>
      <c r="J909" s="62">
        <v>104000000</v>
      </c>
      <c r="N909" s="62">
        <v>1</v>
      </c>
      <c r="P909" s="63">
        <f t="shared" si="21"/>
        <v>120</v>
      </c>
      <c r="Q909" s="64">
        <f t="shared" si="22"/>
        <v>411.88333333333333</v>
      </c>
      <c r="R909" s="64">
        <f t="shared" si="23"/>
        <v>24.7955322265625</v>
      </c>
      <c r="S909" s="64">
        <f t="shared" si="24"/>
        <v>24</v>
      </c>
      <c r="T909" s="64">
        <f t="shared" si="25"/>
        <v>96.106111111111119</v>
      </c>
      <c r="U909" s="64" t="str">
        <f t="shared" si="26"/>
        <v>91-120</v>
      </c>
      <c r="V909" s="64" t="str">
        <f t="shared" si="27"/>
        <v>21-30 Гб</v>
      </c>
    </row>
    <row r="910" spans="1:22" ht="15.75" customHeight="1" x14ac:dyDescent="0.25">
      <c r="A910" s="62" t="s">
        <v>1001</v>
      </c>
      <c r="B910" s="56">
        <v>35715</v>
      </c>
      <c r="C910" s="62" t="s">
        <v>83</v>
      </c>
      <c r="D910" s="62" t="s">
        <v>84</v>
      </c>
      <c r="E910" s="62" t="s">
        <v>85</v>
      </c>
      <c r="F910" s="62" t="s">
        <v>96</v>
      </c>
      <c r="G910" s="56">
        <v>43501</v>
      </c>
      <c r="H910" s="62">
        <v>5</v>
      </c>
      <c r="I910" s="62">
        <v>6768</v>
      </c>
      <c r="J910" s="62">
        <v>12000000</v>
      </c>
      <c r="P910" s="63">
        <f t="shared" si="21"/>
        <v>120</v>
      </c>
      <c r="Q910" s="64">
        <f t="shared" si="22"/>
        <v>28.2</v>
      </c>
      <c r="R910" s="64">
        <f t="shared" si="23"/>
        <v>2.86102294921875</v>
      </c>
      <c r="S910" s="64">
        <f t="shared" si="24"/>
        <v>24</v>
      </c>
      <c r="T910" s="64">
        <f t="shared" si="25"/>
        <v>6.58</v>
      </c>
      <c r="U910" s="64" t="str">
        <f t="shared" si="26"/>
        <v>&lt;35</v>
      </c>
      <c r="V910" s="64" t="str">
        <f t="shared" si="27"/>
        <v>&lt;10 Гб</v>
      </c>
    </row>
    <row r="911" spans="1:22" ht="15.75" customHeight="1" x14ac:dyDescent="0.25">
      <c r="A911" s="62" t="s">
        <v>1002</v>
      </c>
      <c r="B911" s="56">
        <v>35712</v>
      </c>
      <c r="C911" s="62" t="s">
        <v>88</v>
      </c>
      <c r="D911" s="62" t="s">
        <v>84</v>
      </c>
      <c r="E911" s="62" t="s">
        <v>85</v>
      </c>
      <c r="F911" s="62" t="s">
        <v>89</v>
      </c>
      <c r="G911" s="56">
        <v>44649</v>
      </c>
      <c r="H911" s="62">
        <v>1</v>
      </c>
      <c r="I911" s="62">
        <v>1445</v>
      </c>
      <c r="J911" s="62">
        <v>33000000</v>
      </c>
      <c r="P911" s="63">
        <f t="shared" si="21"/>
        <v>33</v>
      </c>
      <c r="Q911" s="64">
        <f t="shared" si="22"/>
        <v>21.893939393939394</v>
      </c>
      <c r="R911" s="64">
        <f t="shared" si="23"/>
        <v>28.6102294921875</v>
      </c>
      <c r="S911" s="64">
        <f t="shared" si="24"/>
        <v>24</v>
      </c>
      <c r="T911" s="64">
        <f t="shared" si="25"/>
        <v>5.1085858585858581</v>
      </c>
      <c r="U911" s="64" t="str">
        <f t="shared" si="26"/>
        <v>&lt;35</v>
      </c>
      <c r="V911" s="64" t="str">
        <f t="shared" si="27"/>
        <v>21-30 Гб</v>
      </c>
    </row>
    <row r="912" spans="1:22" ht="15.75" customHeight="1" x14ac:dyDescent="0.25">
      <c r="A912" s="62" t="s">
        <v>1003</v>
      </c>
      <c r="B912" s="56">
        <v>35712</v>
      </c>
      <c r="C912" s="62" t="s">
        <v>88</v>
      </c>
      <c r="D912" s="62" t="s">
        <v>84</v>
      </c>
      <c r="E912" s="62" t="s">
        <v>85</v>
      </c>
      <c r="F912" s="62" t="s">
        <v>96</v>
      </c>
      <c r="G912" s="56">
        <v>43892</v>
      </c>
      <c r="H912" s="62">
        <v>5</v>
      </c>
      <c r="I912" s="62">
        <v>9720</v>
      </c>
      <c r="J912" s="62">
        <v>56000000</v>
      </c>
      <c r="P912" s="63">
        <f t="shared" si="21"/>
        <v>120</v>
      </c>
      <c r="Q912" s="64">
        <f t="shared" si="22"/>
        <v>40.5</v>
      </c>
      <c r="R912" s="64">
        <f t="shared" si="23"/>
        <v>13.3514404296875</v>
      </c>
      <c r="S912" s="64">
        <f t="shared" si="24"/>
        <v>24</v>
      </c>
      <c r="T912" s="64">
        <f t="shared" si="25"/>
        <v>9.4499999999999993</v>
      </c>
      <c r="U912" s="64" t="str">
        <f t="shared" si="26"/>
        <v>&lt;35</v>
      </c>
      <c r="V912" s="64" t="str">
        <f t="shared" si="27"/>
        <v>10-20 Гб</v>
      </c>
    </row>
    <row r="913" spans="1:22" ht="15.75" customHeight="1" x14ac:dyDescent="0.25">
      <c r="A913" s="62" t="s">
        <v>1004</v>
      </c>
      <c r="B913" s="56">
        <v>35711</v>
      </c>
      <c r="C913" s="62" t="s">
        <v>88</v>
      </c>
      <c r="D913" s="62" t="s">
        <v>84</v>
      </c>
      <c r="E913" s="62" t="s">
        <v>85</v>
      </c>
      <c r="F913" s="62" t="s">
        <v>100</v>
      </c>
      <c r="G913" s="56">
        <v>43795</v>
      </c>
      <c r="H913" s="62">
        <v>5</v>
      </c>
      <c r="I913" s="62">
        <v>102072</v>
      </c>
      <c r="J913" s="62">
        <v>128000000</v>
      </c>
      <c r="K913" s="62">
        <v>1</v>
      </c>
      <c r="L913" s="62">
        <v>1</v>
      </c>
      <c r="P913" s="63">
        <f t="shared" si="21"/>
        <v>120</v>
      </c>
      <c r="Q913" s="64">
        <f t="shared" si="22"/>
        <v>425.3</v>
      </c>
      <c r="R913" s="64">
        <f t="shared" si="23"/>
        <v>30.517578125000004</v>
      </c>
      <c r="S913" s="64">
        <f t="shared" si="24"/>
        <v>24</v>
      </c>
      <c r="T913" s="64">
        <f t="shared" si="25"/>
        <v>99.236666666666665</v>
      </c>
      <c r="U913" s="64" t="str">
        <f t="shared" si="26"/>
        <v>91-120</v>
      </c>
      <c r="V913" s="64" t="str">
        <f t="shared" si="27"/>
        <v>31-40 Гб</v>
      </c>
    </row>
    <row r="914" spans="1:22" ht="15.75" customHeight="1" x14ac:dyDescent="0.25">
      <c r="A914" s="62" t="s">
        <v>1005</v>
      </c>
      <c r="B914" s="56">
        <v>35710</v>
      </c>
      <c r="C914" s="62" t="s">
        <v>83</v>
      </c>
      <c r="D914" s="62" t="s">
        <v>84</v>
      </c>
      <c r="E914" s="62" t="s">
        <v>85</v>
      </c>
      <c r="F914" s="62" t="s">
        <v>100</v>
      </c>
      <c r="G914" s="56">
        <v>44074</v>
      </c>
      <c r="H914" s="62">
        <v>5</v>
      </c>
      <c r="I914" s="62">
        <v>91680</v>
      </c>
      <c r="J914" s="62">
        <v>92000000</v>
      </c>
      <c r="P914" s="63">
        <f t="shared" si="21"/>
        <v>120</v>
      </c>
      <c r="Q914" s="64">
        <f t="shared" si="22"/>
        <v>382</v>
      </c>
      <c r="R914" s="64">
        <f t="shared" si="23"/>
        <v>21.93450927734375</v>
      </c>
      <c r="S914" s="64">
        <f t="shared" si="24"/>
        <v>24</v>
      </c>
      <c r="T914" s="64">
        <f t="shared" si="25"/>
        <v>89.13333333333334</v>
      </c>
      <c r="U914" s="64" t="str">
        <f t="shared" si="26"/>
        <v>61-90</v>
      </c>
      <c r="V914" s="64" t="str">
        <f t="shared" si="27"/>
        <v>21-30 Гб</v>
      </c>
    </row>
    <row r="915" spans="1:22" ht="15.75" customHeight="1" x14ac:dyDescent="0.25">
      <c r="A915" s="62" t="s">
        <v>1006</v>
      </c>
      <c r="B915" s="56">
        <v>35706</v>
      </c>
      <c r="C915" s="62" t="s">
        <v>88</v>
      </c>
      <c r="D915" s="62" t="s">
        <v>84</v>
      </c>
      <c r="E915" s="62" t="s">
        <v>92</v>
      </c>
      <c r="F915" s="62" t="s">
        <v>96</v>
      </c>
      <c r="G915" s="56">
        <v>43948</v>
      </c>
      <c r="H915" s="62">
        <v>5</v>
      </c>
      <c r="I915" s="62">
        <v>6804</v>
      </c>
      <c r="J915" s="62">
        <v>12000000</v>
      </c>
      <c r="P915" s="63">
        <f t="shared" si="21"/>
        <v>120</v>
      </c>
      <c r="Q915" s="64">
        <f t="shared" si="22"/>
        <v>28.35</v>
      </c>
      <c r="R915" s="64">
        <f t="shared" si="23"/>
        <v>2.86102294921875</v>
      </c>
      <c r="S915" s="64">
        <f t="shared" si="24"/>
        <v>24</v>
      </c>
      <c r="T915" s="64">
        <f t="shared" si="25"/>
        <v>6.6150000000000002</v>
      </c>
      <c r="U915" s="64" t="str">
        <f t="shared" si="26"/>
        <v>&lt;35</v>
      </c>
      <c r="V915" s="64" t="str">
        <f t="shared" si="27"/>
        <v>&lt;10 Гб</v>
      </c>
    </row>
    <row r="916" spans="1:22" ht="15.75" customHeight="1" x14ac:dyDescent="0.25">
      <c r="A916" s="62" t="s">
        <v>1007</v>
      </c>
      <c r="B916" s="56">
        <v>35705</v>
      </c>
      <c r="C916" s="62" t="s">
        <v>83</v>
      </c>
      <c r="D916" s="62" t="s">
        <v>84</v>
      </c>
      <c r="E916" s="62" t="s">
        <v>92</v>
      </c>
      <c r="F916" s="62" t="s">
        <v>89</v>
      </c>
      <c r="G916" s="56">
        <v>43964</v>
      </c>
      <c r="H916" s="62">
        <v>5</v>
      </c>
      <c r="I916" s="62">
        <v>9624</v>
      </c>
      <c r="J916" s="62">
        <v>160000000</v>
      </c>
      <c r="P916" s="63">
        <f t="shared" si="21"/>
        <v>120</v>
      </c>
      <c r="Q916" s="64">
        <f t="shared" si="22"/>
        <v>40.1</v>
      </c>
      <c r="R916" s="64">
        <f t="shared" si="23"/>
        <v>38.14697265625</v>
      </c>
      <c r="S916" s="64">
        <f t="shared" si="24"/>
        <v>24</v>
      </c>
      <c r="T916" s="64">
        <f t="shared" si="25"/>
        <v>9.3566666666666656</v>
      </c>
      <c r="U916" s="64" t="str">
        <f t="shared" si="26"/>
        <v>&lt;35</v>
      </c>
      <c r="V916" s="64" t="str">
        <f t="shared" si="27"/>
        <v>31-40 Гб</v>
      </c>
    </row>
    <row r="917" spans="1:22" ht="15.75" customHeight="1" x14ac:dyDescent="0.25">
      <c r="A917" s="62" t="s">
        <v>1008</v>
      </c>
      <c r="B917" s="56">
        <v>35704</v>
      </c>
      <c r="C917" s="62" t="s">
        <v>83</v>
      </c>
      <c r="D917" s="62" t="s">
        <v>84</v>
      </c>
      <c r="E917" s="62" t="s">
        <v>92</v>
      </c>
      <c r="F917" s="62" t="s">
        <v>100</v>
      </c>
      <c r="G917" s="56">
        <v>42885</v>
      </c>
      <c r="H917" s="62">
        <v>5</v>
      </c>
      <c r="I917" s="62">
        <v>101468</v>
      </c>
      <c r="J917" s="62">
        <v>80000000</v>
      </c>
      <c r="P917" s="63">
        <f t="shared" si="21"/>
        <v>120</v>
      </c>
      <c r="Q917" s="64">
        <f t="shared" si="22"/>
        <v>422.78333333333336</v>
      </c>
      <c r="R917" s="64">
        <f t="shared" si="23"/>
        <v>19.073486328125</v>
      </c>
      <c r="S917" s="64">
        <f t="shared" si="24"/>
        <v>24</v>
      </c>
      <c r="T917" s="64">
        <f t="shared" si="25"/>
        <v>98.649444444444455</v>
      </c>
      <c r="U917" s="64" t="str">
        <f t="shared" si="26"/>
        <v>91-120</v>
      </c>
      <c r="V917" s="64" t="str">
        <f t="shared" si="27"/>
        <v>10-20 Гб</v>
      </c>
    </row>
    <row r="918" spans="1:22" ht="15.75" customHeight="1" x14ac:dyDescent="0.25">
      <c r="A918" s="62" t="s">
        <v>1009</v>
      </c>
      <c r="B918" s="56">
        <v>35703</v>
      </c>
      <c r="C918" s="62" t="s">
        <v>83</v>
      </c>
      <c r="D918" s="62" t="s">
        <v>84</v>
      </c>
      <c r="E918" s="62" t="s">
        <v>92</v>
      </c>
      <c r="F918" s="62" t="s">
        <v>89</v>
      </c>
      <c r="G918" s="56">
        <v>43272</v>
      </c>
      <c r="H918" s="62">
        <v>5</v>
      </c>
      <c r="I918" s="62">
        <v>19436</v>
      </c>
      <c r="J918" s="62">
        <v>56000000</v>
      </c>
      <c r="P918" s="63">
        <f t="shared" si="21"/>
        <v>120</v>
      </c>
      <c r="Q918" s="64">
        <f t="shared" si="22"/>
        <v>80.983333333333334</v>
      </c>
      <c r="R918" s="64">
        <f t="shared" si="23"/>
        <v>13.3514404296875</v>
      </c>
      <c r="S918" s="64">
        <f t="shared" si="24"/>
        <v>24</v>
      </c>
      <c r="T918" s="64">
        <f t="shared" si="25"/>
        <v>18.896111111111111</v>
      </c>
      <c r="U918" s="64" t="str">
        <f t="shared" si="26"/>
        <v>&lt;35</v>
      </c>
      <c r="V918" s="64" t="str">
        <f t="shared" si="27"/>
        <v>10-20 Гб</v>
      </c>
    </row>
    <row r="919" spans="1:22" ht="15.75" customHeight="1" x14ac:dyDescent="0.25">
      <c r="A919" s="62" t="s">
        <v>1010</v>
      </c>
      <c r="B919" s="56">
        <v>35702</v>
      </c>
      <c r="C919" s="62" t="s">
        <v>88</v>
      </c>
      <c r="D919" s="62" t="s">
        <v>84</v>
      </c>
      <c r="E919" s="62" t="s">
        <v>85</v>
      </c>
      <c r="F919" s="62" t="s">
        <v>96</v>
      </c>
      <c r="G919" s="56">
        <v>44428</v>
      </c>
      <c r="H919" s="62">
        <v>5</v>
      </c>
      <c r="I919" s="62">
        <v>280</v>
      </c>
      <c r="J919" s="62">
        <v>36000000</v>
      </c>
      <c r="P919" s="63">
        <f t="shared" si="21"/>
        <v>120</v>
      </c>
      <c r="Q919" s="64">
        <f t="shared" si="22"/>
        <v>1.1666666666666667</v>
      </c>
      <c r="R919" s="64">
        <f t="shared" si="23"/>
        <v>8.58306884765625</v>
      </c>
      <c r="S919" s="64">
        <f t="shared" si="24"/>
        <v>24</v>
      </c>
      <c r="T919" s="64">
        <f t="shared" si="25"/>
        <v>0.27222222222222225</v>
      </c>
      <c r="U919" s="64" t="str">
        <f t="shared" si="26"/>
        <v>&lt;35</v>
      </c>
      <c r="V919" s="64" t="str">
        <f t="shared" si="27"/>
        <v>&lt;10 Гб</v>
      </c>
    </row>
    <row r="920" spans="1:22" ht="15.75" customHeight="1" x14ac:dyDescent="0.25">
      <c r="A920" s="62" t="s">
        <v>1011</v>
      </c>
      <c r="B920" s="56">
        <v>35702</v>
      </c>
      <c r="C920" s="62" t="s">
        <v>83</v>
      </c>
      <c r="D920" s="62" t="s">
        <v>84</v>
      </c>
      <c r="E920" s="62" t="s">
        <v>85</v>
      </c>
      <c r="F920" s="62" t="s">
        <v>96</v>
      </c>
      <c r="G920" s="56">
        <v>43758</v>
      </c>
      <c r="H920" s="62">
        <v>5</v>
      </c>
      <c r="I920" s="62">
        <v>85880</v>
      </c>
      <c r="J920" s="62">
        <v>4000000</v>
      </c>
      <c r="P920" s="63">
        <f t="shared" si="21"/>
        <v>120</v>
      </c>
      <c r="Q920" s="64">
        <f t="shared" si="22"/>
        <v>357.83333333333331</v>
      </c>
      <c r="R920" s="64">
        <f t="shared" si="23"/>
        <v>0.95367431640625011</v>
      </c>
      <c r="S920" s="64">
        <f t="shared" si="24"/>
        <v>24</v>
      </c>
      <c r="T920" s="64">
        <f t="shared" si="25"/>
        <v>83.49444444444444</v>
      </c>
      <c r="U920" s="64" t="str">
        <f t="shared" si="26"/>
        <v>61-90</v>
      </c>
      <c r="V920" s="64" t="str">
        <f t="shared" si="27"/>
        <v>&lt;10 Гб</v>
      </c>
    </row>
    <row r="921" spans="1:22" ht="15.75" customHeight="1" x14ac:dyDescent="0.25">
      <c r="A921" s="62" t="s">
        <v>1012</v>
      </c>
      <c r="B921" s="56">
        <v>35702</v>
      </c>
      <c r="C921" s="62" t="s">
        <v>83</v>
      </c>
      <c r="D921" s="62" t="s">
        <v>84</v>
      </c>
      <c r="E921" s="62" t="s">
        <v>85</v>
      </c>
      <c r="F921" s="62" t="s">
        <v>89</v>
      </c>
      <c r="G921" s="56">
        <v>43740</v>
      </c>
      <c r="H921" s="62">
        <v>5</v>
      </c>
      <c r="I921" s="62">
        <v>17544</v>
      </c>
      <c r="J921" s="62">
        <v>156000000</v>
      </c>
      <c r="P921" s="63">
        <f t="shared" si="21"/>
        <v>120</v>
      </c>
      <c r="Q921" s="64">
        <f t="shared" si="22"/>
        <v>73.099999999999994</v>
      </c>
      <c r="R921" s="64">
        <f t="shared" si="23"/>
        <v>37.19329833984375</v>
      </c>
      <c r="S921" s="64">
        <f t="shared" si="24"/>
        <v>24</v>
      </c>
      <c r="T921" s="64">
        <f t="shared" si="25"/>
        <v>17.056666666666665</v>
      </c>
      <c r="U921" s="64" t="str">
        <f t="shared" si="26"/>
        <v>&lt;35</v>
      </c>
      <c r="V921" s="64" t="str">
        <f t="shared" si="27"/>
        <v>31-40 Гб</v>
      </c>
    </row>
    <row r="922" spans="1:22" ht="15.75" customHeight="1" x14ac:dyDescent="0.25">
      <c r="A922" s="62" t="s">
        <v>1013</v>
      </c>
      <c r="B922" s="56">
        <v>35700</v>
      </c>
      <c r="C922" s="62" t="s">
        <v>88</v>
      </c>
      <c r="D922" s="62" t="s">
        <v>84</v>
      </c>
      <c r="E922" s="62" t="s">
        <v>85</v>
      </c>
      <c r="F922" s="62" t="s">
        <v>96</v>
      </c>
      <c r="G922" s="56">
        <v>42853</v>
      </c>
      <c r="H922" s="62">
        <v>5</v>
      </c>
      <c r="I922" s="62">
        <v>1292</v>
      </c>
      <c r="J922" s="62">
        <v>108000000</v>
      </c>
      <c r="K922" s="62">
        <v>1</v>
      </c>
      <c r="O922" s="62">
        <v>1</v>
      </c>
      <c r="P922" s="63">
        <f t="shared" si="21"/>
        <v>120</v>
      </c>
      <c r="Q922" s="64">
        <f t="shared" si="22"/>
        <v>5.3833333333333337</v>
      </c>
      <c r="R922" s="64">
        <f t="shared" si="23"/>
        <v>25.74920654296875</v>
      </c>
      <c r="S922" s="64">
        <f t="shared" si="24"/>
        <v>24</v>
      </c>
      <c r="T922" s="64">
        <f t="shared" si="25"/>
        <v>1.2561111111111112</v>
      </c>
      <c r="U922" s="64" t="str">
        <f t="shared" si="26"/>
        <v>&lt;35</v>
      </c>
      <c r="V922" s="64" t="str">
        <f t="shared" si="27"/>
        <v>21-30 Гб</v>
      </c>
    </row>
    <row r="923" spans="1:22" ht="15.75" customHeight="1" x14ac:dyDescent="0.25">
      <c r="A923" s="62" t="s">
        <v>1014</v>
      </c>
      <c r="B923" s="56">
        <v>35693</v>
      </c>
      <c r="C923" s="62" t="s">
        <v>83</v>
      </c>
      <c r="D923" s="62" t="s">
        <v>84</v>
      </c>
      <c r="E923" s="62" t="s">
        <v>85</v>
      </c>
      <c r="F923" s="62" t="s">
        <v>96</v>
      </c>
      <c r="G923" s="56">
        <v>43720</v>
      </c>
      <c r="H923" s="62">
        <v>5</v>
      </c>
      <c r="I923" s="62">
        <v>5280</v>
      </c>
      <c r="J923" s="62">
        <v>96000000</v>
      </c>
      <c r="P923" s="63">
        <f t="shared" si="21"/>
        <v>120</v>
      </c>
      <c r="Q923" s="64">
        <f t="shared" si="22"/>
        <v>22</v>
      </c>
      <c r="R923" s="64">
        <f t="shared" si="23"/>
        <v>22.88818359375</v>
      </c>
      <c r="S923" s="64">
        <f t="shared" si="24"/>
        <v>24</v>
      </c>
      <c r="T923" s="64">
        <f t="shared" si="25"/>
        <v>5.1333333333333337</v>
      </c>
      <c r="U923" s="64" t="str">
        <f t="shared" si="26"/>
        <v>&lt;35</v>
      </c>
      <c r="V923" s="64" t="str">
        <f t="shared" si="27"/>
        <v>21-30 Гб</v>
      </c>
    </row>
    <row r="924" spans="1:22" ht="15.75" customHeight="1" x14ac:dyDescent="0.25">
      <c r="A924" s="62" t="s">
        <v>1015</v>
      </c>
      <c r="B924" s="56">
        <v>35691</v>
      </c>
      <c r="C924" s="62" t="s">
        <v>83</v>
      </c>
      <c r="D924" s="62" t="s">
        <v>84</v>
      </c>
      <c r="E924" s="62" t="s">
        <v>92</v>
      </c>
      <c r="F924" s="62" t="s">
        <v>100</v>
      </c>
      <c r="G924" s="56">
        <v>42798</v>
      </c>
      <c r="H924" s="62">
        <v>5</v>
      </c>
      <c r="I924" s="62">
        <v>102300</v>
      </c>
      <c r="J924" s="62">
        <v>136000000</v>
      </c>
      <c r="P924" s="63">
        <f t="shared" si="21"/>
        <v>120</v>
      </c>
      <c r="Q924" s="64">
        <f t="shared" si="22"/>
        <v>426.25</v>
      </c>
      <c r="R924" s="64">
        <f t="shared" si="23"/>
        <v>32.4249267578125</v>
      </c>
      <c r="S924" s="64">
        <f t="shared" si="24"/>
        <v>24</v>
      </c>
      <c r="T924" s="64">
        <f t="shared" si="25"/>
        <v>99.458333333333329</v>
      </c>
      <c r="U924" s="64" t="str">
        <f t="shared" si="26"/>
        <v>91-120</v>
      </c>
      <c r="V924" s="64" t="str">
        <f t="shared" si="27"/>
        <v>31-40 Гб</v>
      </c>
    </row>
    <row r="925" spans="1:22" ht="15.75" customHeight="1" x14ac:dyDescent="0.25">
      <c r="A925" s="62" t="s">
        <v>1016</v>
      </c>
      <c r="B925" s="56">
        <v>35689</v>
      </c>
      <c r="C925" s="62" t="s">
        <v>88</v>
      </c>
      <c r="D925" s="62" t="s">
        <v>84</v>
      </c>
      <c r="E925" s="62" t="s">
        <v>92</v>
      </c>
      <c r="F925" s="62" t="s">
        <v>93</v>
      </c>
      <c r="G925" s="56">
        <v>44679</v>
      </c>
      <c r="H925" s="62">
        <v>0</v>
      </c>
      <c r="I925" s="62">
        <v>454</v>
      </c>
      <c r="J925" s="62">
        <v>300000</v>
      </c>
      <c r="P925" s="63">
        <f t="shared" si="21"/>
        <v>3</v>
      </c>
      <c r="Q925" s="64">
        <f t="shared" si="22"/>
        <v>75.666666666666657</v>
      </c>
      <c r="R925" s="64">
        <f t="shared" si="23"/>
        <v>2.86102294921875</v>
      </c>
      <c r="S925" s="64">
        <f t="shared" si="24"/>
        <v>24</v>
      </c>
      <c r="T925" s="64">
        <f t="shared" si="25"/>
        <v>17.655555555555555</v>
      </c>
      <c r="U925" s="64" t="str">
        <f t="shared" si="26"/>
        <v>&lt;35</v>
      </c>
      <c r="V925" s="64" t="str">
        <f t="shared" si="27"/>
        <v>&lt;10 Гб</v>
      </c>
    </row>
    <row r="926" spans="1:22" ht="15.75" customHeight="1" x14ac:dyDescent="0.25">
      <c r="A926" s="62" t="s">
        <v>1017</v>
      </c>
      <c r="B926" s="56">
        <v>35688</v>
      </c>
      <c r="C926" s="62" t="s">
        <v>83</v>
      </c>
      <c r="D926" s="62" t="s">
        <v>84</v>
      </c>
      <c r="E926" s="62" t="s">
        <v>92</v>
      </c>
      <c r="F926" s="62" t="s">
        <v>89</v>
      </c>
      <c r="G926" s="56">
        <v>43830</v>
      </c>
      <c r="H926" s="62">
        <v>5</v>
      </c>
      <c r="I926" s="62">
        <v>32204</v>
      </c>
      <c r="J926" s="62">
        <v>12000000</v>
      </c>
      <c r="P926" s="63">
        <f t="shared" si="21"/>
        <v>120</v>
      </c>
      <c r="Q926" s="64">
        <f t="shared" si="22"/>
        <v>134.18333333333334</v>
      </c>
      <c r="R926" s="64">
        <f t="shared" si="23"/>
        <v>2.86102294921875</v>
      </c>
      <c r="S926" s="64">
        <f t="shared" si="24"/>
        <v>24</v>
      </c>
      <c r="T926" s="64">
        <f t="shared" si="25"/>
        <v>31.309444444444445</v>
      </c>
      <c r="U926" s="64" t="str">
        <f t="shared" si="26"/>
        <v>&lt;35</v>
      </c>
      <c r="V926" s="64" t="str">
        <f t="shared" si="27"/>
        <v>&lt;10 Гб</v>
      </c>
    </row>
    <row r="927" spans="1:22" ht="15.75" customHeight="1" x14ac:dyDescent="0.25">
      <c r="A927" s="62" t="s">
        <v>1018</v>
      </c>
      <c r="B927" s="56">
        <v>35686</v>
      </c>
      <c r="C927" s="62" t="s">
        <v>88</v>
      </c>
      <c r="D927" s="62" t="s">
        <v>84</v>
      </c>
      <c r="E927" s="62" t="s">
        <v>85</v>
      </c>
      <c r="F927" s="62" t="s">
        <v>96</v>
      </c>
      <c r="G927" s="56">
        <v>44279</v>
      </c>
      <c r="H927" s="62">
        <v>5</v>
      </c>
      <c r="I927" s="62">
        <v>46260</v>
      </c>
      <c r="J927" s="62">
        <v>84000000</v>
      </c>
      <c r="P927" s="63">
        <f t="shared" si="21"/>
        <v>120</v>
      </c>
      <c r="Q927" s="64">
        <f t="shared" si="22"/>
        <v>192.75</v>
      </c>
      <c r="R927" s="64">
        <f t="shared" si="23"/>
        <v>20.02716064453125</v>
      </c>
      <c r="S927" s="64">
        <f t="shared" si="24"/>
        <v>24</v>
      </c>
      <c r="T927" s="64">
        <f t="shared" si="25"/>
        <v>44.975000000000001</v>
      </c>
      <c r="U927" s="64" t="str">
        <f t="shared" si="26"/>
        <v>35-60</v>
      </c>
      <c r="V927" s="64" t="str">
        <f t="shared" si="27"/>
        <v>21-30 Гб</v>
      </c>
    </row>
    <row r="928" spans="1:22" ht="15.75" customHeight="1" x14ac:dyDescent="0.25">
      <c r="A928" s="62" t="s">
        <v>1019</v>
      </c>
      <c r="B928" s="56">
        <v>35685</v>
      </c>
      <c r="C928" s="62" t="s">
        <v>88</v>
      </c>
      <c r="D928" s="62" t="s">
        <v>84</v>
      </c>
      <c r="E928" s="62" t="s">
        <v>92</v>
      </c>
      <c r="F928" s="62" t="s">
        <v>96</v>
      </c>
      <c r="G928" s="56">
        <v>44531</v>
      </c>
      <c r="H928" s="62">
        <v>5</v>
      </c>
      <c r="I928" s="62">
        <v>40532</v>
      </c>
      <c r="J928" s="62">
        <v>60000000</v>
      </c>
      <c r="P928" s="63">
        <f t="shared" si="21"/>
        <v>120</v>
      </c>
      <c r="Q928" s="64">
        <f t="shared" si="22"/>
        <v>168.88333333333333</v>
      </c>
      <c r="R928" s="64">
        <f t="shared" si="23"/>
        <v>14.30511474609375</v>
      </c>
      <c r="S928" s="64">
        <f t="shared" si="24"/>
        <v>24</v>
      </c>
      <c r="T928" s="64">
        <f t="shared" si="25"/>
        <v>39.406111111111116</v>
      </c>
      <c r="U928" s="64" t="str">
        <f t="shared" si="26"/>
        <v>35-60</v>
      </c>
      <c r="V928" s="64" t="str">
        <f t="shared" si="27"/>
        <v>10-20 Гб</v>
      </c>
    </row>
    <row r="929" spans="1:22" ht="15.75" customHeight="1" x14ac:dyDescent="0.25">
      <c r="A929" s="62" t="s">
        <v>1020</v>
      </c>
      <c r="B929" s="56">
        <v>35683</v>
      </c>
      <c r="C929" s="62" t="s">
        <v>83</v>
      </c>
      <c r="D929" s="62" t="s">
        <v>84</v>
      </c>
      <c r="E929" s="62" t="s">
        <v>92</v>
      </c>
      <c r="F929" s="62" t="s">
        <v>89</v>
      </c>
      <c r="G929" s="56">
        <v>44456</v>
      </c>
      <c r="H929" s="62">
        <v>5</v>
      </c>
      <c r="I929" s="62">
        <v>10800</v>
      </c>
      <c r="J929" s="62">
        <v>36000000</v>
      </c>
      <c r="P929" s="63">
        <f t="shared" si="21"/>
        <v>120</v>
      </c>
      <c r="Q929" s="64">
        <f t="shared" si="22"/>
        <v>45</v>
      </c>
      <c r="R929" s="64">
        <f t="shared" si="23"/>
        <v>8.58306884765625</v>
      </c>
      <c r="S929" s="64">
        <f t="shared" si="24"/>
        <v>24</v>
      </c>
      <c r="T929" s="64">
        <f t="shared" si="25"/>
        <v>10.5</v>
      </c>
      <c r="U929" s="64" t="str">
        <f t="shared" si="26"/>
        <v>&lt;35</v>
      </c>
      <c r="V929" s="64" t="str">
        <f t="shared" si="27"/>
        <v>&lt;10 Гб</v>
      </c>
    </row>
    <row r="930" spans="1:22" ht="15.75" customHeight="1" x14ac:dyDescent="0.25">
      <c r="A930" s="62" t="s">
        <v>1021</v>
      </c>
      <c r="B930" s="56">
        <v>35682</v>
      </c>
      <c r="C930" s="62" t="s">
        <v>83</v>
      </c>
      <c r="D930" s="62" t="s">
        <v>84</v>
      </c>
      <c r="E930" s="62" t="s">
        <v>85</v>
      </c>
      <c r="F930" s="62" t="s">
        <v>96</v>
      </c>
      <c r="G930" s="56">
        <v>43860</v>
      </c>
      <c r="H930" s="62">
        <v>5</v>
      </c>
      <c r="I930" s="62">
        <v>22492</v>
      </c>
      <c r="J930" s="62">
        <v>16000000</v>
      </c>
      <c r="P930" s="63">
        <f t="shared" si="21"/>
        <v>120</v>
      </c>
      <c r="Q930" s="64">
        <f t="shared" si="22"/>
        <v>93.716666666666669</v>
      </c>
      <c r="R930" s="64">
        <f t="shared" si="23"/>
        <v>3.8146972656250004</v>
      </c>
      <c r="S930" s="64">
        <f t="shared" si="24"/>
        <v>24</v>
      </c>
      <c r="T930" s="64">
        <f t="shared" si="25"/>
        <v>21.867222222222221</v>
      </c>
      <c r="U930" s="64" t="str">
        <f t="shared" si="26"/>
        <v>&lt;35</v>
      </c>
      <c r="V930" s="64" t="str">
        <f t="shared" si="27"/>
        <v>&lt;10 Гб</v>
      </c>
    </row>
    <row r="931" spans="1:22" ht="15.75" customHeight="1" x14ac:dyDescent="0.25">
      <c r="A931" s="62" t="s">
        <v>1022</v>
      </c>
      <c r="B931" s="56">
        <v>35671</v>
      </c>
      <c r="C931" s="62" t="s">
        <v>88</v>
      </c>
      <c r="D931" s="62" t="s">
        <v>84</v>
      </c>
      <c r="E931" s="62" t="s">
        <v>85</v>
      </c>
      <c r="F931" s="62" t="s">
        <v>93</v>
      </c>
      <c r="G931" s="56">
        <v>43446</v>
      </c>
      <c r="H931" s="62">
        <v>5</v>
      </c>
      <c r="I931" s="62">
        <v>20132</v>
      </c>
      <c r="J931" s="62">
        <v>20000000</v>
      </c>
      <c r="L931" s="62">
        <v>1</v>
      </c>
      <c r="P931" s="63">
        <f t="shared" si="21"/>
        <v>120</v>
      </c>
      <c r="Q931" s="64">
        <f t="shared" si="22"/>
        <v>83.88333333333334</v>
      </c>
      <c r="R931" s="64">
        <f t="shared" si="23"/>
        <v>4.76837158203125</v>
      </c>
      <c r="S931" s="64">
        <f t="shared" si="24"/>
        <v>24</v>
      </c>
      <c r="T931" s="64">
        <f t="shared" si="25"/>
        <v>19.57277777777778</v>
      </c>
      <c r="U931" s="64" t="str">
        <f t="shared" si="26"/>
        <v>&lt;35</v>
      </c>
      <c r="V931" s="64" t="str">
        <f t="shared" si="27"/>
        <v>&lt;10 Гб</v>
      </c>
    </row>
    <row r="932" spans="1:22" ht="15.75" customHeight="1" x14ac:dyDescent="0.25">
      <c r="A932" s="62" t="s">
        <v>1023</v>
      </c>
      <c r="B932" s="56">
        <v>35670</v>
      </c>
      <c r="C932" s="62" t="s">
        <v>88</v>
      </c>
      <c r="D932" s="62" t="s">
        <v>84</v>
      </c>
      <c r="E932" s="62" t="s">
        <v>92</v>
      </c>
      <c r="F932" s="62" t="s">
        <v>89</v>
      </c>
      <c r="G932" s="56">
        <v>43426</v>
      </c>
      <c r="H932" s="62">
        <v>5</v>
      </c>
      <c r="I932" s="62">
        <v>4872</v>
      </c>
      <c r="J932" s="62">
        <v>156000000</v>
      </c>
      <c r="N932" s="62">
        <v>1</v>
      </c>
      <c r="P932" s="63">
        <f t="shared" si="21"/>
        <v>120</v>
      </c>
      <c r="Q932" s="64">
        <f t="shared" si="22"/>
        <v>20.3</v>
      </c>
      <c r="R932" s="64">
        <f t="shared" si="23"/>
        <v>37.19329833984375</v>
      </c>
      <c r="S932" s="64">
        <f t="shared" si="24"/>
        <v>24</v>
      </c>
      <c r="T932" s="64">
        <f t="shared" si="25"/>
        <v>4.7366666666666664</v>
      </c>
      <c r="U932" s="64" t="str">
        <f t="shared" si="26"/>
        <v>&lt;35</v>
      </c>
      <c r="V932" s="64" t="str">
        <f t="shared" si="27"/>
        <v>31-40 Гб</v>
      </c>
    </row>
    <row r="933" spans="1:22" ht="15.75" customHeight="1" x14ac:dyDescent="0.25">
      <c r="A933" s="62" t="s">
        <v>1024</v>
      </c>
      <c r="B933" s="56">
        <v>35668</v>
      </c>
      <c r="C933" s="62" t="s">
        <v>83</v>
      </c>
      <c r="D933" s="62" t="s">
        <v>84</v>
      </c>
      <c r="E933" s="62" t="s">
        <v>92</v>
      </c>
      <c r="F933" s="62" t="s">
        <v>86</v>
      </c>
      <c r="G933" s="56">
        <v>43268</v>
      </c>
      <c r="H933" s="62">
        <v>5</v>
      </c>
      <c r="I933" s="62">
        <v>115676</v>
      </c>
      <c r="J933" s="62">
        <v>192000000</v>
      </c>
      <c r="P933" s="63">
        <f t="shared" si="21"/>
        <v>120</v>
      </c>
      <c r="Q933" s="64">
        <f t="shared" si="22"/>
        <v>481.98333333333335</v>
      </c>
      <c r="R933" s="64">
        <f t="shared" si="23"/>
        <v>45.7763671875</v>
      </c>
      <c r="S933" s="64">
        <f t="shared" si="24"/>
        <v>24</v>
      </c>
      <c r="T933" s="64">
        <f t="shared" si="25"/>
        <v>112.46277777777777</v>
      </c>
      <c r="U933" s="64" t="str">
        <f t="shared" si="26"/>
        <v>91-120</v>
      </c>
      <c r="V933" s="64" t="str">
        <f t="shared" si="27"/>
        <v>40+ Гб</v>
      </c>
    </row>
    <row r="934" spans="1:22" ht="15.75" customHeight="1" x14ac:dyDescent="0.25">
      <c r="A934" s="62" t="s">
        <v>1025</v>
      </c>
      <c r="B934" s="56">
        <v>35661</v>
      </c>
      <c r="C934" s="62" t="s">
        <v>88</v>
      </c>
      <c r="D934" s="62" t="s">
        <v>84</v>
      </c>
      <c r="E934" s="62" t="s">
        <v>85</v>
      </c>
      <c r="F934" s="62" t="s">
        <v>89</v>
      </c>
      <c r="G934" s="56">
        <v>43509</v>
      </c>
      <c r="H934" s="62">
        <v>5</v>
      </c>
      <c r="I934" s="62">
        <v>35012</v>
      </c>
      <c r="J934" s="62">
        <v>128000000</v>
      </c>
      <c r="K934" s="62">
        <v>1</v>
      </c>
      <c r="P934" s="63">
        <f t="shared" si="21"/>
        <v>120</v>
      </c>
      <c r="Q934" s="64">
        <f t="shared" si="22"/>
        <v>145.88333333333333</v>
      </c>
      <c r="R934" s="64">
        <f t="shared" si="23"/>
        <v>30.517578125000004</v>
      </c>
      <c r="S934" s="64">
        <f t="shared" si="24"/>
        <v>24</v>
      </c>
      <c r="T934" s="64">
        <f t="shared" si="25"/>
        <v>34.039444444444442</v>
      </c>
      <c r="U934" s="64" t="str">
        <f t="shared" si="26"/>
        <v>&lt;35</v>
      </c>
      <c r="V934" s="64" t="str">
        <f t="shared" si="27"/>
        <v>31-40 Гб</v>
      </c>
    </row>
    <row r="935" spans="1:22" ht="15.75" customHeight="1" x14ac:dyDescent="0.25">
      <c r="A935" s="62" t="s">
        <v>1026</v>
      </c>
      <c r="B935" s="56">
        <v>35660</v>
      </c>
      <c r="C935" s="62" t="s">
        <v>88</v>
      </c>
      <c r="D935" s="62" t="s">
        <v>84</v>
      </c>
      <c r="E935" s="62" t="s">
        <v>85</v>
      </c>
      <c r="F935" s="62" t="s">
        <v>86</v>
      </c>
      <c r="G935" s="56">
        <v>44525</v>
      </c>
      <c r="H935" s="62">
        <v>5</v>
      </c>
      <c r="I935" s="62">
        <v>151344</v>
      </c>
      <c r="J935" s="62">
        <v>172000000</v>
      </c>
      <c r="L935" s="62">
        <v>1</v>
      </c>
      <c r="P935" s="63">
        <f t="shared" si="21"/>
        <v>120</v>
      </c>
      <c r="Q935" s="64">
        <f t="shared" si="22"/>
        <v>630.6</v>
      </c>
      <c r="R935" s="64">
        <f t="shared" si="23"/>
        <v>41.00799560546875</v>
      </c>
      <c r="S935" s="64">
        <f t="shared" si="24"/>
        <v>24</v>
      </c>
      <c r="T935" s="64">
        <f t="shared" si="25"/>
        <v>147.13999999999999</v>
      </c>
      <c r="U935" s="64" t="str">
        <f t="shared" si="26"/>
        <v>120+</v>
      </c>
      <c r="V935" s="64" t="str">
        <f t="shared" si="27"/>
        <v>40+ Гб</v>
      </c>
    </row>
    <row r="936" spans="1:22" ht="15.75" customHeight="1" x14ac:dyDescent="0.25">
      <c r="A936" s="62" t="s">
        <v>1027</v>
      </c>
      <c r="B936" s="56">
        <v>35654</v>
      </c>
      <c r="C936" s="62" t="s">
        <v>88</v>
      </c>
      <c r="D936" s="62" t="s">
        <v>84</v>
      </c>
      <c r="E936" s="62" t="s">
        <v>92</v>
      </c>
      <c r="F936" s="62" t="s">
        <v>93</v>
      </c>
      <c r="G936" s="56">
        <v>42917</v>
      </c>
      <c r="H936" s="62">
        <v>5</v>
      </c>
      <c r="I936" s="62">
        <v>37640</v>
      </c>
      <c r="J936" s="62">
        <v>4000000</v>
      </c>
      <c r="P936" s="63">
        <f t="shared" si="21"/>
        <v>120</v>
      </c>
      <c r="Q936" s="64">
        <f t="shared" si="22"/>
        <v>156.83333333333334</v>
      </c>
      <c r="R936" s="64">
        <f t="shared" si="23"/>
        <v>0.95367431640625011</v>
      </c>
      <c r="S936" s="64">
        <f t="shared" si="24"/>
        <v>24</v>
      </c>
      <c r="T936" s="64">
        <f t="shared" si="25"/>
        <v>36.594444444444449</v>
      </c>
      <c r="U936" s="64" t="str">
        <f t="shared" si="26"/>
        <v>35-60</v>
      </c>
      <c r="V936" s="64" t="str">
        <f t="shared" si="27"/>
        <v>&lt;10 Гб</v>
      </c>
    </row>
    <row r="937" spans="1:22" ht="15.75" customHeight="1" x14ac:dyDescent="0.25">
      <c r="A937" s="62" t="s">
        <v>1028</v>
      </c>
      <c r="B937" s="56">
        <v>35649</v>
      </c>
      <c r="C937" s="62" t="s">
        <v>88</v>
      </c>
      <c r="D937" s="62" t="s">
        <v>84</v>
      </c>
      <c r="E937" s="62" t="s">
        <v>85</v>
      </c>
      <c r="F937" s="62" t="s">
        <v>96</v>
      </c>
      <c r="G937" s="56">
        <v>43618</v>
      </c>
      <c r="H937" s="62">
        <v>5</v>
      </c>
      <c r="I937" s="62">
        <v>54732</v>
      </c>
      <c r="J937" s="62">
        <v>0</v>
      </c>
      <c r="P937" s="63">
        <f t="shared" si="21"/>
        <v>120</v>
      </c>
      <c r="Q937" s="64">
        <f t="shared" si="22"/>
        <v>228.05</v>
      </c>
      <c r="R937" s="64">
        <f t="shared" si="23"/>
        <v>0</v>
      </c>
      <c r="S937" s="64">
        <f t="shared" si="24"/>
        <v>24</v>
      </c>
      <c r="T937" s="64">
        <f t="shared" si="25"/>
        <v>53.211666666666673</v>
      </c>
      <c r="U937" s="64" t="str">
        <f t="shared" si="26"/>
        <v>35-60</v>
      </c>
      <c r="V937" s="64" t="str">
        <f t="shared" si="27"/>
        <v>&lt;10 Гб</v>
      </c>
    </row>
    <row r="938" spans="1:22" ht="15.75" customHeight="1" x14ac:dyDescent="0.25">
      <c r="A938" s="62" t="s">
        <v>1029</v>
      </c>
      <c r="B938" s="56">
        <v>35647</v>
      </c>
      <c r="C938" s="62" t="s">
        <v>83</v>
      </c>
      <c r="D938" s="62" t="s">
        <v>84</v>
      </c>
      <c r="E938" s="62" t="s">
        <v>85</v>
      </c>
      <c r="F938" s="62" t="s">
        <v>96</v>
      </c>
      <c r="G938" s="56">
        <v>43280</v>
      </c>
      <c r="H938" s="62">
        <v>5</v>
      </c>
      <c r="I938" s="62">
        <v>36232</v>
      </c>
      <c r="J938" s="62">
        <v>108000000</v>
      </c>
      <c r="K938" s="62">
        <v>1</v>
      </c>
      <c r="M938" s="62">
        <v>1</v>
      </c>
      <c r="O938" s="62">
        <v>1</v>
      </c>
      <c r="P938" s="63">
        <f t="shared" si="21"/>
        <v>120</v>
      </c>
      <c r="Q938" s="64">
        <f t="shared" si="22"/>
        <v>150.96666666666667</v>
      </c>
      <c r="R938" s="64">
        <f t="shared" si="23"/>
        <v>25.74920654296875</v>
      </c>
      <c r="S938" s="64">
        <f t="shared" si="24"/>
        <v>24</v>
      </c>
      <c r="T938" s="64">
        <f t="shared" si="25"/>
        <v>35.225555555555552</v>
      </c>
      <c r="U938" s="64" t="str">
        <f t="shared" si="26"/>
        <v>35-60</v>
      </c>
      <c r="V938" s="64" t="str">
        <f t="shared" si="27"/>
        <v>21-30 Гб</v>
      </c>
    </row>
    <row r="939" spans="1:22" ht="15.75" customHeight="1" x14ac:dyDescent="0.25">
      <c r="A939" s="62" t="s">
        <v>1030</v>
      </c>
      <c r="B939" s="56">
        <v>35640</v>
      </c>
      <c r="C939" s="62" t="s">
        <v>88</v>
      </c>
      <c r="D939" s="62" t="s">
        <v>84</v>
      </c>
      <c r="E939" s="62" t="s">
        <v>85</v>
      </c>
      <c r="F939" s="62" t="s">
        <v>93</v>
      </c>
      <c r="G939" s="56">
        <v>43898</v>
      </c>
      <c r="H939" s="62">
        <v>5</v>
      </c>
      <c r="I939" s="62">
        <v>10872</v>
      </c>
      <c r="J939" s="62">
        <v>16000000</v>
      </c>
      <c r="P939" s="63">
        <f t="shared" si="21"/>
        <v>120</v>
      </c>
      <c r="Q939" s="64">
        <f t="shared" si="22"/>
        <v>45.3</v>
      </c>
      <c r="R939" s="64">
        <f t="shared" si="23"/>
        <v>3.8146972656250004</v>
      </c>
      <c r="S939" s="64">
        <f t="shared" si="24"/>
        <v>24</v>
      </c>
      <c r="T939" s="64">
        <f t="shared" si="25"/>
        <v>10.569999999999999</v>
      </c>
      <c r="U939" s="64" t="str">
        <f t="shared" si="26"/>
        <v>&lt;35</v>
      </c>
      <c r="V939" s="64" t="str">
        <f t="shared" si="27"/>
        <v>&lt;10 Гб</v>
      </c>
    </row>
    <row r="940" spans="1:22" ht="15.75" customHeight="1" x14ac:dyDescent="0.25">
      <c r="A940" s="62" t="s">
        <v>1031</v>
      </c>
      <c r="B940" s="56">
        <v>35633</v>
      </c>
      <c r="C940" s="62" t="s">
        <v>83</v>
      </c>
      <c r="D940" s="62" t="s">
        <v>84</v>
      </c>
      <c r="E940" s="62" t="s">
        <v>85</v>
      </c>
      <c r="F940" s="62" t="s">
        <v>96</v>
      </c>
      <c r="G940" s="56">
        <v>44554</v>
      </c>
      <c r="H940" s="62">
        <v>4</v>
      </c>
      <c r="I940" s="62">
        <v>20770</v>
      </c>
      <c r="J940" s="62">
        <v>88000000</v>
      </c>
      <c r="K940" s="62">
        <v>1</v>
      </c>
      <c r="L940" s="62">
        <v>1</v>
      </c>
      <c r="P940" s="63">
        <f t="shared" si="21"/>
        <v>120</v>
      </c>
      <c r="Q940" s="64">
        <f t="shared" si="22"/>
        <v>86.541666666666671</v>
      </c>
      <c r="R940" s="64">
        <f t="shared" si="23"/>
        <v>20.9808349609375</v>
      </c>
      <c r="S940" s="64">
        <f t="shared" si="24"/>
        <v>24</v>
      </c>
      <c r="T940" s="64">
        <f t="shared" si="25"/>
        <v>20.193055555555556</v>
      </c>
      <c r="U940" s="64" t="str">
        <f t="shared" si="26"/>
        <v>&lt;35</v>
      </c>
      <c r="V940" s="64" t="str">
        <f t="shared" si="27"/>
        <v>21-30 Гб</v>
      </c>
    </row>
    <row r="941" spans="1:22" ht="15.75" customHeight="1" x14ac:dyDescent="0.25">
      <c r="A941" s="62" t="s">
        <v>1032</v>
      </c>
      <c r="B941" s="56">
        <v>35633</v>
      </c>
      <c r="C941" s="62" t="s">
        <v>88</v>
      </c>
      <c r="D941" s="62" t="s">
        <v>84</v>
      </c>
      <c r="E941" s="62" t="s">
        <v>85</v>
      </c>
      <c r="F941" s="62" t="s">
        <v>89</v>
      </c>
      <c r="G941" s="56">
        <v>44011</v>
      </c>
      <c r="H941" s="62">
        <v>5</v>
      </c>
      <c r="I941" s="62">
        <v>19616</v>
      </c>
      <c r="J941" s="62">
        <v>152000000</v>
      </c>
      <c r="P941" s="63">
        <f t="shared" si="21"/>
        <v>120</v>
      </c>
      <c r="Q941" s="64">
        <f t="shared" si="22"/>
        <v>81.733333333333334</v>
      </c>
      <c r="R941" s="64">
        <f t="shared" si="23"/>
        <v>36.2396240234375</v>
      </c>
      <c r="S941" s="64">
        <f t="shared" si="24"/>
        <v>24</v>
      </c>
      <c r="T941" s="64">
        <f t="shared" si="25"/>
        <v>19.071111111111112</v>
      </c>
      <c r="U941" s="64" t="str">
        <f t="shared" si="26"/>
        <v>&lt;35</v>
      </c>
      <c r="V941" s="64" t="str">
        <f t="shared" si="27"/>
        <v>31-40 Гб</v>
      </c>
    </row>
    <row r="942" spans="1:22" ht="15.75" customHeight="1" x14ac:dyDescent="0.25">
      <c r="A942" s="62" t="s">
        <v>1033</v>
      </c>
      <c r="B942" s="56">
        <v>35632</v>
      </c>
      <c r="C942" s="62" t="s">
        <v>88</v>
      </c>
      <c r="D942" s="62" t="s">
        <v>84</v>
      </c>
      <c r="E942" s="62" t="s">
        <v>85</v>
      </c>
      <c r="F942" s="62" t="s">
        <v>96</v>
      </c>
      <c r="G942" s="56">
        <v>44221</v>
      </c>
      <c r="H942" s="62">
        <v>5</v>
      </c>
      <c r="I942" s="62">
        <v>11388</v>
      </c>
      <c r="J942" s="62">
        <v>84000000</v>
      </c>
      <c r="P942" s="63">
        <f t="shared" si="21"/>
        <v>120</v>
      </c>
      <c r="Q942" s="64">
        <f t="shared" si="22"/>
        <v>47.45</v>
      </c>
      <c r="R942" s="64">
        <f t="shared" si="23"/>
        <v>20.02716064453125</v>
      </c>
      <c r="S942" s="64">
        <f t="shared" si="24"/>
        <v>24</v>
      </c>
      <c r="T942" s="64">
        <f t="shared" si="25"/>
        <v>11.071666666666667</v>
      </c>
      <c r="U942" s="64" t="str">
        <f t="shared" si="26"/>
        <v>&lt;35</v>
      </c>
      <c r="V942" s="64" t="str">
        <f t="shared" si="27"/>
        <v>21-30 Гб</v>
      </c>
    </row>
    <row r="943" spans="1:22" ht="15.75" customHeight="1" x14ac:dyDescent="0.25">
      <c r="A943" s="62" t="s">
        <v>1034</v>
      </c>
      <c r="B943" s="56">
        <v>35628</v>
      </c>
      <c r="C943" s="62" t="s">
        <v>83</v>
      </c>
      <c r="D943" s="62" t="s">
        <v>84</v>
      </c>
      <c r="E943" s="62" t="s">
        <v>92</v>
      </c>
      <c r="F943" s="62" t="s">
        <v>89</v>
      </c>
      <c r="G943" s="56">
        <v>43917</v>
      </c>
      <c r="H943" s="62">
        <v>5</v>
      </c>
      <c r="I943" s="62">
        <v>22652</v>
      </c>
      <c r="J943" s="62">
        <v>152000000</v>
      </c>
      <c r="P943" s="63">
        <f t="shared" si="21"/>
        <v>120</v>
      </c>
      <c r="Q943" s="64">
        <f t="shared" si="22"/>
        <v>94.38333333333334</v>
      </c>
      <c r="R943" s="64">
        <f t="shared" si="23"/>
        <v>36.2396240234375</v>
      </c>
      <c r="S943" s="64">
        <f t="shared" si="24"/>
        <v>24</v>
      </c>
      <c r="T943" s="64">
        <f t="shared" si="25"/>
        <v>22.02277777777778</v>
      </c>
      <c r="U943" s="64" t="str">
        <f t="shared" si="26"/>
        <v>&lt;35</v>
      </c>
      <c r="V943" s="64" t="str">
        <f t="shared" si="27"/>
        <v>31-40 Гб</v>
      </c>
    </row>
    <row r="944" spans="1:22" ht="15.75" customHeight="1" x14ac:dyDescent="0.25">
      <c r="A944" s="62" t="s">
        <v>1035</v>
      </c>
      <c r="B944" s="56">
        <v>35624</v>
      </c>
      <c r="C944" s="62" t="s">
        <v>83</v>
      </c>
      <c r="D944" s="62" t="s">
        <v>84</v>
      </c>
      <c r="E944" s="62" t="s">
        <v>85</v>
      </c>
      <c r="F944" s="62" t="s">
        <v>89</v>
      </c>
      <c r="G944" s="56">
        <v>43913</v>
      </c>
      <c r="H944" s="62">
        <v>5</v>
      </c>
      <c r="I944" s="62">
        <v>10148</v>
      </c>
      <c r="J944" s="62">
        <v>60000000</v>
      </c>
      <c r="P944" s="63">
        <f t="shared" si="21"/>
        <v>120</v>
      </c>
      <c r="Q944" s="64">
        <f t="shared" si="22"/>
        <v>42.283333333333331</v>
      </c>
      <c r="R944" s="64">
        <f t="shared" si="23"/>
        <v>14.30511474609375</v>
      </c>
      <c r="S944" s="64">
        <f t="shared" si="24"/>
        <v>24</v>
      </c>
      <c r="T944" s="64">
        <f t="shared" si="25"/>
        <v>9.8661111111111115</v>
      </c>
      <c r="U944" s="64" t="str">
        <f t="shared" si="26"/>
        <v>&lt;35</v>
      </c>
      <c r="V944" s="64" t="str">
        <f t="shared" si="27"/>
        <v>10-20 Гб</v>
      </c>
    </row>
    <row r="945" spans="1:22" ht="15.75" customHeight="1" x14ac:dyDescent="0.25">
      <c r="A945" s="62" t="s">
        <v>1036</v>
      </c>
      <c r="B945" s="56">
        <v>35623</v>
      </c>
      <c r="C945" s="62" t="s">
        <v>83</v>
      </c>
      <c r="D945" s="62" t="s">
        <v>84</v>
      </c>
      <c r="E945" s="62" t="s">
        <v>85</v>
      </c>
      <c r="F945" s="62" t="s">
        <v>96</v>
      </c>
      <c r="G945" s="56">
        <v>43205</v>
      </c>
      <c r="H945" s="62">
        <v>5</v>
      </c>
      <c r="I945" s="62">
        <v>27576</v>
      </c>
      <c r="J945" s="62">
        <v>96000000</v>
      </c>
      <c r="O945" s="62">
        <v>1</v>
      </c>
      <c r="P945" s="63">
        <f t="shared" si="21"/>
        <v>120</v>
      </c>
      <c r="Q945" s="64">
        <f t="shared" si="22"/>
        <v>114.9</v>
      </c>
      <c r="R945" s="64">
        <f t="shared" si="23"/>
        <v>22.88818359375</v>
      </c>
      <c r="S945" s="64">
        <f t="shared" si="24"/>
        <v>24</v>
      </c>
      <c r="T945" s="64">
        <f t="shared" si="25"/>
        <v>26.810000000000002</v>
      </c>
      <c r="U945" s="64" t="str">
        <f t="shared" si="26"/>
        <v>&lt;35</v>
      </c>
      <c r="V945" s="64" t="str">
        <f t="shared" si="27"/>
        <v>21-30 Гб</v>
      </c>
    </row>
    <row r="946" spans="1:22" ht="15.75" customHeight="1" x14ac:dyDescent="0.25">
      <c r="A946" s="62" t="s">
        <v>1037</v>
      </c>
      <c r="B946" s="56">
        <v>35623</v>
      </c>
      <c r="C946" s="62" t="s">
        <v>83</v>
      </c>
      <c r="D946" s="62" t="s">
        <v>84</v>
      </c>
      <c r="E946" s="62" t="s">
        <v>92</v>
      </c>
      <c r="F946" s="62" t="s">
        <v>89</v>
      </c>
      <c r="G946" s="56">
        <v>43630</v>
      </c>
      <c r="H946" s="62">
        <v>5</v>
      </c>
      <c r="I946" s="62">
        <v>24236</v>
      </c>
      <c r="J946" s="62">
        <v>148000000</v>
      </c>
      <c r="L946" s="62">
        <v>1</v>
      </c>
      <c r="P946" s="63">
        <f t="shared" si="21"/>
        <v>120</v>
      </c>
      <c r="Q946" s="64">
        <f t="shared" si="22"/>
        <v>100.98333333333333</v>
      </c>
      <c r="R946" s="64">
        <f t="shared" si="23"/>
        <v>35.28594970703125</v>
      </c>
      <c r="S946" s="64">
        <f t="shared" si="24"/>
        <v>24</v>
      </c>
      <c r="T946" s="64">
        <f t="shared" si="25"/>
        <v>23.562777777777779</v>
      </c>
      <c r="U946" s="64" t="str">
        <f t="shared" si="26"/>
        <v>&lt;35</v>
      </c>
      <c r="V946" s="64" t="str">
        <f t="shared" si="27"/>
        <v>31-40 Гб</v>
      </c>
    </row>
    <row r="947" spans="1:22" ht="15.75" customHeight="1" x14ac:dyDescent="0.25">
      <c r="A947" s="62" t="s">
        <v>1038</v>
      </c>
      <c r="B947" s="56">
        <v>35619</v>
      </c>
      <c r="C947" s="62" t="s">
        <v>88</v>
      </c>
      <c r="D947" s="62" t="s">
        <v>84</v>
      </c>
      <c r="E947" s="62" t="s">
        <v>85</v>
      </c>
      <c r="F947" s="62" t="s">
        <v>96</v>
      </c>
      <c r="G947" s="56">
        <v>43166</v>
      </c>
      <c r="H947" s="62">
        <v>5</v>
      </c>
      <c r="I947" s="62">
        <v>41872</v>
      </c>
      <c r="J947" s="62">
        <v>48000000</v>
      </c>
      <c r="P947" s="63">
        <f t="shared" si="21"/>
        <v>120</v>
      </c>
      <c r="Q947" s="64">
        <f t="shared" si="22"/>
        <v>174.46666666666667</v>
      </c>
      <c r="R947" s="64">
        <f t="shared" si="23"/>
        <v>11.444091796875</v>
      </c>
      <c r="S947" s="64">
        <f t="shared" si="24"/>
        <v>24</v>
      </c>
      <c r="T947" s="64">
        <f t="shared" si="25"/>
        <v>40.708888888888886</v>
      </c>
      <c r="U947" s="64" t="str">
        <f t="shared" si="26"/>
        <v>35-60</v>
      </c>
      <c r="V947" s="64" t="str">
        <f t="shared" si="27"/>
        <v>10-20 Гб</v>
      </c>
    </row>
    <row r="948" spans="1:22" ht="15.75" customHeight="1" x14ac:dyDescent="0.25">
      <c r="A948" s="62" t="s">
        <v>1039</v>
      </c>
      <c r="B948" s="56">
        <v>35617</v>
      </c>
      <c r="C948" s="62" t="s">
        <v>83</v>
      </c>
      <c r="D948" s="62" t="s">
        <v>84</v>
      </c>
      <c r="E948" s="62" t="s">
        <v>92</v>
      </c>
      <c r="F948" s="62" t="s">
        <v>96</v>
      </c>
      <c r="G948" s="56">
        <v>42743</v>
      </c>
      <c r="H948" s="62">
        <v>5</v>
      </c>
      <c r="I948" s="62">
        <v>6180</v>
      </c>
      <c r="J948" s="62">
        <v>104000000</v>
      </c>
      <c r="K948" s="62">
        <v>1</v>
      </c>
      <c r="P948" s="63">
        <f t="shared" si="21"/>
        <v>120</v>
      </c>
      <c r="Q948" s="64">
        <f t="shared" si="22"/>
        <v>25.75</v>
      </c>
      <c r="R948" s="64">
        <f t="shared" si="23"/>
        <v>24.7955322265625</v>
      </c>
      <c r="S948" s="64">
        <f t="shared" si="24"/>
        <v>24</v>
      </c>
      <c r="T948" s="64">
        <f t="shared" si="25"/>
        <v>6.0083333333333337</v>
      </c>
      <c r="U948" s="64" t="str">
        <f t="shared" si="26"/>
        <v>&lt;35</v>
      </c>
      <c r="V948" s="64" t="str">
        <f t="shared" si="27"/>
        <v>21-30 Гб</v>
      </c>
    </row>
    <row r="949" spans="1:22" ht="15.75" customHeight="1" x14ac:dyDescent="0.25">
      <c r="A949" s="62" t="s">
        <v>1040</v>
      </c>
      <c r="B949" s="56">
        <v>35617</v>
      </c>
      <c r="C949" s="62" t="s">
        <v>83</v>
      </c>
      <c r="D949" s="62" t="s">
        <v>84</v>
      </c>
      <c r="E949" s="62" t="s">
        <v>85</v>
      </c>
      <c r="F949" s="62" t="s">
        <v>96</v>
      </c>
      <c r="G949" s="56">
        <v>43161</v>
      </c>
      <c r="H949" s="62">
        <v>5</v>
      </c>
      <c r="I949" s="62">
        <v>51064</v>
      </c>
      <c r="J949" s="62">
        <v>24000000</v>
      </c>
      <c r="K949" s="62">
        <v>1</v>
      </c>
      <c r="P949" s="63">
        <f t="shared" si="21"/>
        <v>120</v>
      </c>
      <c r="Q949" s="64">
        <f t="shared" si="22"/>
        <v>212.76666666666668</v>
      </c>
      <c r="R949" s="64">
        <f t="shared" si="23"/>
        <v>5.7220458984375</v>
      </c>
      <c r="S949" s="64">
        <f t="shared" si="24"/>
        <v>24</v>
      </c>
      <c r="T949" s="64">
        <f t="shared" si="25"/>
        <v>49.645555555555561</v>
      </c>
      <c r="U949" s="64" t="str">
        <f t="shared" si="26"/>
        <v>35-60</v>
      </c>
      <c r="V949" s="64" t="str">
        <f t="shared" si="27"/>
        <v>&lt;10 Гб</v>
      </c>
    </row>
    <row r="950" spans="1:22" ht="15.75" customHeight="1" x14ac:dyDescent="0.25">
      <c r="A950" s="62" t="s">
        <v>1041</v>
      </c>
      <c r="B950" s="56">
        <v>35616</v>
      </c>
      <c r="C950" s="62" t="s">
        <v>83</v>
      </c>
      <c r="D950" s="62" t="s">
        <v>84</v>
      </c>
      <c r="E950" s="62" t="s">
        <v>92</v>
      </c>
      <c r="F950" s="62" t="s">
        <v>100</v>
      </c>
      <c r="G950" s="56">
        <v>43106</v>
      </c>
      <c r="H950" s="62">
        <v>5</v>
      </c>
      <c r="I950" s="62">
        <v>96440</v>
      </c>
      <c r="J950" s="62">
        <v>64000000</v>
      </c>
      <c r="K950" s="62">
        <v>1</v>
      </c>
      <c r="P950" s="63">
        <f t="shared" si="21"/>
        <v>120</v>
      </c>
      <c r="Q950" s="64">
        <f t="shared" si="22"/>
        <v>401.83333333333331</v>
      </c>
      <c r="R950" s="64">
        <f t="shared" si="23"/>
        <v>15.258789062500002</v>
      </c>
      <c r="S950" s="64">
        <f t="shared" si="24"/>
        <v>24</v>
      </c>
      <c r="T950" s="64">
        <f t="shared" si="25"/>
        <v>93.761111111111106</v>
      </c>
      <c r="U950" s="64" t="str">
        <f t="shared" si="26"/>
        <v>91-120</v>
      </c>
      <c r="V950" s="64" t="str">
        <f t="shared" si="27"/>
        <v>10-20 Гб</v>
      </c>
    </row>
    <row r="951" spans="1:22" ht="15.75" customHeight="1" x14ac:dyDescent="0.25">
      <c r="A951" s="62" t="s">
        <v>1042</v>
      </c>
      <c r="B951" s="56">
        <v>35615</v>
      </c>
      <c r="C951" s="62" t="s">
        <v>83</v>
      </c>
      <c r="D951" s="62" t="s">
        <v>84</v>
      </c>
      <c r="E951" s="62" t="s">
        <v>92</v>
      </c>
      <c r="F951" s="62" t="s">
        <v>96</v>
      </c>
      <c r="G951" s="56">
        <v>44455</v>
      </c>
      <c r="H951" s="62">
        <v>5</v>
      </c>
      <c r="I951" s="62">
        <v>26864</v>
      </c>
      <c r="J951" s="62">
        <v>104000000</v>
      </c>
      <c r="P951" s="63">
        <f t="shared" si="21"/>
        <v>120</v>
      </c>
      <c r="Q951" s="64">
        <f t="shared" si="22"/>
        <v>111.93333333333334</v>
      </c>
      <c r="R951" s="64">
        <f t="shared" si="23"/>
        <v>24.7955322265625</v>
      </c>
      <c r="S951" s="64">
        <f t="shared" si="24"/>
        <v>24</v>
      </c>
      <c r="T951" s="64">
        <f t="shared" si="25"/>
        <v>26.117777777777778</v>
      </c>
      <c r="U951" s="64" t="str">
        <f t="shared" si="26"/>
        <v>&lt;35</v>
      </c>
      <c r="V951" s="64" t="str">
        <f t="shared" si="27"/>
        <v>21-30 Гб</v>
      </c>
    </row>
    <row r="952" spans="1:22" ht="15.75" customHeight="1" x14ac:dyDescent="0.25">
      <c r="A952" s="62" t="s">
        <v>1043</v>
      </c>
      <c r="B952" s="56">
        <v>35613</v>
      </c>
      <c r="C952" s="62" t="s">
        <v>88</v>
      </c>
      <c r="D952" s="62" t="s">
        <v>84</v>
      </c>
      <c r="E952" s="62" t="s">
        <v>85</v>
      </c>
      <c r="F952" s="62" t="s">
        <v>100</v>
      </c>
      <c r="G952" s="56">
        <v>43308</v>
      </c>
      <c r="H952" s="62">
        <v>5</v>
      </c>
      <c r="I952" s="62">
        <v>82164</v>
      </c>
      <c r="J952" s="62">
        <v>8000000</v>
      </c>
      <c r="P952" s="63">
        <f t="shared" si="21"/>
        <v>120</v>
      </c>
      <c r="Q952" s="64">
        <f t="shared" si="22"/>
        <v>342.35</v>
      </c>
      <c r="R952" s="64">
        <f t="shared" si="23"/>
        <v>1.9073486328125002</v>
      </c>
      <c r="S952" s="64">
        <f t="shared" si="24"/>
        <v>24</v>
      </c>
      <c r="T952" s="64">
        <f t="shared" si="25"/>
        <v>79.881666666666675</v>
      </c>
      <c r="U952" s="64" t="str">
        <f t="shared" si="26"/>
        <v>61-90</v>
      </c>
      <c r="V952" s="64" t="str">
        <f t="shared" si="27"/>
        <v>&lt;10 Гб</v>
      </c>
    </row>
    <row r="953" spans="1:22" ht="15.75" customHeight="1" x14ac:dyDescent="0.25">
      <c r="A953" s="62" t="s">
        <v>1044</v>
      </c>
      <c r="B953" s="56">
        <v>35611</v>
      </c>
      <c r="C953" s="62" t="s">
        <v>88</v>
      </c>
      <c r="D953" s="62" t="s">
        <v>84</v>
      </c>
      <c r="E953" s="62" t="s">
        <v>92</v>
      </c>
      <c r="F953" s="62" t="s">
        <v>89</v>
      </c>
      <c r="G953" s="56">
        <v>44277</v>
      </c>
      <c r="H953" s="62">
        <v>5</v>
      </c>
      <c r="I953" s="62">
        <v>12888</v>
      </c>
      <c r="J953" s="62">
        <v>140000000</v>
      </c>
      <c r="P953" s="63">
        <f t="shared" si="21"/>
        <v>120</v>
      </c>
      <c r="Q953" s="64">
        <f t="shared" si="22"/>
        <v>53.7</v>
      </c>
      <c r="R953" s="64">
        <f t="shared" si="23"/>
        <v>33.37860107421875</v>
      </c>
      <c r="S953" s="64">
        <f t="shared" si="24"/>
        <v>24</v>
      </c>
      <c r="T953" s="64">
        <f t="shared" si="25"/>
        <v>12.530000000000001</v>
      </c>
      <c r="U953" s="64" t="str">
        <f t="shared" si="26"/>
        <v>&lt;35</v>
      </c>
      <c r="V953" s="64" t="str">
        <f t="shared" si="27"/>
        <v>31-40 Гб</v>
      </c>
    </row>
    <row r="954" spans="1:22" ht="15.75" customHeight="1" x14ac:dyDescent="0.25">
      <c r="A954" s="62" t="s">
        <v>1045</v>
      </c>
      <c r="B954" s="56">
        <v>35610</v>
      </c>
      <c r="C954" s="62" t="s">
        <v>88</v>
      </c>
      <c r="D954" s="62" t="s">
        <v>84</v>
      </c>
      <c r="E954" s="62" t="s">
        <v>85</v>
      </c>
      <c r="F954" s="62" t="s">
        <v>96</v>
      </c>
      <c r="G954" s="56">
        <v>42906</v>
      </c>
      <c r="H954" s="62">
        <v>5</v>
      </c>
      <c r="I954" s="62">
        <v>87828</v>
      </c>
      <c r="J954" s="62">
        <v>96000000</v>
      </c>
      <c r="P954" s="63">
        <f t="shared" si="21"/>
        <v>120</v>
      </c>
      <c r="Q954" s="64">
        <f t="shared" si="22"/>
        <v>365.95</v>
      </c>
      <c r="R954" s="64">
        <f t="shared" si="23"/>
        <v>22.88818359375</v>
      </c>
      <c r="S954" s="64">
        <f t="shared" si="24"/>
        <v>24</v>
      </c>
      <c r="T954" s="64">
        <f t="shared" si="25"/>
        <v>85.388333333333335</v>
      </c>
      <c r="U954" s="64" t="str">
        <f t="shared" si="26"/>
        <v>61-90</v>
      </c>
      <c r="V954" s="64" t="str">
        <f t="shared" si="27"/>
        <v>21-30 Гб</v>
      </c>
    </row>
    <row r="955" spans="1:22" ht="15.75" customHeight="1" x14ac:dyDescent="0.25">
      <c r="A955" s="62" t="s">
        <v>1046</v>
      </c>
      <c r="B955" s="56">
        <v>35610</v>
      </c>
      <c r="C955" s="62" t="s">
        <v>88</v>
      </c>
      <c r="D955" s="62" t="s">
        <v>84</v>
      </c>
      <c r="E955" s="62" t="s">
        <v>92</v>
      </c>
      <c r="F955" s="62" t="s">
        <v>89</v>
      </c>
      <c r="G955" s="56">
        <v>44459</v>
      </c>
      <c r="H955" s="62">
        <v>5</v>
      </c>
      <c r="I955" s="62">
        <v>20120</v>
      </c>
      <c r="J955" s="62">
        <v>140000000</v>
      </c>
      <c r="P955" s="63">
        <f t="shared" si="21"/>
        <v>120</v>
      </c>
      <c r="Q955" s="64">
        <f t="shared" si="22"/>
        <v>83.833333333333329</v>
      </c>
      <c r="R955" s="64">
        <f t="shared" si="23"/>
        <v>33.37860107421875</v>
      </c>
      <c r="S955" s="64">
        <f t="shared" si="24"/>
        <v>24</v>
      </c>
      <c r="T955" s="64">
        <f t="shared" si="25"/>
        <v>19.56111111111111</v>
      </c>
      <c r="U955" s="64" t="str">
        <f t="shared" si="26"/>
        <v>&lt;35</v>
      </c>
      <c r="V955" s="64" t="str">
        <f t="shared" si="27"/>
        <v>31-40 Гб</v>
      </c>
    </row>
    <row r="956" spans="1:22" ht="15.75" customHeight="1" x14ac:dyDescent="0.25">
      <c r="A956" s="62" t="s">
        <v>1047</v>
      </c>
      <c r="B956" s="56">
        <v>35608</v>
      </c>
      <c r="C956" s="62" t="s">
        <v>83</v>
      </c>
      <c r="D956" s="62" t="s">
        <v>84</v>
      </c>
      <c r="E956" s="62" t="s">
        <v>85</v>
      </c>
      <c r="F956" s="62" t="s">
        <v>100</v>
      </c>
      <c r="G956" s="56">
        <v>43775</v>
      </c>
      <c r="H956" s="62">
        <v>5</v>
      </c>
      <c r="I956" s="62">
        <v>100268</v>
      </c>
      <c r="J956" s="62">
        <v>128000000</v>
      </c>
      <c r="P956" s="63">
        <f t="shared" si="21"/>
        <v>120</v>
      </c>
      <c r="Q956" s="64">
        <f t="shared" si="22"/>
        <v>417.78333333333336</v>
      </c>
      <c r="R956" s="64">
        <f t="shared" si="23"/>
        <v>30.517578125000004</v>
      </c>
      <c r="S956" s="64">
        <f t="shared" si="24"/>
        <v>24</v>
      </c>
      <c r="T956" s="64">
        <f t="shared" si="25"/>
        <v>97.482777777777784</v>
      </c>
      <c r="U956" s="64" t="str">
        <f t="shared" si="26"/>
        <v>91-120</v>
      </c>
      <c r="V956" s="64" t="str">
        <f t="shared" si="27"/>
        <v>31-40 Гб</v>
      </c>
    </row>
    <row r="957" spans="1:22" ht="15.75" customHeight="1" x14ac:dyDescent="0.25">
      <c r="A957" s="62" t="s">
        <v>1048</v>
      </c>
      <c r="B957" s="56">
        <v>35604</v>
      </c>
      <c r="C957" s="62" t="s">
        <v>88</v>
      </c>
      <c r="D957" s="62" t="s">
        <v>84</v>
      </c>
      <c r="E957" s="62" t="s">
        <v>85</v>
      </c>
      <c r="F957" s="62" t="s">
        <v>100</v>
      </c>
      <c r="G957" s="56">
        <v>42919</v>
      </c>
      <c r="H957" s="62">
        <v>5</v>
      </c>
      <c r="I957" s="62">
        <v>66508</v>
      </c>
      <c r="J957" s="62">
        <v>8000000</v>
      </c>
      <c r="P957" s="63">
        <f t="shared" si="21"/>
        <v>120</v>
      </c>
      <c r="Q957" s="64">
        <f t="shared" si="22"/>
        <v>277.11666666666667</v>
      </c>
      <c r="R957" s="64">
        <f t="shared" si="23"/>
        <v>1.9073486328125002</v>
      </c>
      <c r="S957" s="64">
        <f t="shared" si="24"/>
        <v>24</v>
      </c>
      <c r="T957" s="64">
        <f t="shared" si="25"/>
        <v>64.660555555555547</v>
      </c>
      <c r="U957" s="64" t="str">
        <f t="shared" si="26"/>
        <v>61-90</v>
      </c>
      <c r="V957" s="64" t="str">
        <f t="shared" si="27"/>
        <v>&lt;10 Гб</v>
      </c>
    </row>
    <row r="958" spans="1:22" ht="15.75" customHeight="1" x14ac:dyDescent="0.25">
      <c r="A958" s="62" t="s">
        <v>1049</v>
      </c>
      <c r="B958" s="56">
        <v>35602</v>
      </c>
      <c r="C958" s="62" t="s">
        <v>88</v>
      </c>
      <c r="D958" s="62" t="s">
        <v>84</v>
      </c>
      <c r="E958" s="62" t="s">
        <v>92</v>
      </c>
      <c r="F958" s="62" t="s">
        <v>100</v>
      </c>
      <c r="G958" s="56">
        <v>43290</v>
      </c>
      <c r="H958" s="62">
        <v>5</v>
      </c>
      <c r="I958" s="62">
        <v>79528</v>
      </c>
      <c r="J958" s="62">
        <v>116000000</v>
      </c>
      <c r="K958" s="62">
        <v>1</v>
      </c>
      <c r="L958" s="62">
        <v>1</v>
      </c>
      <c r="P958" s="63">
        <f t="shared" si="21"/>
        <v>120</v>
      </c>
      <c r="Q958" s="64">
        <f t="shared" si="22"/>
        <v>331.36666666666667</v>
      </c>
      <c r="R958" s="64">
        <f t="shared" si="23"/>
        <v>27.65655517578125</v>
      </c>
      <c r="S958" s="64">
        <f t="shared" si="24"/>
        <v>24</v>
      </c>
      <c r="T958" s="64">
        <f t="shared" si="25"/>
        <v>77.318888888888893</v>
      </c>
      <c r="U958" s="64" t="str">
        <f t="shared" si="26"/>
        <v>61-90</v>
      </c>
      <c r="V958" s="64" t="str">
        <f t="shared" si="27"/>
        <v>21-30 Гб</v>
      </c>
    </row>
    <row r="959" spans="1:22" ht="15.75" customHeight="1" x14ac:dyDescent="0.25">
      <c r="A959" s="62" t="s">
        <v>1050</v>
      </c>
      <c r="B959" s="56">
        <v>35601</v>
      </c>
      <c r="C959" s="62" t="s">
        <v>83</v>
      </c>
      <c r="D959" s="62" t="s">
        <v>84</v>
      </c>
      <c r="E959" s="62" t="s">
        <v>85</v>
      </c>
      <c r="F959" s="62" t="s">
        <v>89</v>
      </c>
      <c r="G959" s="56">
        <v>44033</v>
      </c>
      <c r="H959" s="62">
        <v>5</v>
      </c>
      <c r="I959" s="62">
        <v>23864</v>
      </c>
      <c r="J959" s="62">
        <v>148000000</v>
      </c>
      <c r="P959" s="63">
        <f t="shared" si="21"/>
        <v>120</v>
      </c>
      <c r="Q959" s="64">
        <f t="shared" si="22"/>
        <v>99.433333333333337</v>
      </c>
      <c r="R959" s="64">
        <f t="shared" si="23"/>
        <v>35.28594970703125</v>
      </c>
      <c r="S959" s="64">
        <f t="shared" si="24"/>
        <v>24</v>
      </c>
      <c r="T959" s="64">
        <f t="shared" si="25"/>
        <v>23.201111111111111</v>
      </c>
      <c r="U959" s="64" t="str">
        <f t="shared" si="26"/>
        <v>&lt;35</v>
      </c>
      <c r="V959" s="64" t="str">
        <f t="shared" si="27"/>
        <v>31-40 Гб</v>
      </c>
    </row>
    <row r="960" spans="1:22" ht="15.75" customHeight="1" x14ac:dyDescent="0.25">
      <c r="A960" s="62" t="s">
        <v>1051</v>
      </c>
      <c r="B960" s="56">
        <v>35595</v>
      </c>
      <c r="C960" s="62" t="s">
        <v>88</v>
      </c>
      <c r="D960" s="62" t="s">
        <v>84</v>
      </c>
      <c r="E960" s="62" t="s">
        <v>92</v>
      </c>
      <c r="F960" s="62" t="s">
        <v>96</v>
      </c>
      <c r="G960" s="56">
        <v>44444</v>
      </c>
      <c r="H960" s="62">
        <v>5</v>
      </c>
      <c r="I960" s="62">
        <v>14056</v>
      </c>
      <c r="J960" s="62">
        <v>88000000</v>
      </c>
      <c r="P960" s="63">
        <f t="shared" si="21"/>
        <v>120</v>
      </c>
      <c r="Q960" s="64">
        <f t="shared" si="22"/>
        <v>58.56666666666667</v>
      </c>
      <c r="R960" s="64">
        <f t="shared" si="23"/>
        <v>20.9808349609375</v>
      </c>
      <c r="S960" s="64">
        <f t="shared" si="24"/>
        <v>24</v>
      </c>
      <c r="T960" s="64">
        <f t="shared" si="25"/>
        <v>13.665555555555557</v>
      </c>
      <c r="U960" s="64" t="str">
        <f t="shared" si="26"/>
        <v>&lt;35</v>
      </c>
      <c r="V960" s="64" t="str">
        <f t="shared" si="27"/>
        <v>21-30 Гб</v>
      </c>
    </row>
    <row r="961" spans="1:22" ht="15.75" customHeight="1" x14ac:dyDescent="0.25">
      <c r="A961" s="62" t="s">
        <v>1052</v>
      </c>
      <c r="B961" s="56">
        <v>35592</v>
      </c>
      <c r="C961" s="62" t="s">
        <v>88</v>
      </c>
      <c r="D961" s="62" t="s">
        <v>84</v>
      </c>
      <c r="E961" s="62" t="s">
        <v>92</v>
      </c>
      <c r="F961" s="62" t="s">
        <v>100</v>
      </c>
      <c r="G961" s="56">
        <v>44467</v>
      </c>
      <c r="H961" s="62">
        <v>5</v>
      </c>
      <c r="I961" s="62">
        <v>41060</v>
      </c>
      <c r="J961" s="62">
        <v>124000000</v>
      </c>
      <c r="M961" s="62">
        <v>1</v>
      </c>
      <c r="P961" s="63">
        <f t="shared" si="21"/>
        <v>120</v>
      </c>
      <c r="Q961" s="64">
        <f t="shared" si="22"/>
        <v>171.08333333333334</v>
      </c>
      <c r="R961" s="64">
        <f t="shared" si="23"/>
        <v>29.56390380859375</v>
      </c>
      <c r="S961" s="64">
        <f t="shared" si="24"/>
        <v>24</v>
      </c>
      <c r="T961" s="64">
        <f t="shared" si="25"/>
        <v>39.919444444444451</v>
      </c>
      <c r="U961" s="64" t="str">
        <f t="shared" si="26"/>
        <v>35-60</v>
      </c>
      <c r="V961" s="64" t="str">
        <f t="shared" si="27"/>
        <v>21-30 Гб</v>
      </c>
    </row>
    <row r="962" spans="1:22" ht="15.75" customHeight="1" x14ac:dyDescent="0.25">
      <c r="A962" s="62" t="s">
        <v>1053</v>
      </c>
      <c r="B962" s="56">
        <v>35590</v>
      </c>
      <c r="C962" s="62" t="s">
        <v>88</v>
      </c>
      <c r="D962" s="62" t="s">
        <v>84</v>
      </c>
      <c r="E962" s="62" t="s">
        <v>92</v>
      </c>
      <c r="F962" s="62" t="s">
        <v>96</v>
      </c>
      <c r="G962" s="56">
        <v>43777</v>
      </c>
      <c r="H962" s="62">
        <v>5</v>
      </c>
      <c r="I962" s="62">
        <v>18472</v>
      </c>
      <c r="J962" s="62">
        <v>24000000</v>
      </c>
      <c r="K962" s="62">
        <v>1</v>
      </c>
      <c r="O962" s="62">
        <v>1</v>
      </c>
      <c r="P962" s="63">
        <f t="shared" si="21"/>
        <v>120</v>
      </c>
      <c r="Q962" s="64">
        <f t="shared" si="22"/>
        <v>76.966666666666669</v>
      </c>
      <c r="R962" s="64">
        <f t="shared" si="23"/>
        <v>5.7220458984375</v>
      </c>
      <c r="S962" s="64">
        <f t="shared" si="24"/>
        <v>24</v>
      </c>
      <c r="T962" s="64">
        <f t="shared" si="25"/>
        <v>17.95888888888889</v>
      </c>
      <c r="U962" s="64" t="str">
        <f t="shared" si="26"/>
        <v>&lt;35</v>
      </c>
      <c r="V962" s="64" t="str">
        <f t="shared" si="27"/>
        <v>&lt;10 Гб</v>
      </c>
    </row>
    <row r="963" spans="1:22" ht="15.75" customHeight="1" x14ac:dyDescent="0.25">
      <c r="A963" s="62" t="s">
        <v>1054</v>
      </c>
      <c r="B963" s="56">
        <v>35588</v>
      </c>
      <c r="C963" s="62" t="s">
        <v>83</v>
      </c>
      <c r="D963" s="62" t="s">
        <v>84</v>
      </c>
      <c r="E963" s="62" t="s">
        <v>92</v>
      </c>
      <c r="F963" s="62" t="s">
        <v>96</v>
      </c>
      <c r="G963" s="56">
        <v>42837</v>
      </c>
      <c r="H963" s="62">
        <v>5</v>
      </c>
      <c r="I963" s="62">
        <v>7160</v>
      </c>
      <c r="J963" s="62">
        <v>96000000</v>
      </c>
      <c r="P963" s="63">
        <f t="shared" si="21"/>
        <v>120</v>
      </c>
      <c r="Q963" s="64">
        <f t="shared" si="22"/>
        <v>29.833333333333332</v>
      </c>
      <c r="R963" s="64">
        <f t="shared" si="23"/>
        <v>22.88818359375</v>
      </c>
      <c r="S963" s="64">
        <f t="shared" si="24"/>
        <v>24</v>
      </c>
      <c r="T963" s="64">
        <f t="shared" si="25"/>
        <v>6.9611111111111104</v>
      </c>
      <c r="U963" s="64" t="str">
        <f t="shared" si="26"/>
        <v>&lt;35</v>
      </c>
      <c r="V963" s="64" t="str">
        <f t="shared" si="27"/>
        <v>21-30 Гб</v>
      </c>
    </row>
    <row r="964" spans="1:22" ht="15.75" customHeight="1" x14ac:dyDescent="0.25">
      <c r="A964" s="62" t="s">
        <v>1055</v>
      </c>
      <c r="B964" s="56">
        <v>35587</v>
      </c>
      <c r="C964" s="62" t="s">
        <v>83</v>
      </c>
      <c r="D964" s="62" t="s">
        <v>84</v>
      </c>
      <c r="E964" s="62" t="s">
        <v>92</v>
      </c>
      <c r="F964" s="62" t="s">
        <v>89</v>
      </c>
      <c r="G964" s="56">
        <v>43211</v>
      </c>
      <c r="H964" s="62">
        <v>5</v>
      </c>
      <c r="I964" s="62">
        <v>21476</v>
      </c>
      <c r="J964" s="62">
        <v>152000000</v>
      </c>
      <c r="M964" s="62">
        <v>1</v>
      </c>
      <c r="P964" s="63">
        <f t="shared" si="21"/>
        <v>120</v>
      </c>
      <c r="Q964" s="64">
        <f t="shared" si="22"/>
        <v>89.483333333333334</v>
      </c>
      <c r="R964" s="64">
        <f t="shared" si="23"/>
        <v>36.2396240234375</v>
      </c>
      <c r="S964" s="64">
        <f t="shared" si="24"/>
        <v>24</v>
      </c>
      <c r="T964" s="64">
        <f t="shared" si="25"/>
        <v>20.879444444444445</v>
      </c>
      <c r="U964" s="64" t="str">
        <f t="shared" si="26"/>
        <v>&lt;35</v>
      </c>
      <c r="V964" s="64" t="str">
        <f t="shared" si="27"/>
        <v>31-40 Гб</v>
      </c>
    </row>
    <row r="965" spans="1:22" ht="15.75" customHeight="1" x14ac:dyDescent="0.25">
      <c r="A965" s="62" t="s">
        <v>1056</v>
      </c>
      <c r="B965" s="56">
        <v>35586</v>
      </c>
      <c r="C965" s="62" t="s">
        <v>88</v>
      </c>
      <c r="D965" s="62" t="s">
        <v>84</v>
      </c>
      <c r="E965" s="62" t="s">
        <v>85</v>
      </c>
      <c r="F965" s="62" t="s">
        <v>89</v>
      </c>
      <c r="G965" s="56">
        <v>44592</v>
      </c>
      <c r="H965" s="62">
        <v>3</v>
      </c>
      <c r="I965" s="62">
        <v>27000</v>
      </c>
      <c r="J965" s="62">
        <v>51000000</v>
      </c>
      <c r="P965" s="63">
        <f t="shared" si="21"/>
        <v>90</v>
      </c>
      <c r="Q965" s="64">
        <f t="shared" si="22"/>
        <v>150</v>
      </c>
      <c r="R965" s="64">
        <f t="shared" si="23"/>
        <v>16.21246337890625</v>
      </c>
      <c r="S965" s="64">
        <f t="shared" si="24"/>
        <v>24</v>
      </c>
      <c r="T965" s="64">
        <f t="shared" si="25"/>
        <v>35</v>
      </c>
      <c r="U965" s="64" t="str">
        <f t="shared" si="26"/>
        <v>&lt;35</v>
      </c>
      <c r="V965" s="64" t="str">
        <f t="shared" si="27"/>
        <v>10-20 Гб</v>
      </c>
    </row>
    <row r="966" spans="1:22" ht="15.75" customHeight="1" x14ac:dyDescent="0.25">
      <c r="A966" s="62" t="s">
        <v>1057</v>
      </c>
      <c r="B966" s="56">
        <v>35586</v>
      </c>
      <c r="C966" s="62" t="s">
        <v>83</v>
      </c>
      <c r="D966" s="62" t="s">
        <v>84</v>
      </c>
      <c r="E966" s="62" t="s">
        <v>92</v>
      </c>
      <c r="F966" s="62" t="s">
        <v>96</v>
      </c>
      <c r="G966" s="56">
        <v>43270</v>
      </c>
      <c r="H966" s="62">
        <v>5</v>
      </c>
      <c r="I966" s="62">
        <v>39520</v>
      </c>
      <c r="J966" s="62">
        <v>92000000</v>
      </c>
      <c r="P966" s="63">
        <f t="shared" si="21"/>
        <v>120</v>
      </c>
      <c r="Q966" s="64">
        <f t="shared" si="22"/>
        <v>164.66666666666666</v>
      </c>
      <c r="R966" s="64">
        <f t="shared" si="23"/>
        <v>21.93450927734375</v>
      </c>
      <c r="S966" s="64">
        <f t="shared" si="24"/>
        <v>24</v>
      </c>
      <c r="T966" s="64">
        <f t="shared" si="25"/>
        <v>38.422222222222217</v>
      </c>
      <c r="U966" s="64" t="str">
        <f t="shared" si="26"/>
        <v>35-60</v>
      </c>
      <c r="V966" s="64" t="str">
        <f t="shared" si="27"/>
        <v>21-30 Гб</v>
      </c>
    </row>
    <row r="967" spans="1:22" ht="15.75" customHeight="1" x14ac:dyDescent="0.25">
      <c r="A967" s="62" t="s">
        <v>1058</v>
      </c>
      <c r="B967" s="56">
        <v>35584</v>
      </c>
      <c r="C967" s="62" t="s">
        <v>88</v>
      </c>
      <c r="D967" s="62" t="s">
        <v>84</v>
      </c>
      <c r="E967" s="62" t="s">
        <v>85</v>
      </c>
      <c r="F967" s="62" t="s">
        <v>100</v>
      </c>
      <c r="G967" s="56">
        <v>42760</v>
      </c>
      <c r="H967" s="62">
        <v>5</v>
      </c>
      <c r="I967" s="62">
        <v>15664</v>
      </c>
      <c r="J967" s="62">
        <v>112000000</v>
      </c>
      <c r="P967" s="63">
        <f t="shared" si="21"/>
        <v>120</v>
      </c>
      <c r="Q967" s="64">
        <f t="shared" si="22"/>
        <v>65.266666666666666</v>
      </c>
      <c r="R967" s="64">
        <f t="shared" si="23"/>
        <v>26.702880859375</v>
      </c>
      <c r="S967" s="64">
        <f t="shared" si="24"/>
        <v>24</v>
      </c>
      <c r="T967" s="64">
        <f t="shared" si="25"/>
        <v>15.228888888888889</v>
      </c>
      <c r="U967" s="64" t="str">
        <f t="shared" si="26"/>
        <v>&lt;35</v>
      </c>
      <c r="V967" s="64" t="str">
        <f t="shared" si="27"/>
        <v>21-30 Гб</v>
      </c>
    </row>
    <row r="968" spans="1:22" ht="15.75" customHeight="1" x14ac:dyDescent="0.25">
      <c r="A968" s="62" t="s">
        <v>1059</v>
      </c>
      <c r="B968" s="56">
        <v>35584</v>
      </c>
      <c r="C968" s="62" t="s">
        <v>83</v>
      </c>
      <c r="D968" s="62" t="s">
        <v>84</v>
      </c>
      <c r="E968" s="62" t="s">
        <v>85</v>
      </c>
      <c r="F968" s="62" t="s">
        <v>89</v>
      </c>
      <c r="G968" s="56">
        <v>43471</v>
      </c>
      <c r="H968" s="62">
        <v>5</v>
      </c>
      <c r="I968" s="62">
        <v>32544</v>
      </c>
      <c r="J968" s="62">
        <v>144000000</v>
      </c>
      <c r="L968" s="62">
        <v>1</v>
      </c>
      <c r="P968" s="63">
        <f t="shared" si="21"/>
        <v>120</v>
      </c>
      <c r="Q968" s="64">
        <f t="shared" si="22"/>
        <v>135.6</v>
      </c>
      <c r="R968" s="64">
        <f t="shared" si="23"/>
        <v>34.332275390625</v>
      </c>
      <c r="S968" s="64">
        <f t="shared" si="24"/>
        <v>24</v>
      </c>
      <c r="T968" s="64">
        <f t="shared" si="25"/>
        <v>31.639999999999997</v>
      </c>
      <c r="U968" s="64" t="str">
        <f t="shared" si="26"/>
        <v>&lt;35</v>
      </c>
      <c r="V968" s="64" t="str">
        <f t="shared" si="27"/>
        <v>31-40 Гб</v>
      </c>
    </row>
    <row r="969" spans="1:22" ht="15.75" customHeight="1" x14ac:dyDescent="0.25">
      <c r="A969" s="62" t="s">
        <v>1060</v>
      </c>
      <c r="B969" s="56">
        <v>35579</v>
      </c>
      <c r="C969" s="62" t="s">
        <v>83</v>
      </c>
      <c r="D969" s="62" t="s">
        <v>84</v>
      </c>
      <c r="E969" s="62" t="s">
        <v>85</v>
      </c>
      <c r="F969" s="62" t="s">
        <v>100</v>
      </c>
      <c r="G969" s="56">
        <v>44624</v>
      </c>
      <c r="H969" s="62">
        <v>1</v>
      </c>
      <c r="I969" s="62">
        <v>5107</v>
      </c>
      <c r="J969" s="62">
        <v>34473224</v>
      </c>
      <c r="K969" s="62">
        <v>1</v>
      </c>
      <c r="L969" s="62">
        <v>1</v>
      </c>
      <c r="P969" s="63">
        <f t="shared" si="21"/>
        <v>58</v>
      </c>
      <c r="Q969" s="64">
        <f t="shared" si="22"/>
        <v>44.025862068965516</v>
      </c>
      <c r="R969" s="64">
        <f t="shared" si="23"/>
        <v>17.004945689234241</v>
      </c>
      <c r="S969" s="64">
        <f t="shared" si="24"/>
        <v>24</v>
      </c>
      <c r="T969" s="64">
        <f t="shared" si="25"/>
        <v>10.272701149425286</v>
      </c>
      <c r="U969" s="64" t="str">
        <f t="shared" si="26"/>
        <v>&lt;35</v>
      </c>
      <c r="V969" s="64" t="str">
        <f t="shared" si="27"/>
        <v>10-20 Гб</v>
      </c>
    </row>
    <row r="970" spans="1:22" ht="15.75" customHeight="1" x14ac:dyDescent="0.25">
      <c r="A970" s="62" t="s">
        <v>1061</v>
      </c>
      <c r="B970" s="56">
        <v>35572</v>
      </c>
      <c r="C970" s="62" t="s">
        <v>83</v>
      </c>
      <c r="D970" s="62" t="s">
        <v>84</v>
      </c>
      <c r="E970" s="62" t="s">
        <v>92</v>
      </c>
      <c r="F970" s="62" t="s">
        <v>89</v>
      </c>
      <c r="G970" s="56">
        <v>44231</v>
      </c>
      <c r="H970" s="62">
        <v>5</v>
      </c>
      <c r="I970" s="62">
        <v>14935</v>
      </c>
      <c r="J970" s="62">
        <v>159278475</v>
      </c>
      <c r="P970" s="63">
        <f t="shared" si="21"/>
        <v>120</v>
      </c>
      <c r="Q970" s="64">
        <f t="shared" si="22"/>
        <v>62.229166666666671</v>
      </c>
      <c r="R970" s="64">
        <f t="shared" si="23"/>
        <v>37.974947690963745</v>
      </c>
      <c r="S970" s="64">
        <f t="shared" si="24"/>
        <v>24</v>
      </c>
      <c r="T970" s="64">
        <f t="shared" si="25"/>
        <v>14.520138888888889</v>
      </c>
      <c r="U970" s="64" t="str">
        <f t="shared" si="26"/>
        <v>&lt;35</v>
      </c>
      <c r="V970" s="64" t="str">
        <f t="shared" si="27"/>
        <v>31-40 Гб</v>
      </c>
    </row>
    <row r="971" spans="1:22" ht="15.75" customHeight="1" x14ac:dyDescent="0.25">
      <c r="A971" s="62" t="s">
        <v>1062</v>
      </c>
      <c r="B971" s="56">
        <v>35569</v>
      </c>
      <c r="C971" s="62" t="s">
        <v>88</v>
      </c>
      <c r="D971" s="62" t="s">
        <v>84</v>
      </c>
      <c r="E971" s="62" t="s">
        <v>85</v>
      </c>
      <c r="F971" s="62" t="s">
        <v>96</v>
      </c>
      <c r="G971" s="56">
        <v>43174</v>
      </c>
      <c r="H971" s="62">
        <v>5</v>
      </c>
      <c r="I971" s="62">
        <v>44955</v>
      </c>
      <c r="J971" s="62">
        <v>114591725</v>
      </c>
      <c r="P971" s="63">
        <f t="shared" si="21"/>
        <v>120</v>
      </c>
      <c r="Q971" s="64">
        <f t="shared" si="22"/>
        <v>187.3125</v>
      </c>
      <c r="R971" s="64">
        <f t="shared" si="23"/>
        <v>27.320796251296997</v>
      </c>
      <c r="S971" s="64">
        <f t="shared" si="24"/>
        <v>24</v>
      </c>
      <c r="T971" s="64">
        <f t="shared" si="25"/>
        <v>43.706249999999997</v>
      </c>
      <c r="U971" s="64" t="str">
        <f t="shared" si="26"/>
        <v>35-60</v>
      </c>
      <c r="V971" s="64" t="str">
        <f t="shared" si="27"/>
        <v>21-30 Гб</v>
      </c>
    </row>
    <row r="972" spans="1:22" ht="15.75" customHeight="1" x14ac:dyDescent="0.25">
      <c r="A972" s="62" t="s">
        <v>1063</v>
      </c>
      <c r="B972" s="56">
        <v>35565</v>
      </c>
      <c r="C972" s="62" t="s">
        <v>88</v>
      </c>
      <c r="D972" s="62" t="s">
        <v>84</v>
      </c>
      <c r="E972" s="62" t="s">
        <v>85</v>
      </c>
      <c r="F972" s="62" t="s">
        <v>89</v>
      </c>
      <c r="G972" s="56">
        <v>44595</v>
      </c>
      <c r="H972" s="62">
        <v>2</v>
      </c>
      <c r="I972" s="62">
        <v>27400</v>
      </c>
      <c r="J972" s="62">
        <v>68009250</v>
      </c>
      <c r="L972" s="62">
        <v>1</v>
      </c>
      <c r="P972" s="63">
        <f t="shared" si="21"/>
        <v>87</v>
      </c>
      <c r="Q972" s="64">
        <f t="shared" si="22"/>
        <v>157.47126436781608</v>
      </c>
      <c r="R972" s="64">
        <f t="shared" si="23"/>
        <v>22.365060345879918</v>
      </c>
      <c r="S972" s="64">
        <f t="shared" si="24"/>
        <v>24</v>
      </c>
      <c r="T972" s="64">
        <f t="shared" si="25"/>
        <v>36.743295019157088</v>
      </c>
      <c r="U972" s="64" t="str">
        <f t="shared" si="26"/>
        <v>35-60</v>
      </c>
      <c r="V972" s="64" t="str">
        <f t="shared" si="27"/>
        <v>21-30 Гб</v>
      </c>
    </row>
    <row r="973" spans="1:22" ht="15.75" customHeight="1" x14ac:dyDescent="0.25">
      <c r="A973" s="62" t="s">
        <v>1064</v>
      </c>
      <c r="B973" s="56">
        <v>35564</v>
      </c>
      <c r="C973" s="62" t="s">
        <v>88</v>
      </c>
      <c r="D973" s="62" t="s">
        <v>84</v>
      </c>
      <c r="E973" s="62" t="s">
        <v>85</v>
      </c>
      <c r="F973" s="62" t="s">
        <v>89</v>
      </c>
      <c r="G973" s="56">
        <v>43856</v>
      </c>
      <c r="H973" s="62">
        <v>5</v>
      </c>
      <c r="I973" s="62">
        <v>8920</v>
      </c>
      <c r="J973" s="62">
        <v>156496550</v>
      </c>
      <c r="P973" s="63">
        <f t="shared" si="21"/>
        <v>120</v>
      </c>
      <c r="Q973" s="64">
        <f t="shared" si="22"/>
        <v>37.166666666666664</v>
      </c>
      <c r="R973" s="64">
        <f t="shared" si="23"/>
        <v>37.311685085296631</v>
      </c>
      <c r="S973" s="64">
        <f t="shared" si="24"/>
        <v>24</v>
      </c>
      <c r="T973" s="64">
        <f t="shared" si="25"/>
        <v>8.6722222222222207</v>
      </c>
      <c r="U973" s="64" t="str">
        <f t="shared" si="26"/>
        <v>&lt;35</v>
      </c>
      <c r="V973" s="64" t="str">
        <f t="shared" si="27"/>
        <v>31-40 Гб</v>
      </c>
    </row>
    <row r="974" spans="1:22" ht="15.75" customHeight="1" x14ac:dyDescent="0.25">
      <c r="A974" s="62" t="s">
        <v>1065</v>
      </c>
      <c r="B974" s="56">
        <v>35563</v>
      </c>
      <c r="C974" s="62" t="s">
        <v>83</v>
      </c>
      <c r="D974" s="62" t="s">
        <v>84</v>
      </c>
      <c r="E974" s="62" t="s">
        <v>85</v>
      </c>
      <c r="F974" s="62" t="s">
        <v>100</v>
      </c>
      <c r="G974" s="56">
        <v>43287</v>
      </c>
      <c r="H974" s="62">
        <v>5</v>
      </c>
      <c r="I974" s="62">
        <v>130310</v>
      </c>
      <c r="J974" s="62">
        <v>69793150</v>
      </c>
      <c r="K974" s="62">
        <v>1</v>
      </c>
      <c r="P974" s="63">
        <f t="shared" si="21"/>
        <v>120</v>
      </c>
      <c r="Q974" s="64">
        <f t="shared" si="22"/>
        <v>542.95833333333337</v>
      </c>
      <c r="R974" s="64">
        <f t="shared" si="23"/>
        <v>16.639983654022217</v>
      </c>
      <c r="S974" s="64">
        <f t="shared" si="24"/>
        <v>24</v>
      </c>
      <c r="T974" s="64">
        <f t="shared" si="25"/>
        <v>126.69027777777778</v>
      </c>
      <c r="U974" s="64" t="str">
        <f t="shared" si="26"/>
        <v>120+</v>
      </c>
      <c r="V974" s="64" t="str">
        <f t="shared" si="27"/>
        <v>10-20 Гб</v>
      </c>
    </row>
    <row r="975" spans="1:22" ht="15.75" customHeight="1" x14ac:dyDescent="0.25">
      <c r="A975" s="62" t="s">
        <v>1066</v>
      </c>
      <c r="B975" s="56">
        <v>35558</v>
      </c>
      <c r="C975" s="62" t="s">
        <v>83</v>
      </c>
      <c r="D975" s="62" t="s">
        <v>84</v>
      </c>
      <c r="E975" s="62" t="s">
        <v>92</v>
      </c>
      <c r="F975" s="62" t="s">
        <v>96</v>
      </c>
      <c r="G975" s="56">
        <v>44525</v>
      </c>
      <c r="H975" s="62">
        <v>5</v>
      </c>
      <c r="I975" s="62">
        <v>64385</v>
      </c>
      <c r="J975" s="62">
        <v>117245675</v>
      </c>
      <c r="P975" s="63">
        <f t="shared" si="21"/>
        <v>120</v>
      </c>
      <c r="Q975" s="64">
        <f t="shared" si="22"/>
        <v>268.27083333333331</v>
      </c>
      <c r="R975" s="64">
        <f t="shared" si="23"/>
        <v>27.953547239303589</v>
      </c>
      <c r="S975" s="64">
        <f t="shared" si="24"/>
        <v>24</v>
      </c>
      <c r="T975" s="64">
        <f t="shared" si="25"/>
        <v>62.596527777777773</v>
      </c>
      <c r="U975" s="64" t="str">
        <f t="shared" si="26"/>
        <v>61-90</v>
      </c>
      <c r="V975" s="64" t="str">
        <f t="shared" si="27"/>
        <v>21-30 Гб</v>
      </c>
    </row>
    <row r="976" spans="1:22" ht="15.75" customHeight="1" x14ac:dyDescent="0.25">
      <c r="A976" s="62" t="s">
        <v>1067</v>
      </c>
      <c r="B976" s="56">
        <v>35552</v>
      </c>
      <c r="C976" s="62" t="s">
        <v>88</v>
      </c>
      <c r="D976" s="62" t="s">
        <v>84</v>
      </c>
      <c r="E976" s="62" t="s">
        <v>92</v>
      </c>
      <c r="F976" s="62" t="s">
        <v>89</v>
      </c>
      <c r="G976" s="56">
        <v>43931</v>
      </c>
      <c r="H976" s="62">
        <v>5</v>
      </c>
      <c r="I976" s="62">
        <v>32505</v>
      </c>
      <c r="J976" s="62">
        <v>124125575</v>
      </c>
      <c r="P976" s="63">
        <f t="shared" si="21"/>
        <v>120</v>
      </c>
      <c r="Q976" s="64">
        <f t="shared" si="22"/>
        <v>135.4375</v>
      </c>
      <c r="R976" s="64">
        <f t="shared" si="23"/>
        <v>29.593843221664429</v>
      </c>
      <c r="S976" s="64">
        <f t="shared" si="24"/>
        <v>24</v>
      </c>
      <c r="T976" s="64">
        <f t="shared" si="25"/>
        <v>31.602083333333333</v>
      </c>
      <c r="U976" s="64" t="str">
        <f t="shared" si="26"/>
        <v>&lt;35</v>
      </c>
      <c r="V976" s="64" t="str">
        <f t="shared" si="27"/>
        <v>21-30 Гб</v>
      </c>
    </row>
    <row r="977" spans="1:22" ht="15.75" customHeight="1" x14ac:dyDescent="0.25">
      <c r="A977" s="62" t="s">
        <v>1068</v>
      </c>
      <c r="B977" s="56">
        <v>35551</v>
      </c>
      <c r="C977" s="62" t="s">
        <v>83</v>
      </c>
      <c r="D977" s="62" t="s">
        <v>84</v>
      </c>
      <c r="E977" s="62" t="s">
        <v>85</v>
      </c>
      <c r="F977" s="62" t="s">
        <v>89</v>
      </c>
      <c r="G977" s="56">
        <v>43210</v>
      </c>
      <c r="H977" s="62">
        <v>5</v>
      </c>
      <c r="I977" s="62">
        <v>10460</v>
      </c>
      <c r="J977" s="62">
        <v>191810550</v>
      </c>
      <c r="P977" s="63">
        <f t="shared" si="21"/>
        <v>120</v>
      </c>
      <c r="Q977" s="64">
        <f t="shared" si="22"/>
        <v>43.583333333333336</v>
      </c>
      <c r="R977" s="64">
        <f t="shared" si="23"/>
        <v>45.731198787689209</v>
      </c>
      <c r="S977" s="64">
        <f t="shared" si="24"/>
        <v>25</v>
      </c>
      <c r="T977" s="64">
        <f t="shared" si="25"/>
        <v>10.169444444444446</v>
      </c>
      <c r="U977" s="64" t="str">
        <f t="shared" si="26"/>
        <v>&lt;35</v>
      </c>
      <c r="V977" s="64" t="str">
        <f t="shared" si="27"/>
        <v>40+ Гб</v>
      </c>
    </row>
    <row r="978" spans="1:22" ht="15.75" customHeight="1" x14ac:dyDescent="0.25">
      <c r="A978" s="62" t="s">
        <v>1069</v>
      </c>
      <c r="B978" s="56">
        <v>35550</v>
      </c>
      <c r="C978" s="62" t="s">
        <v>88</v>
      </c>
      <c r="D978" s="62" t="s">
        <v>84</v>
      </c>
      <c r="E978" s="62" t="s">
        <v>92</v>
      </c>
      <c r="F978" s="62" t="s">
        <v>86</v>
      </c>
      <c r="G978" s="56">
        <v>43615</v>
      </c>
      <c r="H978" s="62">
        <v>5</v>
      </c>
      <c r="I978" s="62">
        <v>189250</v>
      </c>
      <c r="J978" s="62">
        <v>40082375</v>
      </c>
      <c r="L978" s="62">
        <v>1</v>
      </c>
      <c r="P978" s="63">
        <f t="shared" si="21"/>
        <v>120</v>
      </c>
      <c r="Q978" s="64">
        <f t="shared" si="22"/>
        <v>788.54166666666663</v>
      </c>
      <c r="R978" s="64">
        <f t="shared" si="23"/>
        <v>9.5563828945159912</v>
      </c>
      <c r="S978" s="64">
        <f t="shared" si="24"/>
        <v>25</v>
      </c>
      <c r="T978" s="64">
        <f t="shared" si="25"/>
        <v>183.99305555555554</v>
      </c>
      <c r="U978" s="64" t="str">
        <f t="shared" si="26"/>
        <v>120+</v>
      </c>
      <c r="V978" s="64" t="str">
        <f t="shared" si="27"/>
        <v>&lt;10 Гб</v>
      </c>
    </row>
    <row r="979" spans="1:22" ht="15.75" customHeight="1" x14ac:dyDescent="0.25">
      <c r="A979" s="62" t="s">
        <v>1070</v>
      </c>
      <c r="B979" s="56">
        <v>35548</v>
      </c>
      <c r="C979" s="62" t="s">
        <v>83</v>
      </c>
      <c r="D979" s="62" t="s">
        <v>84</v>
      </c>
      <c r="E979" s="62" t="s">
        <v>85</v>
      </c>
      <c r="F979" s="62" t="s">
        <v>89</v>
      </c>
      <c r="G979" s="56">
        <v>43986</v>
      </c>
      <c r="H979" s="62">
        <v>5</v>
      </c>
      <c r="I979" s="62">
        <v>32175</v>
      </c>
      <c r="J979" s="62">
        <v>183151775</v>
      </c>
      <c r="P979" s="63">
        <f t="shared" si="21"/>
        <v>120</v>
      </c>
      <c r="Q979" s="64">
        <f t="shared" si="22"/>
        <v>134.0625</v>
      </c>
      <c r="R979" s="64">
        <f t="shared" si="23"/>
        <v>43.666785955429077</v>
      </c>
      <c r="S979" s="64">
        <f t="shared" si="24"/>
        <v>25</v>
      </c>
      <c r="T979" s="64">
        <f t="shared" si="25"/>
        <v>31.28125</v>
      </c>
      <c r="U979" s="64" t="str">
        <f t="shared" si="26"/>
        <v>&lt;35</v>
      </c>
      <c r="V979" s="64" t="str">
        <f t="shared" si="27"/>
        <v>40+ Гб</v>
      </c>
    </row>
    <row r="980" spans="1:22" ht="15.75" customHeight="1" x14ac:dyDescent="0.25">
      <c r="A980" s="62" t="s">
        <v>1071</v>
      </c>
      <c r="B980" s="56">
        <v>35547</v>
      </c>
      <c r="C980" s="62" t="s">
        <v>83</v>
      </c>
      <c r="D980" s="62" t="s">
        <v>84</v>
      </c>
      <c r="E980" s="62" t="s">
        <v>85</v>
      </c>
      <c r="F980" s="62" t="s">
        <v>100</v>
      </c>
      <c r="G980" s="56">
        <v>42736</v>
      </c>
      <c r="H980" s="62">
        <v>5</v>
      </c>
      <c r="I980" s="62">
        <v>49620</v>
      </c>
      <c r="J980" s="62">
        <v>133553625</v>
      </c>
      <c r="P980" s="63">
        <f t="shared" si="21"/>
        <v>120</v>
      </c>
      <c r="Q980" s="64">
        <f t="shared" si="22"/>
        <v>206.75</v>
      </c>
      <c r="R980" s="64">
        <f t="shared" si="23"/>
        <v>31.841665506362915</v>
      </c>
      <c r="S980" s="64">
        <f t="shared" si="24"/>
        <v>25</v>
      </c>
      <c r="T980" s="64">
        <f t="shared" si="25"/>
        <v>48.241666666666667</v>
      </c>
      <c r="U980" s="64" t="str">
        <f t="shared" si="26"/>
        <v>35-60</v>
      </c>
      <c r="V980" s="64" t="str">
        <f t="shared" si="27"/>
        <v>31-40 Гб</v>
      </c>
    </row>
    <row r="981" spans="1:22" ht="15.75" customHeight="1" x14ac:dyDescent="0.25">
      <c r="A981" s="62" t="s">
        <v>1072</v>
      </c>
      <c r="B981" s="56">
        <v>35544</v>
      </c>
      <c r="C981" s="62" t="s">
        <v>88</v>
      </c>
      <c r="D981" s="62" t="s">
        <v>84</v>
      </c>
      <c r="E981" s="62" t="s">
        <v>92</v>
      </c>
      <c r="F981" s="62" t="s">
        <v>100</v>
      </c>
      <c r="G981" s="56">
        <v>43071</v>
      </c>
      <c r="H981" s="62">
        <v>5</v>
      </c>
      <c r="I981" s="62">
        <v>34105</v>
      </c>
      <c r="J981" s="62">
        <v>138129300</v>
      </c>
      <c r="L981" s="62">
        <v>1</v>
      </c>
      <c r="M981" s="62">
        <v>1</v>
      </c>
      <c r="P981" s="63">
        <f t="shared" si="21"/>
        <v>120</v>
      </c>
      <c r="Q981" s="64">
        <f t="shared" si="22"/>
        <v>142.10416666666666</v>
      </c>
      <c r="R981" s="64">
        <f t="shared" si="23"/>
        <v>32.932591438293457</v>
      </c>
      <c r="S981" s="64">
        <f t="shared" si="24"/>
        <v>25</v>
      </c>
      <c r="T981" s="64">
        <f t="shared" si="25"/>
        <v>33.15763888888889</v>
      </c>
      <c r="U981" s="64" t="str">
        <f t="shared" si="26"/>
        <v>&lt;35</v>
      </c>
      <c r="V981" s="64" t="str">
        <f t="shared" si="27"/>
        <v>31-40 Гб</v>
      </c>
    </row>
    <row r="982" spans="1:22" ht="15.75" customHeight="1" x14ac:dyDescent="0.25">
      <c r="A982" s="62" t="s">
        <v>1073</v>
      </c>
      <c r="B982" s="56">
        <v>35544</v>
      </c>
      <c r="C982" s="62" t="s">
        <v>83</v>
      </c>
      <c r="D982" s="62" t="s">
        <v>84</v>
      </c>
      <c r="E982" s="62" t="s">
        <v>85</v>
      </c>
      <c r="F982" s="62" t="s">
        <v>89</v>
      </c>
      <c r="G982" s="56">
        <v>43210</v>
      </c>
      <c r="H982" s="62">
        <v>5</v>
      </c>
      <c r="I982" s="62">
        <v>21200</v>
      </c>
      <c r="J982" s="62">
        <v>160765550</v>
      </c>
      <c r="K982" s="62">
        <v>1</v>
      </c>
      <c r="O982" s="62">
        <v>1</v>
      </c>
      <c r="P982" s="63">
        <f t="shared" si="21"/>
        <v>120</v>
      </c>
      <c r="Q982" s="64">
        <f t="shared" si="22"/>
        <v>88.333333333333329</v>
      </c>
      <c r="R982" s="64">
        <f t="shared" si="23"/>
        <v>38.329493999481201</v>
      </c>
      <c r="S982" s="64">
        <f t="shared" si="24"/>
        <v>25</v>
      </c>
      <c r="T982" s="64">
        <f t="shared" si="25"/>
        <v>20.611111111111107</v>
      </c>
      <c r="U982" s="64" t="str">
        <f t="shared" si="26"/>
        <v>&lt;35</v>
      </c>
      <c r="V982" s="64" t="str">
        <f t="shared" si="27"/>
        <v>31-40 Гб</v>
      </c>
    </row>
    <row r="983" spans="1:22" ht="15.75" customHeight="1" x14ac:dyDescent="0.25">
      <c r="A983" s="62" t="s">
        <v>1074</v>
      </c>
      <c r="B983" s="56">
        <v>35543</v>
      </c>
      <c r="C983" s="62" t="s">
        <v>83</v>
      </c>
      <c r="D983" s="62" t="s">
        <v>84</v>
      </c>
      <c r="E983" s="62" t="s">
        <v>85</v>
      </c>
      <c r="F983" s="62" t="s">
        <v>96</v>
      </c>
      <c r="G983" s="56">
        <v>43159</v>
      </c>
      <c r="H983" s="62">
        <v>5</v>
      </c>
      <c r="I983" s="62">
        <v>255</v>
      </c>
      <c r="J983" s="62">
        <v>148620600</v>
      </c>
      <c r="P983" s="63">
        <f t="shared" si="21"/>
        <v>120</v>
      </c>
      <c r="Q983" s="64">
        <f t="shared" si="22"/>
        <v>1.0625</v>
      </c>
      <c r="R983" s="64">
        <f t="shared" si="23"/>
        <v>35.43391227722168</v>
      </c>
      <c r="S983" s="64">
        <f t="shared" si="24"/>
        <v>25</v>
      </c>
      <c r="T983" s="64">
        <f t="shared" si="25"/>
        <v>0.24791666666666667</v>
      </c>
      <c r="U983" s="64" t="str">
        <f t="shared" si="26"/>
        <v>&lt;35</v>
      </c>
      <c r="V983" s="64" t="str">
        <f t="shared" si="27"/>
        <v>31-40 Гб</v>
      </c>
    </row>
    <row r="984" spans="1:22" ht="15.75" customHeight="1" x14ac:dyDescent="0.25">
      <c r="A984" s="62" t="s">
        <v>1075</v>
      </c>
      <c r="B984" s="56">
        <v>35543</v>
      </c>
      <c r="C984" s="62" t="s">
        <v>88</v>
      </c>
      <c r="D984" s="62" t="s">
        <v>84</v>
      </c>
      <c r="E984" s="62" t="s">
        <v>92</v>
      </c>
      <c r="F984" s="62" t="s">
        <v>89</v>
      </c>
      <c r="G984" s="56">
        <v>43319</v>
      </c>
      <c r="H984" s="62">
        <v>5</v>
      </c>
      <c r="I984" s="62">
        <v>12050</v>
      </c>
      <c r="J984" s="62">
        <v>55477800</v>
      </c>
      <c r="P984" s="63">
        <f t="shared" si="21"/>
        <v>120</v>
      </c>
      <c r="Q984" s="64">
        <f t="shared" si="22"/>
        <v>50.208333333333336</v>
      </c>
      <c r="R984" s="64">
        <f t="shared" si="23"/>
        <v>13.226938247680664</v>
      </c>
      <c r="S984" s="64">
        <f t="shared" si="24"/>
        <v>25</v>
      </c>
      <c r="T984" s="64">
        <f t="shared" si="25"/>
        <v>11.715277777777779</v>
      </c>
      <c r="U984" s="64" t="str">
        <f t="shared" si="26"/>
        <v>&lt;35</v>
      </c>
      <c r="V984" s="64" t="str">
        <f t="shared" si="27"/>
        <v>10-20 Гб</v>
      </c>
    </row>
    <row r="985" spans="1:22" ht="15.75" customHeight="1" x14ac:dyDescent="0.25">
      <c r="A985" s="62" t="s">
        <v>1076</v>
      </c>
      <c r="B985" s="56">
        <v>35541</v>
      </c>
      <c r="C985" s="62" t="s">
        <v>83</v>
      </c>
      <c r="D985" s="62" t="s">
        <v>84</v>
      </c>
      <c r="E985" s="62" t="s">
        <v>85</v>
      </c>
      <c r="F985" s="62" t="s">
        <v>93</v>
      </c>
      <c r="G985" s="56">
        <v>44137</v>
      </c>
      <c r="H985" s="62">
        <v>5</v>
      </c>
      <c r="I985" s="62">
        <v>45665</v>
      </c>
      <c r="J985" s="62">
        <v>16671300</v>
      </c>
      <c r="P985" s="63">
        <f t="shared" si="21"/>
        <v>120</v>
      </c>
      <c r="Q985" s="64">
        <f t="shared" si="22"/>
        <v>190.27083333333334</v>
      </c>
      <c r="R985" s="64">
        <f t="shared" si="23"/>
        <v>3.9747476577758789</v>
      </c>
      <c r="S985" s="64">
        <f t="shared" si="24"/>
        <v>25</v>
      </c>
      <c r="T985" s="64">
        <f t="shared" si="25"/>
        <v>44.396527777777784</v>
      </c>
      <c r="U985" s="64" t="str">
        <f t="shared" si="26"/>
        <v>35-60</v>
      </c>
      <c r="V985" s="64" t="str">
        <f t="shared" si="27"/>
        <v>&lt;10 Гб</v>
      </c>
    </row>
    <row r="986" spans="1:22" ht="15.75" customHeight="1" x14ac:dyDescent="0.25">
      <c r="A986" s="62" t="s">
        <v>1077</v>
      </c>
      <c r="B986" s="56">
        <v>35537</v>
      </c>
      <c r="C986" s="62" t="s">
        <v>83</v>
      </c>
      <c r="D986" s="62" t="s">
        <v>84</v>
      </c>
      <c r="E986" s="62" t="s">
        <v>92</v>
      </c>
      <c r="F986" s="62" t="s">
        <v>89</v>
      </c>
      <c r="G986" s="56">
        <v>44466</v>
      </c>
      <c r="H986" s="62">
        <v>5</v>
      </c>
      <c r="I986" s="62">
        <v>3845</v>
      </c>
      <c r="J986" s="62">
        <v>90471450</v>
      </c>
      <c r="L986" s="62">
        <v>1</v>
      </c>
      <c r="P986" s="63">
        <f t="shared" si="21"/>
        <v>120</v>
      </c>
      <c r="Q986" s="64">
        <f t="shared" si="22"/>
        <v>16.020833333333332</v>
      </c>
      <c r="R986" s="64">
        <f t="shared" si="23"/>
        <v>21.570074558258057</v>
      </c>
      <c r="S986" s="64">
        <f t="shared" si="24"/>
        <v>25</v>
      </c>
      <c r="T986" s="64">
        <f t="shared" si="25"/>
        <v>3.7381944444444444</v>
      </c>
      <c r="U986" s="64" t="str">
        <f t="shared" si="26"/>
        <v>&lt;35</v>
      </c>
      <c r="V986" s="64" t="str">
        <f t="shared" si="27"/>
        <v>21-30 Гб</v>
      </c>
    </row>
    <row r="987" spans="1:22" ht="15.75" customHeight="1" x14ac:dyDescent="0.25">
      <c r="A987" s="62" t="s">
        <v>1078</v>
      </c>
      <c r="B987" s="56">
        <v>35535</v>
      </c>
      <c r="C987" s="62" t="s">
        <v>88</v>
      </c>
      <c r="D987" s="62" t="s">
        <v>84</v>
      </c>
      <c r="E987" s="62" t="s">
        <v>85</v>
      </c>
      <c r="F987" s="62" t="s">
        <v>100</v>
      </c>
      <c r="G987" s="56">
        <v>43288</v>
      </c>
      <c r="H987" s="62">
        <v>5</v>
      </c>
      <c r="I987" s="62">
        <v>122180</v>
      </c>
      <c r="J987" s="62">
        <v>143278825</v>
      </c>
      <c r="P987" s="63">
        <f t="shared" si="21"/>
        <v>120</v>
      </c>
      <c r="Q987" s="64">
        <f t="shared" si="22"/>
        <v>509.08333333333337</v>
      </c>
      <c r="R987" s="64">
        <f t="shared" si="23"/>
        <v>34.160333871841431</v>
      </c>
      <c r="S987" s="64">
        <f t="shared" si="24"/>
        <v>25</v>
      </c>
      <c r="T987" s="64">
        <f t="shared" si="25"/>
        <v>118.78611111111111</v>
      </c>
      <c r="U987" s="64" t="str">
        <f t="shared" si="26"/>
        <v>91-120</v>
      </c>
      <c r="V987" s="64" t="str">
        <f t="shared" si="27"/>
        <v>31-40 Гб</v>
      </c>
    </row>
    <row r="988" spans="1:22" ht="15.75" customHeight="1" x14ac:dyDescent="0.25">
      <c r="A988" s="62" t="s">
        <v>1079</v>
      </c>
      <c r="B988" s="56">
        <v>35534</v>
      </c>
      <c r="C988" s="62" t="s">
        <v>88</v>
      </c>
      <c r="D988" s="62" t="s">
        <v>84</v>
      </c>
      <c r="E988" s="62" t="s">
        <v>85</v>
      </c>
      <c r="F988" s="62" t="s">
        <v>100</v>
      </c>
      <c r="G988" s="56">
        <v>44297</v>
      </c>
      <c r="H988" s="62">
        <v>5</v>
      </c>
      <c r="I988" s="62">
        <v>110025</v>
      </c>
      <c r="J988" s="62">
        <v>147303750</v>
      </c>
      <c r="N988" s="62">
        <v>1</v>
      </c>
      <c r="P988" s="63">
        <f t="shared" si="21"/>
        <v>120</v>
      </c>
      <c r="Q988" s="64">
        <f t="shared" si="22"/>
        <v>458.4375</v>
      </c>
      <c r="R988" s="64">
        <f t="shared" si="23"/>
        <v>35.119950771331787</v>
      </c>
      <c r="S988" s="64">
        <f t="shared" si="24"/>
        <v>25</v>
      </c>
      <c r="T988" s="64">
        <f t="shared" si="25"/>
        <v>106.96875</v>
      </c>
      <c r="U988" s="64" t="str">
        <f t="shared" si="26"/>
        <v>91-120</v>
      </c>
      <c r="V988" s="64" t="str">
        <f t="shared" si="27"/>
        <v>31-40 Гб</v>
      </c>
    </row>
    <row r="989" spans="1:22" ht="15.75" customHeight="1" x14ac:dyDescent="0.25">
      <c r="A989" s="62" t="s">
        <v>1080</v>
      </c>
      <c r="B989" s="56">
        <v>35531</v>
      </c>
      <c r="C989" s="62" t="s">
        <v>88</v>
      </c>
      <c r="D989" s="62" t="s">
        <v>84</v>
      </c>
      <c r="E989" s="62" t="s">
        <v>85</v>
      </c>
      <c r="F989" s="62" t="s">
        <v>96</v>
      </c>
      <c r="G989" s="56">
        <v>44183</v>
      </c>
      <c r="H989" s="62">
        <v>5</v>
      </c>
      <c r="I989" s="62">
        <v>74815</v>
      </c>
      <c r="J989" s="62">
        <v>126296950</v>
      </c>
      <c r="P989" s="63">
        <f t="shared" si="21"/>
        <v>120</v>
      </c>
      <c r="Q989" s="64">
        <f t="shared" si="22"/>
        <v>311.72916666666669</v>
      </c>
      <c r="R989" s="64">
        <f t="shared" si="23"/>
        <v>30.11153936386108</v>
      </c>
      <c r="S989" s="64">
        <f t="shared" si="24"/>
        <v>25</v>
      </c>
      <c r="T989" s="64">
        <f t="shared" si="25"/>
        <v>72.736805555555563</v>
      </c>
      <c r="U989" s="64" t="str">
        <f t="shared" si="26"/>
        <v>61-90</v>
      </c>
      <c r="V989" s="64" t="str">
        <f t="shared" si="27"/>
        <v>31-40 Гб</v>
      </c>
    </row>
    <row r="990" spans="1:22" ht="15.75" customHeight="1" x14ac:dyDescent="0.25">
      <c r="A990" s="62" t="s">
        <v>1081</v>
      </c>
      <c r="B990" s="56">
        <v>35528</v>
      </c>
      <c r="C990" s="62" t="s">
        <v>83</v>
      </c>
      <c r="D990" s="62" t="s">
        <v>84</v>
      </c>
      <c r="E990" s="62" t="s">
        <v>92</v>
      </c>
      <c r="F990" s="62" t="s">
        <v>100</v>
      </c>
      <c r="G990" s="56">
        <v>44098</v>
      </c>
      <c r="H990" s="62">
        <v>5</v>
      </c>
      <c r="I990" s="62">
        <v>108140</v>
      </c>
      <c r="J990" s="62">
        <v>55501375</v>
      </c>
      <c r="M990" s="62">
        <v>1</v>
      </c>
      <c r="P990" s="63">
        <f t="shared" si="21"/>
        <v>120</v>
      </c>
      <c r="Q990" s="64">
        <f t="shared" si="22"/>
        <v>450.58333333333331</v>
      </c>
      <c r="R990" s="64">
        <f t="shared" si="23"/>
        <v>13.232558965682983</v>
      </c>
      <c r="S990" s="64">
        <f t="shared" si="24"/>
        <v>25</v>
      </c>
      <c r="T990" s="64">
        <f t="shared" si="25"/>
        <v>105.13611111111111</v>
      </c>
      <c r="U990" s="64" t="str">
        <f t="shared" si="26"/>
        <v>91-120</v>
      </c>
      <c r="V990" s="64" t="str">
        <f t="shared" si="27"/>
        <v>10-20 Гб</v>
      </c>
    </row>
    <row r="991" spans="1:22" ht="15.75" customHeight="1" x14ac:dyDescent="0.25">
      <c r="A991" s="62" t="s">
        <v>1082</v>
      </c>
      <c r="B991" s="56">
        <v>35520</v>
      </c>
      <c r="C991" s="62" t="s">
        <v>83</v>
      </c>
      <c r="D991" s="62" t="s">
        <v>84</v>
      </c>
      <c r="E991" s="62" t="s">
        <v>85</v>
      </c>
      <c r="F991" s="62" t="s">
        <v>96</v>
      </c>
      <c r="G991" s="56">
        <v>43656</v>
      </c>
      <c r="H991" s="62">
        <v>5</v>
      </c>
      <c r="I991" s="62">
        <v>11970</v>
      </c>
      <c r="J991" s="62">
        <v>123018575</v>
      </c>
      <c r="K991" s="62">
        <v>1</v>
      </c>
      <c r="N991" s="62">
        <v>1</v>
      </c>
      <c r="P991" s="63">
        <f t="shared" si="21"/>
        <v>120</v>
      </c>
      <c r="Q991" s="64">
        <f t="shared" si="22"/>
        <v>49.875</v>
      </c>
      <c r="R991" s="64">
        <f t="shared" si="23"/>
        <v>29.329913854598999</v>
      </c>
      <c r="S991" s="64">
        <f t="shared" si="24"/>
        <v>25</v>
      </c>
      <c r="T991" s="64">
        <f t="shared" si="25"/>
        <v>11.637499999999999</v>
      </c>
      <c r="U991" s="64" t="str">
        <f t="shared" si="26"/>
        <v>&lt;35</v>
      </c>
      <c r="V991" s="64" t="str">
        <f t="shared" si="27"/>
        <v>21-30 Гб</v>
      </c>
    </row>
    <row r="992" spans="1:22" ht="15.75" customHeight="1" x14ac:dyDescent="0.25">
      <c r="A992" s="62" t="s">
        <v>1083</v>
      </c>
      <c r="B992" s="56">
        <v>35514</v>
      </c>
      <c r="C992" s="62" t="s">
        <v>83</v>
      </c>
      <c r="D992" s="62" t="s">
        <v>84</v>
      </c>
      <c r="E992" s="62" t="s">
        <v>92</v>
      </c>
      <c r="F992" s="62" t="s">
        <v>96</v>
      </c>
      <c r="G992" s="56">
        <v>44407</v>
      </c>
      <c r="H992" s="62">
        <v>5</v>
      </c>
      <c r="I992" s="62">
        <v>56580</v>
      </c>
      <c r="J992" s="62">
        <v>110944275</v>
      </c>
      <c r="P992" s="63">
        <f t="shared" si="21"/>
        <v>120</v>
      </c>
      <c r="Q992" s="64">
        <f t="shared" si="22"/>
        <v>235.75</v>
      </c>
      <c r="R992" s="64">
        <f t="shared" si="23"/>
        <v>26.451176404953003</v>
      </c>
      <c r="S992" s="64">
        <f t="shared" si="24"/>
        <v>25</v>
      </c>
      <c r="T992" s="64">
        <f t="shared" si="25"/>
        <v>55.008333333333333</v>
      </c>
      <c r="U992" s="64" t="str">
        <f t="shared" si="26"/>
        <v>35-60</v>
      </c>
      <c r="V992" s="64" t="str">
        <f t="shared" si="27"/>
        <v>21-30 Гб</v>
      </c>
    </row>
    <row r="993" spans="1:22" ht="15.75" customHeight="1" x14ac:dyDescent="0.25">
      <c r="A993" s="62" t="s">
        <v>1084</v>
      </c>
      <c r="B993" s="56">
        <v>35514</v>
      </c>
      <c r="C993" s="62" t="s">
        <v>83</v>
      </c>
      <c r="D993" s="62" t="s">
        <v>84</v>
      </c>
      <c r="E993" s="62" t="s">
        <v>85</v>
      </c>
      <c r="F993" s="62" t="s">
        <v>96</v>
      </c>
      <c r="G993" s="56">
        <v>43535</v>
      </c>
      <c r="H993" s="62">
        <v>5</v>
      </c>
      <c r="I993" s="62">
        <v>18590</v>
      </c>
      <c r="J993" s="62">
        <v>130201100</v>
      </c>
      <c r="L993" s="62">
        <v>1</v>
      </c>
      <c r="P993" s="63">
        <f t="shared" si="21"/>
        <v>120</v>
      </c>
      <c r="Q993" s="64">
        <f t="shared" si="22"/>
        <v>77.458333333333329</v>
      </c>
      <c r="R993" s="64">
        <f t="shared" si="23"/>
        <v>31.042361259460453</v>
      </c>
      <c r="S993" s="64">
        <f t="shared" si="24"/>
        <v>25</v>
      </c>
      <c r="T993" s="64">
        <f t="shared" si="25"/>
        <v>18.073611111111109</v>
      </c>
      <c r="U993" s="64" t="str">
        <f t="shared" si="26"/>
        <v>&lt;35</v>
      </c>
      <c r="V993" s="64" t="str">
        <f t="shared" si="27"/>
        <v>31-40 Гб</v>
      </c>
    </row>
    <row r="994" spans="1:22" ht="15.75" customHeight="1" x14ac:dyDescent="0.25">
      <c r="A994" s="62" t="s">
        <v>1085</v>
      </c>
      <c r="B994" s="56">
        <v>35511</v>
      </c>
      <c r="C994" s="62" t="s">
        <v>88</v>
      </c>
      <c r="D994" s="62" t="s">
        <v>84</v>
      </c>
      <c r="E994" s="62" t="s">
        <v>85</v>
      </c>
      <c r="F994" s="62" t="s">
        <v>86</v>
      </c>
      <c r="G994" s="56">
        <v>44545</v>
      </c>
      <c r="H994" s="62">
        <v>4</v>
      </c>
      <c r="I994" s="62">
        <v>170660</v>
      </c>
      <c r="J994" s="62">
        <v>264740200</v>
      </c>
      <c r="M994" s="62">
        <v>1</v>
      </c>
      <c r="P994" s="63">
        <f t="shared" si="21"/>
        <v>120</v>
      </c>
      <c r="Q994" s="64">
        <f t="shared" si="22"/>
        <v>711.08333333333337</v>
      </c>
      <c r="R994" s="64">
        <f t="shared" si="23"/>
        <v>63.118982315063484</v>
      </c>
      <c r="S994" s="64">
        <f t="shared" si="24"/>
        <v>25</v>
      </c>
      <c r="T994" s="64">
        <f t="shared" si="25"/>
        <v>165.91944444444445</v>
      </c>
      <c r="U994" s="64" t="str">
        <f t="shared" si="26"/>
        <v>120+</v>
      </c>
      <c r="V994" s="64" t="str">
        <f t="shared" si="27"/>
        <v>40+ Гб</v>
      </c>
    </row>
    <row r="995" spans="1:22" ht="15.75" customHeight="1" x14ac:dyDescent="0.25">
      <c r="A995" s="62" t="s">
        <v>1086</v>
      </c>
      <c r="B995" s="56">
        <v>35506</v>
      </c>
      <c r="C995" s="62" t="s">
        <v>88</v>
      </c>
      <c r="D995" s="62" t="s">
        <v>84</v>
      </c>
      <c r="E995" s="62" t="s">
        <v>85</v>
      </c>
      <c r="F995" s="62" t="s">
        <v>86</v>
      </c>
      <c r="G995" s="56">
        <v>43234</v>
      </c>
      <c r="H995" s="62">
        <v>5</v>
      </c>
      <c r="I995" s="62">
        <v>123180</v>
      </c>
      <c r="J995" s="62">
        <v>226956725</v>
      </c>
      <c r="P995" s="63">
        <f t="shared" si="21"/>
        <v>120</v>
      </c>
      <c r="Q995" s="64">
        <f t="shared" si="22"/>
        <v>513.25</v>
      </c>
      <c r="R995" s="64">
        <f t="shared" si="23"/>
        <v>54.110699892044067</v>
      </c>
      <c r="S995" s="64">
        <f t="shared" si="24"/>
        <v>25</v>
      </c>
      <c r="T995" s="64">
        <f t="shared" si="25"/>
        <v>119.75833333333334</v>
      </c>
      <c r="U995" s="64" t="str">
        <f t="shared" si="26"/>
        <v>91-120</v>
      </c>
      <c r="V995" s="64" t="str">
        <f t="shared" si="27"/>
        <v>40+ Гб</v>
      </c>
    </row>
    <row r="996" spans="1:22" ht="15.75" customHeight="1" x14ac:dyDescent="0.25">
      <c r="A996" s="62" t="s">
        <v>1087</v>
      </c>
      <c r="B996" s="56">
        <v>35501</v>
      </c>
      <c r="C996" s="62" t="s">
        <v>83</v>
      </c>
      <c r="D996" s="62" t="s">
        <v>84</v>
      </c>
      <c r="E996" s="62" t="s">
        <v>85</v>
      </c>
      <c r="F996" s="62" t="s">
        <v>100</v>
      </c>
      <c r="G996" s="56">
        <v>43552</v>
      </c>
      <c r="H996" s="62">
        <v>5</v>
      </c>
      <c r="I996" s="62">
        <v>132415</v>
      </c>
      <c r="J996" s="62">
        <v>162473875</v>
      </c>
      <c r="P996" s="63">
        <f t="shared" si="21"/>
        <v>120</v>
      </c>
      <c r="Q996" s="64">
        <f t="shared" si="22"/>
        <v>551.72916666666663</v>
      </c>
      <c r="R996" s="64">
        <f t="shared" si="23"/>
        <v>38.736790418624878</v>
      </c>
      <c r="S996" s="64">
        <f t="shared" si="24"/>
        <v>25</v>
      </c>
      <c r="T996" s="64">
        <f t="shared" si="25"/>
        <v>128.73680555555555</v>
      </c>
      <c r="U996" s="64" t="str">
        <f t="shared" si="26"/>
        <v>120+</v>
      </c>
      <c r="V996" s="64" t="str">
        <f t="shared" si="27"/>
        <v>31-40 Гб</v>
      </c>
    </row>
    <row r="997" spans="1:22" ht="15.75" customHeight="1" x14ac:dyDescent="0.25">
      <c r="A997" s="62" t="s">
        <v>1088</v>
      </c>
      <c r="B997" s="56">
        <v>35499</v>
      </c>
      <c r="C997" s="62" t="s">
        <v>88</v>
      </c>
      <c r="D997" s="62" t="s">
        <v>84</v>
      </c>
      <c r="E997" s="62" t="s">
        <v>92</v>
      </c>
      <c r="F997" s="62" t="s">
        <v>96</v>
      </c>
      <c r="G997" s="56">
        <v>43166</v>
      </c>
      <c r="H997" s="62">
        <v>5</v>
      </c>
      <c r="I997" s="62">
        <v>56380</v>
      </c>
      <c r="J997" s="62">
        <v>143590750</v>
      </c>
      <c r="K997" s="62">
        <v>1</v>
      </c>
      <c r="O997" s="62">
        <v>1</v>
      </c>
      <c r="P997" s="63">
        <f t="shared" si="21"/>
        <v>120</v>
      </c>
      <c r="Q997" s="64">
        <f t="shared" si="22"/>
        <v>234.91666666666666</v>
      </c>
      <c r="R997" s="64">
        <f t="shared" si="23"/>
        <v>34.234702587127686</v>
      </c>
      <c r="S997" s="64">
        <f t="shared" si="24"/>
        <v>25</v>
      </c>
      <c r="T997" s="64">
        <f t="shared" si="25"/>
        <v>54.813888888888883</v>
      </c>
      <c r="U997" s="64" t="str">
        <f t="shared" si="26"/>
        <v>35-60</v>
      </c>
      <c r="V997" s="64" t="str">
        <f t="shared" si="27"/>
        <v>31-40 Гб</v>
      </c>
    </row>
    <row r="998" spans="1:22" ht="15.75" customHeight="1" x14ac:dyDescent="0.25">
      <c r="A998" s="62" t="s">
        <v>1089</v>
      </c>
      <c r="B998" s="56">
        <v>35497</v>
      </c>
      <c r="C998" s="62" t="s">
        <v>83</v>
      </c>
      <c r="D998" s="62" t="s">
        <v>84</v>
      </c>
      <c r="E998" s="62" t="s">
        <v>85</v>
      </c>
      <c r="F998" s="62" t="s">
        <v>89</v>
      </c>
      <c r="G998" s="56">
        <v>44578</v>
      </c>
      <c r="H998" s="62">
        <v>3</v>
      </c>
      <c r="I998" s="62">
        <v>14820</v>
      </c>
      <c r="J998" s="62">
        <v>302948525</v>
      </c>
      <c r="K998" s="62">
        <v>1</v>
      </c>
      <c r="P998" s="63">
        <f t="shared" si="21"/>
        <v>104</v>
      </c>
      <c r="Q998" s="64">
        <f t="shared" si="22"/>
        <v>71.25</v>
      </c>
      <c r="R998" s="64">
        <f t="shared" si="23"/>
        <v>83.340642543939438</v>
      </c>
      <c r="S998" s="64">
        <f t="shared" si="24"/>
        <v>25</v>
      </c>
      <c r="T998" s="64">
        <f t="shared" si="25"/>
        <v>16.625</v>
      </c>
      <c r="U998" s="64" t="str">
        <f t="shared" si="26"/>
        <v>&lt;35</v>
      </c>
      <c r="V998" s="64" t="str">
        <f t="shared" si="27"/>
        <v>40+ Гб</v>
      </c>
    </row>
    <row r="999" spans="1:22" ht="15.75" customHeight="1" x14ac:dyDescent="0.25">
      <c r="A999" s="62" t="s">
        <v>1090</v>
      </c>
      <c r="B999" s="56">
        <v>35490</v>
      </c>
      <c r="C999" s="62" t="s">
        <v>83</v>
      </c>
      <c r="D999" s="62" t="s">
        <v>84</v>
      </c>
      <c r="E999" s="62" t="s">
        <v>85</v>
      </c>
      <c r="F999" s="62" t="s">
        <v>96</v>
      </c>
      <c r="G999" s="56">
        <v>44449</v>
      </c>
      <c r="H999" s="62">
        <v>5</v>
      </c>
      <c r="I999" s="62">
        <v>81695</v>
      </c>
      <c r="J999" s="62">
        <v>57231275</v>
      </c>
      <c r="P999" s="63">
        <f t="shared" si="21"/>
        <v>120</v>
      </c>
      <c r="Q999" s="64">
        <f t="shared" si="22"/>
        <v>340.39583333333331</v>
      </c>
      <c r="R999" s="64">
        <f t="shared" si="23"/>
        <v>13.644999265670776</v>
      </c>
      <c r="S999" s="64">
        <f t="shared" si="24"/>
        <v>25</v>
      </c>
      <c r="T999" s="64">
        <f t="shared" si="25"/>
        <v>79.425694444444431</v>
      </c>
      <c r="U999" s="64" t="str">
        <f t="shared" si="26"/>
        <v>61-90</v>
      </c>
      <c r="V999" s="64" t="str">
        <f t="shared" si="27"/>
        <v>10-20 Гб</v>
      </c>
    </row>
    <row r="1000" spans="1:22" ht="15.75" customHeight="1" x14ac:dyDescent="0.25">
      <c r="A1000" s="62" t="s">
        <v>1091</v>
      </c>
      <c r="B1000" s="56">
        <v>35487</v>
      </c>
      <c r="C1000" s="62" t="s">
        <v>83</v>
      </c>
      <c r="D1000" s="62" t="s">
        <v>84</v>
      </c>
      <c r="E1000" s="62" t="s">
        <v>92</v>
      </c>
      <c r="F1000" s="62" t="s">
        <v>89</v>
      </c>
      <c r="G1000" s="56">
        <v>43215</v>
      </c>
      <c r="H1000" s="62">
        <v>5</v>
      </c>
      <c r="I1000" s="62">
        <v>18110</v>
      </c>
      <c r="J1000" s="62">
        <v>156551225</v>
      </c>
      <c r="M1000" s="62">
        <v>1</v>
      </c>
      <c r="P1000" s="63">
        <f t="shared" si="21"/>
        <v>120</v>
      </c>
      <c r="Q1000" s="64">
        <f t="shared" si="22"/>
        <v>75.458333333333329</v>
      </c>
      <c r="R1000" s="64">
        <f t="shared" si="23"/>
        <v>37.324720621109009</v>
      </c>
      <c r="S1000" s="64">
        <f t="shared" si="24"/>
        <v>25</v>
      </c>
      <c r="T1000" s="64">
        <f t="shared" si="25"/>
        <v>17.606944444444441</v>
      </c>
      <c r="U1000" s="64" t="str">
        <f t="shared" si="26"/>
        <v>&lt;35</v>
      </c>
      <c r="V1000" s="64" t="str">
        <f t="shared" si="27"/>
        <v>31-40 Гб</v>
      </c>
    </row>
    <row r="1001" spans="1:22" ht="15.75" customHeight="1" x14ac:dyDescent="0.25">
      <c r="A1001" s="62" t="s">
        <v>1092</v>
      </c>
      <c r="B1001" s="56">
        <v>35484</v>
      </c>
      <c r="C1001" s="62" t="s">
        <v>83</v>
      </c>
      <c r="D1001" s="62" t="s">
        <v>84</v>
      </c>
      <c r="E1001" s="62" t="s">
        <v>85</v>
      </c>
      <c r="F1001" s="62" t="s">
        <v>96</v>
      </c>
      <c r="G1001" s="56">
        <v>43979</v>
      </c>
      <c r="H1001" s="62">
        <v>5</v>
      </c>
      <c r="I1001" s="62">
        <v>40035</v>
      </c>
      <c r="J1001" s="62">
        <v>128453625</v>
      </c>
      <c r="P1001" s="63">
        <f t="shared" si="21"/>
        <v>120</v>
      </c>
      <c r="Q1001" s="64">
        <f t="shared" si="22"/>
        <v>166.8125</v>
      </c>
      <c r="R1001" s="64">
        <f t="shared" si="23"/>
        <v>30.625730752944946</v>
      </c>
      <c r="S1001" s="64">
        <f t="shared" si="24"/>
        <v>25</v>
      </c>
      <c r="T1001" s="64">
        <f t="shared" si="25"/>
        <v>38.922916666666666</v>
      </c>
      <c r="U1001" s="64" t="str">
        <f t="shared" si="26"/>
        <v>35-60</v>
      </c>
      <c r="V1001" s="64" t="str">
        <f t="shared" si="27"/>
        <v>31-40 Гб</v>
      </c>
    </row>
    <row r="1002" spans="1:22" ht="15.75" customHeight="1" x14ac:dyDescent="0.25">
      <c r="A1002" s="62" t="s">
        <v>1093</v>
      </c>
      <c r="B1002" s="56">
        <v>35482</v>
      </c>
      <c r="C1002" s="62" t="s">
        <v>88</v>
      </c>
      <c r="D1002" s="62" t="s">
        <v>84</v>
      </c>
      <c r="E1002" s="62" t="s">
        <v>92</v>
      </c>
      <c r="F1002" s="62" t="s">
        <v>89</v>
      </c>
      <c r="G1002" s="56">
        <v>43190</v>
      </c>
      <c r="H1002" s="62">
        <v>5</v>
      </c>
      <c r="I1002" s="62">
        <v>9230</v>
      </c>
      <c r="J1002" s="62">
        <v>164447400</v>
      </c>
      <c r="P1002" s="63">
        <f t="shared" si="21"/>
        <v>120</v>
      </c>
      <c r="Q1002" s="64">
        <f t="shared" si="22"/>
        <v>38.458333333333336</v>
      </c>
      <c r="R1002" s="64">
        <f t="shared" si="23"/>
        <v>39.207315444946289</v>
      </c>
      <c r="S1002" s="64">
        <f t="shared" si="24"/>
        <v>25</v>
      </c>
      <c r="T1002" s="64">
        <f t="shared" si="25"/>
        <v>8.9736111111111132</v>
      </c>
      <c r="U1002" s="64" t="str">
        <f t="shared" si="26"/>
        <v>&lt;35</v>
      </c>
      <c r="V1002" s="64" t="str">
        <f t="shared" si="27"/>
        <v>31-40 Гб</v>
      </c>
    </row>
    <row r="1003" spans="1:22" ht="15.75" customHeight="1" x14ac:dyDescent="0.25">
      <c r="A1003" s="62" t="s">
        <v>1094</v>
      </c>
      <c r="B1003" s="56">
        <v>35478</v>
      </c>
      <c r="C1003" s="62" t="s">
        <v>83</v>
      </c>
      <c r="D1003" s="62" t="s">
        <v>84</v>
      </c>
      <c r="E1003" s="62" t="s">
        <v>85</v>
      </c>
      <c r="F1003" s="62" t="s">
        <v>86</v>
      </c>
      <c r="G1003" s="56">
        <v>43830</v>
      </c>
      <c r="H1003" s="62">
        <v>5</v>
      </c>
      <c r="I1003" s="62">
        <v>169500</v>
      </c>
      <c r="J1003" s="62">
        <v>126435650</v>
      </c>
      <c r="P1003" s="63">
        <f t="shared" si="21"/>
        <v>120</v>
      </c>
      <c r="Q1003" s="64">
        <f t="shared" si="22"/>
        <v>706.25</v>
      </c>
      <c r="R1003" s="64">
        <f t="shared" si="23"/>
        <v>30.144608020782474</v>
      </c>
      <c r="S1003" s="64">
        <f t="shared" si="24"/>
        <v>25</v>
      </c>
      <c r="T1003" s="64">
        <f t="shared" si="25"/>
        <v>164.79166666666666</v>
      </c>
      <c r="U1003" s="64" t="str">
        <f t="shared" si="26"/>
        <v>120+</v>
      </c>
      <c r="V1003" s="64" t="str">
        <f t="shared" si="27"/>
        <v>31-40 Гб</v>
      </c>
    </row>
    <row r="1004" spans="1:22" ht="15.75" customHeight="1" x14ac:dyDescent="0.25">
      <c r="A1004" s="62" t="s">
        <v>1095</v>
      </c>
      <c r="B1004" s="56">
        <v>35478</v>
      </c>
      <c r="C1004" s="62" t="s">
        <v>83</v>
      </c>
      <c r="D1004" s="62" t="s">
        <v>84</v>
      </c>
      <c r="E1004" s="62" t="s">
        <v>92</v>
      </c>
      <c r="F1004" s="62" t="s">
        <v>96</v>
      </c>
      <c r="G1004" s="56">
        <v>42940</v>
      </c>
      <c r="H1004" s="62">
        <v>5</v>
      </c>
      <c r="I1004" s="62">
        <v>77130</v>
      </c>
      <c r="J1004" s="62">
        <v>46794675</v>
      </c>
      <c r="L1004" s="62">
        <v>1</v>
      </c>
      <c r="P1004" s="63">
        <f t="shared" si="21"/>
        <v>120</v>
      </c>
      <c r="Q1004" s="64">
        <f t="shared" si="22"/>
        <v>321.375</v>
      </c>
      <c r="R1004" s="64">
        <f t="shared" si="23"/>
        <v>11.156719923019409</v>
      </c>
      <c r="S1004" s="64">
        <f t="shared" si="24"/>
        <v>25</v>
      </c>
      <c r="T1004" s="64">
        <f t="shared" si="25"/>
        <v>74.987499999999997</v>
      </c>
      <c r="U1004" s="64" t="str">
        <f t="shared" si="26"/>
        <v>61-90</v>
      </c>
      <c r="V1004" s="64" t="str">
        <f t="shared" si="27"/>
        <v>10-20 Гб</v>
      </c>
    </row>
    <row r="1005" spans="1:22" ht="15.75" customHeight="1" x14ac:dyDescent="0.25">
      <c r="A1005" s="62" t="s">
        <v>1096</v>
      </c>
      <c r="B1005" s="56">
        <v>35474</v>
      </c>
      <c r="C1005" s="62" t="s">
        <v>83</v>
      </c>
      <c r="D1005" s="62" t="s">
        <v>84</v>
      </c>
      <c r="E1005" s="62" t="s">
        <v>85</v>
      </c>
      <c r="F1005" s="62" t="s">
        <v>96</v>
      </c>
      <c r="G1005" s="56">
        <v>42960</v>
      </c>
      <c r="H1005" s="62">
        <v>5</v>
      </c>
      <c r="I1005" s="62">
        <v>71095</v>
      </c>
      <c r="J1005" s="62">
        <v>112642525</v>
      </c>
      <c r="O1005" s="62">
        <v>1</v>
      </c>
      <c r="P1005" s="63">
        <f t="shared" si="21"/>
        <v>120</v>
      </c>
      <c r="Q1005" s="64">
        <f t="shared" si="22"/>
        <v>296.22916666666669</v>
      </c>
      <c r="R1005" s="64">
        <f t="shared" si="23"/>
        <v>26.856070756912231</v>
      </c>
      <c r="S1005" s="64">
        <f t="shared" si="24"/>
        <v>25</v>
      </c>
      <c r="T1005" s="64">
        <f t="shared" si="25"/>
        <v>69.120138888888903</v>
      </c>
      <c r="U1005" s="64" t="str">
        <f t="shared" si="26"/>
        <v>61-90</v>
      </c>
      <c r="V1005" s="64" t="str">
        <f t="shared" si="27"/>
        <v>21-30 Гб</v>
      </c>
    </row>
    <row r="1006" spans="1:22" ht="15.75" customHeight="1" x14ac:dyDescent="0.25">
      <c r="A1006" s="62" t="s">
        <v>1097</v>
      </c>
      <c r="B1006" s="56">
        <v>35473</v>
      </c>
      <c r="C1006" s="62" t="s">
        <v>88</v>
      </c>
      <c r="D1006" s="62" t="s">
        <v>84</v>
      </c>
      <c r="E1006" s="62" t="s">
        <v>92</v>
      </c>
      <c r="F1006" s="62" t="s">
        <v>96</v>
      </c>
      <c r="G1006" s="56">
        <v>43330</v>
      </c>
      <c r="H1006" s="62">
        <v>5</v>
      </c>
      <c r="I1006" s="62">
        <v>26400</v>
      </c>
      <c r="J1006" s="62">
        <v>113637700</v>
      </c>
      <c r="P1006" s="63">
        <f t="shared" si="21"/>
        <v>120</v>
      </c>
      <c r="Q1006" s="64">
        <f t="shared" si="22"/>
        <v>110</v>
      </c>
      <c r="R1006" s="64">
        <f t="shared" si="23"/>
        <v>27.093338966369629</v>
      </c>
      <c r="S1006" s="64">
        <f t="shared" si="24"/>
        <v>25</v>
      </c>
      <c r="T1006" s="64">
        <f t="shared" si="25"/>
        <v>25.666666666666668</v>
      </c>
      <c r="U1006" s="64" t="str">
        <f t="shared" si="26"/>
        <v>&lt;35</v>
      </c>
      <c r="V1006" s="64" t="str">
        <f t="shared" si="27"/>
        <v>21-30 Гб</v>
      </c>
    </row>
    <row r="1007" spans="1:22" ht="15.75" customHeight="1" x14ac:dyDescent="0.25">
      <c r="A1007" s="62" t="s">
        <v>1098</v>
      </c>
      <c r="B1007" s="56">
        <v>35473</v>
      </c>
      <c r="C1007" s="62" t="s">
        <v>83</v>
      </c>
      <c r="D1007" s="62" t="s">
        <v>84</v>
      </c>
      <c r="E1007" s="62" t="s">
        <v>92</v>
      </c>
      <c r="F1007" s="62" t="s">
        <v>89</v>
      </c>
      <c r="G1007" s="56">
        <v>44165</v>
      </c>
      <c r="H1007" s="62">
        <v>5</v>
      </c>
      <c r="I1007" s="62">
        <v>21630</v>
      </c>
      <c r="J1007" s="62">
        <v>117719225</v>
      </c>
      <c r="P1007" s="63">
        <f t="shared" si="21"/>
        <v>120</v>
      </c>
      <c r="Q1007" s="64">
        <f t="shared" si="22"/>
        <v>90.125</v>
      </c>
      <c r="R1007" s="64">
        <f t="shared" si="23"/>
        <v>28.066450357437134</v>
      </c>
      <c r="S1007" s="64">
        <f t="shared" si="24"/>
        <v>25</v>
      </c>
      <c r="T1007" s="64">
        <f t="shared" si="25"/>
        <v>21.029166666666665</v>
      </c>
      <c r="U1007" s="64" t="str">
        <f t="shared" si="26"/>
        <v>&lt;35</v>
      </c>
      <c r="V1007" s="64" t="str">
        <f t="shared" si="27"/>
        <v>21-30 Гб</v>
      </c>
    </row>
    <row r="1008" spans="1:22" ht="15.75" customHeight="1" x14ac:dyDescent="0.25">
      <c r="A1008" s="62" t="s">
        <v>1099</v>
      </c>
      <c r="B1008" s="56">
        <v>35470</v>
      </c>
      <c r="C1008" s="62" t="s">
        <v>83</v>
      </c>
      <c r="D1008" s="62" t="s">
        <v>84</v>
      </c>
      <c r="E1008" s="62" t="s">
        <v>85</v>
      </c>
      <c r="F1008" s="62" t="s">
        <v>93</v>
      </c>
      <c r="G1008" s="56">
        <v>43587</v>
      </c>
      <c r="H1008" s="62">
        <v>5</v>
      </c>
      <c r="I1008" s="62">
        <v>42320</v>
      </c>
      <c r="J1008" s="62">
        <v>18214250</v>
      </c>
      <c r="L1008" s="62">
        <v>1</v>
      </c>
      <c r="N1008" s="62">
        <v>1</v>
      </c>
      <c r="P1008" s="63">
        <f t="shared" si="21"/>
        <v>120</v>
      </c>
      <c r="Q1008" s="64">
        <f t="shared" si="22"/>
        <v>176.33333333333334</v>
      </c>
      <c r="R1008" s="64">
        <f t="shared" si="23"/>
        <v>4.3426156044006348</v>
      </c>
      <c r="S1008" s="64">
        <f t="shared" si="24"/>
        <v>25</v>
      </c>
      <c r="T1008" s="64">
        <f t="shared" si="25"/>
        <v>41.144444444444453</v>
      </c>
      <c r="U1008" s="64" t="str">
        <f t="shared" si="26"/>
        <v>35-60</v>
      </c>
      <c r="V1008" s="64" t="str">
        <f t="shared" si="27"/>
        <v>&lt;10 Гб</v>
      </c>
    </row>
    <row r="1009" spans="1:22" ht="15.75" customHeight="1" x14ac:dyDescent="0.25">
      <c r="A1009" s="62" t="s">
        <v>1100</v>
      </c>
      <c r="B1009" s="56">
        <v>35462</v>
      </c>
      <c r="C1009" s="62" t="s">
        <v>88</v>
      </c>
      <c r="D1009" s="62" t="s">
        <v>84</v>
      </c>
      <c r="E1009" s="62" t="s">
        <v>85</v>
      </c>
      <c r="F1009" s="62" t="s">
        <v>100</v>
      </c>
      <c r="G1009" s="56">
        <v>43008</v>
      </c>
      <c r="H1009" s="62">
        <v>5</v>
      </c>
      <c r="I1009" s="62">
        <v>103080</v>
      </c>
      <c r="J1009" s="62">
        <v>162368725</v>
      </c>
      <c r="P1009" s="63">
        <f t="shared" si="21"/>
        <v>120</v>
      </c>
      <c r="Q1009" s="64">
        <f t="shared" si="22"/>
        <v>429.5</v>
      </c>
      <c r="R1009" s="64">
        <f t="shared" si="23"/>
        <v>38.711720705032349</v>
      </c>
      <c r="S1009" s="64">
        <f t="shared" si="24"/>
        <v>25</v>
      </c>
      <c r="T1009" s="64">
        <f t="shared" si="25"/>
        <v>100.21666666666667</v>
      </c>
      <c r="U1009" s="64" t="str">
        <f t="shared" si="26"/>
        <v>91-120</v>
      </c>
      <c r="V1009" s="64" t="str">
        <f t="shared" si="27"/>
        <v>31-40 Гб</v>
      </c>
    </row>
    <row r="1010" spans="1:22" ht="15.75" customHeight="1" x14ac:dyDescent="0.25">
      <c r="A1010" s="62" t="s">
        <v>1101</v>
      </c>
      <c r="B1010" s="56">
        <v>35460</v>
      </c>
      <c r="C1010" s="62" t="s">
        <v>83</v>
      </c>
      <c r="D1010" s="62" t="s">
        <v>84</v>
      </c>
      <c r="E1010" s="62" t="s">
        <v>85</v>
      </c>
      <c r="F1010" s="62" t="s">
        <v>100</v>
      </c>
      <c r="G1010" s="56">
        <v>43913</v>
      </c>
      <c r="H1010" s="62">
        <v>5</v>
      </c>
      <c r="I1010" s="62">
        <v>134205</v>
      </c>
      <c r="J1010" s="62">
        <v>153460950</v>
      </c>
      <c r="P1010" s="63">
        <f t="shared" si="21"/>
        <v>120</v>
      </c>
      <c r="Q1010" s="64">
        <f t="shared" si="22"/>
        <v>559.1875</v>
      </c>
      <c r="R1010" s="64">
        <f t="shared" si="23"/>
        <v>36.587941646575928</v>
      </c>
      <c r="S1010" s="64">
        <f t="shared" si="24"/>
        <v>25</v>
      </c>
      <c r="T1010" s="64">
        <f t="shared" si="25"/>
        <v>130.47708333333333</v>
      </c>
      <c r="U1010" s="64" t="str">
        <f t="shared" si="26"/>
        <v>120+</v>
      </c>
      <c r="V1010" s="64" t="str">
        <f t="shared" si="27"/>
        <v>31-40 Гб</v>
      </c>
    </row>
    <row r="1011" spans="1:22" ht="15.75" customHeight="1" x14ac:dyDescent="0.25">
      <c r="A1011" s="62" t="s">
        <v>1102</v>
      </c>
      <c r="B1011" s="56">
        <v>35457</v>
      </c>
      <c r="C1011" s="62" t="s">
        <v>83</v>
      </c>
      <c r="D1011" s="62" t="s">
        <v>84</v>
      </c>
      <c r="E1011" s="62" t="s">
        <v>85</v>
      </c>
      <c r="F1011" s="62" t="s">
        <v>100</v>
      </c>
      <c r="G1011" s="56">
        <v>42894</v>
      </c>
      <c r="H1011" s="62">
        <v>5</v>
      </c>
      <c r="I1011" s="62">
        <v>106625</v>
      </c>
      <c r="J1011" s="62">
        <v>113107825</v>
      </c>
      <c r="P1011" s="63">
        <f t="shared" si="21"/>
        <v>120</v>
      </c>
      <c r="Q1011" s="64">
        <f t="shared" si="22"/>
        <v>444.27083333333331</v>
      </c>
      <c r="R1011" s="64">
        <f t="shared" si="23"/>
        <v>26.967006921768188</v>
      </c>
      <c r="S1011" s="64">
        <f t="shared" si="24"/>
        <v>25</v>
      </c>
      <c r="T1011" s="64">
        <f t="shared" si="25"/>
        <v>103.66319444444443</v>
      </c>
      <c r="U1011" s="64" t="str">
        <f t="shared" si="26"/>
        <v>91-120</v>
      </c>
      <c r="V1011" s="64" t="str">
        <f t="shared" si="27"/>
        <v>21-30 Гб</v>
      </c>
    </row>
    <row r="1012" spans="1:22" ht="15.75" customHeight="1" x14ac:dyDescent="0.25">
      <c r="A1012" s="62" t="s">
        <v>1103</v>
      </c>
      <c r="B1012" s="56">
        <v>35454</v>
      </c>
      <c r="C1012" s="62" t="s">
        <v>83</v>
      </c>
      <c r="D1012" s="62" t="s">
        <v>84</v>
      </c>
      <c r="E1012" s="62" t="s">
        <v>85</v>
      </c>
      <c r="F1012" s="62" t="s">
        <v>96</v>
      </c>
      <c r="G1012" s="56">
        <v>44628</v>
      </c>
      <c r="H1012" s="62">
        <v>1</v>
      </c>
      <c r="I1012" s="62">
        <v>23607</v>
      </c>
      <c r="J1012" s="62">
        <v>28333691</v>
      </c>
      <c r="M1012" s="62">
        <v>1</v>
      </c>
      <c r="P1012" s="63">
        <f t="shared" si="21"/>
        <v>54</v>
      </c>
      <c r="Q1012" s="64">
        <f t="shared" si="22"/>
        <v>218.58333333333331</v>
      </c>
      <c r="R1012" s="64">
        <f t="shared" si="23"/>
        <v>15.011729664272732</v>
      </c>
      <c r="S1012" s="64">
        <f t="shared" si="24"/>
        <v>25</v>
      </c>
      <c r="T1012" s="64">
        <f t="shared" si="25"/>
        <v>51.002777777777773</v>
      </c>
      <c r="U1012" s="64" t="str">
        <f t="shared" si="26"/>
        <v>35-60</v>
      </c>
      <c r="V1012" s="64" t="str">
        <f t="shared" si="27"/>
        <v>10-20 Гб</v>
      </c>
    </row>
    <row r="1013" spans="1:22" ht="15.75" customHeight="1" x14ac:dyDescent="0.25">
      <c r="A1013" s="62" t="s">
        <v>1104</v>
      </c>
      <c r="B1013" s="56">
        <v>35453</v>
      </c>
      <c r="C1013" s="62" t="s">
        <v>83</v>
      </c>
      <c r="D1013" s="62" t="s">
        <v>84</v>
      </c>
      <c r="E1013" s="62" t="s">
        <v>85</v>
      </c>
      <c r="F1013" s="62" t="s">
        <v>96</v>
      </c>
      <c r="G1013" s="56">
        <v>43239</v>
      </c>
      <c r="H1013" s="62">
        <v>5</v>
      </c>
      <c r="I1013" s="62">
        <v>30715</v>
      </c>
      <c r="J1013" s="62">
        <v>32120075</v>
      </c>
      <c r="P1013" s="63">
        <f t="shared" si="21"/>
        <v>120</v>
      </c>
      <c r="Q1013" s="64">
        <f t="shared" si="22"/>
        <v>127.97916666666667</v>
      </c>
      <c r="R1013" s="64">
        <f t="shared" si="23"/>
        <v>7.658022642135621</v>
      </c>
      <c r="S1013" s="64">
        <f t="shared" si="24"/>
        <v>25</v>
      </c>
      <c r="T1013" s="64">
        <f t="shared" si="25"/>
        <v>29.861805555555559</v>
      </c>
      <c r="U1013" s="64" t="str">
        <f t="shared" si="26"/>
        <v>&lt;35</v>
      </c>
      <c r="V1013" s="64" t="str">
        <f t="shared" si="27"/>
        <v>&lt;10 Гб</v>
      </c>
    </row>
    <row r="1014" spans="1:22" ht="15.75" customHeight="1" x14ac:dyDescent="0.25">
      <c r="A1014" s="62" t="s">
        <v>1105</v>
      </c>
      <c r="B1014" s="56">
        <v>35452</v>
      </c>
      <c r="C1014" s="62" t="s">
        <v>83</v>
      </c>
      <c r="D1014" s="62" t="s">
        <v>84</v>
      </c>
      <c r="E1014" s="62" t="s">
        <v>92</v>
      </c>
      <c r="F1014" s="62" t="s">
        <v>96</v>
      </c>
      <c r="G1014" s="56">
        <v>44608</v>
      </c>
      <c r="H1014" s="62">
        <v>2</v>
      </c>
      <c r="I1014" s="62">
        <v>110460</v>
      </c>
      <c r="J1014" s="62">
        <v>149967525</v>
      </c>
      <c r="K1014" s="62">
        <v>1</v>
      </c>
      <c r="O1014" s="62">
        <v>1</v>
      </c>
      <c r="P1014" s="63">
        <f t="shared" si="21"/>
        <v>74</v>
      </c>
      <c r="Q1014" s="64">
        <f t="shared" si="22"/>
        <v>746.35135135135135</v>
      </c>
      <c r="R1014" s="64">
        <f t="shared" si="23"/>
        <v>57.981152792234681</v>
      </c>
      <c r="S1014" s="64">
        <f t="shared" si="24"/>
        <v>25</v>
      </c>
      <c r="T1014" s="64">
        <f t="shared" si="25"/>
        <v>174.14864864864865</v>
      </c>
      <c r="U1014" s="64" t="str">
        <f t="shared" si="26"/>
        <v>120+</v>
      </c>
      <c r="V1014" s="64" t="str">
        <f t="shared" si="27"/>
        <v>40+ Гб</v>
      </c>
    </row>
    <row r="1015" spans="1:22" ht="15.75" customHeight="1" x14ac:dyDescent="0.25">
      <c r="A1015" s="62" t="s">
        <v>1106</v>
      </c>
      <c r="B1015" s="56">
        <v>35451</v>
      </c>
      <c r="C1015" s="62" t="s">
        <v>83</v>
      </c>
      <c r="D1015" s="62" t="s">
        <v>84</v>
      </c>
      <c r="E1015" s="62" t="s">
        <v>85</v>
      </c>
      <c r="F1015" s="62" t="s">
        <v>96</v>
      </c>
      <c r="G1015" s="56">
        <v>44304</v>
      </c>
      <c r="H1015" s="62">
        <v>5</v>
      </c>
      <c r="I1015" s="62">
        <v>111225</v>
      </c>
      <c r="J1015" s="62">
        <v>139672350</v>
      </c>
      <c r="P1015" s="63">
        <f t="shared" si="21"/>
        <v>120</v>
      </c>
      <c r="Q1015" s="64">
        <f t="shared" si="22"/>
        <v>463.4375</v>
      </c>
      <c r="R1015" s="64">
        <f t="shared" si="23"/>
        <v>33.300483226776123</v>
      </c>
      <c r="S1015" s="64">
        <f t="shared" si="24"/>
        <v>25</v>
      </c>
      <c r="T1015" s="64">
        <f t="shared" si="25"/>
        <v>108.13541666666667</v>
      </c>
      <c r="U1015" s="64" t="str">
        <f t="shared" si="26"/>
        <v>91-120</v>
      </c>
      <c r="V1015" s="64" t="str">
        <f t="shared" si="27"/>
        <v>31-40 Гб</v>
      </c>
    </row>
    <row r="1016" spans="1:22" ht="15.75" customHeight="1" x14ac:dyDescent="0.25">
      <c r="A1016" s="62" t="s">
        <v>1107</v>
      </c>
      <c r="B1016" s="56">
        <v>35450</v>
      </c>
      <c r="C1016" s="62" t="s">
        <v>83</v>
      </c>
      <c r="D1016" s="62" t="s">
        <v>84</v>
      </c>
      <c r="E1016" s="62" t="s">
        <v>92</v>
      </c>
      <c r="F1016" s="62" t="s">
        <v>96</v>
      </c>
      <c r="G1016" s="56">
        <v>43502</v>
      </c>
      <c r="H1016" s="62">
        <v>5</v>
      </c>
      <c r="I1016" s="62">
        <v>24240</v>
      </c>
      <c r="J1016" s="62">
        <v>144760525</v>
      </c>
      <c r="P1016" s="63">
        <f t="shared" si="21"/>
        <v>120</v>
      </c>
      <c r="Q1016" s="64">
        <f t="shared" si="22"/>
        <v>101</v>
      </c>
      <c r="R1016" s="64">
        <f t="shared" si="23"/>
        <v>34.513598680496216</v>
      </c>
      <c r="S1016" s="64">
        <f t="shared" si="24"/>
        <v>25</v>
      </c>
      <c r="T1016" s="64">
        <f t="shared" si="25"/>
        <v>23.566666666666666</v>
      </c>
      <c r="U1016" s="64" t="str">
        <f t="shared" si="26"/>
        <v>&lt;35</v>
      </c>
      <c r="V1016" s="64" t="str">
        <f t="shared" si="27"/>
        <v>31-40 Гб</v>
      </c>
    </row>
    <row r="1017" spans="1:22" ht="15.75" customHeight="1" x14ac:dyDescent="0.25">
      <c r="A1017" s="62" t="s">
        <v>1108</v>
      </c>
      <c r="B1017" s="56">
        <v>35448</v>
      </c>
      <c r="C1017" s="62" t="s">
        <v>88</v>
      </c>
      <c r="D1017" s="62" t="s">
        <v>84</v>
      </c>
      <c r="E1017" s="62" t="s">
        <v>92</v>
      </c>
      <c r="F1017" s="62" t="s">
        <v>96</v>
      </c>
      <c r="G1017" s="56">
        <v>43528</v>
      </c>
      <c r="H1017" s="62">
        <v>5</v>
      </c>
      <c r="I1017" s="62">
        <v>89695</v>
      </c>
      <c r="J1017" s="62">
        <v>103478150</v>
      </c>
      <c r="K1017" s="62">
        <v>1</v>
      </c>
      <c r="P1017" s="63">
        <f t="shared" si="21"/>
        <v>120</v>
      </c>
      <c r="Q1017" s="64">
        <f t="shared" si="22"/>
        <v>373.72916666666669</v>
      </c>
      <c r="R1017" s="64">
        <f t="shared" si="23"/>
        <v>24.67111349105835</v>
      </c>
      <c r="S1017" s="64">
        <f t="shared" si="24"/>
        <v>25</v>
      </c>
      <c r="T1017" s="64">
        <f t="shared" si="25"/>
        <v>87.203472222222231</v>
      </c>
      <c r="U1017" s="64" t="str">
        <f t="shared" si="26"/>
        <v>61-90</v>
      </c>
      <c r="V1017" s="64" t="str">
        <f t="shared" si="27"/>
        <v>21-30 Гб</v>
      </c>
    </row>
    <row r="1018" spans="1:22" ht="15.75" customHeight="1" x14ac:dyDescent="0.25">
      <c r="A1018" s="62" t="s">
        <v>1109</v>
      </c>
      <c r="B1018" s="56">
        <v>35445</v>
      </c>
      <c r="C1018" s="62" t="s">
        <v>88</v>
      </c>
      <c r="D1018" s="62" t="s">
        <v>84</v>
      </c>
      <c r="E1018" s="62" t="s">
        <v>92</v>
      </c>
      <c r="F1018" s="62" t="s">
        <v>100</v>
      </c>
      <c r="G1018" s="56">
        <v>43079</v>
      </c>
      <c r="H1018" s="62">
        <v>5</v>
      </c>
      <c r="I1018" s="62">
        <v>124890</v>
      </c>
      <c r="J1018" s="62">
        <v>151201025</v>
      </c>
      <c r="M1018" s="62">
        <v>1</v>
      </c>
      <c r="P1018" s="63">
        <f t="shared" si="21"/>
        <v>120</v>
      </c>
      <c r="Q1018" s="64">
        <f t="shared" si="22"/>
        <v>520.375</v>
      </c>
      <c r="R1018" s="64">
        <f t="shared" si="23"/>
        <v>36.049133539199829</v>
      </c>
      <c r="S1018" s="64">
        <f t="shared" si="24"/>
        <v>25</v>
      </c>
      <c r="T1018" s="64">
        <f t="shared" si="25"/>
        <v>121.42083333333333</v>
      </c>
      <c r="U1018" s="64" t="str">
        <f t="shared" si="26"/>
        <v>120+</v>
      </c>
      <c r="V1018" s="64" t="str">
        <f t="shared" si="27"/>
        <v>31-40 Гб</v>
      </c>
    </row>
    <row r="1019" spans="1:22" ht="15.75" customHeight="1" x14ac:dyDescent="0.25">
      <c r="A1019" s="62" t="s">
        <v>1110</v>
      </c>
      <c r="B1019" s="56">
        <v>35445</v>
      </c>
      <c r="C1019" s="62" t="s">
        <v>88</v>
      </c>
      <c r="D1019" s="62" t="s">
        <v>84</v>
      </c>
      <c r="E1019" s="62" t="s">
        <v>92</v>
      </c>
      <c r="F1019" s="62" t="s">
        <v>96</v>
      </c>
      <c r="G1019" s="56">
        <v>43170</v>
      </c>
      <c r="H1019" s="62">
        <v>5</v>
      </c>
      <c r="I1019" s="62">
        <v>39240</v>
      </c>
      <c r="J1019" s="62">
        <v>142211575</v>
      </c>
      <c r="N1019" s="62">
        <v>1</v>
      </c>
      <c r="P1019" s="63">
        <f t="shared" si="21"/>
        <v>120</v>
      </c>
      <c r="Q1019" s="64">
        <f t="shared" si="22"/>
        <v>163.5</v>
      </c>
      <c r="R1019" s="64">
        <f t="shared" si="23"/>
        <v>33.905881643295288</v>
      </c>
      <c r="S1019" s="64">
        <f t="shared" si="24"/>
        <v>25</v>
      </c>
      <c r="T1019" s="64">
        <f t="shared" si="25"/>
        <v>38.15</v>
      </c>
      <c r="U1019" s="64" t="str">
        <f t="shared" si="26"/>
        <v>35-60</v>
      </c>
      <c r="V1019" s="64" t="str">
        <f t="shared" si="27"/>
        <v>31-40 Гб</v>
      </c>
    </row>
    <row r="1020" spans="1:22" ht="15.75" customHeight="1" x14ac:dyDescent="0.25">
      <c r="A1020" s="62" t="s">
        <v>1111</v>
      </c>
      <c r="B1020" s="56">
        <v>35444</v>
      </c>
      <c r="C1020" s="62" t="s">
        <v>83</v>
      </c>
      <c r="D1020" s="62" t="s">
        <v>84</v>
      </c>
      <c r="E1020" s="62" t="s">
        <v>85</v>
      </c>
      <c r="F1020" s="62" t="s">
        <v>96</v>
      </c>
      <c r="G1020" s="56">
        <v>44200</v>
      </c>
      <c r="H1020" s="62">
        <v>5</v>
      </c>
      <c r="I1020" s="62">
        <v>60090</v>
      </c>
      <c r="J1020" s="62">
        <v>106391375</v>
      </c>
      <c r="P1020" s="63">
        <f t="shared" si="21"/>
        <v>120</v>
      </c>
      <c r="Q1020" s="64">
        <f t="shared" si="22"/>
        <v>250.375</v>
      </c>
      <c r="R1020" s="64">
        <f t="shared" si="23"/>
        <v>25.365680456161499</v>
      </c>
      <c r="S1020" s="64">
        <f t="shared" si="24"/>
        <v>25</v>
      </c>
      <c r="T1020" s="64">
        <f t="shared" si="25"/>
        <v>58.420833333333334</v>
      </c>
      <c r="U1020" s="64" t="str">
        <f t="shared" si="26"/>
        <v>35-60</v>
      </c>
      <c r="V1020" s="64" t="str">
        <f t="shared" si="27"/>
        <v>21-30 Гб</v>
      </c>
    </row>
    <row r="1021" spans="1:22" ht="15.75" customHeight="1" x14ac:dyDescent="0.25">
      <c r="A1021" s="62" t="s">
        <v>1112</v>
      </c>
      <c r="B1021" s="56">
        <v>35444</v>
      </c>
      <c r="C1021" s="62" t="s">
        <v>88</v>
      </c>
      <c r="D1021" s="62" t="s">
        <v>84</v>
      </c>
      <c r="E1021" s="62" t="s">
        <v>92</v>
      </c>
      <c r="F1021" s="62" t="s">
        <v>89</v>
      </c>
      <c r="G1021" s="56">
        <v>42775</v>
      </c>
      <c r="H1021" s="62">
        <v>5</v>
      </c>
      <c r="I1021" s="62">
        <v>27945</v>
      </c>
      <c r="J1021" s="62">
        <v>110435525</v>
      </c>
      <c r="P1021" s="63">
        <f t="shared" si="21"/>
        <v>120</v>
      </c>
      <c r="Q1021" s="64">
        <f t="shared" si="22"/>
        <v>116.4375</v>
      </c>
      <c r="R1021" s="64">
        <f t="shared" si="23"/>
        <v>26.329880952835083</v>
      </c>
      <c r="S1021" s="64">
        <f t="shared" si="24"/>
        <v>25</v>
      </c>
      <c r="T1021" s="64">
        <f t="shared" si="25"/>
        <v>27.168749999999999</v>
      </c>
      <c r="U1021" s="64" t="str">
        <f t="shared" si="26"/>
        <v>&lt;35</v>
      </c>
      <c r="V1021" s="64" t="str">
        <f t="shared" si="27"/>
        <v>21-30 Гб</v>
      </c>
    </row>
    <row r="1022" spans="1:22" ht="15.75" customHeight="1" x14ac:dyDescent="0.25">
      <c r="A1022" s="62" t="s">
        <v>1113</v>
      </c>
      <c r="B1022" s="56">
        <v>35442</v>
      </c>
      <c r="C1022" s="62" t="s">
        <v>83</v>
      </c>
      <c r="D1022" s="62" t="s">
        <v>84</v>
      </c>
      <c r="E1022" s="62" t="s">
        <v>92</v>
      </c>
      <c r="F1022" s="62" t="s">
        <v>96</v>
      </c>
      <c r="G1022" s="56">
        <v>43064</v>
      </c>
      <c r="H1022" s="62">
        <v>5</v>
      </c>
      <c r="I1022" s="62">
        <v>106400</v>
      </c>
      <c r="J1022" s="62">
        <v>117626525</v>
      </c>
      <c r="P1022" s="63">
        <f t="shared" si="21"/>
        <v>120</v>
      </c>
      <c r="Q1022" s="64">
        <f t="shared" si="22"/>
        <v>443.33333333333331</v>
      </c>
      <c r="R1022" s="64">
        <f t="shared" si="23"/>
        <v>28.044348955154419</v>
      </c>
      <c r="S1022" s="64">
        <f t="shared" si="24"/>
        <v>25</v>
      </c>
      <c r="T1022" s="64">
        <f t="shared" si="25"/>
        <v>103.44444444444443</v>
      </c>
      <c r="U1022" s="64" t="str">
        <f t="shared" si="26"/>
        <v>91-120</v>
      </c>
      <c r="V1022" s="64" t="str">
        <f t="shared" si="27"/>
        <v>21-30 Гб</v>
      </c>
    </row>
    <row r="1023" spans="1:22" ht="15.75" customHeight="1" x14ac:dyDescent="0.25">
      <c r="A1023" s="62" t="s">
        <v>1114</v>
      </c>
      <c r="B1023" s="56">
        <v>35442</v>
      </c>
      <c r="C1023" s="62" t="s">
        <v>83</v>
      </c>
      <c r="D1023" s="62" t="s">
        <v>84</v>
      </c>
      <c r="E1023" s="62" t="s">
        <v>85</v>
      </c>
      <c r="F1023" s="62" t="s">
        <v>89</v>
      </c>
      <c r="G1023" s="56">
        <v>43936</v>
      </c>
      <c r="H1023" s="62">
        <v>5</v>
      </c>
      <c r="I1023" s="62">
        <v>7160</v>
      </c>
      <c r="J1023" s="62">
        <v>199970775</v>
      </c>
      <c r="P1023" s="63">
        <f t="shared" si="21"/>
        <v>120</v>
      </c>
      <c r="Q1023" s="64">
        <f t="shared" si="22"/>
        <v>29.833333333333332</v>
      </c>
      <c r="R1023" s="64">
        <f t="shared" si="23"/>
        <v>47.676748037338257</v>
      </c>
      <c r="S1023" s="64">
        <f t="shared" si="24"/>
        <v>25</v>
      </c>
      <c r="T1023" s="64">
        <f t="shared" si="25"/>
        <v>6.9611111111111104</v>
      </c>
      <c r="U1023" s="64" t="str">
        <f t="shared" si="26"/>
        <v>&lt;35</v>
      </c>
      <c r="V1023" s="64" t="str">
        <f t="shared" si="27"/>
        <v>40+ Гб</v>
      </c>
    </row>
    <row r="1024" spans="1:22" ht="15.75" customHeight="1" x14ac:dyDescent="0.25">
      <c r="A1024" s="62" t="s">
        <v>1115</v>
      </c>
      <c r="B1024" s="56">
        <v>35441</v>
      </c>
      <c r="C1024" s="62" t="s">
        <v>88</v>
      </c>
      <c r="D1024" s="62" t="s">
        <v>84</v>
      </c>
      <c r="E1024" s="62" t="s">
        <v>92</v>
      </c>
      <c r="F1024" s="62" t="s">
        <v>89</v>
      </c>
      <c r="G1024" s="56">
        <v>43106</v>
      </c>
      <c r="H1024" s="62">
        <v>5</v>
      </c>
      <c r="I1024" s="62">
        <v>14365</v>
      </c>
      <c r="J1024" s="62">
        <v>49910925</v>
      </c>
      <c r="K1024" s="62">
        <v>1</v>
      </c>
      <c r="L1024" s="62">
        <v>1</v>
      </c>
      <c r="O1024" s="62">
        <v>1</v>
      </c>
      <c r="P1024" s="63">
        <f t="shared" si="21"/>
        <v>120</v>
      </c>
      <c r="Q1024" s="64">
        <f t="shared" si="22"/>
        <v>59.854166666666664</v>
      </c>
      <c r="R1024" s="64">
        <f t="shared" si="23"/>
        <v>11.899691820144653</v>
      </c>
      <c r="S1024" s="64">
        <f t="shared" si="24"/>
        <v>25</v>
      </c>
      <c r="T1024" s="64">
        <f t="shared" si="25"/>
        <v>13.965972222222222</v>
      </c>
      <c r="U1024" s="64" t="str">
        <f t="shared" si="26"/>
        <v>&lt;35</v>
      </c>
      <c r="V1024" s="64" t="str">
        <f t="shared" si="27"/>
        <v>10-20 Гб</v>
      </c>
    </row>
    <row r="1025" spans="1:22" ht="15.75" customHeight="1" x14ac:dyDescent="0.25">
      <c r="A1025" s="62" t="s">
        <v>1116</v>
      </c>
      <c r="B1025" s="56">
        <v>35440</v>
      </c>
      <c r="C1025" s="62" t="s">
        <v>88</v>
      </c>
      <c r="D1025" s="62" t="s">
        <v>84</v>
      </c>
      <c r="E1025" s="62" t="s">
        <v>92</v>
      </c>
      <c r="F1025" s="62" t="s">
        <v>96</v>
      </c>
      <c r="G1025" s="56">
        <v>43716</v>
      </c>
      <c r="H1025" s="62">
        <v>5</v>
      </c>
      <c r="I1025" s="62">
        <v>74520</v>
      </c>
      <c r="J1025" s="62">
        <v>15026875</v>
      </c>
      <c r="P1025" s="63">
        <f t="shared" si="21"/>
        <v>120</v>
      </c>
      <c r="Q1025" s="64">
        <f t="shared" si="22"/>
        <v>310.5</v>
      </c>
      <c r="R1025" s="64">
        <f t="shared" si="23"/>
        <v>3.582686185836792</v>
      </c>
      <c r="S1025" s="64">
        <f t="shared" si="24"/>
        <v>25</v>
      </c>
      <c r="T1025" s="64">
        <f t="shared" si="25"/>
        <v>72.45</v>
      </c>
      <c r="U1025" s="64" t="str">
        <f t="shared" si="26"/>
        <v>61-90</v>
      </c>
      <c r="V1025" s="64" t="str">
        <f t="shared" si="27"/>
        <v>&lt;10 Гб</v>
      </c>
    </row>
    <row r="1026" spans="1:22" ht="15.75" customHeight="1" x14ac:dyDescent="0.25">
      <c r="A1026" s="62" t="s">
        <v>1117</v>
      </c>
      <c r="B1026" s="56">
        <v>35440</v>
      </c>
      <c r="C1026" s="62" t="s">
        <v>83</v>
      </c>
      <c r="D1026" s="62" t="s">
        <v>84</v>
      </c>
      <c r="E1026" s="62" t="s">
        <v>85</v>
      </c>
      <c r="F1026" s="62" t="s">
        <v>96</v>
      </c>
      <c r="G1026" s="56">
        <v>44032</v>
      </c>
      <c r="H1026" s="62">
        <v>5</v>
      </c>
      <c r="I1026" s="62">
        <v>52315</v>
      </c>
      <c r="J1026" s="62">
        <v>131125325</v>
      </c>
      <c r="P1026" s="63">
        <f t="shared" ref="P1026:P1144" si="28">IF(G1026&gt;$C$3,DATEDIF(G1026,$C$2,"D"),DATEDIF($C$3,$C$2,"D"))</f>
        <v>120</v>
      </c>
      <c r="Q1026" s="64">
        <f t="shared" ref="Q1026:Q1144" si="29">I1026/60/P1026*30</f>
        <v>217.97916666666666</v>
      </c>
      <c r="R1026" s="64">
        <f t="shared" ref="R1026:R1144" si="30">J1026/1024^2/P1026*30</f>
        <v>31.262713670730594</v>
      </c>
      <c r="S1026" s="64">
        <f t="shared" ref="S1026:S1144" si="31">DATEDIF(B1026,$C$2,"Y")</f>
        <v>25</v>
      </c>
      <c r="T1026" s="64">
        <f t="shared" ref="T1026:T1144" si="32">(Q1026*7)/30</f>
        <v>50.861805555555549</v>
      </c>
      <c r="U1026" s="64" t="str">
        <f t="shared" ref="U1026:U1144" si="33">IF(T1026&gt;120,"120+",IF(T1026&gt;90,"91-120",IF(T1026&gt;60,"61-90",IF(T1026&gt;35,"35-60","&lt;35"))))</f>
        <v>35-60</v>
      </c>
      <c r="V1026" s="64" t="str">
        <f t="shared" ref="V1026:V1144" si="34">IF(R1026&gt;40,"40+ Гб",IF(R1026&gt;30,"31-40 Гб",IF(R1026&gt;20,"21-30 Гб",IF(R1026&gt;10,"10-20 Гб","&lt;10 Гб"))))</f>
        <v>31-40 Гб</v>
      </c>
    </row>
    <row r="1027" spans="1:22" ht="15.75" customHeight="1" x14ac:dyDescent="0.25">
      <c r="A1027" s="62" t="s">
        <v>1118</v>
      </c>
      <c r="B1027" s="56">
        <v>35434</v>
      </c>
      <c r="C1027" s="62" t="s">
        <v>83</v>
      </c>
      <c r="D1027" s="62" t="s">
        <v>84</v>
      </c>
      <c r="E1027" s="62" t="s">
        <v>92</v>
      </c>
      <c r="F1027" s="62" t="s">
        <v>96</v>
      </c>
      <c r="G1027" s="56">
        <v>43564</v>
      </c>
      <c r="H1027" s="62">
        <v>5</v>
      </c>
      <c r="I1027" s="62">
        <v>93555</v>
      </c>
      <c r="J1027" s="62">
        <v>147729300</v>
      </c>
      <c r="P1027" s="63">
        <f t="shared" si="28"/>
        <v>120</v>
      </c>
      <c r="Q1027" s="64">
        <f t="shared" si="29"/>
        <v>389.8125</v>
      </c>
      <c r="R1027" s="64">
        <f t="shared" si="30"/>
        <v>35.221409797668457</v>
      </c>
      <c r="S1027" s="64">
        <f t="shared" si="31"/>
        <v>25</v>
      </c>
      <c r="T1027" s="64">
        <f t="shared" si="32"/>
        <v>90.956249999999997</v>
      </c>
      <c r="U1027" s="64" t="str">
        <f t="shared" si="33"/>
        <v>91-120</v>
      </c>
      <c r="V1027" s="64" t="str">
        <f t="shared" si="34"/>
        <v>31-40 Гб</v>
      </c>
    </row>
    <row r="1028" spans="1:22" ht="15.75" customHeight="1" x14ac:dyDescent="0.25">
      <c r="A1028" s="62" t="s">
        <v>1119</v>
      </c>
      <c r="B1028" s="56">
        <v>35429</v>
      </c>
      <c r="C1028" s="62" t="s">
        <v>88</v>
      </c>
      <c r="D1028" s="62" t="s">
        <v>84</v>
      </c>
      <c r="E1028" s="62" t="s">
        <v>92</v>
      </c>
      <c r="F1028" s="62" t="s">
        <v>96</v>
      </c>
      <c r="G1028" s="56">
        <v>43997</v>
      </c>
      <c r="H1028" s="62">
        <v>5</v>
      </c>
      <c r="I1028" s="62">
        <v>25280</v>
      </c>
      <c r="J1028" s="62">
        <v>99964850</v>
      </c>
      <c r="L1028" s="62">
        <v>1</v>
      </c>
      <c r="P1028" s="63">
        <f t="shared" si="28"/>
        <v>120</v>
      </c>
      <c r="Q1028" s="64">
        <f t="shared" si="29"/>
        <v>105.33333333333333</v>
      </c>
      <c r="R1028" s="64">
        <f t="shared" si="30"/>
        <v>23.83347749710083</v>
      </c>
      <c r="S1028" s="64">
        <f t="shared" si="31"/>
        <v>25</v>
      </c>
      <c r="T1028" s="64">
        <f t="shared" si="32"/>
        <v>24.577777777777776</v>
      </c>
      <c r="U1028" s="64" t="str">
        <f t="shared" si="33"/>
        <v>&lt;35</v>
      </c>
      <c r="V1028" s="64" t="str">
        <f t="shared" si="34"/>
        <v>21-30 Гб</v>
      </c>
    </row>
    <row r="1029" spans="1:22" ht="15.75" customHeight="1" x14ac:dyDescent="0.25">
      <c r="A1029" s="62" t="s">
        <v>1120</v>
      </c>
      <c r="B1029" s="56">
        <v>35428</v>
      </c>
      <c r="C1029" s="62" t="s">
        <v>88</v>
      </c>
      <c r="D1029" s="62" t="s">
        <v>84</v>
      </c>
      <c r="E1029" s="62" t="s">
        <v>85</v>
      </c>
      <c r="F1029" s="62" t="s">
        <v>86</v>
      </c>
      <c r="G1029" s="56">
        <v>43920</v>
      </c>
      <c r="H1029" s="62">
        <v>5</v>
      </c>
      <c r="I1029" s="62">
        <v>32025</v>
      </c>
      <c r="J1029" s="62">
        <v>219340850</v>
      </c>
      <c r="M1029" s="62">
        <v>1</v>
      </c>
      <c r="P1029" s="63">
        <f t="shared" si="28"/>
        <v>120</v>
      </c>
      <c r="Q1029" s="64">
        <f t="shared" si="29"/>
        <v>133.4375</v>
      </c>
      <c r="R1029" s="64">
        <f t="shared" si="30"/>
        <v>52.294933795928955</v>
      </c>
      <c r="S1029" s="64">
        <f t="shared" si="31"/>
        <v>25</v>
      </c>
      <c r="T1029" s="64">
        <f t="shared" si="32"/>
        <v>31.135416666666668</v>
      </c>
      <c r="U1029" s="64" t="str">
        <f t="shared" si="33"/>
        <v>&lt;35</v>
      </c>
      <c r="V1029" s="64" t="str">
        <f t="shared" si="34"/>
        <v>40+ Гб</v>
      </c>
    </row>
    <row r="1030" spans="1:22" ht="15.75" customHeight="1" x14ac:dyDescent="0.25">
      <c r="A1030" s="62" t="s">
        <v>1121</v>
      </c>
      <c r="B1030" s="56">
        <v>35428</v>
      </c>
      <c r="C1030" s="62" t="s">
        <v>83</v>
      </c>
      <c r="D1030" s="62" t="s">
        <v>84</v>
      </c>
      <c r="E1030" s="62" t="s">
        <v>92</v>
      </c>
      <c r="F1030" s="62" t="s">
        <v>96</v>
      </c>
      <c r="G1030" s="56">
        <v>44185</v>
      </c>
      <c r="H1030" s="62">
        <v>5</v>
      </c>
      <c r="I1030" s="62">
        <v>24105</v>
      </c>
      <c r="J1030" s="62">
        <v>132210175</v>
      </c>
      <c r="P1030" s="63">
        <f t="shared" si="28"/>
        <v>120</v>
      </c>
      <c r="Q1030" s="64">
        <f t="shared" si="29"/>
        <v>100.4375</v>
      </c>
      <c r="R1030" s="64">
        <f t="shared" si="30"/>
        <v>31.521362066268917</v>
      </c>
      <c r="S1030" s="64">
        <f t="shared" si="31"/>
        <v>25</v>
      </c>
      <c r="T1030" s="64">
        <f t="shared" si="32"/>
        <v>23.435416666666665</v>
      </c>
      <c r="U1030" s="64" t="str">
        <f t="shared" si="33"/>
        <v>&lt;35</v>
      </c>
      <c r="V1030" s="64" t="str">
        <f t="shared" si="34"/>
        <v>31-40 Гб</v>
      </c>
    </row>
    <row r="1031" spans="1:22" ht="15.75" customHeight="1" x14ac:dyDescent="0.25">
      <c r="A1031" s="62" t="s">
        <v>1122</v>
      </c>
      <c r="B1031" s="56">
        <v>35424</v>
      </c>
      <c r="C1031" s="62" t="s">
        <v>83</v>
      </c>
      <c r="D1031" s="62" t="s">
        <v>84</v>
      </c>
      <c r="E1031" s="62" t="s">
        <v>85</v>
      </c>
      <c r="F1031" s="62" t="s">
        <v>100</v>
      </c>
      <c r="G1031" s="56">
        <v>43423</v>
      </c>
      <c r="H1031" s="62">
        <v>5</v>
      </c>
      <c r="I1031" s="62">
        <v>107580</v>
      </c>
      <c r="J1031" s="62">
        <v>138366825</v>
      </c>
      <c r="P1031" s="63">
        <f t="shared" si="28"/>
        <v>120</v>
      </c>
      <c r="Q1031" s="64">
        <f t="shared" si="29"/>
        <v>448.25</v>
      </c>
      <c r="R1031" s="64">
        <f t="shared" si="30"/>
        <v>32.989221811294556</v>
      </c>
      <c r="S1031" s="64">
        <f t="shared" si="31"/>
        <v>25</v>
      </c>
      <c r="T1031" s="64">
        <f t="shared" si="32"/>
        <v>104.59166666666667</v>
      </c>
      <c r="U1031" s="64" t="str">
        <f t="shared" si="33"/>
        <v>91-120</v>
      </c>
      <c r="V1031" s="64" t="str">
        <f t="shared" si="34"/>
        <v>31-40 Гб</v>
      </c>
    </row>
    <row r="1032" spans="1:22" ht="15.75" customHeight="1" x14ac:dyDescent="0.25">
      <c r="A1032" s="62" t="s">
        <v>1123</v>
      </c>
      <c r="B1032" s="56">
        <v>35424</v>
      </c>
      <c r="C1032" s="62" t="s">
        <v>83</v>
      </c>
      <c r="D1032" s="62" t="s">
        <v>84</v>
      </c>
      <c r="E1032" s="62" t="s">
        <v>85</v>
      </c>
      <c r="F1032" s="62" t="s">
        <v>96</v>
      </c>
      <c r="G1032" s="56">
        <v>44243</v>
      </c>
      <c r="H1032" s="62">
        <v>5</v>
      </c>
      <c r="I1032" s="62">
        <v>25015</v>
      </c>
      <c r="J1032" s="62">
        <v>125268950</v>
      </c>
      <c r="M1032" s="62">
        <v>1</v>
      </c>
      <c r="N1032" s="62">
        <v>1</v>
      </c>
      <c r="P1032" s="63">
        <f t="shared" si="28"/>
        <v>120</v>
      </c>
      <c r="Q1032" s="64">
        <f t="shared" si="29"/>
        <v>104.22916666666667</v>
      </c>
      <c r="R1032" s="64">
        <f t="shared" si="30"/>
        <v>29.866445064544678</v>
      </c>
      <c r="S1032" s="64">
        <f t="shared" si="31"/>
        <v>25</v>
      </c>
      <c r="T1032" s="64">
        <f t="shared" si="32"/>
        <v>24.320138888888891</v>
      </c>
      <c r="U1032" s="64" t="str">
        <f t="shared" si="33"/>
        <v>&lt;35</v>
      </c>
      <c r="V1032" s="64" t="str">
        <f t="shared" si="34"/>
        <v>21-30 Гб</v>
      </c>
    </row>
    <row r="1033" spans="1:22" ht="15.75" customHeight="1" x14ac:dyDescent="0.25">
      <c r="A1033" s="62" t="s">
        <v>1124</v>
      </c>
      <c r="B1033" s="56">
        <v>35423</v>
      </c>
      <c r="C1033" s="62" t="s">
        <v>83</v>
      </c>
      <c r="D1033" s="62" t="s">
        <v>84</v>
      </c>
      <c r="E1033" s="62" t="s">
        <v>92</v>
      </c>
      <c r="F1033" s="62" t="s">
        <v>100</v>
      </c>
      <c r="G1033" s="56">
        <v>44570</v>
      </c>
      <c r="H1033" s="62">
        <v>3</v>
      </c>
      <c r="I1033" s="62">
        <v>103880</v>
      </c>
      <c r="J1033" s="62">
        <v>255989225</v>
      </c>
      <c r="P1033" s="63">
        <f t="shared" si="28"/>
        <v>112</v>
      </c>
      <c r="Q1033" s="64">
        <f t="shared" si="29"/>
        <v>463.74999999999994</v>
      </c>
      <c r="R1033" s="64">
        <f t="shared" si="30"/>
        <v>65.392057810510906</v>
      </c>
      <c r="S1033" s="64">
        <f t="shared" si="31"/>
        <v>25</v>
      </c>
      <c r="T1033" s="64">
        <f t="shared" si="32"/>
        <v>108.20833333333331</v>
      </c>
      <c r="U1033" s="64" t="str">
        <f t="shared" si="33"/>
        <v>91-120</v>
      </c>
      <c r="V1033" s="64" t="str">
        <f t="shared" si="34"/>
        <v>40+ Гб</v>
      </c>
    </row>
    <row r="1034" spans="1:22" ht="15.75" customHeight="1" x14ac:dyDescent="0.25">
      <c r="A1034" s="62" t="s">
        <v>1125</v>
      </c>
      <c r="B1034" s="56">
        <v>35413</v>
      </c>
      <c r="C1034" s="62" t="s">
        <v>88</v>
      </c>
      <c r="D1034" s="62" t="s">
        <v>84</v>
      </c>
      <c r="E1034" s="62" t="s">
        <v>92</v>
      </c>
      <c r="F1034" s="62" t="s">
        <v>86</v>
      </c>
      <c r="G1034" s="56">
        <v>44121</v>
      </c>
      <c r="H1034" s="62">
        <v>5</v>
      </c>
      <c r="I1034" s="62">
        <v>166795</v>
      </c>
      <c r="J1034" s="62">
        <v>205244075</v>
      </c>
      <c r="M1034" s="62">
        <v>1</v>
      </c>
      <c r="P1034" s="63">
        <f t="shared" si="28"/>
        <v>120</v>
      </c>
      <c r="Q1034" s="64">
        <f t="shared" si="29"/>
        <v>694.97916666666663</v>
      </c>
      <c r="R1034" s="64">
        <f t="shared" si="30"/>
        <v>48.934000730514526</v>
      </c>
      <c r="S1034" s="64">
        <f t="shared" si="31"/>
        <v>25</v>
      </c>
      <c r="T1034" s="64">
        <f t="shared" si="32"/>
        <v>162.16180555555553</v>
      </c>
      <c r="U1034" s="64" t="str">
        <f t="shared" si="33"/>
        <v>120+</v>
      </c>
      <c r="V1034" s="64" t="str">
        <f t="shared" si="34"/>
        <v>40+ Гб</v>
      </c>
    </row>
    <row r="1035" spans="1:22" ht="15.75" customHeight="1" x14ac:dyDescent="0.25">
      <c r="A1035" s="62" t="s">
        <v>1126</v>
      </c>
      <c r="B1035" s="56">
        <v>35409</v>
      </c>
      <c r="C1035" s="62" t="s">
        <v>83</v>
      </c>
      <c r="D1035" s="62" t="s">
        <v>84</v>
      </c>
      <c r="E1035" s="62" t="s">
        <v>92</v>
      </c>
      <c r="F1035" s="62" t="s">
        <v>89</v>
      </c>
      <c r="G1035" s="56">
        <v>42871</v>
      </c>
      <c r="H1035" s="62">
        <v>5</v>
      </c>
      <c r="I1035" s="62">
        <v>40770</v>
      </c>
      <c r="J1035" s="62">
        <v>127340650</v>
      </c>
      <c r="N1035" s="62">
        <v>1</v>
      </c>
      <c r="P1035" s="63">
        <f t="shared" si="28"/>
        <v>120</v>
      </c>
      <c r="Q1035" s="64">
        <f t="shared" si="29"/>
        <v>169.875</v>
      </c>
      <c r="R1035" s="64">
        <f t="shared" si="30"/>
        <v>30.360376834869381</v>
      </c>
      <c r="S1035" s="64">
        <f t="shared" si="31"/>
        <v>25</v>
      </c>
      <c r="T1035" s="64">
        <f t="shared" si="32"/>
        <v>39.637500000000003</v>
      </c>
      <c r="U1035" s="64" t="str">
        <f t="shared" si="33"/>
        <v>35-60</v>
      </c>
      <c r="V1035" s="64" t="str">
        <f t="shared" si="34"/>
        <v>31-40 Гб</v>
      </c>
    </row>
    <row r="1036" spans="1:22" ht="15.75" customHeight="1" x14ac:dyDescent="0.25">
      <c r="A1036" s="62" t="s">
        <v>1127</v>
      </c>
      <c r="B1036" s="56">
        <v>35408</v>
      </c>
      <c r="C1036" s="62" t="s">
        <v>88</v>
      </c>
      <c r="D1036" s="62" t="s">
        <v>84</v>
      </c>
      <c r="E1036" s="62" t="s">
        <v>92</v>
      </c>
      <c r="F1036" s="62" t="s">
        <v>96</v>
      </c>
      <c r="G1036" s="56">
        <v>44238</v>
      </c>
      <c r="H1036" s="62">
        <v>5</v>
      </c>
      <c r="I1036" s="62">
        <v>59810</v>
      </c>
      <c r="J1036" s="62">
        <v>128271550</v>
      </c>
      <c r="P1036" s="63">
        <f t="shared" si="28"/>
        <v>120</v>
      </c>
      <c r="Q1036" s="64">
        <f t="shared" si="29"/>
        <v>249.20833333333337</v>
      </c>
      <c r="R1036" s="64">
        <f t="shared" si="30"/>
        <v>30.582320690155026</v>
      </c>
      <c r="S1036" s="64">
        <f t="shared" si="31"/>
        <v>25</v>
      </c>
      <c r="T1036" s="64">
        <f t="shared" si="32"/>
        <v>58.148611111111116</v>
      </c>
      <c r="U1036" s="64" t="str">
        <f t="shared" si="33"/>
        <v>35-60</v>
      </c>
      <c r="V1036" s="64" t="str">
        <f t="shared" si="34"/>
        <v>31-40 Гб</v>
      </c>
    </row>
    <row r="1037" spans="1:22" ht="15.75" customHeight="1" x14ac:dyDescent="0.25">
      <c r="A1037" s="62" t="s">
        <v>1128</v>
      </c>
      <c r="B1037" s="56">
        <v>35403</v>
      </c>
      <c r="C1037" s="62" t="s">
        <v>83</v>
      </c>
      <c r="D1037" s="62" t="s">
        <v>84</v>
      </c>
      <c r="E1037" s="62" t="s">
        <v>92</v>
      </c>
      <c r="F1037" s="62" t="s">
        <v>100</v>
      </c>
      <c r="G1037" s="56">
        <v>43569</v>
      </c>
      <c r="H1037" s="62">
        <v>5</v>
      </c>
      <c r="I1037" s="62">
        <v>56320</v>
      </c>
      <c r="J1037" s="62">
        <v>114260575</v>
      </c>
      <c r="P1037" s="63">
        <f t="shared" si="28"/>
        <v>120</v>
      </c>
      <c r="Q1037" s="64">
        <f t="shared" si="29"/>
        <v>234.66666666666666</v>
      </c>
      <c r="R1037" s="64">
        <f t="shared" si="30"/>
        <v>27.241843938827515</v>
      </c>
      <c r="S1037" s="64">
        <f t="shared" si="31"/>
        <v>25</v>
      </c>
      <c r="T1037" s="64">
        <f t="shared" si="32"/>
        <v>54.755555555555553</v>
      </c>
      <c r="U1037" s="64" t="str">
        <f t="shared" si="33"/>
        <v>35-60</v>
      </c>
      <c r="V1037" s="64" t="str">
        <f t="shared" si="34"/>
        <v>21-30 Гб</v>
      </c>
    </row>
    <row r="1038" spans="1:22" ht="15.75" customHeight="1" x14ac:dyDescent="0.25">
      <c r="A1038" s="62" t="s">
        <v>1129</v>
      </c>
      <c r="B1038" s="56">
        <v>35402</v>
      </c>
      <c r="C1038" s="62" t="s">
        <v>88</v>
      </c>
      <c r="D1038" s="62" t="s">
        <v>84</v>
      </c>
      <c r="E1038" s="62" t="s">
        <v>92</v>
      </c>
      <c r="F1038" s="62" t="s">
        <v>86</v>
      </c>
      <c r="G1038" s="56">
        <v>43514</v>
      </c>
      <c r="H1038" s="62">
        <v>5</v>
      </c>
      <c r="I1038" s="62">
        <v>203725</v>
      </c>
      <c r="J1038" s="62">
        <v>94874425</v>
      </c>
      <c r="K1038" s="62">
        <v>1</v>
      </c>
      <c r="P1038" s="63">
        <f t="shared" si="28"/>
        <v>120</v>
      </c>
      <c r="Q1038" s="64">
        <f t="shared" si="29"/>
        <v>848.85416666666663</v>
      </c>
      <c r="R1038" s="64">
        <f t="shared" si="30"/>
        <v>22.619825601577759</v>
      </c>
      <c r="S1038" s="64">
        <f t="shared" si="31"/>
        <v>25</v>
      </c>
      <c r="T1038" s="64">
        <f t="shared" si="32"/>
        <v>198.0659722222222</v>
      </c>
      <c r="U1038" s="64" t="str">
        <f t="shared" si="33"/>
        <v>120+</v>
      </c>
      <c r="V1038" s="64" t="str">
        <f t="shared" si="34"/>
        <v>21-30 Гб</v>
      </c>
    </row>
    <row r="1039" spans="1:22" ht="15.75" customHeight="1" x14ac:dyDescent="0.25">
      <c r="A1039" s="62" t="s">
        <v>1130</v>
      </c>
      <c r="B1039" s="56">
        <v>35401</v>
      </c>
      <c r="C1039" s="62" t="s">
        <v>88</v>
      </c>
      <c r="D1039" s="62" t="s">
        <v>84</v>
      </c>
      <c r="E1039" s="62" t="s">
        <v>85</v>
      </c>
      <c r="F1039" s="62" t="s">
        <v>100</v>
      </c>
      <c r="G1039" s="56">
        <v>42880</v>
      </c>
      <c r="H1039" s="62">
        <v>5</v>
      </c>
      <c r="I1039" s="62">
        <v>96430</v>
      </c>
      <c r="J1039" s="62">
        <v>152003650</v>
      </c>
      <c r="P1039" s="63">
        <f t="shared" si="28"/>
        <v>120</v>
      </c>
      <c r="Q1039" s="64">
        <f t="shared" si="29"/>
        <v>401.79166666666669</v>
      </c>
      <c r="R1039" s="64">
        <f t="shared" si="30"/>
        <v>36.240494251251221</v>
      </c>
      <c r="S1039" s="64">
        <f t="shared" si="31"/>
        <v>25</v>
      </c>
      <c r="T1039" s="64">
        <f t="shared" si="32"/>
        <v>93.751388888888897</v>
      </c>
      <c r="U1039" s="64" t="str">
        <f t="shared" si="33"/>
        <v>91-120</v>
      </c>
      <c r="V1039" s="64" t="str">
        <f t="shared" si="34"/>
        <v>31-40 Гб</v>
      </c>
    </row>
    <row r="1040" spans="1:22" ht="15.75" customHeight="1" x14ac:dyDescent="0.25">
      <c r="A1040" s="62" t="s">
        <v>1131</v>
      </c>
      <c r="B1040" s="56">
        <v>35400</v>
      </c>
      <c r="C1040" s="62" t="s">
        <v>83</v>
      </c>
      <c r="D1040" s="62" t="s">
        <v>84</v>
      </c>
      <c r="E1040" s="62" t="s">
        <v>85</v>
      </c>
      <c r="F1040" s="62" t="s">
        <v>89</v>
      </c>
      <c r="G1040" s="56">
        <v>42887</v>
      </c>
      <c r="H1040" s="62">
        <v>5</v>
      </c>
      <c r="I1040" s="62">
        <v>34925</v>
      </c>
      <c r="J1040" s="62">
        <v>150009725</v>
      </c>
      <c r="K1040" s="62">
        <v>1</v>
      </c>
      <c r="P1040" s="63">
        <f t="shared" si="28"/>
        <v>120</v>
      </c>
      <c r="Q1040" s="64">
        <f t="shared" si="29"/>
        <v>145.52083333333334</v>
      </c>
      <c r="R1040" s="64">
        <f t="shared" si="30"/>
        <v>35.765105485916138</v>
      </c>
      <c r="S1040" s="64">
        <f t="shared" si="31"/>
        <v>25</v>
      </c>
      <c r="T1040" s="64">
        <f t="shared" si="32"/>
        <v>33.954861111111114</v>
      </c>
      <c r="U1040" s="64" t="str">
        <f t="shared" si="33"/>
        <v>&lt;35</v>
      </c>
      <c r="V1040" s="64" t="str">
        <f t="shared" si="34"/>
        <v>31-40 Гб</v>
      </c>
    </row>
    <row r="1041" spans="1:22" ht="15.75" customHeight="1" x14ac:dyDescent="0.25">
      <c r="A1041" s="62" t="s">
        <v>1132</v>
      </c>
      <c r="B1041" s="56">
        <v>35399</v>
      </c>
      <c r="C1041" s="62" t="s">
        <v>83</v>
      </c>
      <c r="D1041" s="62" t="s">
        <v>84</v>
      </c>
      <c r="E1041" s="62" t="s">
        <v>92</v>
      </c>
      <c r="F1041" s="62" t="s">
        <v>96</v>
      </c>
      <c r="G1041" s="56">
        <v>43512</v>
      </c>
      <c r="H1041" s="62">
        <v>5</v>
      </c>
      <c r="I1041" s="62">
        <v>65510</v>
      </c>
      <c r="J1041" s="62">
        <v>107018225</v>
      </c>
      <c r="P1041" s="63">
        <f t="shared" si="28"/>
        <v>120</v>
      </c>
      <c r="Q1041" s="64">
        <f t="shared" si="29"/>
        <v>272.95833333333331</v>
      </c>
      <c r="R1041" s="64">
        <f t="shared" si="30"/>
        <v>25.515133142471313</v>
      </c>
      <c r="S1041" s="64">
        <f t="shared" si="31"/>
        <v>25</v>
      </c>
      <c r="T1041" s="64">
        <f t="shared" si="32"/>
        <v>63.690277777777773</v>
      </c>
      <c r="U1041" s="64" t="str">
        <f t="shared" si="33"/>
        <v>61-90</v>
      </c>
      <c r="V1041" s="64" t="str">
        <f t="shared" si="34"/>
        <v>21-30 Гб</v>
      </c>
    </row>
    <row r="1042" spans="1:22" ht="15.75" customHeight="1" x14ac:dyDescent="0.25">
      <c r="A1042" s="62" t="s">
        <v>1133</v>
      </c>
      <c r="B1042" s="56">
        <v>35399</v>
      </c>
      <c r="C1042" s="62" t="s">
        <v>88</v>
      </c>
      <c r="D1042" s="62" t="s">
        <v>84</v>
      </c>
      <c r="E1042" s="62" t="s">
        <v>85</v>
      </c>
      <c r="F1042" s="62" t="s">
        <v>89</v>
      </c>
      <c r="G1042" s="56">
        <v>44437</v>
      </c>
      <c r="H1042" s="62">
        <v>5</v>
      </c>
      <c r="I1042" s="62">
        <v>16680</v>
      </c>
      <c r="J1042" s="62">
        <v>171557275</v>
      </c>
      <c r="P1042" s="63">
        <f t="shared" si="28"/>
        <v>120</v>
      </c>
      <c r="Q1042" s="64">
        <f t="shared" si="29"/>
        <v>69.5</v>
      </c>
      <c r="R1042" s="64">
        <f t="shared" si="30"/>
        <v>40.902441740036011</v>
      </c>
      <c r="S1042" s="64">
        <f t="shared" si="31"/>
        <v>25</v>
      </c>
      <c r="T1042" s="64">
        <f t="shared" si="32"/>
        <v>16.216666666666665</v>
      </c>
      <c r="U1042" s="64" t="str">
        <f t="shared" si="33"/>
        <v>&lt;35</v>
      </c>
      <c r="V1042" s="64" t="str">
        <f t="shared" si="34"/>
        <v>40+ Гб</v>
      </c>
    </row>
    <row r="1043" spans="1:22" ht="15.75" customHeight="1" x14ac:dyDescent="0.25">
      <c r="A1043" s="62" t="s">
        <v>1134</v>
      </c>
      <c r="B1043" s="56">
        <v>35398</v>
      </c>
      <c r="C1043" s="62" t="s">
        <v>83</v>
      </c>
      <c r="D1043" s="62" t="s">
        <v>84</v>
      </c>
      <c r="E1043" s="62" t="s">
        <v>92</v>
      </c>
      <c r="F1043" s="62" t="s">
        <v>96</v>
      </c>
      <c r="G1043" s="56">
        <v>43887</v>
      </c>
      <c r="H1043" s="62">
        <v>5</v>
      </c>
      <c r="I1043" s="62">
        <v>17750</v>
      </c>
      <c r="J1043" s="62">
        <v>115433375</v>
      </c>
      <c r="P1043" s="63">
        <f t="shared" si="28"/>
        <v>120</v>
      </c>
      <c r="Q1043" s="64">
        <f t="shared" si="29"/>
        <v>73.958333333333329</v>
      </c>
      <c r="R1043" s="64">
        <f t="shared" si="30"/>
        <v>27.521461248397827</v>
      </c>
      <c r="S1043" s="64">
        <f t="shared" si="31"/>
        <v>25</v>
      </c>
      <c r="T1043" s="64">
        <f t="shared" si="32"/>
        <v>17.256944444444443</v>
      </c>
      <c r="U1043" s="64" t="str">
        <f t="shared" si="33"/>
        <v>&lt;35</v>
      </c>
      <c r="V1043" s="64" t="str">
        <f t="shared" si="34"/>
        <v>21-30 Гб</v>
      </c>
    </row>
    <row r="1044" spans="1:22" ht="15.75" customHeight="1" x14ac:dyDescent="0.25">
      <c r="A1044" s="62" t="s">
        <v>1135</v>
      </c>
      <c r="B1044" s="56">
        <v>35395</v>
      </c>
      <c r="C1044" s="62" t="s">
        <v>88</v>
      </c>
      <c r="D1044" s="62" t="s">
        <v>84</v>
      </c>
      <c r="E1044" s="62" t="s">
        <v>85</v>
      </c>
      <c r="F1044" s="62" t="s">
        <v>100</v>
      </c>
      <c r="G1044" s="56">
        <v>43320</v>
      </c>
      <c r="H1044" s="62">
        <v>5</v>
      </c>
      <c r="I1044" s="62">
        <v>119235</v>
      </c>
      <c r="J1044" s="62">
        <v>161610850</v>
      </c>
      <c r="P1044" s="63">
        <f t="shared" si="28"/>
        <v>120</v>
      </c>
      <c r="Q1044" s="64">
        <f t="shared" si="29"/>
        <v>496.81249999999994</v>
      </c>
      <c r="R1044" s="64">
        <f t="shared" si="30"/>
        <v>38.531029224395752</v>
      </c>
      <c r="S1044" s="64">
        <f t="shared" si="31"/>
        <v>25</v>
      </c>
      <c r="T1044" s="64">
        <f t="shared" si="32"/>
        <v>115.92291666666665</v>
      </c>
      <c r="U1044" s="64" t="str">
        <f t="shared" si="33"/>
        <v>91-120</v>
      </c>
      <c r="V1044" s="64" t="str">
        <f t="shared" si="34"/>
        <v>31-40 Гб</v>
      </c>
    </row>
    <row r="1045" spans="1:22" ht="15.75" customHeight="1" x14ac:dyDescent="0.25">
      <c r="A1045" s="62" t="s">
        <v>1136</v>
      </c>
      <c r="B1045" s="56">
        <v>35395</v>
      </c>
      <c r="C1045" s="62" t="s">
        <v>83</v>
      </c>
      <c r="D1045" s="62" t="s">
        <v>84</v>
      </c>
      <c r="E1045" s="62" t="s">
        <v>85</v>
      </c>
      <c r="F1045" s="62" t="s">
        <v>89</v>
      </c>
      <c r="G1045" s="56">
        <v>44325</v>
      </c>
      <c r="H1045" s="62">
        <v>5</v>
      </c>
      <c r="I1045" s="62">
        <v>17775</v>
      </c>
      <c r="J1045" s="62">
        <v>144216075</v>
      </c>
      <c r="P1045" s="63">
        <f t="shared" si="28"/>
        <v>120</v>
      </c>
      <c r="Q1045" s="64">
        <f t="shared" si="29"/>
        <v>74.0625</v>
      </c>
      <c r="R1045" s="64">
        <f t="shared" si="30"/>
        <v>34.38379168510437</v>
      </c>
      <c r="S1045" s="64">
        <f t="shared" si="31"/>
        <v>25</v>
      </c>
      <c r="T1045" s="64">
        <f t="shared" si="32"/>
        <v>17.28125</v>
      </c>
      <c r="U1045" s="64" t="str">
        <f t="shared" si="33"/>
        <v>&lt;35</v>
      </c>
      <c r="V1045" s="64" t="str">
        <f t="shared" si="34"/>
        <v>31-40 Гб</v>
      </c>
    </row>
    <row r="1046" spans="1:22" ht="15.75" customHeight="1" x14ac:dyDescent="0.25">
      <c r="A1046" s="62" t="s">
        <v>1137</v>
      </c>
      <c r="B1046" s="56">
        <v>35392</v>
      </c>
      <c r="C1046" s="62" t="s">
        <v>83</v>
      </c>
      <c r="D1046" s="62" t="s">
        <v>84</v>
      </c>
      <c r="E1046" s="62" t="s">
        <v>85</v>
      </c>
      <c r="F1046" s="62" t="s">
        <v>89</v>
      </c>
      <c r="G1046" s="56">
        <v>44276</v>
      </c>
      <c r="H1046" s="62">
        <v>5</v>
      </c>
      <c r="I1046" s="62">
        <v>27180</v>
      </c>
      <c r="J1046" s="62">
        <v>139799775</v>
      </c>
      <c r="P1046" s="63">
        <f t="shared" si="28"/>
        <v>120</v>
      </c>
      <c r="Q1046" s="64">
        <f t="shared" si="29"/>
        <v>113.25</v>
      </c>
      <c r="R1046" s="64">
        <f t="shared" si="30"/>
        <v>33.33086371421814</v>
      </c>
      <c r="S1046" s="64">
        <f t="shared" si="31"/>
        <v>25</v>
      </c>
      <c r="T1046" s="64">
        <f t="shared" si="32"/>
        <v>26.425000000000001</v>
      </c>
      <c r="U1046" s="64" t="str">
        <f t="shared" si="33"/>
        <v>&lt;35</v>
      </c>
      <c r="V1046" s="64" t="str">
        <f t="shared" si="34"/>
        <v>31-40 Гб</v>
      </c>
    </row>
    <row r="1047" spans="1:22" ht="15.75" customHeight="1" x14ac:dyDescent="0.25">
      <c r="A1047" s="62" t="s">
        <v>1138</v>
      </c>
      <c r="B1047" s="56">
        <v>35390</v>
      </c>
      <c r="C1047" s="62" t="s">
        <v>83</v>
      </c>
      <c r="D1047" s="62" t="s">
        <v>84</v>
      </c>
      <c r="E1047" s="62" t="s">
        <v>85</v>
      </c>
      <c r="F1047" s="62" t="s">
        <v>96</v>
      </c>
      <c r="G1047" s="56">
        <v>43995</v>
      </c>
      <c r="H1047" s="62">
        <v>5</v>
      </c>
      <c r="I1047" s="62">
        <v>12370</v>
      </c>
      <c r="J1047" s="62">
        <v>96001975</v>
      </c>
      <c r="P1047" s="63">
        <f t="shared" si="28"/>
        <v>120</v>
      </c>
      <c r="Q1047" s="64">
        <f t="shared" si="29"/>
        <v>51.541666666666664</v>
      </c>
      <c r="R1047" s="64">
        <f t="shared" si="30"/>
        <v>22.888654470443726</v>
      </c>
      <c r="S1047" s="64">
        <f t="shared" si="31"/>
        <v>25</v>
      </c>
      <c r="T1047" s="64">
        <f t="shared" si="32"/>
        <v>12.026388888888887</v>
      </c>
      <c r="U1047" s="64" t="str">
        <f t="shared" si="33"/>
        <v>&lt;35</v>
      </c>
      <c r="V1047" s="64" t="str">
        <f t="shared" si="34"/>
        <v>21-30 Гб</v>
      </c>
    </row>
    <row r="1048" spans="1:22" ht="15.75" customHeight="1" x14ac:dyDescent="0.25">
      <c r="A1048" s="62" t="s">
        <v>1139</v>
      </c>
      <c r="B1048" s="56">
        <v>35387</v>
      </c>
      <c r="C1048" s="62" t="s">
        <v>83</v>
      </c>
      <c r="D1048" s="62" t="s">
        <v>84</v>
      </c>
      <c r="E1048" s="62" t="s">
        <v>92</v>
      </c>
      <c r="F1048" s="62" t="s">
        <v>100</v>
      </c>
      <c r="G1048" s="56">
        <v>44131</v>
      </c>
      <c r="H1048" s="62">
        <v>5</v>
      </c>
      <c r="I1048" s="62">
        <v>90470</v>
      </c>
      <c r="J1048" s="62">
        <v>162298375</v>
      </c>
      <c r="P1048" s="63">
        <f t="shared" si="28"/>
        <v>120</v>
      </c>
      <c r="Q1048" s="64">
        <f t="shared" si="29"/>
        <v>376.95833333333331</v>
      </c>
      <c r="R1048" s="64">
        <f t="shared" si="30"/>
        <v>38.694947957992554</v>
      </c>
      <c r="S1048" s="64">
        <f t="shared" si="31"/>
        <v>25</v>
      </c>
      <c r="T1048" s="64">
        <f t="shared" si="32"/>
        <v>87.956944444444431</v>
      </c>
      <c r="U1048" s="64" t="str">
        <f t="shared" si="33"/>
        <v>61-90</v>
      </c>
      <c r="V1048" s="64" t="str">
        <f t="shared" si="34"/>
        <v>31-40 Гб</v>
      </c>
    </row>
    <row r="1049" spans="1:22" ht="15.75" customHeight="1" x14ac:dyDescent="0.25">
      <c r="A1049" s="62" t="s">
        <v>1140</v>
      </c>
      <c r="B1049" s="56">
        <v>35386</v>
      </c>
      <c r="C1049" s="62" t="s">
        <v>88</v>
      </c>
      <c r="D1049" s="62" t="s">
        <v>84</v>
      </c>
      <c r="E1049" s="62" t="s">
        <v>92</v>
      </c>
      <c r="F1049" s="62" t="s">
        <v>96</v>
      </c>
      <c r="G1049" s="56">
        <v>42946</v>
      </c>
      <c r="H1049" s="62">
        <v>5</v>
      </c>
      <c r="I1049" s="62">
        <v>106735</v>
      </c>
      <c r="J1049" s="62">
        <v>103152500</v>
      </c>
      <c r="P1049" s="63">
        <f t="shared" si="28"/>
        <v>120</v>
      </c>
      <c r="Q1049" s="64">
        <f t="shared" si="29"/>
        <v>444.72916666666669</v>
      </c>
      <c r="R1049" s="64">
        <f t="shared" si="30"/>
        <v>24.593472480773926</v>
      </c>
      <c r="S1049" s="64">
        <f t="shared" si="31"/>
        <v>25</v>
      </c>
      <c r="T1049" s="64">
        <f t="shared" si="32"/>
        <v>103.77013888888889</v>
      </c>
      <c r="U1049" s="64" t="str">
        <f t="shared" si="33"/>
        <v>91-120</v>
      </c>
      <c r="V1049" s="64" t="str">
        <f t="shared" si="34"/>
        <v>21-30 Гб</v>
      </c>
    </row>
    <row r="1050" spans="1:22" ht="15.75" customHeight="1" x14ac:dyDescent="0.25">
      <c r="A1050" s="62" t="s">
        <v>1141</v>
      </c>
      <c r="B1050" s="56">
        <v>35384</v>
      </c>
      <c r="C1050" s="62" t="s">
        <v>88</v>
      </c>
      <c r="D1050" s="62" t="s">
        <v>84</v>
      </c>
      <c r="E1050" s="62" t="s">
        <v>92</v>
      </c>
      <c r="F1050" s="62" t="s">
        <v>86</v>
      </c>
      <c r="G1050" s="56">
        <v>44596</v>
      </c>
      <c r="H1050" s="62">
        <v>2</v>
      </c>
      <c r="I1050" s="62">
        <v>202555</v>
      </c>
      <c r="J1050" s="62">
        <v>530995575</v>
      </c>
      <c r="P1050" s="63">
        <f t="shared" si="28"/>
        <v>86</v>
      </c>
      <c r="Q1050" s="64">
        <f t="shared" si="29"/>
        <v>1177.6453488372092</v>
      </c>
      <c r="R1050" s="64">
        <f t="shared" si="30"/>
        <v>176.65006116379141</v>
      </c>
      <c r="S1050" s="64">
        <f t="shared" si="31"/>
        <v>25</v>
      </c>
      <c r="T1050" s="64">
        <f t="shared" si="32"/>
        <v>274.78391472868213</v>
      </c>
      <c r="U1050" s="64" t="str">
        <f t="shared" si="33"/>
        <v>120+</v>
      </c>
      <c r="V1050" s="64" t="str">
        <f t="shared" si="34"/>
        <v>40+ Гб</v>
      </c>
    </row>
    <row r="1051" spans="1:22" ht="15.75" customHeight="1" x14ac:dyDescent="0.25">
      <c r="A1051" s="62" t="s">
        <v>1142</v>
      </c>
      <c r="B1051" s="56">
        <v>35381</v>
      </c>
      <c r="C1051" s="62" t="s">
        <v>83</v>
      </c>
      <c r="D1051" s="62" t="s">
        <v>84</v>
      </c>
      <c r="E1051" s="62" t="s">
        <v>85</v>
      </c>
      <c r="F1051" s="62" t="s">
        <v>100</v>
      </c>
      <c r="G1051" s="56">
        <v>42877</v>
      </c>
      <c r="H1051" s="62">
        <v>5</v>
      </c>
      <c r="I1051" s="62">
        <v>147810</v>
      </c>
      <c r="J1051" s="62">
        <v>164507425</v>
      </c>
      <c r="P1051" s="63">
        <f t="shared" si="28"/>
        <v>120</v>
      </c>
      <c r="Q1051" s="64">
        <f t="shared" si="29"/>
        <v>615.875</v>
      </c>
      <c r="R1051" s="64">
        <f t="shared" si="30"/>
        <v>39.22162652015686</v>
      </c>
      <c r="S1051" s="64">
        <f t="shared" si="31"/>
        <v>25</v>
      </c>
      <c r="T1051" s="64">
        <f t="shared" si="32"/>
        <v>143.70416666666668</v>
      </c>
      <c r="U1051" s="64" t="str">
        <f t="shared" si="33"/>
        <v>120+</v>
      </c>
      <c r="V1051" s="64" t="str">
        <f t="shared" si="34"/>
        <v>31-40 Гб</v>
      </c>
    </row>
    <row r="1052" spans="1:22" ht="15.75" customHeight="1" x14ac:dyDescent="0.25">
      <c r="A1052" s="62" t="s">
        <v>1143</v>
      </c>
      <c r="B1052" s="56">
        <v>35379</v>
      </c>
      <c r="C1052" s="62" t="s">
        <v>83</v>
      </c>
      <c r="D1052" s="62" t="s">
        <v>84</v>
      </c>
      <c r="E1052" s="62" t="s">
        <v>85</v>
      </c>
      <c r="F1052" s="62" t="s">
        <v>100</v>
      </c>
      <c r="G1052" s="56">
        <v>44660</v>
      </c>
      <c r="H1052" s="62">
        <v>0</v>
      </c>
      <c r="I1052" s="62">
        <v>5453</v>
      </c>
      <c r="J1052" s="62">
        <v>23171993</v>
      </c>
      <c r="P1052" s="63">
        <f t="shared" si="28"/>
        <v>22</v>
      </c>
      <c r="Q1052" s="64">
        <f t="shared" si="29"/>
        <v>123.9318181818182</v>
      </c>
      <c r="R1052" s="64">
        <f t="shared" si="30"/>
        <v>30.134365341880105</v>
      </c>
      <c r="S1052" s="64">
        <f t="shared" si="31"/>
        <v>25</v>
      </c>
      <c r="T1052" s="64">
        <f t="shared" si="32"/>
        <v>28.917424242424246</v>
      </c>
      <c r="U1052" s="64" t="str">
        <f t="shared" si="33"/>
        <v>&lt;35</v>
      </c>
      <c r="V1052" s="64" t="str">
        <f t="shared" si="34"/>
        <v>31-40 Гб</v>
      </c>
    </row>
    <row r="1053" spans="1:22" ht="15.75" customHeight="1" x14ac:dyDescent="0.25">
      <c r="A1053" s="62" t="s">
        <v>1144</v>
      </c>
      <c r="B1053" s="56">
        <v>35379</v>
      </c>
      <c r="C1053" s="62" t="s">
        <v>83</v>
      </c>
      <c r="D1053" s="62" t="s">
        <v>84</v>
      </c>
      <c r="E1053" s="62" t="s">
        <v>85</v>
      </c>
      <c r="F1053" s="62" t="s">
        <v>96</v>
      </c>
      <c r="G1053" s="56">
        <v>43827</v>
      </c>
      <c r="H1053" s="62">
        <v>5</v>
      </c>
      <c r="I1053" s="62">
        <v>68900</v>
      </c>
      <c r="J1053" s="62">
        <v>112038450</v>
      </c>
      <c r="M1053" s="62">
        <v>1</v>
      </c>
      <c r="O1053" s="62">
        <v>1</v>
      </c>
      <c r="P1053" s="63">
        <f t="shared" si="28"/>
        <v>120</v>
      </c>
      <c r="Q1053" s="64">
        <f t="shared" si="29"/>
        <v>287.08333333333331</v>
      </c>
      <c r="R1053" s="64">
        <f t="shared" si="30"/>
        <v>26.712048053741455</v>
      </c>
      <c r="S1053" s="64">
        <f t="shared" si="31"/>
        <v>25</v>
      </c>
      <c r="T1053" s="64">
        <f t="shared" si="32"/>
        <v>66.986111111111114</v>
      </c>
      <c r="U1053" s="64" t="str">
        <f t="shared" si="33"/>
        <v>61-90</v>
      </c>
      <c r="V1053" s="64" t="str">
        <f t="shared" si="34"/>
        <v>21-30 Гб</v>
      </c>
    </row>
    <row r="1054" spans="1:22" ht="15.75" customHeight="1" x14ac:dyDescent="0.25">
      <c r="A1054" s="62" t="s">
        <v>1145</v>
      </c>
      <c r="B1054" s="56">
        <v>35376</v>
      </c>
      <c r="C1054" s="62" t="s">
        <v>88</v>
      </c>
      <c r="D1054" s="62" t="s">
        <v>84</v>
      </c>
      <c r="E1054" s="62" t="s">
        <v>85</v>
      </c>
      <c r="F1054" s="62" t="s">
        <v>96</v>
      </c>
      <c r="G1054" s="56">
        <v>43178</v>
      </c>
      <c r="H1054" s="62">
        <v>5</v>
      </c>
      <c r="I1054" s="62">
        <v>47790</v>
      </c>
      <c r="J1054" s="62">
        <v>104704175</v>
      </c>
      <c r="M1054" s="62">
        <v>1</v>
      </c>
      <c r="P1054" s="63">
        <f t="shared" si="28"/>
        <v>120</v>
      </c>
      <c r="Q1054" s="64">
        <f t="shared" si="29"/>
        <v>199.125</v>
      </c>
      <c r="R1054" s="64">
        <f t="shared" si="30"/>
        <v>24.963420629501343</v>
      </c>
      <c r="S1054" s="64">
        <f t="shared" si="31"/>
        <v>25</v>
      </c>
      <c r="T1054" s="64">
        <f t="shared" si="32"/>
        <v>46.462499999999999</v>
      </c>
      <c r="U1054" s="64" t="str">
        <f t="shared" si="33"/>
        <v>35-60</v>
      </c>
      <c r="V1054" s="64" t="str">
        <f t="shared" si="34"/>
        <v>21-30 Гб</v>
      </c>
    </row>
    <row r="1055" spans="1:22" ht="15.75" customHeight="1" x14ac:dyDescent="0.25">
      <c r="A1055" s="62" t="s">
        <v>1146</v>
      </c>
      <c r="B1055" s="56">
        <v>35372</v>
      </c>
      <c r="C1055" s="62" t="s">
        <v>83</v>
      </c>
      <c r="D1055" s="62" t="s">
        <v>84</v>
      </c>
      <c r="E1055" s="62" t="s">
        <v>92</v>
      </c>
      <c r="F1055" s="62" t="s">
        <v>89</v>
      </c>
      <c r="G1055" s="56">
        <v>44269</v>
      </c>
      <c r="H1055" s="62">
        <v>5</v>
      </c>
      <c r="I1055" s="62">
        <v>28970</v>
      </c>
      <c r="J1055" s="62">
        <v>184270950</v>
      </c>
      <c r="P1055" s="63">
        <f t="shared" si="28"/>
        <v>120</v>
      </c>
      <c r="Q1055" s="64">
        <f t="shared" si="29"/>
        <v>120.70833333333334</v>
      </c>
      <c r="R1055" s="64">
        <f t="shared" si="30"/>
        <v>43.933618068695068</v>
      </c>
      <c r="S1055" s="64">
        <f t="shared" si="31"/>
        <v>25</v>
      </c>
      <c r="T1055" s="64">
        <f t="shared" si="32"/>
        <v>28.165277777777778</v>
      </c>
      <c r="U1055" s="64" t="str">
        <f t="shared" si="33"/>
        <v>&lt;35</v>
      </c>
      <c r="V1055" s="64" t="str">
        <f t="shared" si="34"/>
        <v>40+ Гб</v>
      </c>
    </row>
    <row r="1056" spans="1:22" ht="15.75" customHeight="1" x14ac:dyDescent="0.25">
      <c r="A1056" s="62" t="s">
        <v>1147</v>
      </c>
      <c r="B1056" s="56">
        <v>35367</v>
      </c>
      <c r="C1056" s="62" t="s">
        <v>88</v>
      </c>
      <c r="D1056" s="62" t="s">
        <v>84</v>
      </c>
      <c r="E1056" s="62" t="s">
        <v>85</v>
      </c>
      <c r="F1056" s="62" t="s">
        <v>100</v>
      </c>
      <c r="G1056" s="56">
        <v>43387</v>
      </c>
      <c r="H1056" s="62">
        <v>5</v>
      </c>
      <c r="I1056" s="62">
        <v>111070</v>
      </c>
      <c r="J1056" s="62">
        <v>47660825</v>
      </c>
      <c r="P1056" s="63">
        <f t="shared" si="28"/>
        <v>120</v>
      </c>
      <c r="Q1056" s="64">
        <f t="shared" si="29"/>
        <v>462.79166666666669</v>
      </c>
      <c r="R1056" s="64">
        <f t="shared" si="30"/>
        <v>11.363226175308228</v>
      </c>
      <c r="S1056" s="64">
        <f t="shared" si="31"/>
        <v>25</v>
      </c>
      <c r="T1056" s="64">
        <f t="shared" si="32"/>
        <v>107.98472222222223</v>
      </c>
      <c r="U1056" s="64" t="str">
        <f t="shared" si="33"/>
        <v>91-120</v>
      </c>
      <c r="V1056" s="64" t="str">
        <f t="shared" si="34"/>
        <v>10-20 Гб</v>
      </c>
    </row>
    <row r="1057" spans="1:22" ht="15.75" customHeight="1" x14ac:dyDescent="0.25">
      <c r="A1057" s="62" t="s">
        <v>1148</v>
      </c>
      <c r="B1057" s="56">
        <v>35364</v>
      </c>
      <c r="C1057" s="62" t="s">
        <v>88</v>
      </c>
      <c r="D1057" s="62" t="s">
        <v>84</v>
      </c>
      <c r="E1057" s="62" t="s">
        <v>85</v>
      </c>
      <c r="F1057" s="62" t="s">
        <v>93</v>
      </c>
      <c r="G1057" s="56">
        <v>43206</v>
      </c>
      <c r="H1057" s="62">
        <v>5</v>
      </c>
      <c r="I1057" s="62">
        <v>1620</v>
      </c>
      <c r="J1057" s="62">
        <v>14564400</v>
      </c>
      <c r="K1057" s="62">
        <v>1</v>
      </c>
      <c r="M1057" s="62">
        <v>1</v>
      </c>
      <c r="O1057" s="62">
        <v>1</v>
      </c>
      <c r="P1057" s="63">
        <f t="shared" si="28"/>
        <v>120</v>
      </c>
      <c r="Q1057" s="64">
        <f t="shared" si="29"/>
        <v>6.75</v>
      </c>
      <c r="R1057" s="64">
        <f t="shared" si="30"/>
        <v>3.4724235534667969</v>
      </c>
      <c r="S1057" s="64">
        <f t="shared" si="31"/>
        <v>25</v>
      </c>
      <c r="T1057" s="64">
        <f t="shared" si="32"/>
        <v>1.575</v>
      </c>
      <c r="U1057" s="64" t="str">
        <f t="shared" si="33"/>
        <v>&lt;35</v>
      </c>
      <c r="V1057" s="64" t="str">
        <f t="shared" si="34"/>
        <v>&lt;10 Гб</v>
      </c>
    </row>
    <row r="1058" spans="1:22" ht="15.75" customHeight="1" x14ac:dyDescent="0.25">
      <c r="A1058" s="62" t="s">
        <v>1149</v>
      </c>
      <c r="B1058" s="56">
        <v>35361</v>
      </c>
      <c r="C1058" s="62" t="s">
        <v>88</v>
      </c>
      <c r="D1058" s="62" t="s">
        <v>84</v>
      </c>
      <c r="E1058" s="62" t="s">
        <v>92</v>
      </c>
      <c r="F1058" s="62" t="s">
        <v>96</v>
      </c>
      <c r="G1058" s="56">
        <v>43481</v>
      </c>
      <c r="H1058" s="62">
        <v>5</v>
      </c>
      <c r="I1058" s="62">
        <v>94990</v>
      </c>
      <c r="J1058" s="62">
        <v>88008750</v>
      </c>
      <c r="O1058" s="62">
        <v>1</v>
      </c>
      <c r="P1058" s="63">
        <f t="shared" si="28"/>
        <v>120</v>
      </c>
      <c r="Q1058" s="64">
        <f t="shared" si="29"/>
        <v>395.79166666666669</v>
      </c>
      <c r="R1058" s="64">
        <f t="shared" si="30"/>
        <v>20.982921123504639</v>
      </c>
      <c r="S1058" s="64">
        <f t="shared" si="31"/>
        <v>25</v>
      </c>
      <c r="T1058" s="64">
        <f t="shared" si="32"/>
        <v>92.351388888888906</v>
      </c>
      <c r="U1058" s="64" t="str">
        <f t="shared" si="33"/>
        <v>91-120</v>
      </c>
      <c r="V1058" s="64" t="str">
        <f t="shared" si="34"/>
        <v>21-30 Гб</v>
      </c>
    </row>
    <row r="1059" spans="1:22" ht="15.75" customHeight="1" x14ac:dyDescent="0.25">
      <c r="A1059" s="62" t="s">
        <v>1150</v>
      </c>
      <c r="B1059" s="56">
        <v>35360</v>
      </c>
      <c r="C1059" s="62" t="s">
        <v>88</v>
      </c>
      <c r="D1059" s="62" t="s">
        <v>84</v>
      </c>
      <c r="E1059" s="62" t="s">
        <v>85</v>
      </c>
      <c r="F1059" s="62" t="s">
        <v>100</v>
      </c>
      <c r="G1059" s="56">
        <v>43990</v>
      </c>
      <c r="H1059" s="62">
        <v>5</v>
      </c>
      <c r="I1059" s="62">
        <v>35815</v>
      </c>
      <c r="J1059" s="62">
        <v>68755375</v>
      </c>
      <c r="M1059" s="62">
        <v>1</v>
      </c>
      <c r="P1059" s="63">
        <f t="shared" si="28"/>
        <v>120</v>
      </c>
      <c r="Q1059" s="64">
        <f t="shared" si="29"/>
        <v>149.22916666666666</v>
      </c>
      <c r="R1059" s="64">
        <f t="shared" si="30"/>
        <v>16.392558813095093</v>
      </c>
      <c r="S1059" s="64">
        <f t="shared" si="31"/>
        <v>25</v>
      </c>
      <c r="T1059" s="64">
        <f t="shared" si="32"/>
        <v>34.820138888888884</v>
      </c>
      <c r="U1059" s="64" t="str">
        <f t="shared" si="33"/>
        <v>&lt;35</v>
      </c>
      <c r="V1059" s="64" t="str">
        <f t="shared" si="34"/>
        <v>10-20 Гб</v>
      </c>
    </row>
    <row r="1060" spans="1:22" ht="15.75" customHeight="1" x14ac:dyDescent="0.25">
      <c r="A1060" s="62" t="s">
        <v>1151</v>
      </c>
      <c r="B1060" s="56">
        <v>35360</v>
      </c>
      <c r="C1060" s="62" t="s">
        <v>88</v>
      </c>
      <c r="D1060" s="62" t="s">
        <v>84</v>
      </c>
      <c r="E1060" s="62" t="s">
        <v>85</v>
      </c>
      <c r="F1060" s="62" t="s">
        <v>89</v>
      </c>
      <c r="G1060" s="56">
        <v>43302</v>
      </c>
      <c r="H1060" s="62">
        <v>5</v>
      </c>
      <c r="I1060" s="62">
        <v>21410</v>
      </c>
      <c r="J1060" s="62">
        <v>192317225</v>
      </c>
      <c r="P1060" s="63">
        <f t="shared" si="28"/>
        <v>120</v>
      </c>
      <c r="Q1060" s="64">
        <f t="shared" si="29"/>
        <v>89.208333333333329</v>
      </c>
      <c r="R1060" s="64">
        <f t="shared" si="30"/>
        <v>45.851999521255493</v>
      </c>
      <c r="S1060" s="64">
        <f t="shared" si="31"/>
        <v>25</v>
      </c>
      <c r="T1060" s="64">
        <f t="shared" si="32"/>
        <v>20.815277777777776</v>
      </c>
      <c r="U1060" s="64" t="str">
        <f t="shared" si="33"/>
        <v>&lt;35</v>
      </c>
      <c r="V1060" s="64" t="str">
        <f t="shared" si="34"/>
        <v>40+ Гб</v>
      </c>
    </row>
    <row r="1061" spans="1:22" ht="15.75" customHeight="1" x14ac:dyDescent="0.25">
      <c r="A1061" s="62" t="s">
        <v>1152</v>
      </c>
      <c r="B1061" s="56">
        <v>35359</v>
      </c>
      <c r="C1061" s="62" t="s">
        <v>83</v>
      </c>
      <c r="D1061" s="62" t="s">
        <v>84</v>
      </c>
      <c r="E1061" s="62" t="s">
        <v>92</v>
      </c>
      <c r="F1061" s="62" t="s">
        <v>96</v>
      </c>
      <c r="G1061" s="56">
        <v>43590</v>
      </c>
      <c r="H1061" s="62">
        <v>5</v>
      </c>
      <c r="I1061" s="62">
        <v>26800</v>
      </c>
      <c r="J1061" s="62">
        <v>112772550</v>
      </c>
      <c r="P1061" s="63">
        <f t="shared" si="28"/>
        <v>120</v>
      </c>
      <c r="Q1061" s="64">
        <f t="shared" si="29"/>
        <v>111.66666666666667</v>
      </c>
      <c r="R1061" s="64">
        <f t="shared" si="30"/>
        <v>26.887071132659912</v>
      </c>
      <c r="S1061" s="64">
        <f t="shared" si="31"/>
        <v>25</v>
      </c>
      <c r="T1061" s="64">
        <f t="shared" si="32"/>
        <v>26.055555555555557</v>
      </c>
      <c r="U1061" s="64" t="str">
        <f t="shared" si="33"/>
        <v>&lt;35</v>
      </c>
      <c r="V1061" s="64" t="str">
        <f t="shared" si="34"/>
        <v>21-30 Гб</v>
      </c>
    </row>
    <row r="1062" spans="1:22" ht="15.75" customHeight="1" x14ac:dyDescent="0.25">
      <c r="A1062" s="62" t="s">
        <v>1153</v>
      </c>
      <c r="B1062" s="56">
        <v>35358</v>
      </c>
      <c r="C1062" s="62" t="s">
        <v>88</v>
      </c>
      <c r="D1062" s="62" t="s">
        <v>84</v>
      </c>
      <c r="E1062" s="62" t="s">
        <v>92</v>
      </c>
      <c r="F1062" s="62" t="s">
        <v>96</v>
      </c>
      <c r="G1062" s="56">
        <v>43825</v>
      </c>
      <c r="H1062" s="62">
        <v>5</v>
      </c>
      <c r="I1062" s="62">
        <v>30365</v>
      </c>
      <c r="J1062" s="62">
        <v>104453775</v>
      </c>
      <c r="K1062" s="62">
        <v>1</v>
      </c>
      <c r="P1062" s="63">
        <f t="shared" si="28"/>
        <v>120</v>
      </c>
      <c r="Q1062" s="64">
        <f t="shared" si="29"/>
        <v>126.52083333333333</v>
      </c>
      <c r="R1062" s="64">
        <f t="shared" si="30"/>
        <v>24.903720617294312</v>
      </c>
      <c r="S1062" s="64">
        <f t="shared" si="31"/>
        <v>25</v>
      </c>
      <c r="T1062" s="64">
        <f t="shared" si="32"/>
        <v>29.521527777777774</v>
      </c>
      <c r="U1062" s="64" t="str">
        <f t="shared" si="33"/>
        <v>&lt;35</v>
      </c>
      <c r="V1062" s="64" t="str">
        <f t="shared" si="34"/>
        <v>21-30 Гб</v>
      </c>
    </row>
    <row r="1063" spans="1:22" ht="15.75" customHeight="1" x14ac:dyDescent="0.25">
      <c r="A1063" s="62" t="s">
        <v>1154</v>
      </c>
      <c r="B1063" s="56">
        <v>35355</v>
      </c>
      <c r="C1063" s="62" t="s">
        <v>88</v>
      </c>
      <c r="D1063" s="62" t="s">
        <v>84</v>
      </c>
      <c r="E1063" s="62" t="s">
        <v>92</v>
      </c>
      <c r="F1063" s="62" t="s">
        <v>89</v>
      </c>
      <c r="G1063" s="56">
        <v>44319</v>
      </c>
      <c r="H1063" s="62">
        <v>5</v>
      </c>
      <c r="I1063" s="62">
        <v>30245</v>
      </c>
      <c r="J1063" s="62">
        <v>156244450</v>
      </c>
      <c r="P1063" s="63">
        <f t="shared" si="28"/>
        <v>120</v>
      </c>
      <c r="Q1063" s="64">
        <f t="shared" si="29"/>
        <v>126.02083333333333</v>
      </c>
      <c r="R1063" s="64">
        <f t="shared" si="30"/>
        <v>37.251579761505127</v>
      </c>
      <c r="S1063" s="64">
        <f t="shared" si="31"/>
        <v>25</v>
      </c>
      <c r="T1063" s="64">
        <f t="shared" si="32"/>
        <v>29.40486111111111</v>
      </c>
      <c r="U1063" s="64" t="str">
        <f t="shared" si="33"/>
        <v>&lt;35</v>
      </c>
      <c r="V1063" s="64" t="str">
        <f t="shared" si="34"/>
        <v>31-40 Гб</v>
      </c>
    </row>
    <row r="1064" spans="1:22" ht="15.75" customHeight="1" x14ac:dyDescent="0.25">
      <c r="A1064" s="62" t="s">
        <v>1155</v>
      </c>
      <c r="B1064" s="56">
        <v>35354</v>
      </c>
      <c r="C1064" s="62" t="s">
        <v>83</v>
      </c>
      <c r="D1064" s="62" t="s">
        <v>84</v>
      </c>
      <c r="E1064" s="62" t="s">
        <v>85</v>
      </c>
      <c r="F1064" s="62" t="s">
        <v>100</v>
      </c>
      <c r="G1064" s="56">
        <v>43058</v>
      </c>
      <c r="H1064" s="62">
        <v>5</v>
      </c>
      <c r="I1064" s="62">
        <v>150070</v>
      </c>
      <c r="J1064" s="62">
        <v>141531525</v>
      </c>
      <c r="P1064" s="63">
        <f t="shared" si="28"/>
        <v>120</v>
      </c>
      <c r="Q1064" s="64">
        <f t="shared" si="29"/>
        <v>625.29166666666663</v>
      </c>
      <c r="R1064" s="64">
        <f t="shared" si="30"/>
        <v>33.743745088577271</v>
      </c>
      <c r="S1064" s="64">
        <f t="shared" si="31"/>
        <v>25</v>
      </c>
      <c r="T1064" s="64">
        <f t="shared" si="32"/>
        <v>145.90138888888887</v>
      </c>
      <c r="U1064" s="64" t="str">
        <f t="shared" si="33"/>
        <v>120+</v>
      </c>
      <c r="V1064" s="64" t="str">
        <f t="shared" si="34"/>
        <v>31-40 Гб</v>
      </c>
    </row>
    <row r="1065" spans="1:22" ht="15.75" customHeight="1" x14ac:dyDescent="0.25">
      <c r="A1065" s="62" t="s">
        <v>1156</v>
      </c>
      <c r="B1065" s="56">
        <v>35351</v>
      </c>
      <c r="C1065" s="62" t="s">
        <v>88</v>
      </c>
      <c r="D1065" s="62" t="s">
        <v>84</v>
      </c>
      <c r="E1065" s="62" t="s">
        <v>85</v>
      </c>
      <c r="F1065" s="62" t="s">
        <v>96</v>
      </c>
      <c r="G1065" s="56">
        <v>43168</v>
      </c>
      <c r="H1065" s="62">
        <v>5</v>
      </c>
      <c r="I1065" s="62">
        <v>58385</v>
      </c>
      <c r="J1065" s="62">
        <v>145014150</v>
      </c>
      <c r="L1065" s="62">
        <v>1</v>
      </c>
      <c r="N1065" s="62">
        <v>1</v>
      </c>
      <c r="P1065" s="63">
        <f t="shared" si="28"/>
        <v>120</v>
      </c>
      <c r="Q1065" s="64">
        <f t="shared" si="29"/>
        <v>243.27083333333331</v>
      </c>
      <c r="R1065" s="64">
        <f t="shared" si="30"/>
        <v>34.57406759262085</v>
      </c>
      <c r="S1065" s="64">
        <f t="shared" si="31"/>
        <v>25</v>
      </c>
      <c r="T1065" s="64">
        <f t="shared" si="32"/>
        <v>56.763194444444444</v>
      </c>
      <c r="U1065" s="64" t="str">
        <f t="shared" si="33"/>
        <v>35-60</v>
      </c>
      <c r="V1065" s="64" t="str">
        <f t="shared" si="34"/>
        <v>31-40 Гб</v>
      </c>
    </row>
    <row r="1066" spans="1:22" ht="15.75" customHeight="1" x14ac:dyDescent="0.25">
      <c r="A1066" s="62" t="s">
        <v>1157</v>
      </c>
      <c r="B1066" s="56">
        <v>35351</v>
      </c>
      <c r="C1066" s="62" t="s">
        <v>83</v>
      </c>
      <c r="D1066" s="62" t="s">
        <v>84</v>
      </c>
      <c r="E1066" s="62" t="s">
        <v>85</v>
      </c>
      <c r="F1066" s="62" t="s">
        <v>89</v>
      </c>
      <c r="G1066" s="56">
        <v>43215</v>
      </c>
      <c r="H1066" s="62">
        <v>5</v>
      </c>
      <c r="I1066" s="62">
        <v>34360</v>
      </c>
      <c r="J1066" s="62">
        <v>196892600</v>
      </c>
      <c r="P1066" s="63">
        <f t="shared" si="28"/>
        <v>120</v>
      </c>
      <c r="Q1066" s="64">
        <f t="shared" si="29"/>
        <v>143.16666666666666</v>
      </c>
      <c r="R1066" s="64">
        <f t="shared" si="30"/>
        <v>46.942853927612305</v>
      </c>
      <c r="S1066" s="64">
        <f t="shared" si="31"/>
        <v>25</v>
      </c>
      <c r="T1066" s="64">
        <f t="shared" si="32"/>
        <v>33.405555555555551</v>
      </c>
      <c r="U1066" s="64" t="str">
        <f t="shared" si="33"/>
        <v>&lt;35</v>
      </c>
      <c r="V1066" s="64" t="str">
        <f t="shared" si="34"/>
        <v>40+ Гб</v>
      </c>
    </row>
    <row r="1067" spans="1:22" ht="15.75" customHeight="1" x14ac:dyDescent="0.25">
      <c r="A1067" s="62" t="s">
        <v>1158</v>
      </c>
      <c r="B1067" s="56">
        <v>35349</v>
      </c>
      <c r="C1067" s="62" t="s">
        <v>88</v>
      </c>
      <c r="D1067" s="62" t="s">
        <v>84</v>
      </c>
      <c r="E1067" s="62" t="s">
        <v>92</v>
      </c>
      <c r="F1067" s="62" t="s">
        <v>96</v>
      </c>
      <c r="G1067" s="56">
        <v>44494</v>
      </c>
      <c r="H1067" s="62">
        <v>5</v>
      </c>
      <c r="I1067" s="62">
        <v>81670</v>
      </c>
      <c r="J1067" s="62">
        <v>15605775</v>
      </c>
      <c r="K1067" s="62">
        <v>1</v>
      </c>
      <c r="P1067" s="63">
        <f t="shared" si="28"/>
        <v>120</v>
      </c>
      <c r="Q1067" s="64">
        <f t="shared" si="29"/>
        <v>340.29166666666669</v>
      </c>
      <c r="R1067" s="64">
        <f t="shared" si="30"/>
        <v>3.7207067012786865</v>
      </c>
      <c r="S1067" s="64">
        <f t="shared" si="31"/>
        <v>25</v>
      </c>
      <c r="T1067" s="64">
        <f t="shared" si="32"/>
        <v>79.401388888888903</v>
      </c>
      <c r="U1067" s="64" t="str">
        <f t="shared" si="33"/>
        <v>61-90</v>
      </c>
      <c r="V1067" s="64" t="str">
        <f t="shared" si="34"/>
        <v>&lt;10 Гб</v>
      </c>
    </row>
    <row r="1068" spans="1:22" ht="15.75" customHeight="1" x14ac:dyDescent="0.25">
      <c r="A1068" s="62" t="s">
        <v>1159</v>
      </c>
      <c r="B1068" s="56">
        <v>35342</v>
      </c>
      <c r="C1068" s="62" t="s">
        <v>83</v>
      </c>
      <c r="D1068" s="62" t="s">
        <v>84</v>
      </c>
      <c r="E1068" s="62" t="s">
        <v>92</v>
      </c>
      <c r="F1068" s="62" t="s">
        <v>100</v>
      </c>
      <c r="G1068" s="56">
        <v>43341</v>
      </c>
      <c r="H1068" s="62">
        <v>5</v>
      </c>
      <c r="I1068" s="62">
        <v>103685</v>
      </c>
      <c r="J1068" s="62">
        <v>167198575</v>
      </c>
      <c r="P1068" s="63">
        <f t="shared" si="28"/>
        <v>120</v>
      </c>
      <c r="Q1068" s="64">
        <f t="shared" si="29"/>
        <v>432.02083333333331</v>
      </c>
      <c r="R1068" s="64">
        <f t="shared" si="30"/>
        <v>39.86324667930603</v>
      </c>
      <c r="S1068" s="64">
        <f t="shared" si="31"/>
        <v>25</v>
      </c>
      <c r="T1068" s="64">
        <f t="shared" si="32"/>
        <v>100.80486111111109</v>
      </c>
      <c r="U1068" s="64" t="str">
        <f t="shared" si="33"/>
        <v>91-120</v>
      </c>
      <c r="V1068" s="64" t="str">
        <f t="shared" si="34"/>
        <v>31-40 Гб</v>
      </c>
    </row>
    <row r="1069" spans="1:22" ht="15.75" customHeight="1" x14ac:dyDescent="0.25">
      <c r="A1069" s="62" t="s">
        <v>1160</v>
      </c>
      <c r="B1069" s="56">
        <v>35339</v>
      </c>
      <c r="C1069" s="62" t="s">
        <v>88</v>
      </c>
      <c r="D1069" s="62" t="s">
        <v>84</v>
      </c>
      <c r="E1069" s="62" t="s">
        <v>85</v>
      </c>
      <c r="F1069" s="62" t="s">
        <v>96</v>
      </c>
      <c r="G1069" s="56">
        <v>42756</v>
      </c>
      <c r="H1069" s="62">
        <v>5</v>
      </c>
      <c r="I1069" s="62">
        <v>74495</v>
      </c>
      <c r="J1069" s="62">
        <v>20495000</v>
      </c>
      <c r="P1069" s="63">
        <f t="shared" si="28"/>
        <v>120</v>
      </c>
      <c r="Q1069" s="64">
        <f t="shared" si="29"/>
        <v>310.39583333333331</v>
      </c>
      <c r="R1069" s="64">
        <f t="shared" si="30"/>
        <v>4.8863887786865234</v>
      </c>
      <c r="S1069" s="64">
        <f t="shared" si="31"/>
        <v>25</v>
      </c>
      <c r="T1069" s="64">
        <f t="shared" si="32"/>
        <v>72.425694444444431</v>
      </c>
      <c r="U1069" s="64" t="str">
        <f t="shared" si="33"/>
        <v>61-90</v>
      </c>
      <c r="V1069" s="64" t="str">
        <f t="shared" si="34"/>
        <v>&lt;10 Гб</v>
      </c>
    </row>
    <row r="1070" spans="1:22" ht="15.75" customHeight="1" x14ac:dyDescent="0.25">
      <c r="A1070" s="62" t="s">
        <v>1161</v>
      </c>
      <c r="B1070" s="56">
        <v>35338</v>
      </c>
      <c r="C1070" s="62" t="s">
        <v>83</v>
      </c>
      <c r="D1070" s="62" t="s">
        <v>84</v>
      </c>
      <c r="E1070" s="62" t="s">
        <v>92</v>
      </c>
      <c r="F1070" s="62" t="s">
        <v>89</v>
      </c>
      <c r="G1070" s="56">
        <v>43818</v>
      </c>
      <c r="H1070" s="62">
        <v>5</v>
      </c>
      <c r="I1070" s="62">
        <v>11450</v>
      </c>
      <c r="J1070" s="62">
        <v>125275050</v>
      </c>
      <c r="M1070" s="62">
        <v>1</v>
      </c>
      <c r="P1070" s="63">
        <f t="shared" si="28"/>
        <v>120</v>
      </c>
      <c r="Q1070" s="64">
        <f t="shared" si="29"/>
        <v>47.708333333333336</v>
      </c>
      <c r="R1070" s="64">
        <f t="shared" si="30"/>
        <v>29.867899417877197</v>
      </c>
      <c r="S1070" s="64">
        <f t="shared" si="31"/>
        <v>25</v>
      </c>
      <c r="T1070" s="64">
        <f t="shared" si="32"/>
        <v>11.131944444444446</v>
      </c>
      <c r="U1070" s="64" t="str">
        <f t="shared" si="33"/>
        <v>&lt;35</v>
      </c>
      <c r="V1070" s="64" t="str">
        <f t="shared" si="34"/>
        <v>21-30 Гб</v>
      </c>
    </row>
    <row r="1071" spans="1:22" ht="15.75" customHeight="1" x14ac:dyDescent="0.25">
      <c r="A1071" s="62" t="s">
        <v>1162</v>
      </c>
      <c r="B1071" s="56">
        <v>35334</v>
      </c>
      <c r="C1071" s="62" t="s">
        <v>88</v>
      </c>
      <c r="D1071" s="62" t="s">
        <v>84</v>
      </c>
      <c r="E1071" s="62" t="s">
        <v>92</v>
      </c>
      <c r="F1071" s="62" t="s">
        <v>93</v>
      </c>
      <c r="G1071" s="56">
        <v>43883</v>
      </c>
      <c r="H1071" s="62">
        <v>5</v>
      </c>
      <c r="I1071" s="62">
        <v>3880</v>
      </c>
      <c r="J1071" s="62">
        <v>11060350</v>
      </c>
      <c r="P1071" s="63">
        <f t="shared" si="28"/>
        <v>120</v>
      </c>
      <c r="Q1071" s="64">
        <f t="shared" si="29"/>
        <v>16.166666666666668</v>
      </c>
      <c r="R1071" s="64">
        <f t="shared" si="30"/>
        <v>2.6369929313659668</v>
      </c>
      <c r="S1071" s="64">
        <f t="shared" si="31"/>
        <v>25</v>
      </c>
      <c r="T1071" s="64">
        <f t="shared" si="32"/>
        <v>3.7722222222222226</v>
      </c>
      <c r="U1071" s="64" t="str">
        <f t="shared" si="33"/>
        <v>&lt;35</v>
      </c>
      <c r="V1071" s="64" t="str">
        <f t="shared" si="34"/>
        <v>&lt;10 Гб</v>
      </c>
    </row>
    <row r="1072" spans="1:22" ht="15.75" customHeight="1" x14ac:dyDescent="0.25">
      <c r="A1072" s="62" t="s">
        <v>1163</v>
      </c>
      <c r="B1072" s="56">
        <v>35333</v>
      </c>
      <c r="C1072" s="62" t="s">
        <v>83</v>
      </c>
      <c r="D1072" s="62" t="s">
        <v>84</v>
      </c>
      <c r="E1072" s="62" t="s">
        <v>85</v>
      </c>
      <c r="F1072" s="62" t="s">
        <v>89</v>
      </c>
      <c r="G1072" s="56">
        <v>44332</v>
      </c>
      <c r="H1072" s="62">
        <v>5</v>
      </c>
      <c r="I1072" s="62">
        <v>44845</v>
      </c>
      <c r="J1072" s="62">
        <v>176867225</v>
      </c>
      <c r="K1072" s="62">
        <v>1</v>
      </c>
      <c r="O1072" s="62">
        <v>1</v>
      </c>
      <c r="P1072" s="63">
        <f t="shared" si="28"/>
        <v>120</v>
      </c>
      <c r="Q1072" s="64">
        <f t="shared" si="29"/>
        <v>186.85416666666666</v>
      </c>
      <c r="R1072" s="64">
        <f t="shared" si="30"/>
        <v>42.168432474136353</v>
      </c>
      <c r="S1072" s="64">
        <f t="shared" si="31"/>
        <v>25</v>
      </c>
      <c r="T1072" s="64">
        <f t="shared" si="32"/>
        <v>43.599305555555553</v>
      </c>
      <c r="U1072" s="64" t="str">
        <f t="shared" si="33"/>
        <v>35-60</v>
      </c>
      <c r="V1072" s="64" t="str">
        <f t="shared" si="34"/>
        <v>40+ Гб</v>
      </c>
    </row>
    <row r="1073" spans="1:22" ht="15.75" customHeight="1" x14ac:dyDescent="0.25">
      <c r="A1073" s="62" t="s">
        <v>1164</v>
      </c>
      <c r="B1073" s="56">
        <v>35332</v>
      </c>
      <c r="C1073" s="62" t="s">
        <v>83</v>
      </c>
      <c r="D1073" s="62" t="s">
        <v>84</v>
      </c>
      <c r="E1073" s="62" t="s">
        <v>85</v>
      </c>
      <c r="F1073" s="62" t="s">
        <v>86</v>
      </c>
      <c r="G1073" s="56">
        <v>44523</v>
      </c>
      <c r="H1073" s="62">
        <v>5</v>
      </c>
      <c r="I1073" s="62">
        <v>186435</v>
      </c>
      <c r="J1073" s="62">
        <v>241344325</v>
      </c>
      <c r="K1073" s="62">
        <v>1</v>
      </c>
      <c r="L1073" s="62">
        <v>1</v>
      </c>
      <c r="P1073" s="63">
        <f t="shared" si="28"/>
        <v>120</v>
      </c>
      <c r="Q1073" s="64">
        <f t="shared" si="29"/>
        <v>776.8125</v>
      </c>
      <c r="R1073" s="64">
        <f t="shared" si="30"/>
        <v>57.540971040725708</v>
      </c>
      <c r="S1073" s="64">
        <f t="shared" si="31"/>
        <v>25</v>
      </c>
      <c r="T1073" s="64">
        <f t="shared" si="32"/>
        <v>181.25624999999999</v>
      </c>
      <c r="U1073" s="64" t="str">
        <f t="shared" si="33"/>
        <v>120+</v>
      </c>
      <c r="V1073" s="64" t="str">
        <f t="shared" si="34"/>
        <v>40+ Гб</v>
      </c>
    </row>
    <row r="1074" spans="1:22" ht="15.75" customHeight="1" x14ac:dyDescent="0.25">
      <c r="A1074" s="62" t="s">
        <v>1165</v>
      </c>
      <c r="B1074" s="56">
        <v>35325</v>
      </c>
      <c r="C1074" s="62" t="s">
        <v>83</v>
      </c>
      <c r="D1074" s="62" t="s">
        <v>84</v>
      </c>
      <c r="E1074" s="62" t="s">
        <v>85</v>
      </c>
      <c r="F1074" s="62" t="s">
        <v>96</v>
      </c>
      <c r="G1074" s="56">
        <v>43284</v>
      </c>
      <c r="H1074" s="62">
        <v>5</v>
      </c>
      <c r="I1074" s="62">
        <v>87450</v>
      </c>
      <c r="J1074" s="62">
        <v>147256750</v>
      </c>
      <c r="K1074" s="62">
        <v>1</v>
      </c>
      <c r="M1074" s="62">
        <v>1</v>
      </c>
      <c r="O1074" s="62">
        <v>1</v>
      </c>
      <c r="P1074" s="63">
        <f t="shared" si="28"/>
        <v>120</v>
      </c>
      <c r="Q1074" s="64">
        <f t="shared" si="29"/>
        <v>364.375</v>
      </c>
      <c r="R1074" s="64">
        <f t="shared" si="30"/>
        <v>35.108745098114014</v>
      </c>
      <c r="S1074" s="64">
        <f t="shared" si="31"/>
        <v>25</v>
      </c>
      <c r="T1074" s="64">
        <f t="shared" si="32"/>
        <v>85.020833333333329</v>
      </c>
      <c r="U1074" s="64" t="str">
        <f t="shared" si="33"/>
        <v>61-90</v>
      </c>
      <c r="V1074" s="64" t="str">
        <f t="shared" si="34"/>
        <v>31-40 Гб</v>
      </c>
    </row>
    <row r="1075" spans="1:22" ht="15.75" customHeight="1" x14ac:dyDescent="0.25">
      <c r="A1075" s="62" t="s">
        <v>1166</v>
      </c>
      <c r="B1075" s="56">
        <v>35322</v>
      </c>
      <c r="C1075" s="62" t="s">
        <v>83</v>
      </c>
      <c r="D1075" s="62" t="s">
        <v>84</v>
      </c>
      <c r="E1075" s="62" t="s">
        <v>92</v>
      </c>
      <c r="F1075" s="62" t="s">
        <v>89</v>
      </c>
      <c r="G1075" s="56">
        <v>44040</v>
      </c>
      <c r="H1075" s="62">
        <v>5</v>
      </c>
      <c r="I1075" s="62">
        <v>11005</v>
      </c>
      <c r="J1075" s="62">
        <v>168035975</v>
      </c>
      <c r="P1075" s="63">
        <f t="shared" si="28"/>
        <v>120</v>
      </c>
      <c r="Q1075" s="64">
        <f t="shared" si="29"/>
        <v>45.854166666666664</v>
      </c>
      <c r="R1075" s="64">
        <f t="shared" si="30"/>
        <v>40.062898397445679</v>
      </c>
      <c r="S1075" s="64">
        <f t="shared" si="31"/>
        <v>25</v>
      </c>
      <c r="T1075" s="64">
        <f t="shared" si="32"/>
        <v>10.699305555555554</v>
      </c>
      <c r="U1075" s="64" t="str">
        <f t="shared" si="33"/>
        <v>&lt;35</v>
      </c>
      <c r="V1075" s="64" t="str">
        <f t="shared" si="34"/>
        <v>40+ Гб</v>
      </c>
    </row>
    <row r="1076" spans="1:22" ht="15.75" customHeight="1" x14ac:dyDescent="0.25">
      <c r="A1076" s="62" t="s">
        <v>1167</v>
      </c>
      <c r="B1076" s="56">
        <v>35321</v>
      </c>
      <c r="C1076" s="62" t="s">
        <v>83</v>
      </c>
      <c r="D1076" s="62" t="s">
        <v>84</v>
      </c>
      <c r="E1076" s="62" t="s">
        <v>92</v>
      </c>
      <c r="F1076" s="62" t="s">
        <v>96</v>
      </c>
      <c r="G1076" s="56">
        <v>43732</v>
      </c>
      <c r="H1076" s="62">
        <v>5</v>
      </c>
      <c r="I1076" s="62">
        <v>28010</v>
      </c>
      <c r="J1076" s="62">
        <v>131908550</v>
      </c>
      <c r="P1076" s="63">
        <f t="shared" si="28"/>
        <v>120</v>
      </c>
      <c r="Q1076" s="64">
        <f t="shared" si="29"/>
        <v>116.70833333333333</v>
      </c>
      <c r="R1076" s="64">
        <f t="shared" si="30"/>
        <v>31.449449062347416</v>
      </c>
      <c r="S1076" s="64">
        <f t="shared" si="31"/>
        <v>25</v>
      </c>
      <c r="T1076" s="64">
        <f t="shared" si="32"/>
        <v>27.231944444444441</v>
      </c>
      <c r="U1076" s="64" t="str">
        <f t="shared" si="33"/>
        <v>&lt;35</v>
      </c>
      <c r="V1076" s="64" t="str">
        <f t="shared" si="34"/>
        <v>31-40 Гб</v>
      </c>
    </row>
    <row r="1077" spans="1:22" ht="15.75" customHeight="1" x14ac:dyDescent="0.25">
      <c r="A1077" s="62" t="s">
        <v>1168</v>
      </c>
      <c r="B1077" s="56">
        <v>35319</v>
      </c>
      <c r="C1077" s="62" t="s">
        <v>83</v>
      </c>
      <c r="D1077" s="62" t="s">
        <v>84</v>
      </c>
      <c r="E1077" s="62" t="s">
        <v>85</v>
      </c>
      <c r="F1077" s="62" t="s">
        <v>89</v>
      </c>
      <c r="G1077" s="56">
        <v>44300</v>
      </c>
      <c r="H1077" s="62">
        <v>5</v>
      </c>
      <c r="I1077" s="62">
        <v>42560</v>
      </c>
      <c r="J1077" s="62">
        <v>182348750</v>
      </c>
      <c r="P1077" s="63">
        <f t="shared" si="28"/>
        <v>120</v>
      </c>
      <c r="Q1077" s="64">
        <f t="shared" si="29"/>
        <v>177.33333333333334</v>
      </c>
      <c r="R1077" s="64">
        <f t="shared" si="30"/>
        <v>43.475329875946045</v>
      </c>
      <c r="S1077" s="64">
        <f t="shared" si="31"/>
        <v>25</v>
      </c>
      <c r="T1077" s="64">
        <f t="shared" si="32"/>
        <v>41.37777777777778</v>
      </c>
      <c r="U1077" s="64" t="str">
        <f t="shared" si="33"/>
        <v>35-60</v>
      </c>
      <c r="V1077" s="64" t="str">
        <f t="shared" si="34"/>
        <v>40+ Гб</v>
      </c>
    </row>
    <row r="1078" spans="1:22" ht="15.75" customHeight="1" x14ac:dyDescent="0.25">
      <c r="A1078" s="62" t="s">
        <v>1169</v>
      </c>
      <c r="B1078" s="56">
        <v>35317</v>
      </c>
      <c r="C1078" s="62" t="s">
        <v>88</v>
      </c>
      <c r="D1078" s="62" t="s">
        <v>84</v>
      </c>
      <c r="E1078" s="62" t="s">
        <v>92</v>
      </c>
      <c r="F1078" s="62" t="s">
        <v>100</v>
      </c>
      <c r="G1078" s="56">
        <v>43490</v>
      </c>
      <c r="H1078" s="62">
        <v>5</v>
      </c>
      <c r="I1078" s="62">
        <v>143995</v>
      </c>
      <c r="J1078" s="62">
        <v>166470050</v>
      </c>
      <c r="L1078" s="62">
        <v>1</v>
      </c>
      <c r="P1078" s="63">
        <f t="shared" si="28"/>
        <v>120</v>
      </c>
      <c r="Q1078" s="64">
        <f t="shared" si="29"/>
        <v>599.97916666666663</v>
      </c>
      <c r="R1078" s="64">
        <f t="shared" si="30"/>
        <v>39.689552783966064</v>
      </c>
      <c r="S1078" s="64">
        <f t="shared" si="31"/>
        <v>25</v>
      </c>
      <c r="T1078" s="64">
        <f t="shared" si="32"/>
        <v>139.99513888888887</v>
      </c>
      <c r="U1078" s="64" t="str">
        <f t="shared" si="33"/>
        <v>120+</v>
      </c>
      <c r="V1078" s="64" t="str">
        <f t="shared" si="34"/>
        <v>31-40 Гб</v>
      </c>
    </row>
    <row r="1079" spans="1:22" ht="15.75" customHeight="1" x14ac:dyDescent="0.25">
      <c r="A1079" s="62" t="s">
        <v>1170</v>
      </c>
      <c r="B1079" s="56">
        <v>35317</v>
      </c>
      <c r="C1079" s="62" t="s">
        <v>88</v>
      </c>
      <c r="D1079" s="62" t="s">
        <v>84</v>
      </c>
      <c r="E1079" s="62" t="s">
        <v>85</v>
      </c>
      <c r="F1079" s="62" t="s">
        <v>89</v>
      </c>
      <c r="G1079" s="56">
        <v>44325</v>
      </c>
      <c r="H1079" s="62">
        <v>5</v>
      </c>
      <c r="I1079" s="62">
        <v>42585</v>
      </c>
      <c r="J1079" s="62">
        <v>140482600</v>
      </c>
      <c r="P1079" s="63">
        <f t="shared" si="28"/>
        <v>120</v>
      </c>
      <c r="Q1079" s="64">
        <f t="shared" si="29"/>
        <v>177.4375</v>
      </c>
      <c r="R1079" s="64">
        <f t="shared" si="30"/>
        <v>33.493661880493164</v>
      </c>
      <c r="S1079" s="64">
        <f t="shared" si="31"/>
        <v>25</v>
      </c>
      <c r="T1079" s="64">
        <f t="shared" si="32"/>
        <v>41.40208333333333</v>
      </c>
      <c r="U1079" s="64" t="str">
        <f t="shared" si="33"/>
        <v>35-60</v>
      </c>
      <c r="V1079" s="64" t="str">
        <f t="shared" si="34"/>
        <v>31-40 Гб</v>
      </c>
    </row>
    <row r="1080" spans="1:22" ht="15.75" customHeight="1" x14ac:dyDescent="0.25">
      <c r="A1080" s="62" t="s">
        <v>1171</v>
      </c>
      <c r="B1080" s="56">
        <v>35311</v>
      </c>
      <c r="C1080" s="62" t="s">
        <v>83</v>
      </c>
      <c r="D1080" s="62" t="s">
        <v>84</v>
      </c>
      <c r="E1080" s="62" t="s">
        <v>85</v>
      </c>
      <c r="F1080" s="62" t="s">
        <v>100</v>
      </c>
      <c r="G1080" s="56">
        <v>43211</v>
      </c>
      <c r="H1080" s="62">
        <v>5</v>
      </c>
      <c r="I1080" s="62">
        <v>22345</v>
      </c>
      <c r="J1080" s="62">
        <v>62450600</v>
      </c>
      <c r="P1080" s="63">
        <f t="shared" si="28"/>
        <v>120</v>
      </c>
      <c r="Q1080" s="64">
        <f t="shared" si="29"/>
        <v>93.104166666666671</v>
      </c>
      <c r="R1080" s="64">
        <f t="shared" si="30"/>
        <v>14.889383316040039</v>
      </c>
      <c r="S1080" s="64">
        <f t="shared" si="31"/>
        <v>25</v>
      </c>
      <c r="T1080" s="64">
        <f t="shared" si="32"/>
        <v>21.724305555555556</v>
      </c>
      <c r="U1080" s="64" t="str">
        <f t="shared" si="33"/>
        <v>&lt;35</v>
      </c>
      <c r="V1080" s="64" t="str">
        <f t="shared" si="34"/>
        <v>10-20 Гб</v>
      </c>
    </row>
    <row r="1081" spans="1:22" ht="15.75" customHeight="1" x14ac:dyDescent="0.25">
      <c r="A1081" s="62" t="s">
        <v>1172</v>
      </c>
      <c r="B1081" s="56">
        <v>35310</v>
      </c>
      <c r="C1081" s="62" t="s">
        <v>88</v>
      </c>
      <c r="D1081" s="62" t="s">
        <v>84</v>
      </c>
      <c r="E1081" s="62" t="s">
        <v>85</v>
      </c>
      <c r="F1081" s="62" t="s">
        <v>100</v>
      </c>
      <c r="G1081" s="56">
        <v>42941</v>
      </c>
      <c r="H1081" s="62">
        <v>5</v>
      </c>
      <c r="I1081" s="62">
        <v>138855</v>
      </c>
      <c r="J1081" s="62">
        <v>24305750</v>
      </c>
      <c r="K1081" s="62">
        <v>1</v>
      </c>
      <c r="P1081" s="63">
        <f t="shared" si="28"/>
        <v>120</v>
      </c>
      <c r="Q1081" s="64">
        <f t="shared" si="29"/>
        <v>578.5625</v>
      </c>
      <c r="R1081" s="64">
        <f t="shared" si="30"/>
        <v>5.7949423789978027</v>
      </c>
      <c r="S1081" s="64">
        <f t="shared" si="31"/>
        <v>25</v>
      </c>
      <c r="T1081" s="64">
        <f t="shared" si="32"/>
        <v>134.99791666666667</v>
      </c>
      <c r="U1081" s="64" t="str">
        <f t="shared" si="33"/>
        <v>120+</v>
      </c>
      <c r="V1081" s="64" t="str">
        <f t="shared" si="34"/>
        <v>&lt;10 Гб</v>
      </c>
    </row>
    <row r="1082" spans="1:22" ht="15.75" customHeight="1" x14ac:dyDescent="0.25">
      <c r="A1082" s="62" t="s">
        <v>1173</v>
      </c>
      <c r="B1082" s="56">
        <v>35309</v>
      </c>
      <c r="C1082" s="62" t="s">
        <v>88</v>
      </c>
      <c r="D1082" s="62" t="s">
        <v>84</v>
      </c>
      <c r="E1082" s="62" t="s">
        <v>85</v>
      </c>
      <c r="F1082" s="62" t="s">
        <v>86</v>
      </c>
      <c r="G1082" s="56">
        <v>42860</v>
      </c>
      <c r="H1082" s="62">
        <v>5</v>
      </c>
      <c r="I1082" s="62">
        <v>203440</v>
      </c>
      <c r="J1082" s="62">
        <v>57813600</v>
      </c>
      <c r="P1082" s="63">
        <f t="shared" si="28"/>
        <v>120</v>
      </c>
      <c r="Q1082" s="64">
        <f t="shared" si="29"/>
        <v>847.66666666666663</v>
      </c>
      <c r="R1082" s="64">
        <f t="shared" si="30"/>
        <v>13.783836364746094</v>
      </c>
      <c r="S1082" s="64">
        <f t="shared" si="31"/>
        <v>25</v>
      </c>
      <c r="T1082" s="64">
        <f t="shared" si="32"/>
        <v>197.78888888888886</v>
      </c>
      <c r="U1082" s="64" t="str">
        <f t="shared" si="33"/>
        <v>120+</v>
      </c>
      <c r="V1082" s="64" t="str">
        <f t="shared" si="34"/>
        <v>10-20 Гб</v>
      </c>
    </row>
    <row r="1083" spans="1:22" ht="15.75" customHeight="1" x14ac:dyDescent="0.25">
      <c r="A1083" s="62" t="s">
        <v>1174</v>
      </c>
      <c r="B1083" s="56">
        <v>35309</v>
      </c>
      <c r="C1083" s="62" t="s">
        <v>88</v>
      </c>
      <c r="D1083" s="62" t="s">
        <v>84</v>
      </c>
      <c r="E1083" s="62" t="s">
        <v>85</v>
      </c>
      <c r="F1083" s="62" t="s">
        <v>89</v>
      </c>
      <c r="G1083" s="56">
        <v>42925</v>
      </c>
      <c r="H1083" s="62">
        <v>5</v>
      </c>
      <c r="I1083" s="62">
        <v>30600</v>
      </c>
      <c r="J1083" s="62">
        <v>175595775</v>
      </c>
      <c r="P1083" s="63">
        <f t="shared" si="28"/>
        <v>120</v>
      </c>
      <c r="Q1083" s="64">
        <f t="shared" si="29"/>
        <v>127.5</v>
      </c>
      <c r="R1083" s="64">
        <f t="shared" si="30"/>
        <v>41.865295171737671</v>
      </c>
      <c r="S1083" s="64">
        <f t="shared" si="31"/>
        <v>25</v>
      </c>
      <c r="T1083" s="64">
        <f t="shared" si="32"/>
        <v>29.75</v>
      </c>
      <c r="U1083" s="64" t="str">
        <f t="shared" si="33"/>
        <v>&lt;35</v>
      </c>
      <c r="V1083" s="64" t="str">
        <f t="shared" si="34"/>
        <v>40+ Гб</v>
      </c>
    </row>
    <row r="1084" spans="1:22" ht="15.75" customHeight="1" x14ac:dyDescent="0.25">
      <c r="A1084" s="62" t="s">
        <v>1175</v>
      </c>
      <c r="B1084" s="56">
        <v>35308</v>
      </c>
      <c r="C1084" s="62" t="s">
        <v>88</v>
      </c>
      <c r="D1084" s="62" t="s">
        <v>84</v>
      </c>
      <c r="E1084" s="62" t="s">
        <v>85</v>
      </c>
      <c r="F1084" s="62" t="s">
        <v>96</v>
      </c>
      <c r="G1084" s="56">
        <v>44537</v>
      </c>
      <c r="H1084" s="62">
        <v>4</v>
      </c>
      <c r="I1084" s="62">
        <v>45030</v>
      </c>
      <c r="J1084" s="62">
        <v>170724500</v>
      </c>
      <c r="K1084" s="62">
        <v>1</v>
      </c>
      <c r="P1084" s="63">
        <f t="shared" si="28"/>
        <v>120</v>
      </c>
      <c r="Q1084" s="64">
        <f t="shared" si="29"/>
        <v>187.625</v>
      </c>
      <c r="R1084" s="64">
        <f t="shared" si="30"/>
        <v>40.703892707824707</v>
      </c>
      <c r="S1084" s="64">
        <f t="shared" si="31"/>
        <v>25</v>
      </c>
      <c r="T1084" s="64">
        <f t="shared" si="32"/>
        <v>43.779166666666669</v>
      </c>
      <c r="U1084" s="64" t="str">
        <f t="shared" si="33"/>
        <v>35-60</v>
      </c>
      <c r="V1084" s="64" t="str">
        <f t="shared" si="34"/>
        <v>40+ Гб</v>
      </c>
    </row>
    <row r="1085" spans="1:22" ht="15.75" customHeight="1" x14ac:dyDescent="0.25">
      <c r="A1085" s="62" t="s">
        <v>1176</v>
      </c>
      <c r="B1085" s="56">
        <v>35307</v>
      </c>
      <c r="C1085" s="62" t="s">
        <v>88</v>
      </c>
      <c r="D1085" s="62" t="s">
        <v>84</v>
      </c>
      <c r="E1085" s="62" t="s">
        <v>92</v>
      </c>
      <c r="F1085" s="62" t="s">
        <v>86</v>
      </c>
      <c r="G1085" s="56">
        <v>43151</v>
      </c>
      <c r="H1085" s="62">
        <v>5</v>
      </c>
      <c r="I1085" s="62">
        <v>171135</v>
      </c>
      <c r="J1085" s="62">
        <v>18122775</v>
      </c>
      <c r="P1085" s="63">
        <f t="shared" si="28"/>
        <v>120</v>
      </c>
      <c r="Q1085" s="64">
        <f t="shared" si="29"/>
        <v>713.0625</v>
      </c>
      <c r="R1085" s="64">
        <f t="shared" si="30"/>
        <v>4.3208062648773193</v>
      </c>
      <c r="S1085" s="64">
        <f t="shared" si="31"/>
        <v>25</v>
      </c>
      <c r="T1085" s="64">
        <f t="shared" si="32"/>
        <v>166.38124999999999</v>
      </c>
      <c r="U1085" s="64" t="str">
        <f t="shared" si="33"/>
        <v>120+</v>
      </c>
      <c r="V1085" s="64" t="str">
        <f t="shared" si="34"/>
        <v>&lt;10 Гб</v>
      </c>
    </row>
    <row r="1086" spans="1:22" ht="15.75" customHeight="1" x14ac:dyDescent="0.25">
      <c r="A1086" s="62" t="s">
        <v>1177</v>
      </c>
      <c r="B1086" s="56">
        <v>35303</v>
      </c>
      <c r="C1086" s="62" t="s">
        <v>83</v>
      </c>
      <c r="D1086" s="62" t="s">
        <v>84</v>
      </c>
      <c r="E1086" s="62" t="s">
        <v>85</v>
      </c>
      <c r="F1086" s="62" t="s">
        <v>100</v>
      </c>
      <c r="G1086" s="56">
        <v>44552</v>
      </c>
      <c r="H1086" s="62">
        <v>4</v>
      </c>
      <c r="I1086" s="62">
        <v>111835</v>
      </c>
      <c r="J1086" s="62">
        <v>193167250</v>
      </c>
      <c r="N1086" s="62">
        <v>1</v>
      </c>
      <c r="P1086" s="63">
        <f t="shared" si="28"/>
        <v>120</v>
      </c>
      <c r="Q1086" s="64">
        <f t="shared" si="29"/>
        <v>465.97916666666669</v>
      </c>
      <c r="R1086" s="64">
        <f t="shared" si="30"/>
        <v>46.054661273956299</v>
      </c>
      <c r="S1086" s="64">
        <f t="shared" si="31"/>
        <v>25</v>
      </c>
      <c r="T1086" s="64">
        <f t="shared" si="32"/>
        <v>108.72847222222224</v>
      </c>
      <c r="U1086" s="64" t="str">
        <f t="shared" si="33"/>
        <v>91-120</v>
      </c>
      <c r="V1086" s="64" t="str">
        <f t="shared" si="34"/>
        <v>40+ Гб</v>
      </c>
    </row>
    <row r="1087" spans="1:22" ht="15.75" customHeight="1" x14ac:dyDescent="0.25">
      <c r="A1087" s="62" t="s">
        <v>1178</v>
      </c>
      <c r="B1087" s="56">
        <v>35303</v>
      </c>
      <c r="C1087" s="62" t="s">
        <v>83</v>
      </c>
      <c r="D1087" s="62" t="s">
        <v>84</v>
      </c>
      <c r="E1087" s="62" t="s">
        <v>85</v>
      </c>
      <c r="F1087" s="62" t="s">
        <v>89</v>
      </c>
      <c r="G1087" s="56">
        <v>42800</v>
      </c>
      <c r="H1087" s="62">
        <v>5</v>
      </c>
      <c r="I1087" s="62">
        <v>7935</v>
      </c>
      <c r="J1087" s="62">
        <v>145085800</v>
      </c>
      <c r="P1087" s="63">
        <f t="shared" si="28"/>
        <v>120</v>
      </c>
      <c r="Q1087" s="64">
        <f t="shared" si="29"/>
        <v>33.0625</v>
      </c>
      <c r="R1087" s="64">
        <f t="shared" si="30"/>
        <v>34.591150283813477</v>
      </c>
      <c r="S1087" s="64">
        <f t="shared" si="31"/>
        <v>25</v>
      </c>
      <c r="T1087" s="64">
        <f t="shared" si="32"/>
        <v>7.7145833333333336</v>
      </c>
      <c r="U1087" s="64" t="str">
        <f t="shared" si="33"/>
        <v>&lt;35</v>
      </c>
      <c r="V1087" s="64" t="str">
        <f t="shared" si="34"/>
        <v>31-40 Гб</v>
      </c>
    </row>
    <row r="1088" spans="1:22" ht="15.75" customHeight="1" x14ac:dyDescent="0.25">
      <c r="A1088" s="62" t="s">
        <v>1179</v>
      </c>
      <c r="B1088" s="56">
        <v>35303</v>
      </c>
      <c r="C1088" s="62" t="s">
        <v>88</v>
      </c>
      <c r="D1088" s="62" t="s">
        <v>84</v>
      </c>
      <c r="E1088" s="62" t="s">
        <v>85</v>
      </c>
      <c r="F1088" s="62" t="s">
        <v>93</v>
      </c>
      <c r="G1088" s="56">
        <v>43652</v>
      </c>
      <c r="H1088" s="62">
        <v>5</v>
      </c>
      <c r="I1088" s="62">
        <v>4055</v>
      </c>
      <c r="J1088" s="62">
        <v>18076025</v>
      </c>
      <c r="P1088" s="63">
        <f t="shared" si="28"/>
        <v>120</v>
      </c>
      <c r="Q1088" s="64">
        <f t="shared" si="29"/>
        <v>16.895833333333332</v>
      </c>
      <c r="R1088" s="64">
        <f t="shared" si="30"/>
        <v>4.3096601963043213</v>
      </c>
      <c r="S1088" s="64">
        <f t="shared" si="31"/>
        <v>25</v>
      </c>
      <c r="T1088" s="64">
        <f t="shared" si="32"/>
        <v>3.942361111111111</v>
      </c>
      <c r="U1088" s="64" t="str">
        <f t="shared" si="33"/>
        <v>&lt;35</v>
      </c>
      <c r="V1088" s="64" t="str">
        <f t="shared" si="34"/>
        <v>&lt;10 Гб</v>
      </c>
    </row>
    <row r="1089" spans="1:22" ht="15.75" customHeight="1" x14ac:dyDescent="0.25">
      <c r="A1089" s="62" t="s">
        <v>1180</v>
      </c>
      <c r="B1089" s="56">
        <v>35302</v>
      </c>
      <c r="C1089" s="62" t="s">
        <v>83</v>
      </c>
      <c r="D1089" s="62" t="s">
        <v>84</v>
      </c>
      <c r="E1089" s="62" t="s">
        <v>92</v>
      </c>
      <c r="F1089" s="62" t="s">
        <v>96</v>
      </c>
      <c r="G1089" s="56">
        <v>42965</v>
      </c>
      <c r="H1089" s="62">
        <v>5</v>
      </c>
      <c r="I1089" s="62">
        <v>76555</v>
      </c>
      <c r="J1089" s="62">
        <v>52193225</v>
      </c>
      <c r="P1089" s="63">
        <f t="shared" si="28"/>
        <v>120</v>
      </c>
      <c r="Q1089" s="64">
        <f t="shared" si="29"/>
        <v>318.97916666666669</v>
      </c>
      <c r="R1089" s="64">
        <f t="shared" si="30"/>
        <v>12.443834543228149</v>
      </c>
      <c r="S1089" s="64">
        <f t="shared" si="31"/>
        <v>25</v>
      </c>
      <c r="T1089" s="64">
        <f t="shared" si="32"/>
        <v>74.428472222222226</v>
      </c>
      <c r="U1089" s="64" t="str">
        <f t="shared" si="33"/>
        <v>61-90</v>
      </c>
      <c r="V1089" s="64" t="str">
        <f t="shared" si="34"/>
        <v>10-20 Гб</v>
      </c>
    </row>
    <row r="1090" spans="1:22" ht="15.75" customHeight="1" x14ac:dyDescent="0.25">
      <c r="A1090" s="62" t="s">
        <v>1181</v>
      </c>
      <c r="B1090" s="56">
        <v>35301</v>
      </c>
      <c r="C1090" s="62" t="s">
        <v>83</v>
      </c>
      <c r="D1090" s="62" t="s">
        <v>84</v>
      </c>
      <c r="E1090" s="62" t="s">
        <v>85</v>
      </c>
      <c r="F1090" s="62" t="s">
        <v>100</v>
      </c>
      <c r="G1090" s="56">
        <v>43216</v>
      </c>
      <c r="H1090" s="62">
        <v>5</v>
      </c>
      <c r="I1090" s="62">
        <v>116930</v>
      </c>
      <c r="J1090" s="62">
        <v>156194475</v>
      </c>
      <c r="P1090" s="63">
        <f t="shared" si="28"/>
        <v>120</v>
      </c>
      <c r="Q1090" s="64">
        <f t="shared" si="29"/>
        <v>487.20833333333331</v>
      </c>
      <c r="R1090" s="64">
        <f t="shared" si="30"/>
        <v>37.239664793014526</v>
      </c>
      <c r="S1090" s="64">
        <f t="shared" si="31"/>
        <v>25</v>
      </c>
      <c r="T1090" s="64">
        <f t="shared" si="32"/>
        <v>113.68194444444444</v>
      </c>
      <c r="U1090" s="64" t="str">
        <f t="shared" si="33"/>
        <v>91-120</v>
      </c>
      <c r="V1090" s="64" t="str">
        <f t="shared" si="34"/>
        <v>31-40 Гб</v>
      </c>
    </row>
    <row r="1091" spans="1:22" ht="15.75" customHeight="1" x14ac:dyDescent="0.25">
      <c r="A1091" s="62" t="s">
        <v>1182</v>
      </c>
      <c r="B1091" s="56">
        <v>35300</v>
      </c>
      <c r="C1091" s="62" t="s">
        <v>88</v>
      </c>
      <c r="D1091" s="62" t="s">
        <v>84</v>
      </c>
      <c r="E1091" s="62" t="s">
        <v>85</v>
      </c>
      <c r="F1091" s="62" t="s">
        <v>96</v>
      </c>
      <c r="G1091" s="56">
        <v>43547</v>
      </c>
      <c r="H1091" s="62">
        <v>5</v>
      </c>
      <c r="I1091" s="62">
        <v>97680</v>
      </c>
      <c r="J1091" s="62">
        <v>41361925</v>
      </c>
      <c r="K1091" s="62">
        <v>1</v>
      </c>
      <c r="M1091" s="62">
        <v>1</v>
      </c>
      <c r="P1091" s="63">
        <f t="shared" si="28"/>
        <v>120</v>
      </c>
      <c r="Q1091" s="64">
        <f t="shared" si="29"/>
        <v>407</v>
      </c>
      <c r="R1091" s="64">
        <f t="shared" si="30"/>
        <v>9.8614513874053955</v>
      </c>
      <c r="S1091" s="64">
        <f t="shared" si="31"/>
        <v>25</v>
      </c>
      <c r="T1091" s="64">
        <f t="shared" si="32"/>
        <v>94.966666666666669</v>
      </c>
      <c r="U1091" s="64" t="str">
        <f t="shared" si="33"/>
        <v>91-120</v>
      </c>
      <c r="V1091" s="64" t="str">
        <f t="shared" si="34"/>
        <v>&lt;10 Гб</v>
      </c>
    </row>
    <row r="1092" spans="1:22" ht="15.75" customHeight="1" x14ac:dyDescent="0.25">
      <c r="A1092" s="62" t="s">
        <v>1183</v>
      </c>
      <c r="B1092" s="56">
        <v>35300</v>
      </c>
      <c r="C1092" s="62" t="s">
        <v>88</v>
      </c>
      <c r="D1092" s="62" t="s">
        <v>84</v>
      </c>
      <c r="E1092" s="62" t="s">
        <v>85</v>
      </c>
      <c r="F1092" s="62" t="s">
        <v>93</v>
      </c>
      <c r="G1092" s="56">
        <v>42982</v>
      </c>
      <c r="H1092" s="62">
        <v>5</v>
      </c>
      <c r="I1092" s="62">
        <v>58250</v>
      </c>
      <c r="J1092" s="62">
        <v>10560925</v>
      </c>
      <c r="M1092" s="62">
        <v>1</v>
      </c>
      <c r="P1092" s="63">
        <f t="shared" si="28"/>
        <v>120</v>
      </c>
      <c r="Q1092" s="64">
        <f t="shared" si="29"/>
        <v>242.70833333333337</v>
      </c>
      <c r="R1092" s="64">
        <f t="shared" si="30"/>
        <v>2.5179207324981689</v>
      </c>
      <c r="S1092" s="64">
        <f t="shared" si="31"/>
        <v>25</v>
      </c>
      <c r="T1092" s="64">
        <f t="shared" si="32"/>
        <v>56.63194444444445</v>
      </c>
      <c r="U1092" s="64" t="str">
        <f t="shared" si="33"/>
        <v>35-60</v>
      </c>
      <c r="V1092" s="64" t="str">
        <f t="shared" si="34"/>
        <v>&lt;10 Гб</v>
      </c>
    </row>
    <row r="1093" spans="1:22" ht="15.75" customHeight="1" x14ac:dyDescent="0.25">
      <c r="A1093" s="62" t="s">
        <v>1184</v>
      </c>
      <c r="B1093" s="56">
        <v>35295</v>
      </c>
      <c r="C1093" s="62" t="s">
        <v>88</v>
      </c>
      <c r="D1093" s="62" t="s">
        <v>84</v>
      </c>
      <c r="E1093" s="62" t="s">
        <v>85</v>
      </c>
      <c r="F1093" s="62" t="s">
        <v>89</v>
      </c>
      <c r="G1093" s="56">
        <v>43041</v>
      </c>
      <c r="H1093" s="62">
        <v>5</v>
      </c>
      <c r="I1093" s="62">
        <v>20270</v>
      </c>
      <c r="J1093" s="62">
        <v>160448500</v>
      </c>
      <c r="P1093" s="63">
        <f t="shared" si="28"/>
        <v>120</v>
      </c>
      <c r="Q1093" s="64">
        <f t="shared" si="29"/>
        <v>84.458333333333329</v>
      </c>
      <c r="R1093" s="64">
        <f t="shared" si="30"/>
        <v>38.253903388977051</v>
      </c>
      <c r="S1093" s="64">
        <f t="shared" si="31"/>
        <v>25</v>
      </c>
      <c r="T1093" s="64">
        <f t="shared" si="32"/>
        <v>19.706944444444442</v>
      </c>
      <c r="U1093" s="64" t="str">
        <f t="shared" si="33"/>
        <v>&lt;35</v>
      </c>
      <c r="V1093" s="64" t="str">
        <f t="shared" si="34"/>
        <v>31-40 Гб</v>
      </c>
    </row>
    <row r="1094" spans="1:22" ht="15.75" customHeight="1" x14ac:dyDescent="0.25">
      <c r="A1094" s="62" t="s">
        <v>1185</v>
      </c>
      <c r="B1094" s="56">
        <v>35290</v>
      </c>
      <c r="C1094" s="62" t="s">
        <v>83</v>
      </c>
      <c r="D1094" s="62" t="s">
        <v>84</v>
      </c>
      <c r="E1094" s="62" t="s">
        <v>85</v>
      </c>
      <c r="F1094" s="62" t="s">
        <v>100</v>
      </c>
      <c r="G1094" s="56">
        <v>44219</v>
      </c>
      <c r="H1094" s="62">
        <v>5</v>
      </c>
      <c r="I1094" s="62">
        <v>72215</v>
      </c>
      <c r="J1094" s="62">
        <v>153650575</v>
      </c>
      <c r="P1094" s="63">
        <f t="shared" si="28"/>
        <v>120</v>
      </c>
      <c r="Q1094" s="64">
        <f t="shared" si="29"/>
        <v>300.89583333333331</v>
      </c>
      <c r="R1094" s="64">
        <f t="shared" si="30"/>
        <v>36.633151769638062</v>
      </c>
      <c r="S1094" s="64">
        <f t="shared" si="31"/>
        <v>25</v>
      </c>
      <c r="T1094" s="64">
        <f t="shared" si="32"/>
        <v>70.209027777777763</v>
      </c>
      <c r="U1094" s="64" t="str">
        <f t="shared" si="33"/>
        <v>61-90</v>
      </c>
      <c r="V1094" s="64" t="str">
        <f t="shared" si="34"/>
        <v>31-40 Гб</v>
      </c>
    </row>
    <row r="1095" spans="1:22" ht="15.75" customHeight="1" x14ac:dyDescent="0.25">
      <c r="A1095" s="62" t="s">
        <v>1186</v>
      </c>
      <c r="B1095" s="56">
        <v>35286</v>
      </c>
      <c r="C1095" s="62" t="s">
        <v>83</v>
      </c>
      <c r="D1095" s="62" t="s">
        <v>84</v>
      </c>
      <c r="E1095" s="62" t="s">
        <v>85</v>
      </c>
      <c r="F1095" s="62" t="s">
        <v>96</v>
      </c>
      <c r="G1095" s="56">
        <v>44439</v>
      </c>
      <c r="H1095" s="62">
        <v>5</v>
      </c>
      <c r="I1095" s="62">
        <v>93330</v>
      </c>
      <c r="J1095" s="62">
        <v>16306675</v>
      </c>
      <c r="P1095" s="63">
        <f t="shared" si="28"/>
        <v>120</v>
      </c>
      <c r="Q1095" s="64">
        <f t="shared" si="29"/>
        <v>388.875</v>
      </c>
      <c r="R1095" s="64">
        <f t="shared" si="30"/>
        <v>3.8878142833709721</v>
      </c>
      <c r="S1095" s="64">
        <f t="shared" si="31"/>
        <v>25</v>
      </c>
      <c r="T1095" s="64">
        <f t="shared" si="32"/>
        <v>90.737499999999997</v>
      </c>
      <c r="U1095" s="64" t="str">
        <f t="shared" si="33"/>
        <v>91-120</v>
      </c>
      <c r="V1095" s="64" t="str">
        <f t="shared" si="34"/>
        <v>&lt;10 Гб</v>
      </c>
    </row>
    <row r="1096" spans="1:22" ht="15.75" customHeight="1" x14ac:dyDescent="0.25">
      <c r="A1096" s="62" t="s">
        <v>1187</v>
      </c>
      <c r="B1096" s="56">
        <v>35286</v>
      </c>
      <c r="C1096" s="62" t="s">
        <v>83</v>
      </c>
      <c r="D1096" s="62" t="s">
        <v>84</v>
      </c>
      <c r="E1096" s="62" t="s">
        <v>92</v>
      </c>
      <c r="F1096" s="62" t="s">
        <v>89</v>
      </c>
      <c r="G1096" s="56">
        <v>43243</v>
      </c>
      <c r="H1096" s="62">
        <v>5</v>
      </c>
      <c r="I1096" s="62">
        <v>37440</v>
      </c>
      <c r="J1096" s="62">
        <v>196188550</v>
      </c>
      <c r="K1096" s="62">
        <v>1</v>
      </c>
      <c r="M1096" s="62">
        <v>1</v>
      </c>
      <c r="O1096" s="62">
        <v>1</v>
      </c>
      <c r="P1096" s="63">
        <f t="shared" si="28"/>
        <v>120</v>
      </c>
      <c r="Q1096" s="64">
        <f t="shared" si="29"/>
        <v>156</v>
      </c>
      <c r="R1096" s="64">
        <f t="shared" si="30"/>
        <v>46.77499532699585</v>
      </c>
      <c r="S1096" s="64">
        <f t="shared" si="31"/>
        <v>25</v>
      </c>
      <c r="T1096" s="64">
        <f t="shared" si="32"/>
        <v>36.4</v>
      </c>
      <c r="U1096" s="64" t="str">
        <f t="shared" si="33"/>
        <v>35-60</v>
      </c>
      <c r="V1096" s="64" t="str">
        <f t="shared" si="34"/>
        <v>40+ Гб</v>
      </c>
    </row>
    <row r="1097" spans="1:22" ht="15.75" customHeight="1" x14ac:dyDescent="0.25">
      <c r="A1097" s="62" t="s">
        <v>1188</v>
      </c>
      <c r="B1097" s="56">
        <v>35286</v>
      </c>
      <c r="C1097" s="62" t="s">
        <v>88</v>
      </c>
      <c r="D1097" s="62" t="s">
        <v>84</v>
      </c>
      <c r="E1097" s="62" t="s">
        <v>92</v>
      </c>
      <c r="F1097" s="62" t="s">
        <v>93</v>
      </c>
      <c r="G1097" s="56">
        <v>43723</v>
      </c>
      <c r="H1097" s="62">
        <v>5</v>
      </c>
      <c r="I1097" s="62">
        <v>51900</v>
      </c>
      <c r="J1097" s="62">
        <v>8991175</v>
      </c>
      <c r="P1097" s="63">
        <f t="shared" si="28"/>
        <v>120</v>
      </c>
      <c r="Q1097" s="64">
        <f t="shared" si="29"/>
        <v>216.25</v>
      </c>
      <c r="R1097" s="64">
        <f t="shared" si="30"/>
        <v>2.1436631679534912</v>
      </c>
      <c r="S1097" s="64">
        <f t="shared" si="31"/>
        <v>25</v>
      </c>
      <c r="T1097" s="64">
        <f t="shared" si="32"/>
        <v>50.458333333333336</v>
      </c>
      <c r="U1097" s="64" t="str">
        <f t="shared" si="33"/>
        <v>35-60</v>
      </c>
      <c r="V1097" s="64" t="str">
        <f t="shared" si="34"/>
        <v>&lt;10 Гб</v>
      </c>
    </row>
    <row r="1098" spans="1:22" ht="15.75" customHeight="1" x14ac:dyDescent="0.25">
      <c r="A1098" s="62" t="s">
        <v>1189</v>
      </c>
      <c r="B1098" s="56">
        <v>35285</v>
      </c>
      <c r="C1098" s="62" t="s">
        <v>88</v>
      </c>
      <c r="D1098" s="62" t="s">
        <v>84</v>
      </c>
      <c r="E1098" s="62" t="s">
        <v>92</v>
      </c>
      <c r="F1098" s="62" t="s">
        <v>96</v>
      </c>
      <c r="G1098" s="56">
        <v>44632</v>
      </c>
      <c r="H1098" s="62">
        <v>1</v>
      </c>
      <c r="I1098" s="62">
        <v>22822</v>
      </c>
      <c r="J1098" s="62">
        <v>1622613</v>
      </c>
      <c r="P1098" s="63">
        <f t="shared" si="28"/>
        <v>50</v>
      </c>
      <c r="Q1098" s="64">
        <f t="shared" si="29"/>
        <v>228.22</v>
      </c>
      <c r="R1098" s="64">
        <f t="shared" si="30"/>
        <v>0.92846660614013665</v>
      </c>
      <c r="S1098" s="64">
        <f t="shared" si="31"/>
        <v>25</v>
      </c>
      <c r="T1098" s="64">
        <f t="shared" si="32"/>
        <v>53.251333333333335</v>
      </c>
      <c r="U1098" s="64" t="str">
        <f t="shared" si="33"/>
        <v>35-60</v>
      </c>
      <c r="V1098" s="64" t="str">
        <f t="shared" si="34"/>
        <v>&lt;10 Гб</v>
      </c>
    </row>
    <row r="1099" spans="1:22" ht="15.75" customHeight="1" x14ac:dyDescent="0.25">
      <c r="A1099" s="62" t="s">
        <v>1190</v>
      </c>
      <c r="B1099" s="56">
        <v>35282</v>
      </c>
      <c r="C1099" s="62" t="s">
        <v>88</v>
      </c>
      <c r="D1099" s="62" t="s">
        <v>84</v>
      </c>
      <c r="E1099" s="62" t="s">
        <v>92</v>
      </c>
      <c r="F1099" s="62" t="s">
        <v>96</v>
      </c>
      <c r="G1099" s="56">
        <v>43169</v>
      </c>
      <c r="H1099" s="62">
        <v>5</v>
      </c>
      <c r="I1099" s="62">
        <v>7055</v>
      </c>
      <c r="J1099" s="62">
        <v>34244275</v>
      </c>
      <c r="P1099" s="63">
        <f t="shared" si="28"/>
        <v>120</v>
      </c>
      <c r="Q1099" s="64">
        <f t="shared" si="29"/>
        <v>29.395833333333332</v>
      </c>
      <c r="R1099" s="64">
        <f t="shared" si="30"/>
        <v>8.1644713878631592</v>
      </c>
      <c r="S1099" s="64">
        <f t="shared" si="31"/>
        <v>25</v>
      </c>
      <c r="T1099" s="64">
        <f t="shared" si="32"/>
        <v>6.8590277777777775</v>
      </c>
      <c r="U1099" s="64" t="str">
        <f t="shared" si="33"/>
        <v>&lt;35</v>
      </c>
      <c r="V1099" s="64" t="str">
        <f t="shared" si="34"/>
        <v>&lt;10 Гб</v>
      </c>
    </row>
    <row r="1100" spans="1:22" ht="15.75" customHeight="1" x14ac:dyDescent="0.25">
      <c r="A1100" s="62" t="s">
        <v>1191</v>
      </c>
      <c r="B1100" s="56">
        <v>35279</v>
      </c>
      <c r="C1100" s="62" t="s">
        <v>83</v>
      </c>
      <c r="D1100" s="62" t="s">
        <v>84</v>
      </c>
      <c r="E1100" s="62" t="s">
        <v>85</v>
      </c>
      <c r="F1100" s="62" t="s">
        <v>96</v>
      </c>
      <c r="G1100" s="56">
        <v>43175</v>
      </c>
      <c r="H1100" s="62">
        <v>5</v>
      </c>
      <c r="I1100" s="62">
        <v>63920</v>
      </c>
      <c r="J1100" s="62">
        <v>103338850</v>
      </c>
      <c r="P1100" s="63">
        <f t="shared" si="28"/>
        <v>120</v>
      </c>
      <c r="Q1100" s="64">
        <f t="shared" si="29"/>
        <v>266.33333333333331</v>
      </c>
      <c r="R1100" s="64">
        <f t="shared" si="30"/>
        <v>24.637901782989502</v>
      </c>
      <c r="S1100" s="64">
        <f t="shared" si="31"/>
        <v>25</v>
      </c>
      <c r="T1100" s="64">
        <f t="shared" si="32"/>
        <v>62.144444444444439</v>
      </c>
      <c r="U1100" s="64" t="str">
        <f t="shared" si="33"/>
        <v>61-90</v>
      </c>
      <c r="V1100" s="64" t="str">
        <f t="shared" si="34"/>
        <v>21-30 Гб</v>
      </c>
    </row>
    <row r="1101" spans="1:22" ht="15.75" customHeight="1" x14ac:dyDescent="0.25">
      <c r="A1101" s="62" t="s">
        <v>1192</v>
      </c>
      <c r="B1101" s="56">
        <v>35279</v>
      </c>
      <c r="C1101" s="62" t="s">
        <v>88</v>
      </c>
      <c r="D1101" s="62" t="s">
        <v>84</v>
      </c>
      <c r="E1101" s="62" t="s">
        <v>85</v>
      </c>
      <c r="F1101" s="62" t="s">
        <v>89</v>
      </c>
      <c r="G1101" s="56">
        <v>43508</v>
      </c>
      <c r="H1101" s="62">
        <v>5</v>
      </c>
      <c r="I1101" s="62">
        <v>28840</v>
      </c>
      <c r="J1101" s="62">
        <v>185042675</v>
      </c>
      <c r="K1101" s="62">
        <v>1</v>
      </c>
      <c r="M1101" s="62">
        <v>1</v>
      </c>
      <c r="O1101" s="62">
        <v>1</v>
      </c>
      <c r="P1101" s="63">
        <f t="shared" si="28"/>
        <v>120</v>
      </c>
      <c r="Q1101" s="64">
        <f t="shared" si="29"/>
        <v>120.16666666666667</v>
      </c>
      <c r="R1101" s="64">
        <f t="shared" si="30"/>
        <v>44.117611646652222</v>
      </c>
      <c r="S1101" s="64">
        <f t="shared" si="31"/>
        <v>25</v>
      </c>
      <c r="T1101" s="64">
        <f t="shared" si="32"/>
        <v>28.038888888888891</v>
      </c>
      <c r="U1101" s="64" t="str">
        <f t="shared" si="33"/>
        <v>&lt;35</v>
      </c>
      <c r="V1101" s="64" t="str">
        <f t="shared" si="34"/>
        <v>40+ Гб</v>
      </c>
    </row>
    <row r="1102" spans="1:22" ht="15.75" customHeight="1" x14ac:dyDescent="0.25">
      <c r="A1102" s="62" t="s">
        <v>1193</v>
      </c>
      <c r="B1102" s="56">
        <v>35277</v>
      </c>
      <c r="C1102" s="62" t="s">
        <v>83</v>
      </c>
      <c r="D1102" s="62" t="s">
        <v>84</v>
      </c>
      <c r="E1102" s="62" t="s">
        <v>92</v>
      </c>
      <c r="F1102" s="62" t="s">
        <v>89</v>
      </c>
      <c r="G1102" s="56">
        <v>43744</v>
      </c>
      <c r="H1102" s="62">
        <v>5</v>
      </c>
      <c r="I1102" s="62">
        <v>13105</v>
      </c>
      <c r="J1102" s="62">
        <v>160423600</v>
      </c>
      <c r="P1102" s="63">
        <f t="shared" si="28"/>
        <v>120</v>
      </c>
      <c r="Q1102" s="64">
        <f t="shared" si="29"/>
        <v>54.604166666666664</v>
      </c>
      <c r="R1102" s="64">
        <f t="shared" si="30"/>
        <v>38.247966766357422</v>
      </c>
      <c r="S1102" s="64">
        <f t="shared" si="31"/>
        <v>25</v>
      </c>
      <c r="T1102" s="64">
        <f t="shared" si="32"/>
        <v>12.74097222222222</v>
      </c>
      <c r="U1102" s="64" t="str">
        <f t="shared" si="33"/>
        <v>&lt;35</v>
      </c>
      <c r="V1102" s="64" t="str">
        <f t="shared" si="34"/>
        <v>31-40 Гб</v>
      </c>
    </row>
    <row r="1103" spans="1:22" ht="15.75" customHeight="1" x14ac:dyDescent="0.25">
      <c r="A1103" s="62" t="s">
        <v>1194</v>
      </c>
      <c r="B1103" s="56">
        <v>35275</v>
      </c>
      <c r="C1103" s="62" t="s">
        <v>83</v>
      </c>
      <c r="D1103" s="62" t="s">
        <v>84</v>
      </c>
      <c r="E1103" s="62" t="s">
        <v>92</v>
      </c>
      <c r="F1103" s="62" t="s">
        <v>100</v>
      </c>
      <c r="G1103" s="56">
        <v>44674</v>
      </c>
      <c r="H1103" s="62">
        <v>0</v>
      </c>
      <c r="I1103" s="62">
        <v>2832</v>
      </c>
      <c r="J1103" s="62">
        <v>8826887</v>
      </c>
      <c r="P1103" s="63">
        <f t="shared" si="28"/>
        <v>8</v>
      </c>
      <c r="Q1103" s="64">
        <f t="shared" si="29"/>
        <v>177</v>
      </c>
      <c r="R1103" s="64">
        <f t="shared" si="30"/>
        <v>31.567407846450806</v>
      </c>
      <c r="S1103" s="64">
        <f t="shared" si="31"/>
        <v>25</v>
      </c>
      <c r="T1103" s="64">
        <f t="shared" si="32"/>
        <v>41.3</v>
      </c>
      <c r="U1103" s="64" t="str">
        <f t="shared" si="33"/>
        <v>35-60</v>
      </c>
      <c r="V1103" s="64" t="str">
        <f t="shared" si="34"/>
        <v>31-40 Гб</v>
      </c>
    </row>
    <row r="1104" spans="1:22" ht="15.75" customHeight="1" x14ac:dyDescent="0.25">
      <c r="A1104" s="62" t="s">
        <v>1195</v>
      </c>
      <c r="B1104" s="56">
        <v>35275</v>
      </c>
      <c r="C1104" s="62" t="s">
        <v>88</v>
      </c>
      <c r="D1104" s="62" t="s">
        <v>84</v>
      </c>
      <c r="E1104" s="62" t="s">
        <v>85</v>
      </c>
      <c r="F1104" s="62" t="s">
        <v>96</v>
      </c>
      <c r="G1104" s="56">
        <v>43112</v>
      </c>
      <c r="H1104" s="62">
        <v>5</v>
      </c>
      <c r="I1104" s="62">
        <v>22365</v>
      </c>
      <c r="J1104" s="62">
        <v>141739750</v>
      </c>
      <c r="L1104" s="62">
        <v>1</v>
      </c>
      <c r="M1104" s="62">
        <v>1</v>
      </c>
      <c r="P1104" s="63">
        <f t="shared" si="28"/>
        <v>120</v>
      </c>
      <c r="Q1104" s="64">
        <f t="shared" si="29"/>
        <v>93.1875</v>
      </c>
      <c r="R1104" s="64">
        <f t="shared" si="30"/>
        <v>33.793389797210693</v>
      </c>
      <c r="S1104" s="64">
        <f t="shared" si="31"/>
        <v>25</v>
      </c>
      <c r="T1104" s="64">
        <f t="shared" si="32"/>
        <v>21.743749999999999</v>
      </c>
      <c r="U1104" s="64" t="str">
        <f t="shared" si="33"/>
        <v>&lt;35</v>
      </c>
      <c r="V1104" s="64" t="str">
        <f t="shared" si="34"/>
        <v>31-40 Гб</v>
      </c>
    </row>
    <row r="1105" spans="1:22" ht="15.75" customHeight="1" x14ac:dyDescent="0.25">
      <c r="A1105" s="62" t="s">
        <v>1196</v>
      </c>
      <c r="B1105" s="56">
        <v>35269</v>
      </c>
      <c r="C1105" s="62" t="s">
        <v>88</v>
      </c>
      <c r="D1105" s="62" t="s">
        <v>84</v>
      </c>
      <c r="E1105" s="62" t="s">
        <v>85</v>
      </c>
      <c r="F1105" s="62" t="s">
        <v>100</v>
      </c>
      <c r="G1105" s="56">
        <v>44030</v>
      </c>
      <c r="H1105" s="62">
        <v>5</v>
      </c>
      <c r="I1105" s="62">
        <v>77650</v>
      </c>
      <c r="J1105" s="62">
        <v>139775900</v>
      </c>
      <c r="O1105" s="62">
        <v>1</v>
      </c>
      <c r="P1105" s="63">
        <f t="shared" si="28"/>
        <v>120</v>
      </c>
      <c r="Q1105" s="64">
        <f t="shared" si="29"/>
        <v>323.54166666666669</v>
      </c>
      <c r="R1105" s="64">
        <f t="shared" si="30"/>
        <v>33.32517147064209</v>
      </c>
      <c r="S1105" s="64">
        <f t="shared" si="31"/>
        <v>25</v>
      </c>
      <c r="T1105" s="64">
        <f t="shared" si="32"/>
        <v>75.493055555555571</v>
      </c>
      <c r="U1105" s="64" t="str">
        <f t="shared" si="33"/>
        <v>61-90</v>
      </c>
      <c r="V1105" s="64" t="str">
        <f t="shared" si="34"/>
        <v>31-40 Гб</v>
      </c>
    </row>
    <row r="1106" spans="1:22" ht="15.75" customHeight="1" x14ac:dyDescent="0.25">
      <c r="A1106" s="62" t="s">
        <v>1197</v>
      </c>
      <c r="B1106" s="56">
        <v>35269</v>
      </c>
      <c r="C1106" s="62" t="s">
        <v>88</v>
      </c>
      <c r="D1106" s="62" t="s">
        <v>84</v>
      </c>
      <c r="E1106" s="62" t="s">
        <v>85</v>
      </c>
      <c r="F1106" s="62" t="s">
        <v>96</v>
      </c>
      <c r="G1106" s="56">
        <v>43937</v>
      </c>
      <c r="H1106" s="62">
        <v>5</v>
      </c>
      <c r="I1106" s="62">
        <v>87170</v>
      </c>
      <c r="J1106" s="62">
        <v>141181400</v>
      </c>
      <c r="O1106" s="62">
        <v>1</v>
      </c>
      <c r="P1106" s="63">
        <f t="shared" si="28"/>
        <v>120</v>
      </c>
      <c r="Q1106" s="64">
        <f t="shared" si="29"/>
        <v>363.20833333333331</v>
      </c>
      <c r="R1106" s="64">
        <f t="shared" si="30"/>
        <v>33.660268783569336</v>
      </c>
      <c r="S1106" s="64">
        <f t="shared" si="31"/>
        <v>25</v>
      </c>
      <c r="T1106" s="64">
        <f t="shared" si="32"/>
        <v>84.748611111111103</v>
      </c>
      <c r="U1106" s="64" t="str">
        <f t="shared" si="33"/>
        <v>61-90</v>
      </c>
      <c r="V1106" s="64" t="str">
        <f t="shared" si="34"/>
        <v>31-40 Гб</v>
      </c>
    </row>
    <row r="1107" spans="1:22" ht="15.75" customHeight="1" x14ac:dyDescent="0.25">
      <c r="A1107" s="62" t="s">
        <v>1198</v>
      </c>
      <c r="B1107" s="56">
        <v>35269</v>
      </c>
      <c r="C1107" s="62" t="s">
        <v>88</v>
      </c>
      <c r="D1107" s="62" t="s">
        <v>84</v>
      </c>
      <c r="E1107" s="62" t="s">
        <v>92</v>
      </c>
      <c r="F1107" s="62" t="s">
        <v>93</v>
      </c>
      <c r="G1107" s="56">
        <v>44410</v>
      </c>
      <c r="H1107" s="62">
        <v>5</v>
      </c>
      <c r="I1107" s="62">
        <v>17705</v>
      </c>
      <c r="J1107" s="62">
        <v>7856625</v>
      </c>
      <c r="K1107" s="62">
        <v>1</v>
      </c>
      <c r="P1107" s="63">
        <f t="shared" si="28"/>
        <v>120</v>
      </c>
      <c r="Q1107" s="64">
        <f t="shared" si="29"/>
        <v>73.770833333333329</v>
      </c>
      <c r="R1107" s="64">
        <f t="shared" si="30"/>
        <v>1.8731653690338135</v>
      </c>
      <c r="S1107" s="64">
        <f t="shared" si="31"/>
        <v>25</v>
      </c>
      <c r="T1107" s="64">
        <f t="shared" si="32"/>
        <v>17.213194444444444</v>
      </c>
      <c r="U1107" s="64" t="str">
        <f t="shared" si="33"/>
        <v>&lt;35</v>
      </c>
      <c r="V1107" s="64" t="str">
        <f t="shared" si="34"/>
        <v>&lt;10 Гб</v>
      </c>
    </row>
    <row r="1108" spans="1:22" ht="15.75" customHeight="1" x14ac:dyDescent="0.25">
      <c r="A1108" s="62" t="s">
        <v>1199</v>
      </c>
      <c r="B1108" s="56">
        <v>35265</v>
      </c>
      <c r="C1108" s="62" t="s">
        <v>83</v>
      </c>
      <c r="D1108" s="62" t="s">
        <v>84</v>
      </c>
      <c r="E1108" s="62" t="s">
        <v>92</v>
      </c>
      <c r="F1108" s="62" t="s">
        <v>86</v>
      </c>
      <c r="G1108" s="56">
        <v>44350</v>
      </c>
      <c r="H1108" s="62">
        <v>5</v>
      </c>
      <c r="I1108" s="62">
        <v>163970</v>
      </c>
      <c r="J1108" s="62">
        <v>238098625</v>
      </c>
      <c r="P1108" s="63">
        <f t="shared" si="28"/>
        <v>120</v>
      </c>
      <c r="Q1108" s="64">
        <f t="shared" si="29"/>
        <v>683.20833333333337</v>
      </c>
      <c r="R1108" s="64">
        <f t="shared" si="30"/>
        <v>56.767135858535767</v>
      </c>
      <c r="S1108" s="64">
        <f t="shared" si="31"/>
        <v>25</v>
      </c>
      <c r="T1108" s="64">
        <f t="shared" si="32"/>
        <v>159.41527777777779</v>
      </c>
      <c r="U1108" s="64" t="str">
        <f t="shared" si="33"/>
        <v>120+</v>
      </c>
      <c r="V1108" s="64" t="str">
        <f t="shared" si="34"/>
        <v>40+ Гб</v>
      </c>
    </row>
    <row r="1109" spans="1:22" ht="15.75" customHeight="1" x14ac:dyDescent="0.25">
      <c r="A1109" s="62" t="s">
        <v>1200</v>
      </c>
      <c r="B1109" s="56">
        <v>35265</v>
      </c>
      <c r="C1109" s="62" t="s">
        <v>83</v>
      </c>
      <c r="D1109" s="62" t="s">
        <v>84</v>
      </c>
      <c r="E1109" s="62" t="s">
        <v>92</v>
      </c>
      <c r="F1109" s="62" t="s">
        <v>100</v>
      </c>
      <c r="G1109" s="56">
        <v>43502</v>
      </c>
      <c r="H1109" s="62">
        <v>5</v>
      </c>
      <c r="I1109" s="62">
        <v>134900</v>
      </c>
      <c r="J1109" s="62">
        <v>139740100</v>
      </c>
      <c r="P1109" s="63">
        <f t="shared" si="28"/>
        <v>120</v>
      </c>
      <c r="Q1109" s="64">
        <f t="shared" si="29"/>
        <v>562.08333333333337</v>
      </c>
      <c r="R1109" s="64">
        <f t="shared" si="30"/>
        <v>33.316636085510254</v>
      </c>
      <c r="S1109" s="64">
        <f t="shared" si="31"/>
        <v>25</v>
      </c>
      <c r="T1109" s="64">
        <f t="shared" si="32"/>
        <v>131.15277777777777</v>
      </c>
      <c r="U1109" s="64" t="str">
        <f t="shared" si="33"/>
        <v>120+</v>
      </c>
      <c r="V1109" s="64" t="str">
        <f t="shared" si="34"/>
        <v>31-40 Гб</v>
      </c>
    </row>
    <row r="1110" spans="1:22" ht="15.75" customHeight="1" x14ac:dyDescent="0.25">
      <c r="A1110" s="62" t="s">
        <v>1201</v>
      </c>
      <c r="B1110" s="56">
        <v>35265</v>
      </c>
      <c r="C1110" s="62" t="s">
        <v>88</v>
      </c>
      <c r="D1110" s="62" t="s">
        <v>84</v>
      </c>
      <c r="E1110" s="62" t="s">
        <v>85</v>
      </c>
      <c r="F1110" s="62" t="s">
        <v>96</v>
      </c>
      <c r="G1110" s="56">
        <v>43239</v>
      </c>
      <c r="H1110" s="62">
        <v>5</v>
      </c>
      <c r="I1110" s="62">
        <v>100125</v>
      </c>
      <c r="J1110" s="62">
        <v>10889150</v>
      </c>
      <c r="P1110" s="63">
        <f t="shared" si="28"/>
        <v>120</v>
      </c>
      <c r="Q1110" s="64">
        <f t="shared" si="29"/>
        <v>417.1875</v>
      </c>
      <c r="R1110" s="64">
        <f t="shared" si="30"/>
        <v>2.5961756706237793</v>
      </c>
      <c r="S1110" s="64">
        <f t="shared" si="31"/>
        <v>25</v>
      </c>
      <c r="T1110" s="64">
        <f t="shared" si="32"/>
        <v>97.34375</v>
      </c>
      <c r="U1110" s="64" t="str">
        <f t="shared" si="33"/>
        <v>91-120</v>
      </c>
      <c r="V1110" s="64" t="str">
        <f t="shared" si="34"/>
        <v>&lt;10 Гб</v>
      </c>
    </row>
    <row r="1111" spans="1:22" ht="15.75" customHeight="1" x14ac:dyDescent="0.25">
      <c r="A1111" s="62" t="s">
        <v>1202</v>
      </c>
      <c r="B1111" s="56">
        <v>35255</v>
      </c>
      <c r="C1111" s="62" t="s">
        <v>83</v>
      </c>
      <c r="D1111" s="62" t="s">
        <v>84</v>
      </c>
      <c r="E1111" s="62" t="s">
        <v>92</v>
      </c>
      <c r="F1111" s="62" t="s">
        <v>100</v>
      </c>
      <c r="G1111" s="56">
        <v>44558</v>
      </c>
      <c r="H1111" s="62">
        <v>4</v>
      </c>
      <c r="I1111" s="62">
        <v>82780</v>
      </c>
      <c r="J1111" s="62">
        <v>185766750</v>
      </c>
      <c r="P1111" s="63">
        <f t="shared" si="28"/>
        <v>120</v>
      </c>
      <c r="Q1111" s="64">
        <f t="shared" si="29"/>
        <v>344.91666666666669</v>
      </c>
      <c r="R1111" s="64">
        <f t="shared" si="30"/>
        <v>44.290244579315186</v>
      </c>
      <c r="S1111" s="64">
        <f t="shared" si="31"/>
        <v>25</v>
      </c>
      <c r="T1111" s="64">
        <f t="shared" si="32"/>
        <v>80.480555555555569</v>
      </c>
      <c r="U1111" s="64" t="str">
        <f t="shared" si="33"/>
        <v>61-90</v>
      </c>
      <c r="V1111" s="64" t="str">
        <f t="shared" si="34"/>
        <v>40+ Гб</v>
      </c>
    </row>
    <row r="1112" spans="1:22" ht="15.75" customHeight="1" x14ac:dyDescent="0.25">
      <c r="A1112" s="62" t="s">
        <v>1203</v>
      </c>
      <c r="B1112" s="56">
        <v>35254</v>
      </c>
      <c r="C1112" s="62" t="s">
        <v>83</v>
      </c>
      <c r="D1112" s="62" t="s">
        <v>84</v>
      </c>
      <c r="E1112" s="62" t="s">
        <v>85</v>
      </c>
      <c r="F1112" s="62" t="s">
        <v>96</v>
      </c>
      <c r="G1112" s="56">
        <v>43294</v>
      </c>
      <c r="H1112" s="62">
        <v>5</v>
      </c>
      <c r="I1112" s="62">
        <v>49200</v>
      </c>
      <c r="J1112" s="62">
        <v>145986450</v>
      </c>
      <c r="N1112" s="62">
        <v>1</v>
      </c>
      <c r="P1112" s="63">
        <f t="shared" si="28"/>
        <v>120</v>
      </c>
      <c r="Q1112" s="64">
        <f t="shared" si="29"/>
        <v>205</v>
      </c>
      <c r="R1112" s="64">
        <f t="shared" si="30"/>
        <v>34.805881977081299</v>
      </c>
      <c r="S1112" s="64">
        <f t="shared" si="31"/>
        <v>25</v>
      </c>
      <c r="T1112" s="64">
        <f t="shared" si="32"/>
        <v>47.833333333333336</v>
      </c>
      <c r="U1112" s="64" t="str">
        <f t="shared" si="33"/>
        <v>35-60</v>
      </c>
      <c r="V1112" s="64" t="str">
        <f t="shared" si="34"/>
        <v>31-40 Гб</v>
      </c>
    </row>
    <row r="1113" spans="1:22" ht="15.75" customHeight="1" x14ac:dyDescent="0.25">
      <c r="A1113" s="62" t="s">
        <v>1204</v>
      </c>
      <c r="B1113" s="56">
        <v>35252</v>
      </c>
      <c r="C1113" s="62" t="s">
        <v>83</v>
      </c>
      <c r="D1113" s="62" t="s">
        <v>84</v>
      </c>
      <c r="E1113" s="62" t="s">
        <v>85</v>
      </c>
      <c r="F1113" s="62" t="s">
        <v>86</v>
      </c>
      <c r="G1113" s="56">
        <v>44598</v>
      </c>
      <c r="H1113" s="62">
        <v>2</v>
      </c>
      <c r="I1113" s="62">
        <v>145415</v>
      </c>
      <c r="J1113" s="62">
        <v>150898825</v>
      </c>
      <c r="O1113" s="62">
        <v>1</v>
      </c>
      <c r="P1113" s="63">
        <f t="shared" si="28"/>
        <v>84</v>
      </c>
      <c r="Q1113" s="64">
        <f t="shared" si="29"/>
        <v>865.56547619047626</v>
      </c>
      <c r="R1113" s="64">
        <f t="shared" si="30"/>
        <v>51.395833492279053</v>
      </c>
      <c r="S1113" s="64">
        <f t="shared" si="31"/>
        <v>25</v>
      </c>
      <c r="T1113" s="64">
        <f t="shared" si="32"/>
        <v>201.9652777777778</v>
      </c>
      <c r="U1113" s="64" t="str">
        <f t="shared" si="33"/>
        <v>120+</v>
      </c>
      <c r="V1113" s="64" t="str">
        <f t="shared" si="34"/>
        <v>40+ Гб</v>
      </c>
    </row>
    <row r="1114" spans="1:22" ht="15.75" customHeight="1" x14ac:dyDescent="0.25">
      <c r="A1114" s="62" t="s">
        <v>1205</v>
      </c>
      <c r="B1114" s="56">
        <v>35250</v>
      </c>
      <c r="C1114" s="62" t="s">
        <v>83</v>
      </c>
      <c r="D1114" s="62" t="s">
        <v>84</v>
      </c>
      <c r="E1114" s="62" t="s">
        <v>92</v>
      </c>
      <c r="F1114" s="62" t="s">
        <v>93</v>
      </c>
      <c r="G1114" s="56">
        <v>43444</v>
      </c>
      <c r="H1114" s="62">
        <v>5</v>
      </c>
      <c r="I1114" s="62">
        <v>57600</v>
      </c>
      <c r="J1114" s="62">
        <v>5756075</v>
      </c>
      <c r="M1114" s="62">
        <v>1</v>
      </c>
      <c r="P1114" s="63">
        <f t="shared" si="28"/>
        <v>120</v>
      </c>
      <c r="Q1114" s="64">
        <f t="shared" si="29"/>
        <v>240</v>
      </c>
      <c r="R1114" s="64">
        <f t="shared" si="30"/>
        <v>1.3723552227020264</v>
      </c>
      <c r="S1114" s="64">
        <f t="shared" si="31"/>
        <v>25</v>
      </c>
      <c r="T1114" s="64">
        <f t="shared" si="32"/>
        <v>56</v>
      </c>
      <c r="U1114" s="64" t="str">
        <f t="shared" si="33"/>
        <v>35-60</v>
      </c>
      <c r="V1114" s="64" t="str">
        <f t="shared" si="34"/>
        <v>&lt;10 Гб</v>
      </c>
    </row>
    <row r="1115" spans="1:22" ht="15.75" customHeight="1" x14ac:dyDescent="0.25">
      <c r="A1115" s="62" t="s">
        <v>1206</v>
      </c>
      <c r="B1115" s="56">
        <v>35249</v>
      </c>
      <c r="C1115" s="62" t="s">
        <v>88</v>
      </c>
      <c r="D1115" s="62" t="s">
        <v>84</v>
      </c>
      <c r="E1115" s="62" t="s">
        <v>92</v>
      </c>
      <c r="F1115" s="62" t="s">
        <v>96</v>
      </c>
      <c r="G1115" s="56">
        <v>43800</v>
      </c>
      <c r="H1115" s="62">
        <v>5</v>
      </c>
      <c r="I1115" s="62">
        <v>6910</v>
      </c>
      <c r="J1115" s="62">
        <v>94640175</v>
      </c>
      <c r="M1115" s="62">
        <v>1</v>
      </c>
      <c r="P1115" s="63">
        <f t="shared" si="28"/>
        <v>120</v>
      </c>
      <c r="Q1115" s="64">
        <f t="shared" si="29"/>
        <v>28.791666666666668</v>
      </c>
      <c r="R1115" s="64">
        <f t="shared" si="30"/>
        <v>22.563976049423218</v>
      </c>
      <c r="S1115" s="64">
        <f t="shared" si="31"/>
        <v>25</v>
      </c>
      <c r="T1115" s="64">
        <f t="shared" si="32"/>
        <v>6.7180555555555559</v>
      </c>
      <c r="U1115" s="64" t="str">
        <f t="shared" si="33"/>
        <v>&lt;35</v>
      </c>
      <c r="V1115" s="64" t="str">
        <f t="shared" si="34"/>
        <v>21-30 Гб</v>
      </c>
    </row>
    <row r="1116" spans="1:22" ht="15.75" customHeight="1" x14ac:dyDescent="0.25">
      <c r="A1116" s="62" t="s">
        <v>1207</v>
      </c>
      <c r="B1116" s="56">
        <v>35249</v>
      </c>
      <c r="C1116" s="62" t="s">
        <v>88</v>
      </c>
      <c r="D1116" s="62" t="s">
        <v>84</v>
      </c>
      <c r="E1116" s="62" t="s">
        <v>85</v>
      </c>
      <c r="F1116" s="62" t="s">
        <v>93</v>
      </c>
      <c r="G1116" s="56">
        <v>43454</v>
      </c>
      <c r="H1116" s="62">
        <v>5</v>
      </c>
      <c r="I1116" s="62">
        <v>52745</v>
      </c>
      <c r="J1116" s="62">
        <v>24409325</v>
      </c>
      <c r="P1116" s="63">
        <f t="shared" si="28"/>
        <v>120</v>
      </c>
      <c r="Q1116" s="64">
        <f t="shared" si="29"/>
        <v>219.77083333333334</v>
      </c>
      <c r="R1116" s="64">
        <f t="shared" si="30"/>
        <v>5.8196365833282471</v>
      </c>
      <c r="S1116" s="64">
        <f t="shared" si="31"/>
        <v>25</v>
      </c>
      <c r="T1116" s="64">
        <f t="shared" si="32"/>
        <v>51.279861111111117</v>
      </c>
      <c r="U1116" s="64" t="str">
        <f t="shared" si="33"/>
        <v>35-60</v>
      </c>
      <c r="V1116" s="64" t="str">
        <f t="shared" si="34"/>
        <v>&lt;10 Гб</v>
      </c>
    </row>
    <row r="1117" spans="1:22" ht="15.75" customHeight="1" x14ac:dyDescent="0.25">
      <c r="A1117" s="62" t="s">
        <v>1208</v>
      </c>
      <c r="B1117" s="56">
        <v>35248</v>
      </c>
      <c r="C1117" s="62" t="s">
        <v>88</v>
      </c>
      <c r="D1117" s="62" t="s">
        <v>84</v>
      </c>
      <c r="E1117" s="62" t="s">
        <v>85</v>
      </c>
      <c r="F1117" s="62" t="s">
        <v>96</v>
      </c>
      <c r="G1117" s="56">
        <v>43266</v>
      </c>
      <c r="H1117" s="62">
        <v>5</v>
      </c>
      <c r="I1117" s="62">
        <v>100820</v>
      </c>
      <c r="J1117" s="62">
        <v>105491350</v>
      </c>
      <c r="P1117" s="63">
        <f t="shared" si="28"/>
        <v>120</v>
      </c>
      <c r="Q1117" s="64">
        <f t="shared" si="29"/>
        <v>420.08333333333331</v>
      </c>
      <c r="R1117" s="64">
        <f t="shared" si="30"/>
        <v>25.151097774505615</v>
      </c>
      <c r="S1117" s="64">
        <f t="shared" si="31"/>
        <v>25</v>
      </c>
      <c r="T1117" s="64">
        <f t="shared" si="32"/>
        <v>98.019444444444431</v>
      </c>
      <c r="U1117" s="64" t="str">
        <f t="shared" si="33"/>
        <v>91-120</v>
      </c>
      <c r="V1117" s="64" t="str">
        <f t="shared" si="34"/>
        <v>21-30 Гб</v>
      </c>
    </row>
    <row r="1118" spans="1:22" ht="15.75" customHeight="1" x14ac:dyDescent="0.25">
      <c r="A1118" s="62" t="s">
        <v>1209</v>
      </c>
      <c r="B1118" s="56">
        <v>35248</v>
      </c>
      <c r="C1118" s="62" t="s">
        <v>83</v>
      </c>
      <c r="D1118" s="62" t="s">
        <v>84</v>
      </c>
      <c r="E1118" s="62" t="s">
        <v>92</v>
      </c>
      <c r="F1118" s="62" t="s">
        <v>89</v>
      </c>
      <c r="G1118" s="56">
        <v>43231</v>
      </c>
      <c r="H1118" s="62">
        <v>5</v>
      </c>
      <c r="I1118" s="62">
        <v>3560</v>
      </c>
      <c r="J1118" s="62">
        <v>149446025</v>
      </c>
      <c r="P1118" s="63">
        <f t="shared" si="28"/>
        <v>120</v>
      </c>
      <c r="Q1118" s="64">
        <f t="shared" si="29"/>
        <v>14.833333333333334</v>
      </c>
      <c r="R1118" s="64">
        <f t="shared" si="30"/>
        <v>35.630708932876587</v>
      </c>
      <c r="S1118" s="64">
        <f t="shared" si="31"/>
        <v>25</v>
      </c>
      <c r="T1118" s="64">
        <f t="shared" si="32"/>
        <v>3.4611111111111112</v>
      </c>
      <c r="U1118" s="64" t="str">
        <f t="shared" si="33"/>
        <v>&lt;35</v>
      </c>
      <c r="V1118" s="64" t="str">
        <f t="shared" si="34"/>
        <v>31-40 Гб</v>
      </c>
    </row>
    <row r="1119" spans="1:22" ht="15.75" customHeight="1" x14ac:dyDescent="0.25">
      <c r="A1119" s="62" t="s">
        <v>1210</v>
      </c>
      <c r="B1119" s="56">
        <v>35245</v>
      </c>
      <c r="C1119" s="62" t="s">
        <v>88</v>
      </c>
      <c r="D1119" s="62" t="s">
        <v>84</v>
      </c>
      <c r="E1119" s="62" t="s">
        <v>92</v>
      </c>
      <c r="F1119" s="62" t="s">
        <v>96</v>
      </c>
      <c r="G1119" s="56">
        <v>43245</v>
      </c>
      <c r="H1119" s="62">
        <v>5</v>
      </c>
      <c r="I1119" s="62">
        <v>19225</v>
      </c>
      <c r="J1119" s="62">
        <v>115311025</v>
      </c>
      <c r="P1119" s="63">
        <f t="shared" si="28"/>
        <v>120</v>
      </c>
      <c r="Q1119" s="64">
        <f t="shared" si="29"/>
        <v>80.104166666666671</v>
      </c>
      <c r="R1119" s="64">
        <f t="shared" si="30"/>
        <v>27.492290735244751</v>
      </c>
      <c r="S1119" s="64">
        <f t="shared" si="31"/>
        <v>25</v>
      </c>
      <c r="T1119" s="64">
        <f t="shared" si="32"/>
        <v>18.690972222222225</v>
      </c>
      <c r="U1119" s="64" t="str">
        <f t="shared" si="33"/>
        <v>&lt;35</v>
      </c>
      <c r="V1119" s="64" t="str">
        <f t="shared" si="34"/>
        <v>21-30 Гб</v>
      </c>
    </row>
    <row r="1120" spans="1:22" ht="15.75" customHeight="1" x14ac:dyDescent="0.25">
      <c r="A1120" s="62" t="s">
        <v>1211</v>
      </c>
      <c r="B1120" s="56">
        <v>35245</v>
      </c>
      <c r="C1120" s="62" t="s">
        <v>88</v>
      </c>
      <c r="D1120" s="62" t="s">
        <v>84</v>
      </c>
      <c r="E1120" s="62" t="s">
        <v>85</v>
      </c>
      <c r="F1120" s="62" t="s">
        <v>93</v>
      </c>
      <c r="G1120" s="56">
        <v>43142</v>
      </c>
      <c r="H1120" s="62">
        <v>5</v>
      </c>
      <c r="I1120" s="62">
        <v>1650</v>
      </c>
      <c r="J1120" s="62">
        <v>23174550</v>
      </c>
      <c r="K1120" s="62">
        <v>1</v>
      </c>
      <c r="L1120" s="62">
        <v>1</v>
      </c>
      <c r="M1120" s="62">
        <v>1</v>
      </c>
      <c r="P1120" s="63">
        <f t="shared" si="28"/>
        <v>120</v>
      </c>
      <c r="Q1120" s="64">
        <f t="shared" si="29"/>
        <v>6.875</v>
      </c>
      <c r="R1120" s="64">
        <f t="shared" si="30"/>
        <v>5.5252432823181152</v>
      </c>
      <c r="S1120" s="64">
        <f t="shared" si="31"/>
        <v>25</v>
      </c>
      <c r="T1120" s="64">
        <f t="shared" si="32"/>
        <v>1.6041666666666667</v>
      </c>
      <c r="U1120" s="64" t="str">
        <f t="shared" si="33"/>
        <v>&lt;35</v>
      </c>
      <c r="V1120" s="64" t="str">
        <f t="shared" si="34"/>
        <v>&lt;10 Гб</v>
      </c>
    </row>
    <row r="1121" spans="1:22" ht="15.75" customHeight="1" x14ac:dyDescent="0.25">
      <c r="A1121" s="62" t="s">
        <v>1212</v>
      </c>
      <c r="B1121" s="56">
        <v>35243</v>
      </c>
      <c r="C1121" s="62" t="s">
        <v>83</v>
      </c>
      <c r="D1121" s="62" t="s">
        <v>84</v>
      </c>
      <c r="E1121" s="62" t="s">
        <v>85</v>
      </c>
      <c r="F1121" s="62" t="s">
        <v>96</v>
      </c>
      <c r="G1121" s="56">
        <v>43868</v>
      </c>
      <c r="H1121" s="62">
        <v>5</v>
      </c>
      <c r="I1121" s="62">
        <v>77655</v>
      </c>
      <c r="J1121" s="62">
        <v>130470125</v>
      </c>
      <c r="P1121" s="63">
        <f t="shared" si="28"/>
        <v>120</v>
      </c>
      <c r="Q1121" s="64">
        <f t="shared" si="29"/>
        <v>323.5625</v>
      </c>
      <c r="R1121" s="64">
        <f t="shared" si="30"/>
        <v>31.106501817703251</v>
      </c>
      <c r="S1121" s="64">
        <f t="shared" si="31"/>
        <v>25</v>
      </c>
      <c r="T1121" s="64">
        <f t="shared" si="32"/>
        <v>75.497916666666669</v>
      </c>
      <c r="U1121" s="64" t="str">
        <f t="shared" si="33"/>
        <v>61-90</v>
      </c>
      <c r="V1121" s="64" t="str">
        <f t="shared" si="34"/>
        <v>31-40 Гб</v>
      </c>
    </row>
    <row r="1122" spans="1:22" ht="15.75" customHeight="1" x14ac:dyDescent="0.25">
      <c r="A1122" s="62" t="s">
        <v>1213</v>
      </c>
      <c r="B1122" s="56">
        <v>35238</v>
      </c>
      <c r="C1122" s="62" t="s">
        <v>88</v>
      </c>
      <c r="D1122" s="62" t="s">
        <v>84</v>
      </c>
      <c r="E1122" s="62" t="s">
        <v>92</v>
      </c>
      <c r="F1122" s="62" t="s">
        <v>96</v>
      </c>
      <c r="G1122" s="56">
        <v>44648</v>
      </c>
      <c r="H1122" s="62">
        <v>1</v>
      </c>
      <c r="I1122" s="62">
        <v>12613</v>
      </c>
      <c r="J1122" s="62">
        <v>23137680</v>
      </c>
      <c r="K1122" s="62">
        <v>1</v>
      </c>
      <c r="M1122" s="62">
        <v>1</v>
      </c>
      <c r="O1122" s="62">
        <v>1</v>
      </c>
      <c r="P1122" s="63">
        <f t="shared" si="28"/>
        <v>34</v>
      </c>
      <c r="Q1122" s="64">
        <f t="shared" si="29"/>
        <v>185.48529411764704</v>
      </c>
      <c r="R1122" s="64">
        <f t="shared" si="30"/>
        <v>19.469833374023438</v>
      </c>
      <c r="S1122" s="64">
        <f t="shared" si="31"/>
        <v>25</v>
      </c>
      <c r="T1122" s="64">
        <f t="shared" si="32"/>
        <v>43.279901960784308</v>
      </c>
      <c r="U1122" s="64" t="str">
        <f t="shared" si="33"/>
        <v>35-60</v>
      </c>
      <c r="V1122" s="64" t="str">
        <f t="shared" si="34"/>
        <v>10-20 Гб</v>
      </c>
    </row>
    <row r="1123" spans="1:22" ht="15.75" customHeight="1" x14ac:dyDescent="0.25">
      <c r="A1123" s="62" t="s">
        <v>1214</v>
      </c>
      <c r="B1123" s="56">
        <v>35232</v>
      </c>
      <c r="C1123" s="62" t="s">
        <v>83</v>
      </c>
      <c r="D1123" s="62" t="s">
        <v>84</v>
      </c>
      <c r="E1123" s="62" t="s">
        <v>92</v>
      </c>
      <c r="F1123" s="62" t="s">
        <v>100</v>
      </c>
      <c r="G1123" s="56">
        <v>44485</v>
      </c>
      <c r="H1123" s="62">
        <v>5</v>
      </c>
      <c r="I1123" s="62">
        <v>120500</v>
      </c>
      <c r="J1123" s="62">
        <v>129843900</v>
      </c>
      <c r="P1123" s="63">
        <f t="shared" si="28"/>
        <v>120</v>
      </c>
      <c r="Q1123" s="64">
        <f t="shared" si="29"/>
        <v>502.08333333333331</v>
      </c>
      <c r="R1123" s="64">
        <f t="shared" si="30"/>
        <v>30.957198143005371</v>
      </c>
      <c r="S1123" s="64">
        <f t="shared" si="31"/>
        <v>25</v>
      </c>
      <c r="T1123" s="64">
        <f t="shared" si="32"/>
        <v>117.15277777777777</v>
      </c>
      <c r="U1123" s="64" t="str">
        <f t="shared" si="33"/>
        <v>91-120</v>
      </c>
      <c r="V1123" s="64" t="str">
        <f t="shared" si="34"/>
        <v>31-40 Гб</v>
      </c>
    </row>
    <row r="1124" spans="1:22" ht="15.75" customHeight="1" x14ac:dyDescent="0.25">
      <c r="A1124" s="62" t="s">
        <v>1215</v>
      </c>
      <c r="B1124" s="56">
        <v>35229</v>
      </c>
      <c r="C1124" s="62" t="s">
        <v>88</v>
      </c>
      <c r="D1124" s="62" t="s">
        <v>84</v>
      </c>
      <c r="E1124" s="62" t="s">
        <v>85</v>
      </c>
      <c r="F1124" s="62" t="s">
        <v>89</v>
      </c>
      <c r="G1124" s="56">
        <v>43592</v>
      </c>
      <c r="H1124" s="62">
        <v>5</v>
      </c>
      <c r="I1124" s="62">
        <v>17750</v>
      </c>
      <c r="J1124" s="62">
        <v>176847525</v>
      </c>
      <c r="K1124" s="62">
        <v>1</v>
      </c>
      <c r="L1124" s="62">
        <v>1</v>
      </c>
      <c r="P1124" s="63">
        <f t="shared" si="28"/>
        <v>120</v>
      </c>
      <c r="Q1124" s="64">
        <f t="shared" si="29"/>
        <v>73.958333333333329</v>
      </c>
      <c r="R1124" s="64">
        <f t="shared" si="30"/>
        <v>42.163735628128052</v>
      </c>
      <c r="S1124" s="64">
        <f t="shared" si="31"/>
        <v>25</v>
      </c>
      <c r="T1124" s="64">
        <f t="shared" si="32"/>
        <v>17.256944444444443</v>
      </c>
      <c r="U1124" s="64" t="str">
        <f t="shared" si="33"/>
        <v>&lt;35</v>
      </c>
      <c r="V1124" s="64" t="str">
        <f t="shared" si="34"/>
        <v>40+ Гб</v>
      </c>
    </row>
    <row r="1125" spans="1:22" ht="15.75" customHeight="1" x14ac:dyDescent="0.25">
      <c r="A1125" s="62" t="s">
        <v>1216</v>
      </c>
      <c r="B1125" s="56">
        <v>35228</v>
      </c>
      <c r="C1125" s="62" t="s">
        <v>83</v>
      </c>
      <c r="D1125" s="62" t="s">
        <v>84</v>
      </c>
      <c r="E1125" s="62" t="s">
        <v>85</v>
      </c>
      <c r="F1125" s="62" t="s">
        <v>96</v>
      </c>
      <c r="G1125" s="56">
        <v>43973</v>
      </c>
      <c r="H1125" s="62">
        <v>5</v>
      </c>
      <c r="I1125" s="62">
        <v>62630</v>
      </c>
      <c r="J1125" s="62">
        <v>140323875</v>
      </c>
      <c r="P1125" s="63">
        <f t="shared" si="28"/>
        <v>120</v>
      </c>
      <c r="Q1125" s="64">
        <f t="shared" si="29"/>
        <v>260.95833333333331</v>
      </c>
      <c r="R1125" s="64">
        <f t="shared" si="30"/>
        <v>33.455818891525269</v>
      </c>
      <c r="S1125" s="64">
        <f t="shared" si="31"/>
        <v>25</v>
      </c>
      <c r="T1125" s="64">
        <f t="shared" si="32"/>
        <v>60.890277777777776</v>
      </c>
      <c r="U1125" s="64" t="str">
        <f t="shared" si="33"/>
        <v>61-90</v>
      </c>
      <c r="V1125" s="64" t="str">
        <f t="shared" si="34"/>
        <v>31-40 Гб</v>
      </c>
    </row>
    <row r="1126" spans="1:22" ht="15.75" customHeight="1" x14ac:dyDescent="0.25">
      <c r="A1126" s="62" t="s">
        <v>1217</v>
      </c>
      <c r="B1126" s="56">
        <v>35225</v>
      </c>
      <c r="C1126" s="62" t="s">
        <v>83</v>
      </c>
      <c r="D1126" s="62" t="s">
        <v>84</v>
      </c>
      <c r="E1126" s="62" t="s">
        <v>92</v>
      </c>
      <c r="F1126" s="62" t="s">
        <v>96</v>
      </c>
      <c r="G1126" s="56">
        <v>43411</v>
      </c>
      <c r="H1126" s="62">
        <v>5</v>
      </c>
      <c r="I1126" s="62">
        <v>91725</v>
      </c>
      <c r="J1126" s="62">
        <v>122819950</v>
      </c>
      <c r="P1126" s="63">
        <f t="shared" si="28"/>
        <v>120</v>
      </c>
      <c r="Q1126" s="64">
        <f t="shared" si="29"/>
        <v>382.1875</v>
      </c>
      <c r="R1126" s="64">
        <f t="shared" si="30"/>
        <v>29.282557964324951</v>
      </c>
      <c r="S1126" s="64">
        <f t="shared" si="31"/>
        <v>25</v>
      </c>
      <c r="T1126" s="64">
        <f t="shared" si="32"/>
        <v>89.177083333333329</v>
      </c>
      <c r="U1126" s="64" t="str">
        <f t="shared" si="33"/>
        <v>61-90</v>
      </c>
      <c r="V1126" s="64" t="str">
        <f t="shared" si="34"/>
        <v>21-30 Гб</v>
      </c>
    </row>
    <row r="1127" spans="1:22" ht="15.75" customHeight="1" x14ac:dyDescent="0.25">
      <c r="A1127" s="62" t="s">
        <v>1218</v>
      </c>
      <c r="B1127" s="56">
        <v>35225</v>
      </c>
      <c r="C1127" s="62" t="s">
        <v>88</v>
      </c>
      <c r="D1127" s="62" t="s">
        <v>84</v>
      </c>
      <c r="E1127" s="62" t="s">
        <v>85</v>
      </c>
      <c r="F1127" s="62" t="s">
        <v>93</v>
      </c>
      <c r="G1127" s="56">
        <v>43841</v>
      </c>
      <c r="H1127" s="62">
        <v>5</v>
      </c>
      <c r="I1127" s="62">
        <v>10910</v>
      </c>
      <c r="J1127" s="62">
        <v>9945275</v>
      </c>
      <c r="P1127" s="63">
        <f t="shared" si="28"/>
        <v>120</v>
      </c>
      <c r="Q1127" s="64">
        <f t="shared" si="29"/>
        <v>45.458333333333336</v>
      </c>
      <c r="R1127" s="64">
        <f t="shared" si="30"/>
        <v>2.371138334274292</v>
      </c>
      <c r="S1127" s="64">
        <f t="shared" si="31"/>
        <v>25</v>
      </c>
      <c r="T1127" s="64">
        <f t="shared" si="32"/>
        <v>10.606944444444446</v>
      </c>
      <c r="U1127" s="64" t="str">
        <f t="shared" si="33"/>
        <v>&lt;35</v>
      </c>
      <c r="V1127" s="64" t="str">
        <f t="shared" si="34"/>
        <v>&lt;10 Гб</v>
      </c>
    </row>
    <row r="1128" spans="1:22" ht="15.75" customHeight="1" x14ac:dyDescent="0.25">
      <c r="A1128" s="62" t="s">
        <v>1219</v>
      </c>
      <c r="B1128" s="56">
        <v>35223</v>
      </c>
      <c r="C1128" s="62" t="s">
        <v>83</v>
      </c>
      <c r="D1128" s="62" t="s">
        <v>84</v>
      </c>
      <c r="E1128" s="62" t="s">
        <v>92</v>
      </c>
      <c r="F1128" s="62" t="s">
        <v>89</v>
      </c>
      <c r="G1128" s="56">
        <v>44189</v>
      </c>
      <c r="H1128" s="62">
        <v>5</v>
      </c>
      <c r="I1128" s="62">
        <v>16600</v>
      </c>
      <c r="J1128" s="62">
        <v>166393825</v>
      </c>
      <c r="M1128" s="62">
        <v>1</v>
      </c>
      <c r="P1128" s="63">
        <f t="shared" si="28"/>
        <v>120</v>
      </c>
      <c r="Q1128" s="64">
        <f t="shared" si="29"/>
        <v>69.166666666666671</v>
      </c>
      <c r="R1128" s="64">
        <f t="shared" si="30"/>
        <v>39.671379327774048</v>
      </c>
      <c r="S1128" s="64">
        <f t="shared" si="31"/>
        <v>25</v>
      </c>
      <c r="T1128" s="64">
        <f t="shared" si="32"/>
        <v>16.138888888888889</v>
      </c>
      <c r="U1128" s="64" t="str">
        <f t="shared" si="33"/>
        <v>&lt;35</v>
      </c>
      <c r="V1128" s="64" t="str">
        <f t="shared" si="34"/>
        <v>31-40 Гб</v>
      </c>
    </row>
    <row r="1129" spans="1:22" ht="15.75" customHeight="1" x14ac:dyDescent="0.25">
      <c r="A1129" s="62" t="s">
        <v>1220</v>
      </c>
      <c r="B1129" s="56">
        <v>35221</v>
      </c>
      <c r="C1129" s="62" t="s">
        <v>88</v>
      </c>
      <c r="D1129" s="62" t="s">
        <v>84</v>
      </c>
      <c r="E1129" s="62" t="s">
        <v>92</v>
      </c>
      <c r="F1129" s="62" t="s">
        <v>96</v>
      </c>
      <c r="G1129" s="56">
        <v>44311</v>
      </c>
      <c r="H1129" s="62">
        <v>5</v>
      </c>
      <c r="I1129" s="62">
        <v>109010</v>
      </c>
      <c r="J1129" s="62">
        <v>37306150</v>
      </c>
      <c r="L1129" s="62">
        <v>1</v>
      </c>
      <c r="M1129" s="62">
        <v>1</v>
      </c>
      <c r="P1129" s="63">
        <f t="shared" si="28"/>
        <v>120</v>
      </c>
      <c r="Q1129" s="64">
        <f t="shared" si="29"/>
        <v>454.20833333333331</v>
      </c>
      <c r="R1129" s="64">
        <f t="shared" si="30"/>
        <v>8.8944792747497559</v>
      </c>
      <c r="S1129" s="64">
        <f t="shared" si="31"/>
        <v>25</v>
      </c>
      <c r="T1129" s="64">
        <f t="shared" si="32"/>
        <v>105.98194444444444</v>
      </c>
      <c r="U1129" s="64" t="str">
        <f t="shared" si="33"/>
        <v>91-120</v>
      </c>
      <c r="V1129" s="64" t="str">
        <f t="shared" si="34"/>
        <v>&lt;10 Гб</v>
      </c>
    </row>
    <row r="1130" spans="1:22" ht="15.75" customHeight="1" x14ac:dyDescent="0.25">
      <c r="A1130" s="62" t="s">
        <v>1221</v>
      </c>
      <c r="B1130" s="56">
        <v>35220</v>
      </c>
      <c r="C1130" s="62" t="s">
        <v>88</v>
      </c>
      <c r="D1130" s="62" t="s">
        <v>84</v>
      </c>
      <c r="E1130" s="62" t="s">
        <v>92</v>
      </c>
      <c r="F1130" s="62" t="s">
        <v>96</v>
      </c>
      <c r="G1130" s="56">
        <v>42774</v>
      </c>
      <c r="H1130" s="62">
        <v>5</v>
      </c>
      <c r="I1130" s="62">
        <v>54385</v>
      </c>
      <c r="J1130" s="62">
        <v>86203700</v>
      </c>
      <c r="K1130" s="62">
        <v>1</v>
      </c>
      <c r="P1130" s="63">
        <f t="shared" si="28"/>
        <v>120</v>
      </c>
      <c r="Q1130" s="64">
        <f t="shared" si="29"/>
        <v>226.60416666666666</v>
      </c>
      <c r="R1130" s="64">
        <f t="shared" si="30"/>
        <v>20.552563667297363</v>
      </c>
      <c r="S1130" s="64">
        <f t="shared" si="31"/>
        <v>25</v>
      </c>
      <c r="T1130" s="64">
        <f t="shared" si="32"/>
        <v>52.874305555555551</v>
      </c>
      <c r="U1130" s="64" t="str">
        <f t="shared" si="33"/>
        <v>35-60</v>
      </c>
      <c r="V1130" s="64" t="str">
        <f t="shared" si="34"/>
        <v>21-30 Гб</v>
      </c>
    </row>
    <row r="1131" spans="1:22" ht="15.75" customHeight="1" x14ac:dyDescent="0.25">
      <c r="A1131" s="62" t="s">
        <v>1222</v>
      </c>
      <c r="B1131" s="56">
        <v>35217</v>
      </c>
      <c r="C1131" s="62" t="s">
        <v>83</v>
      </c>
      <c r="D1131" s="62" t="s">
        <v>84</v>
      </c>
      <c r="E1131" s="62" t="s">
        <v>92</v>
      </c>
      <c r="F1131" s="62" t="s">
        <v>89</v>
      </c>
      <c r="G1131" s="56">
        <v>44671</v>
      </c>
      <c r="H1131" s="62">
        <v>0</v>
      </c>
      <c r="I1131" s="62">
        <v>446</v>
      </c>
      <c r="J1131" s="62">
        <v>5398826</v>
      </c>
      <c r="P1131" s="63">
        <f t="shared" si="28"/>
        <v>11</v>
      </c>
      <c r="Q1131" s="64">
        <f t="shared" si="29"/>
        <v>20.272727272727273</v>
      </c>
      <c r="R1131" s="64">
        <f t="shared" si="30"/>
        <v>14.041968258944426</v>
      </c>
      <c r="S1131" s="64">
        <f t="shared" si="31"/>
        <v>25</v>
      </c>
      <c r="T1131" s="64">
        <f t="shared" si="32"/>
        <v>4.7303030303030305</v>
      </c>
      <c r="U1131" s="64" t="str">
        <f t="shared" si="33"/>
        <v>&lt;35</v>
      </c>
      <c r="V1131" s="64" t="str">
        <f t="shared" si="34"/>
        <v>10-20 Гб</v>
      </c>
    </row>
    <row r="1132" spans="1:22" ht="15.75" customHeight="1" x14ac:dyDescent="0.25">
      <c r="A1132" s="62" t="s">
        <v>1223</v>
      </c>
      <c r="B1132" s="56">
        <v>35217</v>
      </c>
      <c r="C1132" s="62" t="s">
        <v>88</v>
      </c>
      <c r="D1132" s="62" t="s">
        <v>84</v>
      </c>
      <c r="E1132" s="62" t="s">
        <v>92</v>
      </c>
      <c r="F1132" s="62" t="s">
        <v>96</v>
      </c>
      <c r="G1132" s="56">
        <v>43316</v>
      </c>
      <c r="H1132" s="62">
        <v>5</v>
      </c>
      <c r="I1132" s="62">
        <v>70995</v>
      </c>
      <c r="J1132" s="62">
        <v>8489925</v>
      </c>
      <c r="P1132" s="63">
        <f t="shared" si="28"/>
        <v>120</v>
      </c>
      <c r="Q1132" s="64">
        <f t="shared" si="29"/>
        <v>295.8125</v>
      </c>
      <c r="R1132" s="64">
        <f t="shared" si="30"/>
        <v>2.024155855178833</v>
      </c>
      <c r="S1132" s="64">
        <f t="shared" si="31"/>
        <v>25</v>
      </c>
      <c r="T1132" s="64">
        <f t="shared" si="32"/>
        <v>69.02291666666666</v>
      </c>
      <c r="U1132" s="64" t="str">
        <f t="shared" si="33"/>
        <v>61-90</v>
      </c>
      <c r="V1132" s="64" t="str">
        <f t="shared" si="34"/>
        <v>&lt;10 Гб</v>
      </c>
    </row>
    <row r="1133" spans="1:22" ht="15.75" customHeight="1" x14ac:dyDescent="0.25">
      <c r="A1133" s="62" t="s">
        <v>1224</v>
      </c>
      <c r="B1133" s="56">
        <v>35213</v>
      </c>
      <c r="C1133" s="62" t="s">
        <v>88</v>
      </c>
      <c r="D1133" s="62" t="s">
        <v>84</v>
      </c>
      <c r="E1133" s="62" t="s">
        <v>85</v>
      </c>
      <c r="F1133" s="62" t="s">
        <v>96</v>
      </c>
      <c r="G1133" s="56">
        <v>44188</v>
      </c>
      <c r="H1133" s="62">
        <v>5</v>
      </c>
      <c r="I1133" s="62">
        <v>43535</v>
      </c>
      <c r="J1133" s="62">
        <v>142333425</v>
      </c>
      <c r="P1133" s="63">
        <f t="shared" si="28"/>
        <v>120</v>
      </c>
      <c r="Q1133" s="64">
        <f t="shared" si="29"/>
        <v>181.39583333333334</v>
      </c>
      <c r="R1133" s="64">
        <f t="shared" si="30"/>
        <v>33.934932947158813</v>
      </c>
      <c r="S1133" s="64">
        <f t="shared" si="31"/>
        <v>25</v>
      </c>
      <c r="T1133" s="64">
        <f t="shared" si="32"/>
        <v>42.325694444444451</v>
      </c>
      <c r="U1133" s="64" t="str">
        <f t="shared" si="33"/>
        <v>35-60</v>
      </c>
      <c r="V1133" s="64" t="str">
        <f t="shared" si="34"/>
        <v>31-40 Гб</v>
      </c>
    </row>
    <row r="1134" spans="1:22" ht="15.75" customHeight="1" x14ac:dyDescent="0.25">
      <c r="A1134" s="62" t="s">
        <v>1225</v>
      </c>
      <c r="B1134" s="56">
        <v>35207</v>
      </c>
      <c r="C1134" s="62" t="s">
        <v>88</v>
      </c>
      <c r="D1134" s="62" t="s">
        <v>84</v>
      </c>
      <c r="E1134" s="62" t="s">
        <v>92</v>
      </c>
      <c r="F1134" s="62" t="s">
        <v>100</v>
      </c>
      <c r="G1134" s="56">
        <v>43885</v>
      </c>
      <c r="H1134" s="62">
        <v>5</v>
      </c>
      <c r="I1134" s="62">
        <v>101630</v>
      </c>
      <c r="J1134" s="62">
        <v>170377200</v>
      </c>
      <c r="N1134" s="62">
        <v>1</v>
      </c>
      <c r="P1134" s="63">
        <f t="shared" si="28"/>
        <v>120</v>
      </c>
      <c r="Q1134" s="64">
        <f t="shared" si="29"/>
        <v>423.45833333333331</v>
      </c>
      <c r="R1134" s="64">
        <f t="shared" si="30"/>
        <v>40.621089935302734</v>
      </c>
      <c r="S1134" s="64">
        <f t="shared" si="31"/>
        <v>25</v>
      </c>
      <c r="T1134" s="64">
        <f t="shared" si="32"/>
        <v>98.80694444444444</v>
      </c>
      <c r="U1134" s="64" t="str">
        <f t="shared" si="33"/>
        <v>91-120</v>
      </c>
      <c r="V1134" s="64" t="str">
        <f t="shared" si="34"/>
        <v>40+ Гб</v>
      </c>
    </row>
    <row r="1135" spans="1:22" ht="15.75" customHeight="1" x14ac:dyDescent="0.25">
      <c r="A1135" s="62" t="s">
        <v>1226</v>
      </c>
      <c r="B1135" s="56">
        <v>35207</v>
      </c>
      <c r="C1135" s="62" t="s">
        <v>83</v>
      </c>
      <c r="D1135" s="62" t="s">
        <v>84</v>
      </c>
      <c r="E1135" s="62" t="s">
        <v>92</v>
      </c>
      <c r="F1135" s="62" t="s">
        <v>89</v>
      </c>
      <c r="G1135" s="56">
        <v>43447</v>
      </c>
      <c r="H1135" s="62">
        <v>5</v>
      </c>
      <c r="I1135" s="62">
        <v>26080</v>
      </c>
      <c r="J1135" s="62">
        <v>147789675</v>
      </c>
      <c r="P1135" s="63">
        <f t="shared" si="28"/>
        <v>120</v>
      </c>
      <c r="Q1135" s="64">
        <f t="shared" si="29"/>
        <v>108.66666666666667</v>
      </c>
      <c r="R1135" s="64">
        <f t="shared" si="30"/>
        <v>35.235804319381714</v>
      </c>
      <c r="S1135" s="64">
        <f t="shared" si="31"/>
        <v>25</v>
      </c>
      <c r="T1135" s="64">
        <f t="shared" si="32"/>
        <v>25.355555555555558</v>
      </c>
      <c r="U1135" s="64" t="str">
        <f t="shared" si="33"/>
        <v>&lt;35</v>
      </c>
      <c r="V1135" s="64" t="str">
        <f t="shared" si="34"/>
        <v>31-40 Гб</v>
      </c>
    </row>
    <row r="1136" spans="1:22" ht="15.75" customHeight="1" x14ac:dyDescent="0.25">
      <c r="A1136" s="62" t="s">
        <v>1227</v>
      </c>
      <c r="B1136" s="56">
        <v>35206</v>
      </c>
      <c r="C1136" s="62" t="s">
        <v>88</v>
      </c>
      <c r="D1136" s="62" t="s">
        <v>84</v>
      </c>
      <c r="E1136" s="62" t="s">
        <v>92</v>
      </c>
      <c r="F1136" s="62" t="s">
        <v>100</v>
      </c>
      <c r="G1136" s="56">
        <v>44151</v>
      </c>
      <c r="H1136" s="62">
        <v>5</v>
      </c>
      <c r="I1136" s="62">
        <v>116100</v>
      </c>
      <c r="J1136" s="62">
        <v>65030700</v>
      </c>
      <c r="P1136" s="63">
        <f t="shared" si="28"/>
        <v>120</v>
      </c>
      <c r="Q1136" s="64">
        <f t="shared" si="29"/>
        <v>483.75</v>
      </c>
      <c r="R1136" s="64">
        <f t="shared" si="30"/>
        <v>15.50452709197998</v>
      </c>
      <c r="S1136" s="64">
        <f t="shared" si="31"/>
        <v>25</v>
      </c>
      <c r="T1136" s="64">
        <f t="shared" si="32"/>
        <v>112.875</v>
      </c>
      <c r="U1136" s="64" t="str">
        <f t="shared" si="33"/>
        <v>91-120</v>
      </c>
      <c r="V1136" s="64" t="str">
        <f t="shared" si="34"/>
        <v>10-20 Гб</v>
      </c>
    </row>
    <row r="1137" spans="1:22" ht="15.75" customHeight="1" x14ac:dyDescent="0.25">
      <c r="A1137" s="62" t="s">
        <v>1228</v>
      </c>
      <c r="B1137" s="56">
        <v>35205</v>
      </c>
      <c r="C1137" s="62" t="s">
        <v>88</v>
      </c>
      <c r="D1137" s="62" t="s">
        <v>84</v>
      </c>
      <c r="E1137" s="62" t="s">
        <v>85</v>
      </c>
      <c r="F1137" s="62" t="s">
        <v>96</v>
      </c>
      <c r="G1137" s="56">
        <v>42909</v>
      </c>
      <c r="H1137" s="62">
        <v>5</v>
      </c>
      <c r="I1137" s="62">
        <v>77835</v>
      </c>
      <c r="J1137" s="62">
        <v>7599550</v>
      </c>
      <c r="P1137" s="63">
        <f t="shared" si="28"/>
        <v>120</v>
      </c>
      <c r="Q1137" s="64">
        <f t="shared" si="29"/>
        <v>324.3125</v>
      </c>
      <c r="R1137" s="64">
        <f t="shared" si="30"/>
        <v>1.8118739128112793</v>
      </c>
      <c r="S1137" s="64">
        <f t="shared" si="31"/>
        <v>25</v>
      </c>
      <c r="T1137" s="64">
        <f t="shared" si="32"/>
        <v>75.672916666666666</v>
      </c>
      <c r="U1137" s="64" t="str">
        <f t="shared" si="33"/>
        <v>61-90</v>
      </c>
      <c r="V1137" s="64" t="str">
        <f t="shared" si="34"/>
        <v>&lt;10 Гб</v>
      </c>
    </row>
    <row r="1138" spans="1:22" ht="15.75" customHeight="1" x14ac:dyDescent="0.25">
      <c r="A1138" s="62" t="s">
        <v>1229</v>
      </c>
      <c r="B1138" s="56">
        <v>35200</v>
      </c>
      <c r="C1138" s="62" t="s">
        <v>88</v>
      </c>
      <c r="D1138" s="62" t="s">
        <v>84</v>
      </c>
      <c r="E1138" s="62" t="s">
        <v>92</v>
      </c>
      <c r="F1138" s="62" t="s">
        <v>100</v>
      </c>
      <c r="G1138" s="56">
        <v>43416</v>
      </c>
      <c r="H1138" s="62">
        <v>5</v>
      </c>
      <c r="I1138" s="62">
        <v>117145</v>
      </c>
      <c r="J1138" s="62">
        <v>38151475</v>
      </c>
      <c r="P1138" s="63">
        <f t="shared" si="28"/>
        <v>120</v>
      </c>
      <c r="Q1138" s="64">
        <f t="shared" si="29"/>
        <v>488.10416666666674</v>
      </c>
      <c r="R1138" s="64">
        <f t="shared" si="30"/>
        <v>9.0960204601287842</v>
      </c>
      <c r="S1138" s="64">
        <f t="shared" si="31"/>
        <v>25</v>
      </c>
      <c r="T1138" s="64">
        <f t="shared" si="32"/>
        <v>113.89097222222223</v>
      </c>
      <c r="U1138" s="64" t="str">
        <f t="shared" si="33"/>
        <v>91-120</v>
      </c>
      <c r="V1138" s="64" t="str">
        <f t="shared" si="34"/>
        <v>&lt;10 Гб</v>
      </c>
    </row>
    <row r="1139" spans="1:22" ht="15.75" customHeight="1" x14ac:dyDescent="0.25">
      <c r="A1139" s="62" t="s">
        <v>1230</v>
      </c>
      <c r="B1139" s="56">
        <v>35200</v>
      </c>
      <c r="C1139" s="62" t="s">
        <v>88</v>
      </c>
      <c r="D1139" s="62" t="s">
        <v>84</v>
      </c>
      <c r="E1139" s="62" t="s">
        <v>85</v>
      </c>
      <c r="F1139" s="62" t="s">
        <v>96</v>
      </c>
      <c r="G1139" s="56">
        <v>43545</v>
      </c>
      <c r="H1139" s="62">
        <v>5</v>
      </c>
      <c r="I1139" s="62">
        <v>76255</v>
      </c>
      <c r="J1139" s="62">
        <v>142206200</v>
      </c>
      <c r="K1139" s="62">
        <v>1</v>
      </c>
      <c r="P1139" s="63">
        <f t="shared" si="28"/>
        <v>120</v>
      </c>
      <c r="Q1139" s="64">
        <f t="shared" si="29"/>
        <v>317.72916666666669</v>
      </c>
      <c r="R1139" s="64">
        <f t="shared" si="30"/>
        <v>33.904600143432617</v>
      </c>
      <c r="S1139" s="64">
        <f t="shared" si="31"/>
        <v>25</v>
      </c>
      <c r="T1139" s="64">
        <f t="shared" si="32"/>
        <v>74.136805555555569</v>
      </c>
      <c r="U1139" s="64" t="str">
        <f t="shared" si="33"/>
        <v>61-90</v>
      </c>
      <c r="V1139" s="64" t="str">
        <f t="shared" si="34"/>
        <v>31-40 Гб</v>
      </c>
    </row>
    <row r="1140" spans="1:22" ht="15.75" customHeight="1" x14ac:dyDescent="0.25">
      <c r="A1140" s="62" t="s">
        <v>1231</v>
      </c>
      <c r="B1140" s="56">
        <v>35199</v>
      </c>
      <c r="C1140" s="62" t="s">
        <v>83</v>
      </c>
      <c r="D1140" s="62" t="s">
        <v>84</v>
      </c>
      <c r="E1140" s="62" t="s">
        <v>92</v>
      </c>
      <c r="F1140" s="62" t="s">
        <v>96</v>
      </c>
      <c r="G1140" s="56">
        <v>42770</v>
      </c>
      <c r="H1140" s="62">
        <v>5</v>
      </c>
      <c r="I1140" s="62">
        <v>103885</v>
      </c>
      <c r="J1140" s="62">
        <v>130381625</v>
      </c>
      <c r="M1140" s="62">
        <v>1</v>
      </c>
      <c r="P1140" s="63">
        <f t="shared" si="28"/>
        <v>120</v>
      </c>
      <c r="Q1140" s="64">
        <f t="shared" si="29"/>
        <v>432.85416666666669</v>
      </c>
      <c r="R1140" s="64">
        <f t="shared" si="30"/>
        <v>31.085401773452762</v>
      </c>
      <c r="S1140" s="64">
        <f t="shared" si="31"/>
        <v>25</v>
      </c>
      <c r="T1140" s="64">
        <f t="shared" si="32"/>
        <v>100.99930555555557</v>
      </c>
      <c r="U1140" s="64" t="str">
        <f t="shared" si="33"/>
        <v>91-120</v>
      </c>
      <c r="V1140" s="64" t="str">
        <f t="shared" si="34"/>
        <v>31-40 Гб</v>
      </c>
    </row>
    <row r="1141" spans="1:22" ht="15.75" customHeight="1" x14ac:dyDescent="0.25">
      <c r="A1141" s="62" t="s">
        <v>1232</v>
      </c>
      <c r="B1141" s="56">
        <v>35199</v>
      </c>
      <c r="C1141" s="62" t="s">
        <v>88</v>
      </c>
      <c r="D1141" s="62" t="s">
        <v>84</v>
      </c>
      <c r="E1141" s="62" t="s">
        <v>85</v>
      </c>
      <c r="F1141" s="62" t="s">
        <v>96</v>
      </c>
      <c r="G1141" s="56">
        <v>42803</v>
      </c>
      <c r="H1141" s="62">
        <v>5</v>
      </c>
      <c r="I1141" s="62">
        <v>25160</v>
      </c>
      <c r="J1141" s="62">
        <v>143858375</v>
      </c>
      <c r="K1141" s="62">
        <v>1</v>
      </c>
      <c r="P1141" s="63">
        <f t="shared" si="28"/>
        <v>120</v>
      </c>
      <c r="Q1141" s="64">
        <f t="shared" si="29"/>
        <v>104.83333333333333</v>
      </c>
      <c r="R1141" s="64">
        <f t="shared" si="30"/>
        <v>34.298509359359741</v>
      </c>
      <c r="S1141" s="64">
        <f t="shared" si="31"/>
        <v>25</v>
      </c>
      <c r="T1141" s="64">
        <f t="shared" si="32"/>
        <v>24.461111111111109</v>
      </c>
      <c r="U1141" s="64" t="str">
        <f t="shared" si="33"/>
        <v>&lt;35</v>
      </c>
      <c r="V1141" s="64" t="str">
        <f t="shared" si="34"/>
        <v>31-40 Гб</v>
      </c>
    </row>
    <row r="1142" spans="1:22" ht="15.75" customHeight="1" x14ac:dyDescent="0.25">
      <c r="A1142" s="62" t="s">
        <v>1233</v>
      </c>
      <c r="B1142" s="56">
        <v>35198</v>
      </c>
      <c r="C1142" s="62" t="s">
        <v>88</v>
      </c>
      <c r="D1142" s="62" t="s">
        <v>84</v>
      </c>
      <c r="E1142" s="62" t="s">
        <v>85</v>
      </c>
      <c r="F1142" s="62" t="s">
        <v>100</v>
      </c>
      <c r="G1142" s="56">
        <v>43245</v>
      </c>
      <c r="H1142" s="62">
        <v>5</v>
      </c>
      <c r="I1142" s="62">
        <v>142350</v>
      </c>
      <c r="J1142" s="62">
        <v>120356100</v>
      </c>
      <c r="P1142" s="63">
        <f t="shared" si="28"/>
        <v>120</v>
      </c>
      <c r="Q1142" s="64">
        <f t="shared" si="29"/>
        <v>593.125</v>
      </c>
      <c r="R1142" s="64">
        <f t="shared" si="30"/>
        <v>28.695130348205566</v>
      </c>
      <c r="S1142" s="64">
        <f t="shared" si="31"/>
        <v>25</v>
      </c>
      <c r="T1142" s="64">
        <f t="shared" si="32"/>
        <v>138.39583333333334</v>
      </c>
      <c r="U1142" s="64" t="str">
        <f t="shared" si="33"/>
        <v>120+</v>
      </c>
      <c r="V1142" s="64" t="str">
        <f t="shared" si="34"/>
        <v>21-30 Гб</v>
      </c>
    </row>
    <row r="1143" spans="1:22" ht="15.75" customHeight="1" x14ac:dyDescent="0.25">
      <c r="A1143" s="62" t="s">
        <v>1234</v>
      </c>
      <c r="B1143" s="56">
        <v>35198</v>
      </c>
      <c r="C1143" s="62" t="s">
        <v>88</v>
      </c>
      <c r="D1143" s="62" t="s">
        <v>84</v>
      </c>
      <c r="E1143" s="62" t="s">
        <v>85</v>
      </c>
      <c r="F1143" s="62" t="s">
        <v>96</v>
      </c>
      <c r="G1143" s="56">
        <v>43293</v>
      </c>
      <c r="H1143" s="62">
        <v>5</v>
      </c>
      <c r="I1143" s="62">
        <v>77595</v>
      </c>
      <c r="J1143" s="62">
        <v>5641675</v>
      </c>
      <c r="P1143" s="63">
        <f t="shared" si="28"/>
        <v>120</v>
      </c>
      <c r="Q1143" s="64">
        <f t="shared" si="29"/>
        <v>323.3125</v>
      </c>
      <c r="R1143" s="64">
        <f t="shared" si="30"/>
        <v>1.3450801372528076</v>
      </c>
      <c r="S1143" s="64">
        <f t="shared" si="31"/>
        <v>25</v>
      </c>
      <c r="T1143" s="64">
        <f t="shared" si="32"/>
        <v>75.439583333333331</v>
      </c>
      <c r="U1143" s="64" t="str">
        <f t="shared" si="33"/>
        <v>61-90</v>
      </c>
      <c r="V1143" s="64" t="str">
        <f t="shared" si="34"/>
        <v>&lt;10 Гб</v>
      </c>
    </row>
    <row r="1144" spans="1:22" ht="15.75" customHeight="1" x14ac:dyDescent="0.25">
      <c r="A1144" s="62" t="s">
        <v>1235</v>
      </c>
      <c r="B1144" s="56">
        <v>35190</v>
      </c>
      <c r="C1144" s="62" t="s">
        <v>88</v>
      </c>
      <c r="D1144" s="62" t="s">
        <v>84</v>
      </c>
      <c r="E1144" s="62" t="s">
        <v>92</v>
      </c>
      <c r="F1144" s="62" t="s">
        <v>100</v>
      </c>
      <c r="G1144" s="56">
        <v>43335</v>
      </c>
      <c r="H1144" s="62">
        <v>5</v>
      </c>
      <c r="I1144" s="62">
        <v>104440</v>
      </c>
      <c r="J1144" s="62">
        <v>61944625</v>
      </c>
      <c r="P1144" s="63">
        <f t="shared" si="28"/>
        <v>120</v>
      </c>
      <c r="Q1144" s="64">
        <f t="shared" si="29"/>
        <v>435.16666666666669</v>
      </c>
      <c r="R1144" s="64">
        <f t="shared" si="30"/>
        <v>14.768749475479126</v>
      </c>
      <c r="S1144" s="64">
        <f t="shared" si="31"/>
        <v>25</v>
      </c>
      <c r="T1144" s="64">
        <f t="shared" si="32"/>
        <v>101.53888888888891</v>
      </c>
      <c r="U1144" s="64" t="str">
        <f t="shared" si="33"/>
        <v>91-120</v>
      </c>
      <c r="V1144" s="64" t="str">
        <f t="shared" si="34"/>
        <v>10-20 Гб</v>
      </c>
    </row>
  </sheetData>
  <autoFilter ref="A5:S1144" xr:uid="{00000000-0009-0000-0000-000002000000}"/>
  <mergeCells count="6">
    <mergeCell ref="AC20:AE20"/>
    <mergeCell ref="X15:AA15"/>
    <mergeCell ref="AC15:AE15"/>
    <mergeCell ref="AC16:AE16"/>
    <mergeCell ref="AC18:AE18"/>
    <mergeCell ref="AC19:AE1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D9" sqref="D9"/>
    </sheetView>
  </sheetViews>
  <sheetFormatPr defaultColWidth="11.25" defaultRowHeight="15" customHeight="1" x14ac:dyDescent="0.25"/>
  <cols>
    <col min="1" max="1" width="19.5" customWidth="1"/>
    <col min="2" max="2" width="7.875" customWidth="1"/>
    <col min="3" max="3" width="59.625" customWidth="1"/>
    <col min="4" max="4" width="42.625" customWidth="1"/>
    <col min="5" max="5" width="71.625" customWidth="1"/>
    <col min="6" max="6" width="48.125" customWidth="1"/>
    <col min="7" max="7" width="11" customWidth="1"/>
    <col min="8" max="8" width="26.75" customWidth="1"/>
    <col min="9" max="26" width="11" customWidth="1"/>
  </cols>
  <sheetData>
    <row r="1" spans="1:26" ht="15.75" customHeight="1" x14ac:dyDescent="0.25">
      <c r="A1" s="53" t="s">
        <v>0</v>
      </c>
      <c r="B1" s="1"/>
      <c r="C1" s="1"/>
      <c r="D1" s="2"/>
      <c r="E1" s="1"/>
      <c r="F1" s="3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6" ht="15.75" customHeight="1" x14ac:dyDescent="0.25">
      <c r="A2" s="57" t="s">
        <v>1236</v>
      </c>
      <c r="B2" s="57" t="s">
        <v>1237</v>
      </c>
      <c r="C2" s="57" t="s">
        <v>1238</v>
      </c>
      <c r="D2" s="57" t="s">
        <v>1239</v>
      </c>
      <c r="E2" s="57" t="s">
        <v>1240</v>
      </c>
      <c r="F2" s="57" t="s">
        <v>1241</v>
      </c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15.75" customHeight="1" x14ac:dyDescent="0.25">
      <c r="A3" s="62">
        <v>1</v>
      </c>
      <c r="B3" s="62">
        <v>24</v>
      </c>
      <c r="C3" s="62" t="s">
        <v>1242</v>
      </c>
      <c r="D3" s="62" t="s">
        <v>1243</v>
      </c>
      <c r="E3" s="62" t="s">
        <v>1244</v>
      </c>
      <c r="F3" s="62" t="s">
        <v>1245</v>
      </c>
      <c r="H3" s="57"/>
    </row>
    <row r="4" spans="1:26" ht="15.75" customHeight="1" x14ac:dyDescent="0.25">
      <c r="A4" s="62">
        <v>2</v>
      </c>
      <c r="B4" s="62">
        <v>21</v>
      </c>
      <c r="C4" s="62" t="s">
        <v>1246</v>
      </c>
      <c r="D4" s="62" t="s">
        <v>1243</v>
      </c>
      <c r="E4" s="62" t="s">
        <v>1244</v>
      </c>
      <c r="F4" s="62" t="s">
        <v>1245</v>
      </c>
      <c r="H4" s="57"/>
    </row>
    <row r="5" spans="1:26" ht="15.75" customHeight="1" x14ac:dyDescent="0.25">
      <c r="A5" s="62">
        <v>3</v>
      </c>
      <c r="B5" s="62">
        <v>25</v>
      </c>
      <c r="C5" s="62" t="s">
        <v>1247</v>
      </c>
      <c r="D5" s="62" t="s">
        <v>1243</v>
      </c>
      <c r="E5" s="62" t="s">
        <v>1248</v>
      </c>
      <c r="F5" s="62" t="s">
        <v>1249</v>
      </c>
    </row>
    <row r="6" spans="1:26" ht="15.75" customHeight="1" x14ac:dyDescent="0.25">
      <c r="A6" s="62">
        <v>4</v>
      </c>
      <c r="B6" s="62">
        <v>23</v>
      </c>
      <c r="C6" s="62" t="s">
        <v>1247</v>
      </c>
      <c r="D6" s="62" t="s">
        <v>1243</v>
      </c>
      <c r="E6" s="62" t="s">
        <v>1250</v>
      </c>
      <c r="F6" s="62" t="s">
        <v>1249</v>
      </c>
    </row>
    <row r="7" spans="1:26" ht="15.75" customHeight="1" x14ac:dyDescent="0.25">
      <c r="A7" s="62">
        <v>5</v>
      </c>
      <c r="B7" s="62">
        <v>18</v>
      </c>
      <c r="C7" s="62" t="s">
        <v>1242</v>
      </c>
      <c r="D7" s="62" t="s">
        <v>1243</v>
      </c>
      <c r="E7" s="62" t="s">
        <v>1244</v>
      </c>
      <c r="F7" s="62" t="s">
        <v>1245</v>
      </c>
    </row>
    <row r="8" spans="1:26" ht="15.75" customHeight="1" x14ac:dyDescent="0.25">
      <c r="A8" s="62">
        <v>6</v>
      </c>
      <c r="B8" s="62">
        <v>19</v>
      </c>
      <c r="C8" s="62" t="s">
        <v>1247</v>
      </c>
      <c r="D8" s="62" t="s">
        <v>1243</v>
      </c>
      <c r="E8" s="62" t="s">
        <v>1250</v>
      </c>
      <c r="F8" s="62" t="s">
        <v>1251</v>
      </c>
    </row>
    <row r="9" spans="1:26" ht="15.75" customHeight="1" x14ac:dyDescent="0.25">
      <c r="A9" s="62">
        <v>7</v>
      </c>
      <c r="B9" s="62">
        <v>21</v>
      </c>
      <c r="C9" s="62" t="s">
        <v>1252</v>
      </c>
      <c r="D9" s="62" t="s">
        <v>1243</v>
      </c>
      <c r="E9" s="62" t="s">
        <v>1248</v>
      </c>
      <c r="F9" s="62" t="s">
        <v>1245</v>
      </c>
    </row>
    <row r="10" spans="1:26" ht="15.75" customHeight="1" x14ac:dyDescent="0.25">
      <c r="A10" s="62">
        <v>8</v>
      </c>
      <c r="B10" s="62">
        <v>24</v>
      </c>
      <c r="C10" s="62" t="s">
        <v>1247</v>
      </c>
      <c r="D10" s="62" t="s">
        <v>1243</v>
      </c>
      <c r="E10" s="62" t="s">
        <v>1253</v>
      </c>
      <c r="F10" s="62" t="s">
        <v>1254</v>
      </c>
    </row>
    <row r="11" spans="1:26" ht="15.75" customHeight="1" x14ac:dyDescent="0.25">
      <c r="A11" s="62">
        <v>9</v>
      </c>
      <c r="B11" s="62">
        <v>21</v>
      </c>
      <c r="C11" s="62" t="s">
        <v>1252</v>
      </c>
      <c r="D11" s="62" t="s">
        <v>1243</v>
      </c>
      <c r="E11" s="62" t="s">
        <v>1255</v>
      </c>
      <c r="F11" s="62" t="s">
        <v>1254</v>
      </c>
    </row>
    <row r="12" spans="1:26" ht="15.75" customHeight="1" x14ac:dyDescent="0.25">
      <c r="A12" s="62">
        <v>10</v>
      </c>
      <c r="B12" s="62">
        <v>22</v>
      </c>
      <c r="C12" s="62" t="s">
        <v>1246</v>
      </c>
      <c r="D12" s="62" t="s">
        <v>1243</v>
      </c>
      <c r="E12" s="62" t="s">
        <v>1255</v>
      </c>
      <c r="F12" s="62" t="s">
        <v>1254</v>
      </c>
    </row>
    <row r="13" spans="1:26" ht="15.75" customHeight="1" x14ac:dyDescent="0.25">
      <c r="A13" s="62">
        <v>11</v>
      </c>
      <c r="B13" s="62">
        <v>18</v>
      </c>
      <c r="C13" s="62" t="s">
        <v>1246</v>
      </c>
      <c r="D13" s="62" t="s">
        <v>1256</v>
      </c>
      <c r="E13" s="62" t="s">
        <v>1248</v>
      </c>
      <c r="F13" s="62" t="s">
        <v>1249</v>
      </c>
    </row>
    <row r="14" spans="1:26" ht="15.75" customHeight="1" x14ac:dyDescent="0.25">
      <c r="A14" s="62">
        <v>12</v>
      </c>
      <c r="B14" s="62">
        <v>18</v>
      </c>
      <c r="C14" s="62" t="s">
        <v>1246</v>
      </c>
      <c r="D14" s="62" t="s">
        <v>1257</v>
      </c>
      <c r="E14" s="62" t="s">
        <v>1248</v>
      </c>
      <c r="F14" s="62" t="s">
        <v>1251</v>
      </c>
    </row>
    <row r="15" spans="1:26" ht="15.75" customHeight="1" x14ac:dyDescent="0.25">
      <c r="A15" s="62">
        <v>13</v>
      </c>
      <c r="B15" s="62">
        <v>25</v>
      </c>
      <c r="C15" s="62" t="s">
        <v>1246</v>
      </c>
      <c r="D15" s="62" t="s">
        <v>1243</v>
      </c>
      <c r="E15" s="62" t="s">
        <v>1244</v>
      </c>
      <c r="F15" s="62" t="s">
        <v>1249</v>
      </c>
    </row>
    <row r="16" spans="1:26" ht="15.75" customHeight="1" x14ac:dyDescent="0.25">
      <c r="A16" s="62">
        <v>14</v>
      </c>
      <c r="B16" s="62">
        <v>21</v>
      </c>
      <c r="C16" s="62" t="s">
        <v>1247</v>
      </c>
      <c r="D16" s="62" t="s">
        <v>1243</v>
      </c>
      <c r="E16" s="62" t="s">
        <v>1250</v>
      </c>
      <c r="F16" s="62" t="s">
        <v>1254</v>
      </c>
    </row>
    <row r="17" spans="1:6" ht="15.75" customHeight="1" x14ac:dyDescent="0.25">
      <c r="A17" s="62">
        <v>15</v>
      </c>
      <c r="B17" s="62">
        <v>20</v>
      </c>
      <c r="C17" s="62" t="s">
        <v>1246</v>
      </c>
      <c r="D17" s="62" t="s">
        <v>1243</v>
      </c>
      <c r="E17" s="62" t="s">
        <v>1253</v>
      </c>
      <c r="F17" s="62" t="s">
        <v>1251</v>
      </c>
    </row>
    <row r="18" spans="1:6" ht="15.75" customHeight="1" x14ac:dyDescent="0.25">
      <c r="A18" s="62">
        <v>16</v>
      </c>
      <c r="B18" s="62">
        <v>21</v>
      </c>
      <c r="C18" s="62" t="s">
        <v>1247</v>
      </c>
      <c r="D18" s="62" t="s">
        <v>1243</v>
      </c>
      <c r="E18" s="62" t="s">
        <v>1248</v>
      </c>
      <c r="F18" s="62" t="s">
        <v>1254</v>
      </c>
    </row>
    <row r="19" spans="1:6" ht="15.75" customHeight="1" x14ac:dyDescent="0.25">
      <c r="A19" s="62">
        <v>17</v>
      </c>
      <c r="B19" s="62">
        <v>24</v>
      </c>
      <c r="C19" s="62" t="s">
        <v>1252</v>
      </c>
      <c r="D19" s="62" t="s">
        <v>1243</v>
      </c>
      <c r="E19" s="62" t="s">
        <v>1248</v>
      </c>
      <c r="F19" s="62" t="s">
        <v>1245</v>
      </c>
    </row>
    <row r="20" spans="1:6" ht="15.75" customHeight="1" x14ac:dyDescent="0.25">
      <c r="A20" s="62">
        <v>18</v>
      </c>
      <c r="B20" s="62">
        <v>22</v>
      </c>
      <c r="C20" s="62" t="s">
        <v>1246</v>
      </c>
      <c r="D20" s="62" t="s">
        <v>1243</v>
      </c>
      <c r="E20" s="62" t="s">
        <v>1253</v>
      </c>
      <c r="F20" s="62" t="s">
        <v>1245</v>
      </c>
    </row>
    <row r="21" spans="1:6" ht="15.75" customHeight="1" x14ac:dyDescent="0.25">
      <c r="A21" s="62">
        <v>19</v>
      </c>
      <c r="B21" s="62">
        <v>25</v>
      </c>
      <c r="C21" s="62" t="s">
        <v>1246</v>
      </c>
      <c r="D21" s="62" t="s">
        <v>1256</v>
      </c>
      <c r="E21" s="62" t="s">
        <v>1250</v>
      </c>
      <c r="F21" s="62" t="s">
        <v>1254</v>
      </c>
    </row>
    <row r="22" spans="1:6" ht="15.75" customHeight="1" x14ac:dyDescent="0.25">
      <c r="A22" s="62">
        <v>20</v>
      </c>
      <c r="B22" s="62">
        <v>23</v>
      </c>
      <c r="C22" s="62" t="s">
        <v>1246</v>
      </c>
      <c r="D22" s="62" t="s">
        <v>1243</v>
      </c>
      <c r="E22" s="62" t="s">
        <v>1248</v>
      </c>
      <c r="F22" s="62" t="s">
        <v>1245</v>
      </c>
    </row>
    <row r="23" spans="1:6" ht="15.75" customHeight="1" x14ac:dyDescent="0.25">
      <c r="A23" s="62">
        <v>21</v>
      </c>
      <c r="B23" s="62">
        <v>20</v>
      </c>
      <c r="C23" s="62" t="s">
        <v>1247</v>
      </c>
      <c r="D23" s="62" t="s">
        <v>1243</v>
      </c>
      <c r="E23" s="62" t="s">
        <v>1250</v>
      </c>
      <c r="F23" s="62" t="s">
        <v>1249</v>
      </c>
    </row>
    <row r="24" spans="1:6" ht="15.75" customHeight="1" x14ac:dyDescent="0.25">
      <c r="A24" s="62">
        <v>22</v>
      </c>
      <c r="B24" s="62">
        <v>19</v>
      </c>
      <c r="C24" s="62" t="s">
        <v>1247</v>
      </c>
      <c r="D24" s="62" t="s">
        <v>1243</v>
      </c>
      <c r="E24" s="62" t="s">
        <v>1248</v>
      </c>
      <c r="F24" s="62" t="s">
        <v>1254</v>
      </c>
    </row>
    <row r="25" spans="1:6" ht="15.75" customHeight="1" x14ac:dyDescent="0.25">
      <c r="A25" s="62">
        <v>23</v>
      </c>
      <c r="B25" s="62">
        <v>18</v>
      </c>
      <c r="C25" s="62" t="s">
        <v>1247</v>
      </c>
      <c r="D25" s="62" t="s">
        <v>1258</v>
      </c>
      <c r="E25" s="62" t="s">
        <v>1250</v>
      </c>
      <c r="F25" s="62" t="s">
        <v>1259</v>
      </c>
    </row>
    <row r="26" spans="1:6" ht="15.75" customHeight="1" x14ac:dyDescent="0.25">
      <c r="A26" s="62">
        <v>24</v>
      </c>
      <c r="B26" s="62">
        <v>23</v>
      </c>
      <c r="C26" s="62" t="s">
        <v>1247</v>
      </c>
      <c r="D26" s="62" t="s">
        <v>1260</v>
      </c>
      <c r="E26" s="62" t="s">
        <v>1248</v>
      </c>
      <c r="F26" s="62" t="s">
        <v>1254</v>
      </c>
    </row>
    <row r="27" spans="1:6" ht="15.75" customHeight="1" x14ac:dyDescent="0.25">
      <c r="A27" s="62">
        <v>25</v>
      </c>
      <c r="B27" s="62">
        <v>18</v>
      </c>
      <c r="C27" s="62" t="s">
        <v>1247</v>
      </c>
      <c r="D27" s="62" t="s">
        <v>1257</v>
      </c>
      <c r="E27" s="62" t="s">
        <v>1244</v>
      </c>
      <c r="F27" s="62" t="s">
        <v>1245</v>
      </c>
    </row>
    <row r="28" spans="1:6" ht="15.75" customHeight="1" x14ac:dyDescent="0.25">
      <c r="A28" s="62">
        <v>26</v>
      </c>
      <c r="B28" s="62">
        <v>20</v>
      </c>
      <c r="C28" s="62" t="s">
        <v>1246</v>
      </c>
      <c r="D28" s="62" t="s">
        <v>1243</v>
      </c>
      <c r="E28" s="62" t="s">
        <v>1253</v>
      </c>
      <c r="F28" s="62" t="s">
        <v>1254</v>
      </c>
    </row>
    <row r="29" spans="1:6" ht="15.75" customHeight="1" x14ac:dyDescent="0.25">
      <c r="A29" s="62">
        <v>27</v>
      </c>
      <c r="B29" s="62">
        <v>18</v>
      </c>
      <c r="C29" s="62" t="s">
        <v>1242</v>
      </c>
      <c r="D29" s="62" t="s">
        <v>1243</v>
      </c>
      <c r="E29" s="62" t="s">
        <v>1253</v>
      </c>
      <c r="F29" s="62" t="s">
        <v>1259</v>
      </c>
    </row>
    <row r="30" spans="1:6" ht="15.75" customHeight="1" x14ac:dyDescent="0.25">
      <c r="A30" s="62">
        <v>28</v>
      </c>
      <c r="B30" s="62">
        <v>18</v>
      </c>
      <c r="C30" s="62" t="s">
        <v>1252</v>
      </c>
      <c r="D30" s="62" t="s">
        <v>1243</v>
      </c>
      <c r="E30" s="62" t="s">
        <v>1255</v>
      </c>
      <c r="F30" s="62" t="s">
        <v>1245</v>
      </c>
    </row>
    <row r="31" spans="1:6" ht="15.75" customHeight="1" x14ac:dyDescent="0.25">
      <c r="A31" s="62">
        <v>29</v>
      </c>
      <c r="B31" s="62">
        <v>24</v>
      </c>
      <c r="C31" s="62" t="s">
        <v>1247</v>
      </c>
      <c r="D31" s="62" t="s">
        <v>1260</v>
      </c>
      <c r="E31" s="62" t="s">
        <v>1248</v>
      </c>
      <c r="F31" s="62" t="s">
        <v>1254</v>
      </c>
    </row>
    <row r="32" spans="1:6" ht="15.75" customHeight="1" x14ac:dyDescent="0.25">
      <c r="A32" s="62">
        <v>30</v>
      </c>
      <c r="B32" s="62">
        <v>19</v>
      </c>
      <c r="C32" s="62" t="s">
        <v>1246</v>
      </c>
      <c r="D32" s="62" t="s">
        <v>1260</v>
      </c>
      <c r="E32" s="62" t="s">
        <v>1248</v>
      </c>
      <c r="F32" s="62" t="s">
        <v>1251</v>
      </c>
    </row>
    <row r="33" spans="1:6" ht="15.75" customHeight="1" x14ac:dyDescent="0.25">
      <c r="A33" s="62">
        <v>31</v>
      </c>
      <c r="B33" s="62">
        <v>25</v>
      </c>
      <c r="C33" s="62" t="s">
        <v>1252</v>
      </c>
      <c r="D33" s="62" t="s">
        <v>1256</v>
      </c>
      <c r="E33" s="62" t="s">
        <v>1248</v>
      </c>
      <c r="F33" s="62" t="s">
        <v>1259</v>
      </c>
    </row>
    <row r="34" spans="1:6" ht="15.75" customHeight="1" x14ac:dyDescent="0.25">
      <c r="A34" s="62">
        <v>32</v>
      </c>
      <c r="B34" s="62">
        <v>18</v>
      </c>
      <c r="C34" s="62" t="s">
        <v>1247</v>
      </c>
      <c r="D34" s="62" t="s">
        <v>1243</v>
      </c>
      <c r="E34" s="62" t="s">
        <v>1253</v>
      </c>
      <c r="F34" s="62" t="s">
        <v>1254</v>
      </c>
    </row>
    <row r="35" spans="1:6" ht="15.75" customHeight="1" x14ac:dyDescent="0.25">
      <c r="A35" s="62">
        <v>33</v>
      </c>
      <c r="B35" s="62">
        <v>21</v>
      </c>
      <c r="C35" s="62" t="s">
        <v>1247</v>
      </c>
      <c r="D35" s="62" t="s">
        <v>1256</v>
      </c>
      <c r="E35" s="62" t="s">
        <v>1248</v>
      </c>
      <c r="F35" s="62" t="s">
        <v>1254</v>
      </c>
    </row>
    <row r="36" spans="1:6" ht="15.75" customHeight="1" x14ac:dyDescent="0.25">
      <c r="A36" s="62">
        <v>34</v>
      </c>
      <c r="B36" s="62">
        <v>18</v>
      </c>
      <c r="C36" s="62" t="s">
        <v>1246</v>
      </c>
      <c r="D36" s="62" t="s">
        <v>1243</v>
      </c>
      <c r="E36" s="62" t="s">
        <v>1253</v>
      </c>
      <c r="F36" s="62" t="s">
        <v>1254</v>
      </c>
    </row>
    <row r="37" spans="1:6" ht="15.75" customHeight="1" x14ac:dyDescent="0.25">
      <c r="A37" s="62">
        <v>35</v>
      </c>
      <c r="B37" s="62">
        <v>21</v>
      </c>
      <c r="C37" s="62" t="s">
        <v>1247</v>
      </c>
      <c r="D37" s="62" t="s">
        <v>1243</v>
      </c>
      <c r="E37" s="62" t="s">
        <v>1253</v>
      </c>
      <c r="F37" s="62" t="s">
        <v>1254</v>
      </c>
    </row>
    <row r="38" spans="1:6" ht="15.75" customHeight="1" x14ac:dyDescent="0.25">
      <c r="A38" s="62">
        <v>36</v>
      </c>
      <c r="B38" s="62">
        <v>21</v>
      </c>
      <c r="C38" s="62" t="s">
        <v>1247</v>
      </c>
      <c r="D38" s="62" t="s">
        <v>1258</v>
      </c>
      <c r="E38" s="62" t="s">
        <v>1248</v>
      </c>
      <c r="F38" s="62" t="s">
        <v>1251</v>
      </c>
    </row>
    <row r="39" spans="1:6" ht="15.75" customHeight="1" x14ac:dyDescent="0.25">
      <c r="A39" s="62">
        <v>37</v>
      </c>
      <c r="B39" s="62">
        <v>18</v>
      </c>
      <c r="C39" s="62" t="s">
        <v>1246</v>
      </c>
      <c r="D39" s="62" t="s">
        <v>1257</v>
      </c>
      <c r="E39" s="62" t="s">
        <v>1248</v>
      </c>
      <c r="F39" s="62" t="s">
        <v>1251</v>
      </c>
    </row>
    <row r="40" spans="1:6" ht="15.75" customHeight="1" x14ac:dyDescent="0.25">
      <c r="A40" s="62">
        <v>38</v>
      </c>
      <c r="B40" s="62">
        <v>21</v>
      </c>
      <c r="C40" s="62" t="s">
        <v>1261</v>
      </c>
      <c r="D40" s="62" t="s">
        <v>1243</v>
      </c>
      <c r="E40" s="62" t="s">
        <v>1250</v>
      </c>
      <c r="F40" s="62" t="s">
        <v>1251</v>
      </c>
    </row>
    <row r="41" spans="1:6" ht="15.75" customHeight="1" x14ac:dyDescent="0.25">
      <c r="A41" s="62">
        <v>39</v>
      </c>
      <c r="B41" s="62">
        <v>19</v>
      </c>
      <c r="C41" s="62" t="s">
        <v>1252</v>
      </c>
      <c r="D41" s="62" t="s">
        <v>1243</v>
      </c>
      <c r="E41" s="62" t="s">
        <v>1248</v>
      </c>
      <c r="F41" s="62" t="s">
        <v>1251</v>
      </c>
    </row>
    <row r="42" spans="1:6" ht="15.75" customHeight="1" x14ac:dyDescent="0.25">
      <c r="A42" s="62">
        <v>40</v>
      </c>
      <c r="B42" s="62">
        <v>19</v>
      </c>
      <c r="C42" s="62" t="s">
        <v>1242</v>
      </c>
      <c r="D42" s="62" t="s">
        <v>1260</v>
      </c>
      <c r="E42" s="62" t="s">
        <v>1250</v>
      </c>
      <c r="F42" s="62" t="s">
        <v>1254</v>
      </c>
    </row>
    <row r="43" spans="1:6" ht="15.75" customHeight="1" x14ac:dyDescent="0.25">
      <c r="A43" s="62">
        <v>41</v>
      </c>
      <c r="B43" s="62">
        <v>19</v>
      </c>
      <c r="C43" s="62" t="s">
        <v>1247</v>
      </c>
      <c r="D43" s="62" t="s">
        <v>1243</v>
      </c>
      <c r="E43" s="62" t="s">
        <v>1253</v>
      </c>
      <c r="F43" s="62" t="s">
        <v>1259</v>
      </c>
    </row>
    <row r="44" spans="1:6" ht="15.75" customHeight="1" x14ac:dyDescent="0.25">
      <c r="A44" s="62">
        <v>42</v>
      </c>
      <c r="B44" s="62">
        <v>25</v>
      </c>
      <c r="C44" s="62" t="s">
        <v>1246</v>
      </c>
      <c r="D44" s="62" t="s">
        <v>1243</v>
      </c>
      <c r="E44" s="62" t="s">
        <v>1253</v>
      </c>
      <c r="F44" s="62" t="s">
        <v>1254</v>
      </c>
    </row>
    <row r="45" spans="1:6" ht="15.75" customHeight="1" x14ac:dyDescent="0.25">
      <c r="A45" s="62">
        <v>43</v>
      </c>
      <c r="B45" s="62">
        <v>19</v>
      </c>
      <c r="C45" s="62" t="s">
        <v>1246</v>
      </c>
      <c r="D45" s="62" t="s">
        <v>1256</v>
      </c>
      <c r="E45" s="62" t="s">
        <v>1255</v>
      </c>
      <c r="F45" s="62" t="s">
        <v>1251</v>
      </c>
    </row>
    <row r="46" spans="1:6" ht="15.75" customHeight="1" x14ac:dyDescent="0.25">
      <c r="A46" s="62">
        <v>44</v>
      </c>
      <c r="B46" s="62">
        <v>19</v>
      </c>
      <c r="C46" s="62" t="s">
        <v>1252</v>
      </c>
      <c r="D46" s="62" t="s">
        <v>1243</v>
      </c>
      <c r="E46" s="62" t="s">
        <v>1248</v>
      </c>
      <c r="F46" s="62" t="s">
        <v>1259</v>
      </c>
    </row>
    <row r="47" spans="1:6" ht="15.75" customHeight="1" x14ac:dyDescent="0.25">
      <c r="A47" s="62">
        <v>45</v>
      </c>
      <c r="B47" s="62">
        <v>23</v>
      </c>
      <c r="C47" s="62" t="s">
        <v>1247</v>
      </c>
      <c r="D47" s="62" t="s">
        <v>1260</v>
      </c>
      <c r="E47" s="62" t="s">
        <v>1253</v>
      </c>
      <c r="F47" s="62" t="s">
        <v>1259</v>
      </c>
    </row>
    <row r="48" spans="1:6" ht="15.75" customHeight="1" x14ac:dyDescent="0.25">
      <c r="A48" s="62">
        <v>46</v>
      </c>
      <c r="B48" s="62">
        <v>24</v>
      </c>
      <c r="C48" s="62" t="s">
        <v>1246</v>
      </c>
      <c r="D48" s="62" t="s">
        <v>1257</v>
      </c>
      <c r="E48" s="62" t="s">
        <v>1248</v>
      </c>
      <c r="F48" s="62" t="s">
        <v>1259</v>
      </c>
    </row>
    <row r="49" spans="1:6" ht="15.75" customHeight="1" x14ac:dyDescent="0.25">
      <c r="A49" s="62">
        <v>47</v>
      </c>
      <c r="B49" s="62">
        <v>22</v>
      </c>
      <c r="C49" s="62" t="s">
        <v>1252</v>
      </c>
      <c r="D49" s="62" t="s">
        <v>1243</v>
      </c>
      <c r="E49" s="62" t="s">
        <v>1253</v>
      </c>
      <c r="F49" s="62" t="s">
        <v>1251</v>
      </c>
    </row>
    <row r="50" spans="1:6" ht="15.75" customHeight="1" x14ac:dyDescent="0.25">
      <c r="A50" s="62">
        <v>48</v>
      </c>
      <c r="B50" s="62">
        <v>25</v>
      </c>
      <c r="C50" s="62" t="s">
        <v>1252</v>
      </c>
      <c r="D50" s="62" t="s">
        <v>1243</v>
      </c>
      <c r="E50" s="62" t="s">
        <v>1253</v>
      </c>
      <c r="F50" s="62" t="s">
        <v>1245</v>
      </c>
    </row>
    <row r="51" spans="1:6" ht="15.75" customHeight="1" x14ac:dyDescent="0.25">
      <c r="A51" s="62">
        <v>49</v>
      </c>
      <c r="B51" s="62">
        <v>22</v>
      </c>
      <c r="C51" s="62" t="s">
        <v>1246</v>
      </c>
      <c r="D51" s="62" t="s">
        <v>1257</v>
      </c>
      <c r="E51" s="62" t="s">
        <v>1248</v>
      </c>
      <c r="F51" s="62" t="s">
        <v>1251</v>
      </c>
    </row>
    <row r="52" spans="1:6" ht="15.75" customHeight="1" x14ac:dyDescent="0.25">
      <c r="A52" s="62">
        <v>50</v>
      </c>
      <c r="B52" s="62">
        <v>25</v>
      </c>
      <c r="C52" s="62" t="s">
        <v>1242</v>
      </c>
      <c r="D52" s="62" t="s">
        <v>1243</v>
      </c>
      <c r="E52" s="62" t="s">
        <v>1255</v>
      </c>
      <c r="F52" s="62" t="s">
        <v>1251</v>
      </c>
    </row>
    <row r="53" spans="1:6" ht="15.75" customHeight="1" x14ac:dyDescent="0.25">
      <c r="A53" s="62">
        <v>51</v>
      </c>
      <c r="B53" s="62">
        <v>20</v>
      </c>
      <c r="C53" s="62" t="s">
        <v>1261</v>
      </c>
      <c r="D53" s="62" t="s">
        <v>1243</v>
      </c>
      <c r="E53" s="62" t="s">
        <v>1248</v>
      </c>
      <c r="F53" s="62" t="s">
        <v>1259</v>
      </c>
    </row>
    <row r="54" spans="1:6" ht="15.75" customHeight="1" x14ac:dyDescent="0.25">
      <c r="A54" s="62">
        <v>52</v>
      </c>
      <c r="B54" s="62">
        <v>25</v>
      </c>
      <c r="C54" s="62" t="s">
        <v>1261</v>
      </c>
      <c r="D54" s="62" t="s">
        <v>1243</v>
      </c>
      <c r="E54" s="62" t="s">
        <v>1255</v>
      </c>
      <c r="F54" s="62" t="s">
        <v>1245</v>
      </c>
    </row>
    <row r="55" spans="1:6" ht="15.75" customHeight="1" x14ac:dyDescent="0.25">
      <c r="A55" s="62">
        <v>53</v>
      </c>
      <c r="B55" s="62">
        <v>24</v>
      </c>
      <c r="C55" s="62" t="s">
        <v>1252</v>
      </c>
      <c r="D55" s="62" t="s">
        <v>1258</v>
      </c>
      <c r="E55" s="62" t="s">
        <v>1253</v>
      </c>
      <c r="F55" s="62" t="s">
        <v>1251</v>
      </c>
    </row>
    <row r="56" spans="1:6" ht="15.75" customHeight="1" x14ac:dyDescent="0.25">
      <c r="A56" s="62">
        <v>54</v>
      </c>
      <c r="B56" s="62">
        <v>22</v>
      </c>
      <c r="C56" s="62" t="s">
        <v>1247</v>
      </c>
      <c r="D56" s="62" t="s">
        <v>1258</v>
      </c>
      <c r="E56" s="62" t="s">
        <v>1250</v>
      </c>
      <c r="F56" s="62" t="s">
        <v>1254</v>
      </c>
    </row>
    <row r="57" spans="1:6" ht="15.75" customHeight="1" x14ac:dyDescent="0.25">
      <c r="A57" s="62">
        <v>55</v>
      </c>
      <c r="B57" s="62">
        <v>21</v>
      </c>
      <c r="C57" s="62" t="s">
        <v>1246</v>
      </c>
      <c r="D57" s="62" t="s">
        <v>1243</v>
      </c>
      <c r="E57" s="62" t="s">
        <v>1253</v>
      </c>
      <c r="F57" s="62" t="s">
        <v>1254</v>
      </c>
    </row>
    <row r="58" spans="1:6" ht="15.75" customHeight="1" x14ac:dyDescent="0.25">
      <c r="A58" s="62">
        <v>56</v>
      </c>
      <c r="B58" s="62">
        <v>21</v>
      </c>
      <c r="C58" s="62" t="s">
        <v>1246</v>
      </c>
      <c r="D58" s="62" t="s">
        <v>1256</v>
      </c>
      <c r="E58" s="62" t="s">
        <v>1250</v>
      </c>
      <c r="F58" s="62" t="s">
        <v>1259</v>
      </c>
    </row>
    <row r="59" spans="1:6" ht="15.75" customHeight="1" x14ac:dyDescent="0.25">
      <c r="A59" s="62">
        <v>57</v>
      </c>
      <c r="B59" s="62">
        <v>18</v>
      </c>
      <c r="C59" s="62" t="s">
        <v>1247</v>
      </c>
      <c r="D59" s="62" t="s">
        <v>1243</v>
      </c>
      <c r="E59" s="62" t="s">
        <v>1244</v>
      </c>
      <c r="F59" s="62" t="s">
        <v>1251</v>
      </c>
    </row>
    <row r="60" spans="1:6" ht="15.75" customHeight="1" x14ac:dyDescent="0.25">
      <c r="A60" s="62">
        <v>58</v>
      </c>
      <c r="B60" s="62">
        <v>21</v>
      </c>
      <c r="C60" s="62" t="s">
        <v>1247</v>
      </c>
      <c r="D60" s="62" t="s">
        <v>1243</v>
      </c>
      <c r="E60" s="62" t="s">
        <v>1253</v>
      </c>
      <c r="F60" s="62" t="s">
        <v>1254</v>
      </c>
    </row>
    <row r="61" spans="1:6" ht="15.75" customHeight="1" x14ac:dyDescent="0.25">
      <c r="A61" s="62">
        <v>59</v>
      </c>
      <c r="B61" s="62">
        <v>25</v>
      </c>
      <c r="C61" s="62" t="s">
        <v>1247</v>
      </c>
      <c r="D61" s="62" t="s">
        <v>1243</v>
      </c>
      <c r="E61" s="62" t="s">
        <v>1253</v>
      </c>
      <c r="F61" s="62" t="s">
        <v>1245</v>
      </c>
    </row>
    <row r="62" spans="1:6" ht="15.75" customHeight="1" x14ac:dyDescent="0.25">
      <c r="A62" s="62">
        <v>60</v>
      </c>
      <c r="B62" s="62">
        <v>23</v>
      </c>
      <c r="C62" s="62" t="s">
        <v>1242</v>
      </c>
      <c r="D62" s="62" t="s">
        <v>1243</v>
      </c>
      <c r="E62" s="62" t="s">
        <v>1250</v>
      </c>
      <c r="F62" s="62" t="s">
        <v>1249</v>
      </c>
    </row>
    <row r="63" spans="1:6" ht="15.75" customHeight="1" x14ac:dyDescent="0.25">
      <c r="A63" s="62">
        <v>61</v>
      </c>
      <c r="B63" s="62">
        <v>24</v>
      </c>
      <c r="C63" s="62" t="s">
        <v>1247</v>
      </c>
      <c r="D63" s="62" t="s">
        <v>1243</v>
      </c>
      <c r="E63" s="62" t="s">
        <v>1253</v>
      </c>
      <c r="F63" s="62" t="s">
        <v>1245</v>
      </c>
    </row>
    <row r="64" spans="1:6" ht="15.75" customHeight="1" x14ac:dyDescent="0.25">
      <c r="A64" s="62">
        <v>62</v>
      </c>
      <c r="B64" s="62">
        <v>21</v>
      </c>
      <c r="C64" s="62" t="s">
        <v>1247</v>
      </c>
      <c r="D64" s="62" t="s">
        <v>1243</v>
      </c>
      <c r="E64" s="62" t="s">
        <v>1244</v>
      </c>
      <c r="F64" s="62" t="s">
        <v>1251</v>
      </c>
    </row>
    <row r="65" spans="1:6" ht="15.75" customHeight="1" x14ac:dyDescent="0.25">
      <c r="A65" s="62">
        <v>63</v>
      </c>
      <c r="B65" s="62">
        <v>23</v>
      </c>
      <c r="C65" s="62" t="s">
        <v>1247</v>
      </c>
      <c r="D65" s="62" t="s">
        <v>1243</v>
      </c>
      <c r="E65" s="62" t="s">
        <v>1253</v>
      </c>
      <c r="F65" s="62" t="s">
        <v>1254</v>
      </c>
    </row>
    <row r="66" spans="1:6" ht="15.75" customHeight="1" x14ac:dyDescent="0.25">
      <c r="A66" s="62">
        <v>64</v>
      </c>
      <c r="B66" s="62">
        <v>25</v>
      </c>
      <c r="C66" s="62" t="s">
        <v>1246</v>
      </c>
      <c r="D66" s="62" t="s">
        <v>1243</v>
      </c>
      <c r="E66" s="62" t="s">
        <v>1248</v>
      </c>
      <c r="F66" s="62" t="s">
        <v>1251</v>
      </c>
    </row>
    <row r="67" spans="1:6" ht="15.75" customHeight="1" x14ac:dyDescent="0.25">
      <c r="A67" s="62">
        <v>65</v>
      </c>
      <c r="B67" s="62">
        <v>19</v>
      </c>
      <c r="C67" s="62" t="s">
        <v>1247</v>
      </c>
      <c r="D67" s="62" t="s">
        <v>1260</v>
      </c>
      <c r="E67" s="62" t="s">
        <v>1244</v>
      </c>
      <c r="F67" s="62" t="s">
        <v>1245</v>
      </c>
    </row>
    <row r="68" spans="1:6" ht="15.75" customHeight="1" x14ac:dyDescent="0.25">
      <c r="A68" s="62">
        <v>66</v>
      </c>
      <c r="B68" s="62">
        <v>21</v>
      </c>
      <c r="C68" s="62" t="s">
        <v>1247</v>
      </c>
      <c r="D68" s="62" t="s">
        <v>1243</v>
      </c>
      <c r="E68" s="62" t="s">
        <v>1253</v>
      </c>
      <c r="F68" s="62" t="s">
        <v>1249</v>
      </c>
    </row>
    <row r="69" spans="1:6" ht="15.75" customHeight="1" x14ac:dyDescent="0.25">
      <c r="A69" s="62">
        <v>67</v>
      </c>
      <c r="B69" s="62">
        <v>18</v>
      </c>
      <c r="C69" s="62" t="s">
        <v>1247</v>
      </c>
      <c r="D69" s="62" t="s">
        <v>1260</v>
      </c>
      <c r="E69" s="62" t="s">
        <v>1255</v>
      </c>
      <c r="F69" s="62" t="s">
        <v>1251</v>
      </c>
    </row>
    <row r="70" spans="1:6" ht="15.75" customHeight="1" x14ac:dyDescent="0.25">
      <c r="A70" s="62">
        <v>68</v>
      </c>
      <c r="B70" s="62">
        <v>21</v>
      </c>
      <c r="C70" s="62" t="s">
        <v>1242</v>
      </c>
      <c r="D70" s="62" t="s">
        <v>1243</v>
      </c>
      <c r="E70" s="62" t="s">
        <v>1253</v>
      </c>
      <c r="F70" s="62" t="s">
        <v>1254</v>
      </c>
    </row>
    <row r="71" spans="1:6" ht="15.75" customHeight="1" x14ac:dyDescent="0.25">
      <c r="A71" s="62">
        <v>69</v>
      </c>
      <c r="B71" s="62">
        <v>18</v>
      </c>
      <c r="C71" s="62" t="s">
        <v>1242</v>
      </c>
      <c r="D71" s="62" t="s">
        <v>1258</v>
      </c>
      <c r="E71" s="62" t="s">
        <v>1244</v>
      </c>
      <c r="F71" s="62" t="s">
        <v>1251</v>
      </c>
    </row>
    <row r="72" spans="1:6" ht="15.75" customHeight="1" x14ac:dyDescent="0.25">
      <c r="A72" s="62">
        <v>70</v>
      </c>
      <c r="B72" s="62">
        <v>20</v>
      </c>
      <c r="C72" s="62" t="s">
        <v>1246</v>
      </c>
      <c r="D72" s="62" t="s">
        <v>1243</v>
      </c>
      <c r="E72" s="62" t="s">
        <v>1248</v>
      </c>
      <c r="F72" s="62" t="s">
        <v>1251</v>
      </c>
    </row>
    <row r="73" spans="1:6" ht="15.75" customHeight="1" x14ac:dyDescent="0.25">
      <c r="A73" s="62">
        <v>71</v>
      </c>
      <c r="B73" s="62">
        <v>19</v>
      </c>
      <c r="C73" s="62" t="s">
        <v>1261</v>
      </c>
      <c r="D73" s="62" t="s">
        <v>1258</v>
      </c>
      <c r="E73" s="62" t="s">
        <v>1250</v>
      </c>
      <c r="F73" s="62" t="s">
        <v>1251</v>
      </c>
    </row>
    <row r="74" spans="1:6" ht="15.75" customHeight="1" x14ac:dyDescent="0.25">
      <c r="A74" s="62">
        <v>72</v>
      </c>
      <c r="B74" s="62">
        <v>22</v>
      </c>
      <c r="C74" s="62" t="s">
        <v>1246</v>
      </c>
      <c r="D74" s="62" t="s">
        <v>1243</v>
      </c>
      <c r="E74" s="62" t="s">
        <v>1253</v>
      </c>
      <c r="F74" s="62" t="s">
        <v>1254</v>
      </c>
    </row>
    <row r="75" spans="1:6" ht="15.75" customHeight="1" x14ac:dyDescent="0.25">
      <c r="A75" s="62">
        <v>73</v>
      </c>
      <c r="B75" s="62">
        <v>22</v>
      </c>
      <c r="C75" s="62" t="s">
        <v>1247</v>
      </c>
      <c r="D75" s="62" t="s">
        <v>1243</v>
      </c>
      <c r="E75" s="62" t="s">
        <v>1253</v>
      </c>
      <c r="F75" s="62" t="s">
        <v>1254</v>
      </c>
    </row>
    <row r="76" spans="1:6" ht="15.75" customHeight="1" x14ac:dyDescent="0.25">
      <c r="A76" s="62">
        <v>74</v>
      </c>
      <c r="B76" s="62">
        <v>21</v>
      </c>
      <c r="C76" s="62" t="s">
        <v>1247</v>
      </c>
      <c r="D76" s="62" t="s">
        <v>1260</v>
      </c>
      <c r="E76" s="62" t="s">
        <v>1248</v>
      </c>
      <c r="F76" s="62" t="s">
        <v>1249</v>
      </c>
    </row>
    <row r="77" spans="1:6" ht="15.75" customHeight="1" x14ac:dyDescent="0.25">
      <c r="A77" s="62">
        <v>75</v>
      </c>
      <c r="B77" s="62">
        <v>23</v>
      </c>
      <c r="C77" s="62" t="s">
        <v>1246</v>
      </c>
      <c r="D77" s="62" t="s">
        <v>1243</v>
      </c>
      <c r="E77" s="62" t="s">
        <v>1248</v>
      </c>
      <c r="F77" s="62" t="s">
        <v>1251</v>
      </c>
    </row>
    <row r="78" spans="1:6" ht="15.75" customHeight="1" x14ac:dyDescent="0.25">
      <c r="A78" s="62">
        <v>76</v>
      </c>
      <c r="B78" s="62">
        <v>18</v>
      </c>
      <c r="C78" s="62" t="s">
        <v>1246</v>
      </c>
      <c r="D78" s="62" t="s">
        <v>1243</v>
      </c>
      <c r="E78" s="62" t="s">
        <v>1250</v>
      </c>
      <c r="F78" s="62" t="s">
        <v>1254</v>
      </c>
    </row>
    <row r="79" spans="1:6" ht="15.75" customHeight="1" x14ac:dyDescent="0.25">
      <c r="A79" s="62">
        <v>77</v>
      </c>
      <c r="B79" s="62">
        <v>19</v>
      </c>
      <c r="C79" s="62" t="s">
        <v>1247</v>
      </c>
      <c r="D79" s="62" t="s">
        <v>1243</v>
      </c>
      <c r="E79" s="62" t="s">
        <v>1253</v>
      </c>
      <c r="F79" s="62" t="s">
        <v>1254</v>
      </c>
    </row>
    <row r="80" spans="1:6" ht="15.75" customHeight="1" x14ac:dyDescent="0.25">
      <c r="A80" s="62">
        <v>78</v>
      </c>
      <c r="B80" s="62">
        <v>19</v>
      </c>
      <c r="C80" s="62" t="s">
        <v>1246</v>
      </c>
      <c r="D80" s="62" t="s">
        <v>1257</v>
      </c>
      <c r="E80" s="62" t="s">
        <v>1248</v>
      </c>
      <c r="F80" s="62" t="s">
        <v>1259</v>
      </c>
    </row>
    <row r="81" spans="1:6" ht="15.75" customHeight="1" x14ac:dyDescent="0.25">
      <c r="A81" s="62">
        <v>80</v>
      </c>
      <c r="B81" s="62">
        <v>25</v>
      </c>
      <c r="C81" s="62" t="s">
        <v>1247</v>
      </c>
      <c r="D81" s="62" t="s">
        <v>1256</v>
      </c>
      <c r="E81" s="62" t="s">
        <v>1250</v>
      </c>
      <c r="F81" s="62" t="s">
        <v>1249</v>
      </c>
    </row>
    <row r="82" spans="1:6" ht="15.75" customHeight="1" x14ac:dyDescent="0.25">
      <c r="A82" s="62">
        <v>81</v>
      </c>
      <c r="B82" s="62">
        <v>21</v>
      </c>
      <c r="C82" s="62" t="s">
        <v>1246</v>
      </c>
      <c r="D82" s="62" t="s">
        <v>1260</v>
      </c>
      <c r="E82" s="62" t="s">
        <v>1248</v>
      </c>
      <c r="F82" s="62" t="s">
        <v>1254</v>
      </c>
    </row>
    <row r="83" spans="1:6" ht="15.75" customHeight="1" x14ac:dyDescent="0.25">
      <c r="A83" s="62">
        <v>82</v>
      </c>
      <c r="B83" s="62">
        <v>21</v>
      </c>
      <c r="C83" s="62" t="s">
        <v>1246</v>
      </c>
      <c r="D83" s="62" t="s">
        <v>1258</v>
      </c>
      <c r="E83" s="62" t="s">
        <v>1248</v>
      </c>
      <c r="F83" s="62" t="s">
        <v>1251</v>
      </c>
    </row>
    <row r="84" spans="1:6" ht="15.75" customHeight="1" x14ac:dyDescent="0.25">
      <c r="A84" s="62">
        <v>83</v>
      </c>
      <c r="B84" s="62">
        <v>21</v>
      </c>
      <c r="C84" s="62" t="s">
        <v>1247</v>
      </c>
      <c r="D84" s="62" t="s">
        <v>1243</v>
      </c>
      <c r="E84" s="62" t="s">
        <v>1250</v>
      </c>
      <c r="F84" s="62" t="s">
        <v>1249</v>
      </c>
    </row>
    <row r="85" spans="1:6" ht="15.75" customHeight="1" x14ac:dyDescent="0.25">
      <c r="A85" s="62">
        <v>84</v>
      </c>
      <c r="B85" s="62">
        <v>24</v>
      </c>
      <c r="C85" s="62" t="s">
        <v>1242</v>
      </c>
      <c r="D85" s="62" t="s">
        <v>1243</v>
      </c>
      <c r="E85" s="62" t="s">
        <v>1248</v>
      </c>
      <c r="F85" s="62" t="s">
        <v>1249</v>
      </c>
    </row>
    <row r="86" spans="1:6" ht="15.75" customHeight="1" x14ac:dyDescent="0.25">
      <c r="A86" s="62">
        <v>86</v>
      </c>
      <c r="B86" s="62">
        <v>22</v>
      </c>
      <c r="C86" s="62" t="s">
        <v>1252</v>
      </c>
      <c r="D86" s="62" t="s">
        <v>1243</v>
      </c>
      <c r="E86" s="62" t="s">
        <v>1248</v>
      </c>
      <c r="F86" s="62" t="s">
        <v>1259</v>
      </c>
    </row>
    <row r="87" spans="1:6" ht="15.75" customHeight="1" x14ac:dyDescent="0.25">
      <c r="A87" s="62">
        <v>87</v>
      </c>
      <c r="B87" s="62">
        <v>19</v>
      </c>
      <c r="C87" s="62" t="s">
        <v>1246</v>
      </c>
      <c r="D87" s="62" t="s">
        <v>1243</v>
      </c>
      <c r="E87" s="62" t="s">
        <v>1250</v>
      </c>
      <c r="F87" s="62" t="s">
        <v>1249</v>
      </c>
    </row>
    <row r="88" spans="1:6" ht="15.75" customHeight="1" x14ac:dyDescent="0.25">
      <c r="A88" s="62">
        <v>88</v>
      </c>
      <c r="B88" s="62">
        <v>21</v>
      </c>
      <c r="C88" s="62" t="s">
        <v>1247</v>
      </c>
      <c r="D88" s="62" t="s">
        <v>1260</v>
      </c>
      <c r="E88" s="62" t="s">
        <v>1248</v>
      </c>
      <c r="F88" s="62" t="s">
        <v>1254</v>
      </c>
    </row>
    <row r="89" spans="1:6" ht="15.75" customHeight="1" x14ac:dyDescent="0.25">
      <c r="A89" s="62">
        <v>89</v>
      </c>
      <c r="B89" s="62">
        <v>24</v>
      </c>
      <c r="C89" s="62" t="s">
        <v>1247</v>
      </c>
      <c r="D89" s="62" t="s">
        <v>1257</v>
      </c>
      <c r="E89" s="62" t="s">
        <v>1253</v>
      </c>
      <c r="F89" s="62" t="s">
        <v>1249</v>
      </c>
    </row>
    <row r="90" spans="1:6" ht="15.75" customHeight="1" x14ac:dyDescent="0.25">
      <c r="A90" s="62">
        <v>90</v>
      </c>
      <c r="B90" s="62">
        <v>21</v>
      </c>
      <c r="C90" s="62" t="s">
        <v>1252</v>
      </c>
      <c r="D90" s="62" t="s">
        <v>1243</v>
      </c>
      <c r="E90" s="62" t="s">
        <v>1250</v>
      </c>
      <c r="F90" s="62" t="s">
        <v>1249</v>
      </c>
    </row>
    <row r="91" spans="1:6" ht="15.75" customHeight="1" x14ac:dyDescent="0.25">
      <c r="A91" s="62">
        <v>91</v>
      </c>
      <c r="B91" s="62">
        <v>18</v>
      </c>
      <c r="C91" s="62" t="s">
        <v>1247</v>
      </c>
      <c r="D91" s="62" t="s">
        <v>1243</v>
      </c>
      <c r="E91" s="62" t="s">
        <v>1248</v>
      </c>
      <c r="F91" s="62" t="s">
        <v>1254</v>
      </c>
    </row>
    <row r="92" spans="1:6" ht="15.75" customHeight="1" x14ac:dyDescent="0.25">
      <c r="A92" s="62">
        <v>92</v>
      </c>
      <c r="B92" s="62">
        <v>23</v>
      </c>
      <c r="C92" s="62" t="s">
        <v>1261</v>
      </c>
      <c r="D92" s="62" t="s">
        <v>1258</v>
      </c>
      <c r="E92" s="62" t="s">
        <v>1255</v>
      </c>
      <c r="F92" s="62" t="s">
        <v>1254</v>
      </c>
    </row>
    <row r="93" spans="1:6" ht="15.75" customHeight="1" x14ac:dyDescent="0.25">
      <c r="A93" s="62">
        <v>93</v>
      </c>
      <c r="B93" s="62">
        <v>22</v>
      </c>
      <c r="C93" s="62" t="s">
        <v>1247</v>
      </c>
      <c r="D93" s="62" t="s">
        <v>1243</v>
      </c>
      <c r="E93" s="62" t="s">
        <v>1255</v>
      </c>
      <c r="F93" s="62" t="s">
        <v>1254</v>
      </c>
    </row>
    <row r="94" spans="1:6" ht="15.75" customHeight="1" x14ac:dyDescent="0.25">
      <c r="A94" s="62">
        <v>94</v>
      </c>
      <c r="B94" s="62">
        <v>21</v>
      </c>
      <c r="C94" s="62" t="s">
        <v>1247</v>
      </c>
      <c r="D94" s="62" t="s">
        <v>1243</v>
      </c>
      <c r="E94" s="62" t="s">
        <v>1255</v>
      </c>
      <c r="F94" s="62" t="s">
        <v>1245</v>
      </c>
    </row>
    <row r="95" spans="1:6" ht="15.75" customHeight="1" x14ac:dyDescent="0.25">
      <c r="A95" s="62">
        <v>95</v>
      </c>
      <c r="B95" s="62">
        <v>19</v>
      </c>
      <c r="C95" s="62" t="s">
        <v>1247</v>
      </c>
      <c r="D95" s="62" t="s">
        <v>1243</v>
      </c>
      <c r="E95" s="62" t="s">
        <v>1244</v>
      </c>
      <c r="F95" s="62" t="s">
        <v>1254</v>
      </c>
    </row>
    <row r="96" spans="1:6" ht="15.75" customHeight="1" x14ac:dyDescent="0.25">
      <c r="A96" s="62">
        <v>96</v>
      </c>
      <c r="B96" s="62">
        <v>19</v>
      </c>
      <c r="C96" s="62" t="s">
        <v>1246</v>
      </c>
      <c r="D96" s="62" t="s">
        <v>1243</v>
      </c>
      <c r="E96" s="62" t="s">
        <v>1248</v>
      </c>
      <c r="F96" s="62" t="s">
        <v>1259</v>
      </c>
    </row>
    <row r="97" spans="1:6" ht="15.75" customHeight="1" x14ac:dyDescent="0.25">
      <c r="A97" s="62">
        <v>97</v>
      </c>
      <c r="B97" s="62">
        <v>19</v>
      </c>
      <c r="C97" s="62" t="s">
        <v>1247</v>
      </c>
      <c r="D97" s="62" t="s">
        <v>1243</v>
      </c>
      <c r="E97" s="62" t="s">
        <v>1253</v>
      </c>
      <c r="F97" s="62" t="s">
        <v>1245</v>
      </c>
    </row>
    <row r="98" spans="1:6" ht="15.75" customHeight="1" x14ac:dyDescent="0.25">
      <c r="A98" s="62">
        <v>98</v>
      </c>
      <c r="B98" s="62">
        <v>25</v>
      </c>
      <c r="C98" s="62" t="s">
        <v>1246</v>
      </c>
      <c r="D98" s="62" t="s">
        <v>1243</v>
      </c>
      <c r="E98" s="62" t="s">
        <v>1248</v>
      </c>
      <c r="F98" s="62" t="s">
        <v>1259</v>
      </c>
    </row>
    <row r="99" spans="1:6" ht="15.75" customHeight="1" x14ac:dyDescent="0.25">
      <c r="A99" s="62">
        <v>99</v>
      </c>
      <c r="B99" s="62">
        <v>23</v>
      </c>
      <c r="C99" s="62" t="s">
        <v>1242</v>
      </c>
      <c r="D99" s="62" t="s">
        <v>1243</v>
      </c>
      <c r="E99" s="62" t="s">
        <v>1253</v>
      </c>
      <c r="F99" s="62" t="s">
        <v>1249</v>
      </c>
    </row>
    <row r="100" spans="1:6" ht="15.75" customHeight="1" x14ac:dyDescent="0.25">
      <c r="A100" s="62">
        <v>100</v>
      </c>
      <c r="B100" s="62">
        <v>22</v>
      </c>
      <c r="C100" s="62" t="s">
        <v>1247</v>
      </c>
      <c r="D100" s="62" t="s">
        <v>1260</v>
      </c>
      <c r="E100" s="62" t="s">
        <v>1248</v>
      </c>
      <c r="F100" s="62" t="s">
        <v>1254</v>
      </c>
    </row>
    <row r="101" spans="1:6" ht="15.75" customHeight="1" x14ac:dyDescent="0.25">
      <c r="A101" s="62">
        <v>101</v>
      </c>
      <c r="B101" s="62">
        <v>18</v>
      </c>
      <c r="C101" s="62" t="s">
        <v>1252</v>
      </c>
      <c r="D101" s="62" t="s">
        <v>1256</v>
      </c>
      <c r="E101" s="62" t="s">
        <v>1255</v>
      </c>
      <c r="F101" s="62" t="s">
        <v>1254</v>
      </c>
    </row>
    <row r="102" spans="1:6" ht="15.75" customHeight="1" x14ac:dyDescent="0.25">
      <c r="A102" s="62">
        <v>102</v>
      </c>
      <c r="B102" s="62">
        <v>23</v>
      </c>
      <c r="C102" s="62" t="s">
        <v>1247</v>
      </c>
      <c r="D102" s="62" t="s">
        <v>1243</v>
      </c>
      <c r="E102" s="62" t="s">
        <v>1250</v>
      </c>
      <c r="F102" s="62" t="s">
        <v>1251</v>
      </c>
    </row>
    <row r="103" spans="1:6" ht="15.75" customHeight="1" x14ac:dyDescent="0.25">
      <c r="A103" s="62">
        <v>104</v>
      </c>
      <c r="B103" s="62">
        <v>21</v>
      </c>
      <c r="C103" s="62" t="s">
        <v>1261</v>
      </c>
      <c r="D103" s="62" t="s">
        <v>1243</v>
      </c>
      <c r="E103" s="62" t="s">
        <v>1248</v>
      </c>
      <c r="F103" s="62" t="s">
        <v>1254</v>
      </c>
    </row>
    <row r="104" spans="1:6" ht="15.75" customHeight="1" x14ac:dyDescent="0.25">
      <c r="A104" s="62">
        <v>105</v>
      </c>
      <c r="B104" s="62">
        <v>22</v>
      </c>
      <c r="C104" s="62" t="s">
        <v>1252</v>
      </c>
      <c r="D104" s="62" t="s">
        <v>1243</v>
      </c>
      <c r="E104" s="62" t="s">
        <v>1248</v>
      </c>
      <c r="F104" s="62" t="s">
        <v>1254</v>
      </c>
    </row>
    <row r="105" spans="1:6" ht="15.75" customHeight="1" x14ac:dyDescent="0.25">
      <c r="A105" s="62">
        <v>106</v>
      </c>
      <c r="B105" s="62">
        <v>19</v>
      </c>
      <c r="C105" s="62" t="s">
        <v>1247</v>
      </c>
      <c r="D105" s="62" t="s">
        <v>1243</v>
      </c>
      <c r="E105" s="62" t="s">
        <v>1253</v>
      </c>
      <c r="F105" s="62" t="s">
        <v>1259</v>
      </c>
    </row>
    <row r="106" spans="1:6" ht="15.75" customHeight="1" x14ac:dyDescent="0.25">
      <c r="A106" s="62">
        <v>107</v>
      </c>
      <c r="B106" s="62">
        <v>19</v>
      </c>
      <c r="C106" s="62" t="s">
        <v>1247</v>
      </c>
      <c r="D106" s="62" t="s">
        <v>1260</v>
      </c>
      <c r="E106" s="62" t="s">
        <v>1253</v>
      </c>
      <c r="F106" s="62" t="s">
        <v>1251</v>
      </c>
    </row>
    <row r="107" spans="1:6" ht="15.75" customHeight="1" x14ac:dyDescent="0.25">
      <c r="A107" s="62">
        <v>108</v>
      </c>
      <c r="B107" s="62">
        <v>24</v>
      </c>
      <c r="C107" s="62" t="s">
        <v>1246</v>
      </c>
      <c r="D107" s="62" t="s">
        <v>1257</v>
      </c>
      <c r="E107" s="62" t="s">
        <v>1250</v>
      </c>
      <c r="F107" s="62" t="s">
        <v>1254</v>
      </c>
    </row>
    <row r="108" spans="1:6" ht="15.75" customHeight="1" x14ac:dyDescent="0.25">
      <c r="A108" s="62">
        <v>110</v>
      </c>
      <c r="B108" s="62">
        <v>23</v>
      </c>
      <c r="C108" s="62" t="s">
        <v>1247</v>
      </c>
      <c r="D108" s="62" t="s">
        <v>1258</v>
      </c>
      <c r="E108" s="62" t="s">
        <v>1248</v>
      </c>
      <c r="F108" s="62" t="s">
        <v>1251</v>
      </c>
    </row>
    <row r="109" spans="1:6" ht="15.75" customHeight="1" x14ac:dyDescent="0.25">
      <c r="A109" s="62">
        <v>111</v>
      </c>
      <c r="B109" s="62">
        <v>24</v>
      </c>
      <c r="C109" s="62" t="s">
        <v>1246</v>
      </c>
      <c r="D109" s="62" t="s">
        <v>1243</v>
      </c>
      <c r="E109" s="62" t="s">
        <v>1248</v>
      </c>
      <c r="F109" s="62" t="s">
        <v>1251</v>
      </c>
    </row>
    <row r="110" spans="1:6" ht="15.75" customHeight="1" x14ac:dyDescent="0.25">
      <c r="A110" s="62">
        <v>112</v>
      </c>
      <c r="B110" s="62">
        <v>22</v>
      </c>
      <c r="C110" s="62" t="s">
        <v>1242</v>
      </c>
      <c r="D110" s="62" t="s">
        <v>1243</v>
      </c>
      <c r="E110" s="62" t="s">
        <v>1248</v>
      </c>
      <c r="F110" s="62" t="s">
        <v>1251</v>
      </c>
    </row>
    <row r="111" spans="1:6" ht="15.75" customHeight="1" x14ac:dyDescent="0.25">
      <c r="A111" s="62">
        <v>113</v>
      </c>
      <c r="B111" s="62">
        <v>25</v>
      </c>
      <c r="C111" s="62" t="s">
        <v>1247</v>
      </c>
      <c r="D111" s="62" t="s">
        <v>1256</v>
      </c>
      <c r="E111" s="62" t="s">
        <v>1255</v>
      </c>
      <c r="F111" s="62" t="s">
        <v>1251</v>
      </c>
    </row>
    <row r="112" spans="1:6" ht="15.75" customHeight="1" x14ac:dyDescent="0.25">
      <c r="A112" s="62">
        <v>114</v>
      </c>
      <c r="B112" s="62">
        <v>25</v>
      </c>
      <c r="C112" s="62" t="s">
        <v>1247</v>
      </c>
      <c r="D112" s="62" t="s">
        <v>1258</v>
      </c>
      <c r="E112" s="62" t="s">
        <v>1250</v>
      </c>
      <c r="F112" s="62" t="s">
        <v>1254</v>
      </c>
    </row>
    <row r="113" spans="1:6" ht="15.75" customHeight="1" x14ac:dyDescent="0.25">
      <c r="A113" s="62">
        <v>115</v>
      </c>
      <c r="B113" s="62">
        <v>21</v>
      </c>
      <c r="C113" s="62" t="s">
        <v>1247</v>
      </c>
      <c r="D113" s="62" t="s">
        <v>1243</v>
      </c>
      <c r="E113" s="62" t="s">
        <v>1248</v>
      </c>
      <c r="F113" s="62" t="s">
        <v>1249</v>
      </c>
    </row>
    <row r="114" spans="1:6" ht="15.75" customHeight="1" x14ac:dyDescent="0.25">
      <c r="A114" s="62">
        <v>116</v>
      </c>
      <c r="B114" s="62">
        <v>21</v>
      </c>
      <c r="C114" s="62" t="s">
        <v>1246</v>
      </c>
      <c r="D114" s="62" t="s">
        <v>1243</v>
      </c>
      <c r="E114" s="62" t="s">
        <v>1248</v>
      </c>
      <c r="F114" s="62" t="s">
        <v>1249</v>
      </c>
    </row>
    <row r="115" spans="1:6" ht="15.75" customHeight="1" x14ac:dyDescent="0.25">
      <c r="A115" s="62">
        <v>117</v>
      </c>
      <c r="B115" s="62">
        <v>20</v>
      </c>
      <c r="C115" s="62" t="s">
        <v>1247</v>
      </c>
      <c r="D115" s="62" t="s">
        <v>1258</v>
      </c>
      <c r="E115" s="62" t="s">
        <v>1248</v>
      </c>
      <c r="F115" s="62" t="s">
        <v>1254</v>
      </c>
    </row>
    <row r="116" spans="1:6" ht="15.75" customHeight="1" x14ac:dyDescent="0.25">
      <c r="A116" s="62">
        <v>118</v>
      </c>
      <c r="B116" s="62">
        <v>24</v>
      </c>
      <c r="C116" s="62" t="s">
        <v>1252</v>
      </c>
      <c r="D116" s="62" t="s">
        <v>1257</v>
      </c>
      <c r="E116" s="62" t="s">
        <v>1253</v>
      </c>
      <c r="F116" s="62" t="s">
        <v>1259</v>
      </c>
    </row>
    <row r="117" spans="1:6" ht="15.75" customHeight="1" x14ac:dyDescent="0.25">
      <c r="A117" s="62">
        <v>119</v>
      </c>
      <c r="B117" s="62">
        <v>22</v>
      </c>
      <c r="C117" s="62" t="s">
        <v>1247</v>
      </c>
      <c r="D117" s="62" t="s">
        <v>1243</v>
      </c>
      <c r="E117" s="62" t="s">
        <v>1255</v>
      </c>
      <c r="F117" s="62" t="s">
        <v>1251</v>
      </c>
    </row>
    <row r="118" spans="1:6" ht="15.75" customHeight="1" x14ac:dyDescent="0.25">
      <c r="A118" s="62">
        <v>120</v>
      </c>
      <c r="B118" s="62">
        <v>18</v>
      </c>
      <c r="C118" s="62" t="s">
        <v>1261</v>
      </c>
      <c r="D118" s="62" t="s">
        <v>1243</v>
      </c>
      <c r="E118" s="62" t="s">
        <v>1248</v>
      </c>
      <c r="F118" s="62" t="s">
        <v>1251</v>
      </c>
    </row>
    <row r="119" spans="1:6" ht="15.75" customHeight="1" x14ac:dyDescent="0.25">
      <c r="A119" s="62">
        <v>121</v>
      </c>
      <c r="B119" s="62">
        <v>21</v>
      </c>
      <c r="C119" s="62" t="s">
        <v>1252</v>
      </c>
      <c r="D119" s="62" t="s">
        <v>1257</v>
      </c>
      <c r="E119" s="62" t="s">
        <v>1253</v>
      </c>
      <c r="F119" s="62" t="s">
        <v>1245</v>
      </c>
    </row>
    <row r="120" spans="1:6" ht="15.75" customHeight="1" x14ac:dyDescent="0.25">
      <c r="A120" s="62">
        <v>122</v>
      </c>
      <c r="B120" s="62">
        <v>20</v>
      </c>
      <c r="C120" s="62" t="s">
        <v>1246</v>
      </c>
      <c r="D120" s="62" t="s">
        <v>1257</v>
      </c>
      <c r="E120" s="62" t="s">
        <v>1250</v>
      </c>
      <c r="F120" s="62" t="s">
        <v>1245</v>
      </c>
    </row>
    <row r="121" spans="1:6" ht="15.75" customHeight="1" x14ac:dyDescent="0.25">
      <c r="A121" s="62">
        <v>123</v>
      </c>
      <c r="B121" s="62">
        <v>19</v>
      </c>
      <c r="C121" s="62" t="s">
        <v>1247</v>
      </c>
      <c r="D121" s="62" t="s">
        <v>1260</v>
      </c>
      <c r="E121" s="62" t="s">
        <v>1248</v>
      </c>
      <c r="F121" s="62" t="s">
        <v>1245</v>
      </c>
    </row>
    <row r="122" spans="1:6" ht="15.75" customHeight="1" x14ac:dyDescent="0.25">
      <c r="A122" s="62">
        <v>124</v>
      </c>
      <c r="B122" s="62">
        <v>19</v>
      </c>
      <c r="C122" s="62" t="s">
        <v>1242</v>
      </c>
      <c r="D122" s="62" t="s">
        <v>1258</v>
      </c>
      <c r="E122" s="62" t="s">
        <v>1250</v>
      </c>
      <c r="F122" s="62" t="s">
        <v>1254</v>
      </c>
    </row>
    <row r="123" spans="1:6" ht="15.75" customHeight="1" x14ac:dyDescent="0.25">
      <c r="A123" s="62">
        <v>125</v>
      </c>
      <c r="B123" s="62">
        <v>18</v>
      </c>
      <c r="C123" s="62" t="s">
        <v>1252</v>
      </c>
      <c r="D123" s="62" t="s">
        <v>1260</v>
      </c>
      <c r="E123" s="62" t="s">
        <v>1248</v>
      </c>
      <c r="F123" s="62" t="s">
        <v>1259</v>
      </c>
    </row>
    <row r="124" spans="1:6" ht="15.75" customHeight="1" x14ac:dyDescent="0.25">
      <c r="A124" s="62">
        <v>126</v>
      </c>
      <c r="B124" s="62">
        <v>18</v>
      </c>
      <c r="C124" s="62" t="s">
        <v>1247</v>
      </c>
      <c r="D124" s="62" t="s">
        <v>1260</v>
      </c>
      <c r="E124" s="62" t="s">
        <v>1253</v>
      </c>
      <c r="F124" s="62" t="s">
        <v>1259</v>
      </c>
    </row>
    <row r="125" spans="1:6" ht="15.75" customHeight="1" x14ac:dyDescent="0.25">
      <c r="A125" s="62">
        <v>127</v>
      </c>
      <c r="B125" s="62">
        <v>20</v>
      </c>
      <c r="C125" s="62" t="s">
        <v>1246</v>
      </c>
      <c r="D125" s="62" t="s">
        <v>1243</v>
      </c>
      <c r="E125" s="62" t="s">
        <v>1248</v>
      </c>
      <c r="F125" s="62" t="s">
        <v>1254</v>
      </c>
    </row>
    <row r="126" spans="1:6" ht="15.75" customHeight="1" x14ac:dyDescent="0.25">
      <c r="A126" s="62">
        <v>128</v>
      </c>
      <c r="B126" s="62">
        <v>22</v>
      </c>
      <c r="C126" s="62" t="s">
        <v>1246</v>
      </c>
      <c r="D126" s="62" t="s">
        <v>1243</v>
      </c>
      <c r="E126" s="62" t="s">
        <v>1253</v>
      </c>
      <c r="F126" s="62" t="s">
        <v>1251</v>
      </c>
    </row>
    <row r="127" spans="1:6" ht="15.75" customHeight="1" x14ac:dyDescent="0.25">
      <c r="A127" s="62">
        <v>129</v>
      </c>
      <c r="B127" s="62">
        <v>21</v>
      </c>
      <c r="C127" s="62" t="s">
        <v>1247</v>
      </c>
      <c r="D127" s="62" t="s">
        <v>1243</v>
      </c>
      <c r="E127" s="62" t="s">
        <v>1250</v>
      </c>
      <c r="F127" s="62" t="s">
        <v>1259</v>
      </c>
    </row>
    <row r="128" spans="1:6" ht="15.75" customHeight="1" x14ac:dyDescent="0.25">
      <c r="A128" s="62">
        <v>130</v>
      </c>
      <c r="B128" s="62">
        <v>21</v>
      </c>
      <c r="C128" s="62" t="s">
        <v>1247</v>
      </c>
      <c r="D128" s="62" t="s">
        <v>1257</v>
      </c>
      <c r="E128" s="62" t="s">
        <v>1253</v>
      </c>
      <c r="F128" s="62" t="s">
        <v>1251</v>
      </c>
    </row>
    <row r="129" spans="1:6" ht="15.75" customHeight="1" x14ac:dyDescent="0.25">
      <c r="A129" s="62">
        <v>131</v>
      </c>
      <c r="B129" s="62">
        <v>24</v>
      </c>
      <c r="C129" s="62" t="s">
        <v>1252</v>
      </c>
      <c r="D129" s="62" t="s">
        <v>1258</v>
      </c>
      <c r="E129" s="62" t="s">
        <v>1248</v>
      </c>
      <c r="F129" s="62" t="s">
        <v>1251</v>
      </c>
    </row>
    <row r="130" spans="1:6" ht="15.75" customHeight="1" x14ac:dyDescent="0.25">
      <c r="A130" s="62">
        <v>132</v>
      </c>
      <c r="B130" s="62">
        <v>21</v>
      </c>
      <c r="C130" s="62" t="s">
        <v>1246</v>
      </c>
      <c r="D130" s="62" t="s">
        <v>1257</v>
      </c>
      <c r="E130" s="62" t="s">
        <v>1244</v>
      </c>
      <c r="F130" s="62" t="s">
        <v>1251</v>
      </c>
    </row>
    <row r="131" spans="1:6" ht="15.75" customHeight="1" x14ac:dyDescent="0.25">
      <c r="A131" s="62">
        <v>133</v>
      </c>
      <c r="B131" s="62">
        <v>23</v>
      </c>
      <c r="C131" s="62" t="s">
        <v>1246</v>
      </c>
      <c r="D131" s="62" t="s">
        <v>1260</v>
      </c>
      <c r="E131" s="62" t="s">
        <v>1244</v>
      </c>
      <c r="F131" s="62" t="s">
        <v>1259</v>
      </c>
    </row>
    <row r="132" spans="1:6" ht="15.75" customHeight="1" x14ac:dyDescent="0.25">
      <c r="A132" s="62">
        <v>134</v>
      </c>
      <c r="B132" s="62">
        <v>19</v>
      </c>
      <c r="C132" s="62" t="s">
        <v>1252</v>
      </c>
      <c r="D132" s="62" t="s">
        <v>1257</v>
      </c>
      <c r="E132" s="62" t="s">
        <v>1253</v>
      </c>
      <c r="F132" s="62" t="s">
        <v>1254</v>
      </c>
    </row>
    <row r="133" spans="1:6" ht="15.75" customHeight="1" x14ac:dyDescent="0.25">
      <c r="A133" s="62">
        <v>135</v>
      </c>
      <c r="B133" s="62">
        <v>25</v>
      </c>
      <c r="C133" s="62" t="s">
        <v>1246</v>
      </c>
      <c r="D133" s="62" t="s">
        <v>1258</v>
      </c>
      <c r="E133" s="62" t="s">
        <v>1253</v>
      </c>
      <c r="F133" s="62" t="s">
        <v>1251</v>
      </c>
    </row>
    <row r="134" spans="1:6" ht="15.75" customHeight="1" x14ac:dyDescent="0.25">
      <c r="A134" s="62">
        <v>136</v>
      </c>
      <c r="B134" s="62">
        <v>19</v>
      </c>
      <c r="C134" s="62" t="s">
        <v>1247</v>
      </c>
      <c r="D134" s="62" t="s">
        <v>1243</v>
      </c>
      <c r="E134" s="62" t="s">
        <v>1250</v>
      </c>
      <c r="F134" s="62" t="s">
        <v>1251</v>
      </c>
    </row>
    <row r="135" spans="1:6" ht="15.75" customHeight="1" x14ac:dyDescent="0.25">
      <c r="A135" s="62">
        <v>137</v>
      </c>
      <c r="B135" s="62">
        <v>22</v>
      </c>
      <c r="C135" s="62" t="s">
        <v>1247</v>
      </c>
      <c r="D135" s="62" t="s">
        <v>1260</v>
      </c>
      <c r="E135" s="62" t="s">
        <v>1255</v>
      </c>
      <c r="F135" s="62" t="s">
        <v>1251</v>
      </c>
    </row>
    <row r="136" spans="1:6" ht="15.75" customHeight="1" x14ac:dyDescent="0.25">
      <c r="A136" s="62">
        <v>138</v>
      </c>
      <c r="B136" s="62">
        <v>25</v>
      </c>
      <c r="C136" s="62" t="s">
        <v>1252</v>
      </c>
      <c r="D136" s="62" t="s">
        <v>1260</v>
      </c>
      <c r="E136" s="62" t="s">
        <v>1248</v>
      </c>
      <c r="F136" s="62" t="s">
        <v>1249</v>
      </c>
    </row>
    <row r="137" spans="1:6" ht="15.75" customHeight="1" x14ac:dyDescent="0.25">
      <c r="A137" s="62">
        <v>139</v>
      </c>
      <c r="B137" s="62">
        <v>22</v>
      </c>
      <c r="C137" s="62" t="s">
        <v>1242</v>
      </c>
      <c r="D137" s="62" t="s">
        <v>1243</v>
      </c>
      <c r="E137" s="62" t="s">
        <v>1253</v>
      </c>
      <c r="F137" s="62" t="s">
        <v>1251</v>
      </c>
    </row>
    <row r="138" spans="1:6" ht="15.75" customHeight="1" x14ac:dyDescent="0.25">
      <c r="A138" s="62">
        <v>140</v>
      </c>
      <c r="B138" s="62">
        <v>25</v>
      </c>
      <c r="C138" s="62" t="s">
        <v>1247</v>
      </c>
      <c r="D138" s="62" t="s">
        <v>1243</v>
      </c>
      <c r="E138" s="62" t="s">
        <v>1255</v>
      </c>
      <c r="F138" s="62" t="s">
        <v>1254</v>
      </c>
    </row>
    <row r="139" spans="1:6" ht="15.75" customHeight="1" x14ac:dyDescent="0.25">
      <c r="A139" s="62">
        <v>141</v>
      </c>
      <c r="B139" s="62">
        <v>19</v>
      </c>
      <c r="C139" s="62" t="s">
        <v>1252</v>
      </c>
      <c r="D139" s="62" t="s">
        <v>1256</v>
      </c>
      <c r="E139" s="62" t="s">
        <v>1244</v>
      </c>
      <c r="F139" s="62" t="s">
        <v>1254</v>
      </c>
    </row>
    <row r="140" spans="1:6" ht="15.75" customHeight="1" x14ac:dyDescent="0.25">
      <c r="A140" s="62">
        <v>142</v>
      </c>
      <c r="B140" s="62">
        <v>21</v>
      </c>
      <c r="C140" s="62" t="s">
        <v>1242</v>
      </c>
      <c r="D140" s="62" t="s">
        <v>1257</v>
      </c>
      <c r="E140" s="62" t="s">
        <v>1253</v>
      </c>
      <c r="F140" s="62" t="s">
        <v>1254</v>
      </c>
    </row>
    <row r="141" spans="1:6" ht="15.75" customHeight="1" x14ac:dyDescent="0.25">
      <c r="A141" s="62">
        <v>143</v>
      </c>
      <c r="B141" s="62">
        <v>19</v>
      </c>
      <c r="C141" s="62" t="s">
        <v>1247</v>
      </c>
      <c r="D141" s="62" t="s">
        <v>1243</v>
      </c>
      <c r="E141" s="62" t="s">
        <v>1248</v>
      </c>
      <c r="F141" s="62" t="s">
        <v>1251</v>
      </c>
    </row>
    <row r="142" spans="1:6" ht="15.75" customHeight="1" x14ac:dyDescent="0.25">
      <c r="A142" s="62">
        <v>144</v>
      </c>
      <c r="B142" s="62">
        <v>23</v>
      </c>
      <c r="C142" s="62" t="s">
        <v>1246</v>
      </c>
      <c r="D142" s="62" t="s">
        <v>1243</v>
      </c>
      <c r="E142" s="62" t="s">
        <v>1253</v>
      </c>
      <c r="F142" s="62" t="s">
        <v>1259</v>
      </c>
    </row>
    <row r="143" spans="1:6" ht="15.75" customHeight="1" x14ac:dyDescent="0.25">
      <c r="A143" s="62">
        <v>145</v>
      </c>
      <c r="B143" s="62">
        <v>22</v>
      </c>
      <c r="C143" s="62" t="s">
        <v>1247</v>
      </c>
      <c r="D143" s="62" t="s">
        <v>1243</v>
      </c>
      <c r="E143" s="62" t="s">
        <v>1253</v>
      </c>
      <c r="F143" s="62" t="s">
        <v>1254</v>
      </c>
    </row>
    <row r="144" spans="1:6" ht="15.75" customHeight="1" x14ac:dyDescent="0.25">
      <c r="A144" s="62">
        <v>146</v>
      </c>
      <c r="B144" s="62">
        <v>22</v>
      </c>
      <c r="C144" s="62" t="s">
        <v>1247</v>
      </c>
      <c r="D144" s="62" t="s">
        <v>1243</v>
      </c>
      <c r="E144" s="62" t="s">
        <v>1250</v>
      </c>
      <c r="F144" s="62" t="s">
        <v>1259</v>
      </c>
    </row>
    <row r="145" spans="1:6" ht="15.75" customHeight="1" x14ac:dyDescent="0.25">
      <c r="A145" s="62">
        <v>147</v>
      </c>
      <c r="B145" s="62">
        <v>21</v>
      </c>
      <c r="C145" s="62" t="s">
        <v>1247</v>
      </c>
      <c r="D145" s="62" t="s">
        <v>1243</v>
      </c>
      <c r="E145" s="62" t="s">
        <v>1253</v>
      </c>
      <c r="F145" s="62" t="s">
        <v>1251</v>
      </c>
    </row>
    <row r="146" spans="1:6" ht="15.75" customHeight="1" x14ac:dyDescent="0.25">
      <c r="A146" s="62">
        <v>148</v>
      </c>
      <c r="B146" s="62">
        <v>24</v>
      </c>
      <c r="C146" s="62" t="s">
        <v>1246</v>
      </c>
      <c r="D146" s="62" t="s">
        <v>1243</v>
      </c>
      <c r="E146" s="62" t="s">
        <v>1255</v>
      </c>
      <c r="F146" s="62" t="s">
        <v>1251</v>
      </c>
    </row>
    <row r="147" spans="1:6" ht="15.75" customHeight="1" x14ac:dyDescent="0.25">
      <c r="A147" s="62">
        <v>149</v>
      </c>
      <c r="B147" s="62">
        <v>19</v>
      </c>
      <c r="C147" s="62" t="s">
        <v>1246</v>
      </c>
      <c r="D147" s="62" t="s">
        <v>1260</v>
      </c>
      <c r="E147" s="62" t="s">
        <v>1244</v>
      </c>
      <c r="F147" s="62" t="s">
        <v>1259</v>
      </c>
    </row>
    <row r="148" spans="1:6" ht="15.75" customHeight="1" x14ac:dyDescent="0.25">
      <c r="A148" s="62">
        <v>150</v>
      </c>
      <c r="B148" s="62">
        <v>23</v>
      </c>
      <c r="C148" s="62" t="s">
        <v>1247</v>
      </c>
      <c r="D148" s="62" t="s">
        <v>1243</v>
      </c>
      <c r="E148" s="62" t="s">
        <v>1253</v>
      </c>
      <c r="F148" s="62" t="s">
        <v>1254</v>
      </c>
    </row>
    <row r="149" spans="1:6" ht="15.75" customHeight="1" x14ac:dyDescent="0.25">
      <c r="A149" s="62">
        <v>151</v>
      </c>
      <c r="B149" s="62">
        <v>21</v>
      </c>
      <c r="C149" s="62" t="s">
        <v>1247</v>
      </c>
      <c r="D149" s="62" t="s">
        <v>1243</v>
      </c>
      <c r="E149" s="62" t="s">
        <v>1250</v>
      </c>
      <c r="F149" s="62" t="s">
        <v>1251</v>
      </c>
    </row>
    <row r="150" spans="1:6" ht="15.75" customHeight="1" x14ac:dyDescent="0.25">
      <c r="A150" s="62">
        <v>152</v>
      </c>
      <c r="B150" s="62">
        <v>20</v>
      </c>
      <c r="C150" s="62" t="s">
        <v>1252</v>
      </c>
      <c r="D150" s="62" t="s">
        <v>1256</v>
      </c>
      <c r="E150" s="62" t="s">
        <v>1248</v>
      </c>
      <c r="F150" s="62" t="s">
        <v>1251</v>
      </c>
    </row>
    <row r="151" spans="1:6" ht="15.75" customHeight="1" x14ac:dyDescent="0.25">
      <c r="A151" s="62">
        <v>153</v>
      </c>
      <c r="B151" s="62">
        <v>18</v>
      </c>
      <c r="C151" s="62" t="s">
        <v>1247</v>
      </c>
      <c r="D151" s="62" t="s">
        <v>1257</v>
      </c>
      <c r="E151" s="62" t="s">
        <v>1248</v>
      </c>
      <c r="F151" s="62" t="s">
        <v>1251</v>
      </c>
    </row>
    <row r="152" spans="1:6" ht="15.75" customHeight="1" x14ac:dyDescent="0.25">
      <c r="A152" s="62">
        <v>154</v>
      </c>
      <c r="B152" s="62">
        <v>21</v>
      </c>
      <c r="C152" s="62" t="s">
        <v>1247</v>
      </c>
      <c r="D152" s="62" t="s">
        <v>1243</v>
      </c>
      <c r="E152" s="62" t="s">
        <v>1248</v>
      </c>
      <c r="F152" s="62" t="s">
        <v>1254</v>
      </c>
    </row>
    <row r="153" spans="1:6" ht="15.75" customHeight="1" x14ac:dyDescent="0.25">
      <c r="A153" s="62">
        <v>155</v>
      </c>
      <c r="B153" s="62">
        <v>25</v>
      </c>
      <c r="C153" s="62" t="s">
        <v>1246</v>
      </c>
      <c r="D153" s="62" t="s">
        <v>1260</v>
      </c>
      <c r="E153" s="62" t="s">
        <v>1250</v>
      </c>
      <c r="F153" s="62" t="s">
        <v>1259</v>
      </c>
    </row>
    <row r="154" spans="1:6" ht="15.75" customHeight="1" x14ac:dyDescent="0.25">
      <c r="A154" s="62">
        <v>156</v>
      </c>
      <c r="B154" s="62">
        <v>21</v>
      </c>
      <c r="C154" s="62" t="s">
        <v>1246</v>
      </c>
      <c r="D154" s="62" t="s">
        <v>1243</v>
      </c>
      <c r="E154" s="62" t="s">
        <v>1244</v>
      </c>
      <c r="F154" s="62" t="s">
        <v>1254</v>
      </c>
    </row>
    <row r="155" spans="1:6" ht="15.75" customHeight="1" x14ac:dyDescent="0.25">
      <c r="A155" s="62">
        <v>157</v>
      </c>
      <c r="B155" s="62">
        <v>19</v>
      </c>
      <c r="C155" s="62" t="s">
        <v>1252</v>
      </c>
      <c r="D155" s="62" t="s">
        <v>1257</v>
      </c>
      <c r="E155" s="62" t="s">
        <v>1253</v>
      </c>
      <c r="F155" s="62" t="s">
        <v>1259</v>
      </c>
    </row>
    <row r="156" spans="1:6" ht="15.75" customHeight="1" x14ac:dyDescent="0.25">
      <c r="A156" s="62">
        <v>158</v>
      </c>
      <c r="B156" s="62">
        <v>20</v>
      </c>
      <c r="C156" s="62" t="s">
        <v>1252</v>
      </c>
      <c r="D156" s="62" t="s">
        <v>1243</v>
      </c>
      <c r="E156" s="62" t="s">
        <v>1248</v>
      </c>
      <c r="F156" s="62" t="s">
        <v>1245</v>
      </c>
    </row>
    <row r="157" spans="1:6" ht="15.75" customHeight="1" x14ac:dyDescent="0.25">
      <c r="A157" s="62">
        <v>159</v>
      </c>
      <c r="B157" s="62">
        <v>21</v>
      </c>
      <c r="C157" s="62" t="s">
        <v>1247</v>
      </c>
      <c r="D157" s="62" t="s">
        <v>1243</v>
      </c>
      <c r="E157" s="62" t="s">
        <v>1253</v>
      </c>
      <c r="F157" s="62" t="s">
        <v>1254</v>
      </c>
    </row>
    <row r="158" spans="1:6" ht="15.75" customHeight="1" x14ac:dyDescent="0.25">
      <c r="A158" s="62">
        <v>160</v>
      </c>
      <c r="B158" s="62">
        <v>19</v>
      </c>
      <c r="C158" s="62" t="s">
        <v>1252</v>
      </c>
      <c r="D158" s="62" t="s">
        <v>1243</v>
      </c>
      <c r="E158" s="62" t="s">
        <v>1255</v>
      </c>
      <c r="F158" s="62" t="s">
        <v>1254</v>
      </c>
    </row>
    <row r="159" spans="1:6" ht="15.75" customHeight="1" x14ac:dyDescent="0.25">
      <c r="A159" s="62">
        <v>161</v>
      </c>
      <c r="B159" s="62">
        <v>25</v>
      </c>
      <c r="C159" s="62" t="s">
        <v>1252</v>
      </c>
      <c r="D159" s="62" t="s">
        <v>1243</v>
      </c>
      <c r="E159" s="62" t="s">
        <v>1253</v>
      </c>
      <c r="F159" s="62" t="s">
        <v>1251</v>
      </c>
    </row>
    <row r="160" spans="1:6" ht="15.75" customHeight="1" x14ac:dyDescent="0.25">
      <c r="A160" s="62">
        <v>162</v>
      </c>
      <c r="B160" s="62">
        <v>21</v>
      </c>
      <c r="C160" s="62" t="s">
        <v>1247</v>
      </c>
      <c r="D160" s="62" t="s">
        <v>1257</v>
      </c>
      <c r="E160" s="62" t="s">
        <v>1250</v>
      </c>
      <c r="F160" s="62" t="s">
        <v>1251</v>
      </c>
    </row>
    <row r="161" spans="1:6" ht="15.75" customHeight="1" x14ac:dyDescent="0.25">
      <c r="A161" s="62">
        <v>164</v>
      </c>
      <c r="B161" s="62">
        <v>25</v>
      </c>
      <c r="C161" s="62" t="s">
        <v>1247</v>
      </c>
      <c r="D161" s="62" t="s">
        <v>1256</v>
      </c>
      <c r="E161" s="62" t="s">
        <v>1253</v>
      </c>
      <c r="F161" s="62" t="s">
        <v>1259</v>
      </c>
    </row>
    <row r="162" spans="1:6" ht="15.75" customHeight="1" x14ac:dyDescent="0.25">
      <c r="A162" s="62">
        <v>165</v>
      </c>
      <c r="B162" s="62">
        <v>21</v>
      </c>
      <c r="C162" s="62" t="s">
        <v>1247</v>
      </c>
      <c r="D162" s="62" t="s">
        <v>1243</v>
      </c>
      <c r="E162" s="62" t="s">
        <v>1248</v>
      </c>
      <c r="F162" s="62" t="s">
        <v>1254</v>
      </c>
    </row>
    <row r="163" spans="1:6" ht="15.75" customHeight="1" x14ac:dyDescent="0.25">
      <c r="A163" s="62">
        <v>166</v>
      </c>
      <c r="B163" s="62">
        <v>25</v>
      </c>
      <c r="C163" s="62" t="s">
        <v>1242</v>
      </c>
      <c r="D163" s="62" t="s">
        <v>1243</v>
      </c>
      <c r="E163" s="62" t="s">
        <v>1253</v>
      </c>
      <c r="F163" s="62" t="s">
        <v>1259</v>
      </c>
    </row>
    <row r="164" spans="1:6" ht="15.75" customHeight="1" x14ac:dyDescent="0.25">
      <c r="A164" s="62">
        <v>167</v>
      </c>
      <c r="B164" s="62">
        <v>25</v>
      </c>
      <c r="C164" s="62" t="s">
        <v>1247</v>
      </c>
      <c r="D164" s="62" t="s">
        <v>1257</v>
      </c>
      <c r="E164" s="62" t="s">
        <v>1248</v>
      </c>
      <c r="F164" s="62" t="s">
        <v>1254</v>
      </c>
    </row>
    <row r="165" spans="1:6" ht="15.75" customHeight="1" x14ac:dyDescent="0.25">
      <c r="A165" s="62">
        <v>168</v>
      </c>
      <c r="B165" s="62">
        <v>22</v>
      </c>
      <c r="C165" s="62" t="s">
        <v>1247</v>
      </c>
      <c r="D165" s="62" t="s">
        <v>1258</v>
      </c>
      <c r="E165" s="62" t="s">
        <v>1248</v>
      </c>
      <c r="F165" s="62" t="s">
        <v>1254</v>
      </c>
    </row>
    <row r="166" spans="1:6" ht="15.75" customHeight="1" x14ac:dyDescent="0.25">
      <c r="A166" s="62">
        <v>169</v>
      </c>
      <c r="B166" s="62">
        <v>21</v>
      </c>
      <c r="C166" s="62" t="s">
        <v>1252</v>
      </c>
      <c r="D166" s="62" t="s">
        <v>1256</v>
      </c>
      <c r="E166" s="62" t="s">
        <v>1255</v>
      </c>
      <c r="F166" s="62" t="s">
        <v>1254</v>
      </c>
    </row>
    <row r="167" spans="1:6" ht="15.75" customHeight="1" x14ac:dyDescent="0.25">
      <c r="A167" s="62">
        <v>103</v>
      </c>
      <c r="B167" s="62">
        <v>19</v>
      </c>
      <c r="C167" s="62" t="s">
        <v>1246</v>
      </c>
      <c r="D167" s="62" t="s">
        <v>1243</v>
      </c>
      <c r="E167" s="62" t="s">
        <v>1248</v>
      </c>
      <c r="F167" s="62" t="s">
        <v>1259</v>
      </c>
    </row>
    <row r="168" spans="1:6" ht="15.75" customHeight="1" x14ac:dyDescent="0.25">
      <c r="A168" s="62">
        <v>170</v>
      </c>
      <c r="B168" s="62">
        <v>19</v>
      </c>
      <c r="C168" s="62" t="s">
        <v>1246</v>
      </c>
      <c r="D168" s="62" t="s">
        <v>1243</v>
      </c>
      <c r="E168" s="62" t="s">
        <v>1253</v>
      </c>
      <c r="F168" s="62" t="s">
        <v>1259</v>
      </c>
    </row>
    <row r="169" spans="1:6" ht="15.75" customHeight="1" x14ac:dyDescent="0.25">
      <c r="A169" s="62">
        <v>171</v>
      </c>
      <c r="B169" s="62">
        <v>25</v>
      </c>
      <c r="C169" s="62" t="s">
        <v>1247</v>
      </c>
      <c r="D169" s="62" t="s">
        <v>1257</v>
      </c>
      <c r="E169" s="62" t="s">
        <v>1248</v>
      </c>
      <c r="F169" s="62" t="s">
        <v>1251</v>
      </c>
    </row>
    <row r="170" spans="1:6" ht="15.75" customHeight="1" x14ac:dyDescent="0.25">
      <c r="A170" s="62">
        <v>172</v>
      </c>
      <c r="B170" s="62">
        <v>18</v>
      </c>
      <c r="C170" s="62" t="s">
        <v>1261</v>
      </c>
      <c r="D170" s="62" t="s">
        <v>1243</v>
      </c>
      <c r="E170" s="62" t="s">
        <v>1253</v>
      </c>
      <c r="F170" s="62" t="s">
        <v>1259</v>
      </c>
    </row>
    <row r="171" spans="1:6" ht="15.75" customHeight="1" x14ac:dyDescent="0.25">
      <c r="A171" s="62">
        <v>173</v>
      </c>
      <c r="B171" s="62">
        <v>25</v>
      </c>
      <c r="C171" s="62" t="s">
        <v>1247</v>
      </c>
      <c r="D171" s="62" t="s">
        <v>1243</v>
      </c>
      <c r="E171" s="62" t="s">
        <v>1248</v>
      </c>
      <c r="F171" s="62" t="s">
        <v>1249</v>
      </c>
    </row>
    <row r="172" spans="1:6" ht="15.75" customHeight="1" x14ac:dyDescent="0.25">
      <c r="A172" s="62">
        <v>174</v>
      </c>
      <c r="B172" s="62">
        <v>25</v>
      </c>
      <c r="C172" s="62" t="s">
        <v>1252</v>
      </c>
      <c r="D172" s="62" t="s">
        <v>1257</v>
      </c>
      <c r="E172" s="62" t="s">
        <v>1248</v>
      </c>
      <c r="F172" s="62" t="s">
        <v>1254</v>
      </c>
    </row>
    <row r="173" spans="1:6" ht="15.75" customHeight="1" x14ac:dyDescent="0.25">
      <c r="A173" s="62">
        <v>175</v>
      </c>
      <c r="B173" s="62">
        <v>22</v>
      </c>
      <c r="C173" s="62" t="s">
        <v>1242</v>
      </c>
      <c r="D173" s="62" t="s">
        <v>1258</v>
      </c>
      <c r="E173" s="62" t="s">
        <v>1248</v>
      </c>
      <c r="F173" s="62" t="s">
        <v>1251</v>
      </c>
    </row>
    <row r="174" spans="1:6" ht="15.75" customHeight="1" x14ac:dyDescent="0.25">
      <c r="A174" s="62">
        <v>176</v>
      </c>
      <c r="B174" s="62">
        <v>21</v>
      </c>
      <c r="C174" s="62" t="s">
        <v>1246</v>
      </c>
      <c r="D174" s="62" t="s">
        <v>1260</v>
      </c>
      <c r="E174" s="62" t="s">
        <v>1253</v>
      </c>
      <c r="F174" s="62" t="s">
        <v>1251</v>
      </c>
    </row>
    <row r="175" spans="1:6" ht="15.75" customHeight="1" x14ac:dyDescent="0.25">
      <c r="A175" s="62">
        <v>177</v>
      </c>
      <c r="B175" s="62">
        <v>21</v>
      </c>
      <c r="C175" s="62" t="s">
        <v>1246</v>
      </c>
      <c r="D175" s="62" t="s">
        <v>1243</v>
      </c>
      <c r="E175" s="62" t="s">
        <v>1253</v>
      </c>
      <c r="F175" s="62" t="s">
        <v>1254</v>
      </c>
    </row>
    <row r="176" spans="1:6" ht="15.75" customHeight="1" x14ac:dyDescent="0.25">
      <c r="A176" s="62">
        <v>178</v>
      </c>
      <c r="B176" s="62">
        <v>22</v>
      </c>
      <c r="C176" s="62" t="s">
        <v>1247</v>
      </c>
      <c r="D176" s="62" t="s">
        <v>1243</v>
      </c>
      <c r="E176" s="62" t="s">
        <v>1255</v>
      </c>
      <c r="F176" s="62" t="s">
        <v>1254</v>
      </c>
    </row>
    <row r="177" spans="1:6" ht="15.75" customHeight="1" x14ac:dyDescent="0.25">
      <c r="A177" s="62">
        <v>179</v>
      </c>
      <c r="B177" s="62">
        <v>21</v>
      </c>
      <c r="C177" s="62" t="s">
        <v>1246</v>
      </c>
      <c r="D177" s="62" t="s">
        <v>1243</v>
      </c>
      <c r="E177" s="62" t="s">
        <v>1253</v>
      </c>
      <c r="F177" s="62" t="s">
        <v>1254</v>
      </c>
    </row>
    <row r="178" spans="1:6" ht="15.75" customHeight="1" x14ac:dyDescent="0.25">
      <c r="A178" s="62">
        <v>180</v>
      </c>
      <c r="B178" s="62">
        <v>25</v>
      </c>
      <c r="C178" s="62" t="s">
        <v>1246</v>
      </c>
      <c r="D178" s="62" t="s">
        <v>1243</v>
      </c>
      <c r="E178" s="62" t="s">
        <v>1244</v>
      </c>
      <c r="F178" s="62" t="s">
        <v>1254</v>
      </c>
    </row>
    <row r="179" spans="1:6" ht="15.75" customHeight="1" x14ac:dyDescent="0.25">
      <c r="A179" s="62">
        <v>181</v>
      </c>
      <c r="B179" s="62">
        <v>21</v>
      </c>
      <c r="C179" s="62" t="s">
        <v>1252</v>
      </c>
      <c r="D179" s="62" t="s">
        <v>1258</v>
      </c>
      <c r="E179" s="62" t="s">
        <v>1244</v>
      </c>
      <c r="F179" s="62" t="s">
        <v>1249</v>
      </c>
    </row>
    <row r="180" spans="1:6" ht="15.75" customHeight="1" x14ac:dyDescent="0.25">
      <c r="A180" s="62">
        <v>182</v>
      </c>
      <c r="B180" s="62">
        <v>25</v>
      </c>
      <c r="C180" s="62" t="s">
        <v>1246</v>
      </c>
      <c r="D180" s="62" t="s">
        <v>1258</v>
      </c>
      <c r="E180" s="62" t="s">
        <v>1250</v>
      </c>
      <c r="F180" s="62" t="s">
        <v>1259</v>
      </c>
    </row>
    <row r="181" spans="1:6" ht="15.75" customHeight="1" x14ac:dyDescent="0.25">
      <c r="A181" s="62">
        <v>183</v>
      </c>
      <c r="B181" s="62">
        <v>21</v>
      </c>
      <c r="C181" s="62" t="s">
        <v>1246</v>
      </c>
      <c r="D181" s="62" t="s">
        <v>1258</v>
      </c>
      <c r="E181" s="62" t="s">
        <v>1250</v>
      </c>
      <c r="F181" s="62" t="s">
        <v>1254</v>
      </c>
    </row>
    <row r="182" spans="1:6" ht="15.75" customHeight="1" x14ac:dyDescent="0.25">
      <c r="A182" s="62">
        <v>184</v>
      </c>
      <c r="B182" s="62">
        <v>23</v>
      </c>
      <c r="C182" s="62" t="s">
        <v>1246</v>
      </c>
      <c r="D182" s="62" t="s">
        <v>1243</v>
      </c>
      <c r="E182" s="62" t="s">
        <v>1248</v>
      </c>
      <c r="F182" s="62" t="s">
        <v>1245</v>
      </c>
    </row>
    <row r="183" spans="1:6" ht="15.75" customHeight="1" x14ac:dyDescent="0.25">
      <c r="A183" s="62">
        <v>185</v>
      </c>
      <c r="B183" s="62">
        <v>24</v>
      </c>
      <c r="C183" s="62" t="s">
        <v>1247</v>
      </c>
      <c r="D183" s="62" t="s">
        <v>1243</v>
      </c>
      <c r="E183" s="62" t="s">
        <v>1253</v>
      </c>
      <c r="F183" s="62" t="s">
        <v>1259</v>
      </c>
    </row>
    <row r="184" spans="1:6" ht="15.75" customHeight="1" x14ac:dyDescent="0.25">
      <c r="A184" s="62">
        <v>186</v>
      </c>
      <c r="B184" s="62">
        <v>22</v>
      </c>
      <c r="C184" s="62" t="s">
        <v>1242</v>
      </c>
      <c r="D184" s="62" t="s">
        <v>1243</v>
      </c>
      <c r="E184" s="62" t="s">
        <v>1253</v>
      </c>
      <c r="F184" s="62" t="s">
        <v>1254</v>
      </c>
    </row>
    <row r="185" spans="1:6" ht="15.75" customHeight="1" x14ac:dyDescent="0.25">
      <c r="A185" s="62">
        <v>187</v>
      </c>
      <c r="B185" s="62">
        <v>20</v>
      </c>
      <c r="C185" s="62" t="s">
        <v>1247</v>
      </c>
      <c r="D185" s="62" t="s">
        <v>1243</v>
      </c>
      <c r="E185" s="62" t="s">
        <v>1248</v>
      </c>
      <c r="F185" s="62" t="s">
        <v>1254</v>
      </c>
    </row>
    <row r="186" spans="1:6" ht="15.75" customHeight="1" x14ac:dyDescent="0.25">
      <c r="A186" s="62">
        <v>188</v>
      </c>
      <c r="B186" s="62">
        <v>18</v>
      </c>
      <c r="C186" s="62" t="s">
        <v>1247</v>
      </c>
      <c r="D186" s="62" t="s">
        <v>1243</v>
      </c>
      <c r="E186" s="62" t="s">
        <v>1248</v>
      </c>
      <c r="F186" s="62" t="s">
        <v>1251</v>
      </c>
    </row>
    <row r="187" spans="1:6" ht="15.75" customHeight="1" x14ac:dyDescent="0.25">
      <c r="A187" s="62">
        <v>189</v>
      </c>
      <c r="B187" s="62">
        <v>20</v>
      </c>
      <c r="C187" s="62" t="s">
        <v>1247</v>
      </c>
      <c r="D187" s="62" t="s">
        <v>1243</v>
      </c>
      <c r="E187" s="62" t="s">
        <v>1248</v>
      </c>
      <c r="F187" s="62" t="s">
        <v>1251</v>
      </c>
    </row>
    <row r="188" spans="1:6" ht="15.75" customHeight="1" x14ac:dyDescent="0.25">
      <c r="A188" s="62">
        <v>190</v>
      </c>
      <c r="B188" s="62">
        <v>22</v>
      </c>
      <c r="C188" s="62" t="s">
        <v>1252</v>
      </c>
      <c r="D188" s="62" t="s">
        <v>1243</v>
      </c>
      <c r="E188" s="62" t="s">
        <v>1255</v>
      </c>
      <c r="F188" s="62" t="s">
        <v>1251</v>
      </c>
    </row>
    <row r="189" spans="1:6" ht="15.75" customHeight="1" x14ac:dyDescent="0.25">
      <c r="A189" s="62">
        <v>191</v>
      </c>
      <c r="B189" s="62">
        <v>20</v>
      </c>
      <c r="C189" s="62" t="s">
        <v>1242</v>
      </c>
      <c r="D189" s="62" t="s">
        <v>1257</v>
      </c>
      <c r="E189" s="62" t="s">
        <v>1253</v>
      </c>
      <c r="F189" s="62" t="s">
        <v>1245</v>
      </c>
    </row>
    <row r="190" spans="1:6" ht="15.75" customHeight="1" x14ac:dyDescent="0.25">
      <c r="A190" s="62">
        <v>192</v>
      </c>
      <c r="B190" s="62">
        <v>18</v>
      </c>
      <c r="C190" s="62" t="s">
        <v>1252</v>
      </c>
      <c r="D190" s="62" t="s">
        <v>1243</v>
      </c>
      <c r="E190" s="62" t="s">
        <v>1253</v>
      </c>
      <c r="F190" s="62" t="s">
        <v>1254</v>
      </c>
    </row>
    <row r="191" spans="1:6" ht="15.75" customHeight="1" x14ac:dyDescent="0.25">
      <c r="A191" s="62">
        <v>193</v>
      </c>
      <c r="B191" s="62">
        <v>18</v>
      </c>
      <c r="C191" s="62" t="s">
        <v>1246</v>
      </c>
      <c r="D191" s="62" t="s">
        <v>1256</v>
      </c>
      <c r="E191" s="62" t="s">
        <v>1253</v>
      </c>
      <c r="F191" s="62" t="s">
        <v>1251</v>
      </c>
    </row>
    <row r="192" spans="1:6" ht="15.75" customHeight="1" x14ac:dyDescent="0.25">
      <c r="A192" s="62">
        <v>194</v>
      </c>
      <c r="B192" s="62">
        <v>19</v>
      </c>
      <c r="C192" s="62" t="s">
        <v>1242</v>
      </c>
      <c r="D192" s="62" t="s">
        <v>1260</v>
      </c>
      <c r="E192" s="62" t="s">
        <v>1255</v>
      </c>
      <c r="F192" s="62" t="s">
        <v>1259</v>
      </c>
    </row>
    <row r="193" spans="1:6" ht="15.75" customHeight="1" x14ac:dyDescent="0.25">
      <c r="A193" s="62">
        <v>195</v>
      </c>
      <c r="B193" s="62">
        <v>20</v>
      </c>
      <c r="C193" s="62" t="s">
        <v>1252</v>
      </c>
      <c r="D193" s="62" t="s">
        <v>1257</v>
      </c>
      <c r="E193" s="62" t="s">
        <v>1248</v>
      </c>
      <c r="F193" s="62" t="s">
        <v>1259</v>
      </c>
    </row>
    <row r="194" spans="1:6" ht="15.75" customHeight="1" x14ac:dyDescent="0.25">
      <c r="A194" s="62">
        <v>196</v>
      </c>
      <c r="B194" s="62">
        <v>24</v>
      </c>
      <c r="C194" s="62" t="s">
        <v>1247</v>
      </c>
      <c r="D194" s="62" t="s">
        <v>1243</v>
      </c>
      <c r="E194" s="62" t="s">
        <v>1248</v>
      </c>
      <c r="F194" s="62" t="s">
        <v>1254</v>
      </c>
    </row>
    <row r="195" spans="1:6" ht="15.75" customHeight="1" x14ac:dyDescent="0.25">
      <c r="A195" s="62">
        <v>197</v>
      </c>
      <c r="B195" s="62">
        <v>21</v>
      </c>
      <c r="C195" s="62" t="s">
        <v>1242</v>
      </c>
      <c r="D195" s="62" t="s">
        <v>1257</v>
      </c>
      <c r="E195" s="62" t="s">
        <v>1253</v>
      </c>
      <c r="F195" s="62" t="s">
        <v>1259</v>
      </c>
    </row>
    <row r="196" spans="1:6" ht="15.75" customHeight="1" x14ac:dyDescent="0.25">
      <c r="A196" s="62">
        <v>198</v>
      </c>
      <c r="B196" s="62">
        <v>24</v>
      </c>
      <c r="C196" s="62" t="s">
        <v>1246</v>
      </c>
      <c r="D196" s="62" t="s">
        <v>1243</v>
      </c>
      <c r="E196" s="62" t="s">
        <v>1253</v>
      </c>
      <c r="F196" s="62" t="s">
        <v>1254</v>
      </c>
    </row>
    <row r="197" spans="1:6" ht="15.75" customHeight="1" x14ac:dyDescent="0.25">
      <c r="A197" s="62">
        <v>199</v>
      </c>
      <c r="B197" s="62">
        <v>21</v>
      </c>
      <c r="C197" s="62" t="s">
        <v>1246</v>
      </c>
      <c r="D197" s="62" t="s">
        <v>1258</v>
      </c>
      <c r="E197" s="62" t="s">
        <v>1255</v>
      </c>
      <c r="F197" s="62" t="s">
        <v>1249</v>
      </c>
    </row>
    <row r="198" spans="1:6" ht="15.75" customHeight="1" x14ac:dyDescent="0.25">
      <c r="A198" s="62">
        <v>200</v>
      </c>
      <c r="B198" s="62">
        <v>25</v>
      </c>
      <c r="C198" s="62" t="s">
        <v>1242</v>
      </c>
      <c r="D198" s="62" t="s">
        <v>1260</v>
      </c>
      <c r="E198" s="62" t="s">
        <v>1250</v>
      </c>
      <c r="F198" s="62" t="s">
        <v>1254</v>
      </c>
    </row>
    <row r="199" spans="1:6" ht="15.75" customHeight="1" x14ac:dyDescent="0.25">
      <c r="A199" s="62">
        <v>201</v>
      </c>
      <c r="B199" s="62">
        <v>25</v>
      </c>
      <c r="C199" s="62" t="s">
        <v>1242</v>
      </c>
      <c r="D199" s="62" t="s">
        <v>1257</v>
      </c>
      <c r="E199" s="62" t="s">
        <v>1248</v>
      </c>
      <c r="F199" s="62" t="s">
        <v>1259</v>
      </c>
    </row>
    <row r="200" spans="1:6" ht="15.75" customHeight="1" x14ac:dyDescent="0.25">
      <c r="A200" s="62">
        <v>202</v>
      </c>
      <c r="B200" s="62">
        <v>21</v>
      </c>
      <c r="C200" s="62" t="s">
        <v>1252</v>
      </c>
      <c r="D200" s="62" t="s">
        <v>1243</v>
      </c>
      <c r="E200" s="62" t="s">
        <v>1250</v>
      </c>
      <c r="F200" s="62" t="s">
        <v>1259</v>
      </c>
    </row>
    <row r="201" spans="1:6" ht="15.75" customHeight="1" x14ac:dyDescent="0.25">
      <c r="A201" s="62">
        <v>203</v>
      </c>
      <c r="B201" s="62">
        <v>24</v>
      </c>
      <c r="C201" s="62" t="s">
        <v>1247</v>
      </c>
      <c r="D201" s="62" t="s">
        <v>1243</v>
      </c>
      <c r="E201" s="62" t="s">
        <v>1244</v>
      </c>
      <c r="F201" s="62" t="s">
        <v>1254</v>
      </c>
    </row>
    <row r="202" spans="1:6" ht="15.75" customHeight="1" x14ac:dyDescent="0.25">
      <c r="A202" s="62">
        <v>204</v>
      </c>
      <c r="B202" s="62">
        <v>18</v>
      </c>
      <c r="C202" s="62" t="s">
        <v>1246</v>
      </c>
      <c r="D202" s="62" t="s">
        <v>1243</v>
      </c>
      <c r="E202" s="62" t="s">
        <v>1253</v>
      </c>
      <c r="F202" s="62" t="s">
        <v>1245</v>
      </c>
    </row>
    <row r="203" spans="1:6" ht="15.75" customHeight="1" x14ac:dyDescent="0.25">
      <c r="A203" s="62">
        <v>205</v>
      </c>
      <c r="B203" s="62">
        <v>20</v>
      </c>
      <c r="C203" s="62" t="s">
        <v>1247</v>
      </c>
      <c r="D203" s="62" t="s">
        <v>1243</v>
      </c>
      <c r="E203" s="62" t="s">
        <v>1253</v>
      </c>
      <c r="F203" s="62" t="s">
        <v>1254</v>
      </c>
    </row>
    <row r="204" spans="1:6" ht="15.75" customHeight="1" x14ac:dyDescent="0.25">
      <c r="A204" s="62">
        <v>206</v>
      </c>
      <c r="B204" s="62">
        <v>25</v>
      </c>
      <c r="C204" s="62" t="s">
        <v>1246</v>
      </c>
      <c r="D204" s="62" t="s">
        <v>1256</v>
      </c>
      <c r="E204" s="62" t="s">
        <v>1244</v>
      </c>
      <c r="F204" s="62" t="s">
        <v>1245</v>
      </c>
    </row>
    <row r="205" spans="1:6" ht="15.75" customHeight="1" x14ac:dyDescent="0.25">
      <c r="A205" s="62">
        <v>207</v>
      </c>
      <c r="B205" s="62">
        <v>20</v>
      </c>
      <c r="C205" s="62" t="s">
        <v>1252</v>
      </c>
      <c r="D205" s="62" t="s">
        <v>1256</v>
      </c>
      <c r="E205" s="62" t="s">
        <v>1244</v>
      </c>
      <c r="F205" s="62" t="s">
        <v>1245</v>
      </c>
    </row>
    <row r="206" spans="1:6" ht="15.75" customHeight="1" x14ac:dyDescent="0.25">
      <c r="A206" s="62">
        <v>208</v>
      </c>
      <c r="B206" s="62">
        <v>21</v>
      </c>
      <c r="C206" s="62" t="s">
        <v>1247</v>
      </c>
      <c r="D206" s="62" t="s">
        <v>1257</v>
      </c>
      <c r="E206" s="62" t="s">
        <v>1248</v>
      </c>
      <c r="F206" s="62" t="s">
        <v>1249</v>
      </c>
    </row>
    <row r="207" spans="1:6" ht="15.75" customHeight="1" x14ac:dyDescent="0.25">
      <c r="A207" s="62">
        <v>209</v>
      </c>
      <c r="B207" s="62">
        <v>23</v>
      </c>
      <c r="C207" s="62" t="s">
        <v>1247</v>
      </c>
      <c r="D207" s="62" t="s">
        <v>1260</v>
      </c>
      <c r="E207" s="62" t="s">
        <v>1248</v>
      </c>
      <c r="F207" s="62" t="s">
        <v>1251</v>
      </c>
    </row>
    <row r="208" spans="1:6" ht="15.75" customHeight="1" x14ac:dyDescent="0.25">
      <c r="A208" s="62">
        <v>210</v>
      </c>
      <c r="B208" s="62">
        <v>24</v>
      </c>
      <c r="C208" s="62" t="s">
        <v>1247</v>
      </c>
      <c r="D208" s="62" t="s">
        <v>1243</v>
      </c>
      <c r="E208" s="62" t="s">
        <v>1253</v>
      </c>
      <c r="F208" s="62" t="s">
        <v>1251</v>
      </c>
    </row>
    <row r="209" spans="1:6" ht="15.75" customHeight="1" x14ac:dyDescent="0.25">
      <c r="A209" s="62">
        <v>211</v>
      </c>
      <c r="B209" s="62">
        <v>24</v>
      </c>
      <c r="C209" s="62" t="s">
        <v>1246</v>
      </c>
      <c r="D209" s="62" t="s">
        <v>1243</v>
      </c>
      <c r="E209" s="62" t="s">
        <v>1255</v>
      </c>
      <c r="F209" s="62" t="s">
        <v>1254</v>
      </c>
    </row>
    <row r="210" spans="1:6" ht="15.75" customHeight="1" x14ac:dyDescent="0.25">
      <c r="A210" s="62">
        <v>212</v>
      </c>
      <c r="B210" s="62">
        <v>20</v>
      </c>
      <c r="C210" s="62" t="s">
        <v>1246</v>
      </c>
      <c r="D210" s="62" t="s">
        <v>1243</v>
      </c>
      <c r="E210" s="62" t="s">
        <v>1248</v>
      </c>
      <c r="F210" s="62" t="s">
        <v>1259</v>
      </c>
    </row>
    <row r="211" spans="1:6" ht="15.75" customHeight="1" x14ac:dyDescent="0.25">
      <c r="A211" s="62">
        <v>213</v>
      </c>
      <c r="B211" s="62">
        <v>21</v>
      </c>
      <c r="C211" s="62" t="s">
        <v>1247</v>
      </c>
      <c r="D211" s="62" t="s">
        <v>1243</v>
      </c>
      <c r="E211" s="62" t="s">
        <v>1253</v>
      </c>
      <c r="F211" s="62" t="s">
        <v>1251</v>
      </c>
    </row>
    <row r="212" spans="1:6" ht="15.75" customHeight="1" x14ac:dyDescent="0.25">
      <c r="A212" s="62">
        <v>214</v>
      </c>
      <c r="B212" s="62">
        <v>19</v>
      </c>
      <c r="C212" s="62" t="s">
        <v>1261</v>
      </c>
      <c r="D212" s="62" t="s">
        <v>1243</v>
      </c>
      <c r="E212" s="62" t="s">
        <v>1253</v>
      </c>
      <c r="F212" s="62" t="s">
        <v>1254</v>
      </c>
    </row>
    <row r="213" spans="1:6" ht="15.75" customHeight="1" x14ac:dyDescent="0.25">
      <c r="A213" s="62">
        <v>215</v>
      </c>
      <c r="B213" s="62">
        <v>20</v>
      </c>
      <c r="C213" s="62" t="s">
        <v>1247</v>
      </c>
      <c r="D213" s="62" t="s">
        <v>1243</v>
      </c>
      <c r="E213" s="62" t="s">
        <v>1248</v>
      </c>
      <c r="F213" s="62" t="s">
        <v>1254</v>
      </c>
    </row>
    <row r="214" spans="1:6" ht="15.75" customHeight="1" x14ac:dyDescent="0.25">
      <c r="A214" s="62">
        <v>216</v>
      </c>
      <c r="B214" s="62">
        <v>21</v>
      </c>
      <c r="C214" s="62" t="s">
        <v>1252</v>
      </c>
      <c r="D214" s="62" t="s">
        <v>1243</v>
      </c>
      <c r="E214" s="62" t="s">
        <v>1253</v>
      </c>
      <c r="F214" s="62" t="s">
        <v>1249</v>
      </c>
    </row>
    <row r="215" spans="1:6" ht="15.75" customHeight="1" x14ac:dyDescent="0.25">
      <c r="A215" s="62">
        <v>217</v>
      </c>
      <c r="B215" s="62">
        <v>19</v>
      </c>
      <c r="C215" s="62" t="s">
        <v>1247</v>
      </c>
      <c r="D215" s="62" t="s">
        <v>1257</v>
      </c>
      <c r="E215" s="62" t="s">
        <v>1255</v>
      </c>
      <c r="F215" s="62" t="s">
        <v>1251</v>
      </c>
    </row>
    <row r="216" spans="1:6" ht="15.75" customHeight="1" x14ac:dyDescent="0.25">
      <c r="A216" s="62">
        <v>218</v>
      </c>
      <c r="B216" s="62">
        <v>21</v>
      </c>
      <c r="C216" s="62" t="s">
        <v>1252</v>
      </c>
      <c r="D216" s="62" t="s">
        <v>1256</v>
      </c>
      <c r="E216" s="62" t="s">
        <v>1250</v>
      </c>
      <c r="F216" s="62" t="s">
        <v>1254</v>
      </c>
    </row>
    <row r="217" spans="1:6" ht="15.75" customHeight="1" x14ac:dyDescent="0.25">
      <c r="A217" s="62">
        <v>219</v>
      </c>
      <c r="B217" s="62">
        <v>24</v>
      </c>
      <c r="C217" s="62" t="s">
        <v>1247</v>
      </c>
      <c r="D217" s="62" t="s">
        <v>1243</v>
      </c>
      <c r="E217" s="62" t="s">
        <v>1253</v>
      </c>
      <c r="F217" s="62" t="s">
        <v>1254</v>
      </c>
    </row>
    <row r="218" spans="1:6" ht="15.75" customHeight="1" x14ac:dyDescent="0.25">
      <c r="A218" s="62">
        <v>221</v>
      </c>
      <c r="B218" s="62">
        <v>21</v>
      </c>
      <c r="C218" s="62" t="s">
        <v>1246</v>
      </c>
      <c r="D218" s="62" t="s">
        <v>1258</v>
      </c>
      <c r="E218" s="62" t="s">
        <v>1250</v>
      </c>
      <c r="F218" s="62" t="s">
        <v>1249</v>
      </c>
    </row>
    <row r="219" spans="1:6" ht="15.75" customHeight="1" x14ac:dyDescent="0.25">
      <c r="A219" s="62">
        <v>222</v>
      </c>
      <c r="B219" s="62">
        <v>21</v>
      </c>
      <c r="C219" s="62" t="s">
        <v>1252</v>
      </c>
      <c r="D219" s="62" t="s">
        <v>1260</v>
      </c>
      <c r="E219" s="62" t="s">
        <v>1250</v>
      </c>
      <c r="F219" s="62" t="s">
        <v>1251</v>
      </c>
    </row>
    <row r="220" spans="1:6" ht="15.75" customHeight="1" x14ac:dyDescent="0.25">
      <c r="A220" s="62">
        <v>223</v>
      </c>
      <c r="B220" s="62">
        <v>21</v>
      </c>
      <c r="C220" s="62" t="s">
        <v>1247</v>
      </c>
      <c r="D220" s="62" t="s">
        <v>1256</v>
      </c>
      <c r="E220" s="62" t="s">
        <v>1248</v>
      </c>
      <c r="F220" s="62" t="s">
        <v>1259</v>
      </c>
    </row>
    <row r="221" spans="1:6" ht="15.75" customHeight="1" x14ac:dyDescent="0.25">
      <c r="A221" s="62">
        <v>224</v>
      </c>
      <c r="B221" s="62">
        <v>23</v>
      </c>
      <c r="C221" s="62" t="s">
        <v>1246</v>
      </c>
      <c r="D221" s="62" t="s">
        <v>1243</v>
      </c>
      <c r="E221" s="62" t="s">
        <v>1253</v>
      </c>
      <c r="F221" s="62" t="s">
        <v>1251</v>
      </c>
    </row>
    <row r="222" spans="1:6" ht="15.75" customHeight="1" x14ac:dyDescent="0.25">
      <c r="A222" s="62">
        <v>225</v>
      </c>
      <c r="B222" s="62">
        <v>25</v>
      </c>
      <c r="C222" s="62" t="s">
        <v>1247</v>
      </c>
      <c r="D222" s="62" t="s">
        <v>1257</v>
      </c>
      <c r="E222" s="62" t="s">
        <v>1255</v>
      </c>
      <c r="F222" s="62" t="s">
        <v>1259</v>
      </c>
    </row>
    <row r="223" spans="1:6" ht="15.75" customHeight="1" x14ac:dyDescent="0.25">
      <c r="A223" s="62">
        <v>226</v>
      </c>
      <c r="B223" s="62">
        <v>21</v>
      </c>
      <c r="C223" s="62" t="s">
        <v>1247</v>
      </c>
      <c r="D223" s="62" t="s">
        <v>1243</v>
      </c>
      <c r="E223" s="62" t="s">
        <v>1244</v>
      </c>
      <c r="F223" s="62" t="s">
        <v>1259</v>
      </c>
    </row>
    <row r="224" spans="1:6" ht="15.75" customHeight="1" x14ac:dyDescent="0.25">
      <c r="A224" s="62">
        <v>227</v>
      </c>
      <c r="B224" s="62">
        <v>21</v>
      </c>
      <c r="C224" s="62" t="s">
        <v>1247</v>
      </c>
      <c r="D224" s="62" t="s">
        <v>1243</v>
      </c>
      <c r="E224" s="62" t="s">
        <v>1244</v>
      </c>
      <c r="F224" s="62" t="s">
        <v>1259</v>
      </c>
    </row>
    <row r="225" spans="1:6" ht="15.75" customHeight="1" x14ac:dyDescent="0.25">
      <c r="A225" s="62">
        <v>228</v>
      </c>
      <c r="B225" s="62">
        <v>19</v>
      </c>
      <c r="C225" s="62" t="s">
        <v>1252</v>
      </c>
      <c r="D225" s="62" t="s">
        <v>1243</v>
      </c>
      <c r="E225" s="62" t="s">
        <v>1255</v>
      </c>
      <c r="F225" s="62" t="s">
        <v>1249</v>
      </c>
    </row>
    <row r="226" spans="1:6" ht="15.75" customHeight="1" x14ac:dyDescent="0.25">
      <c r="A226" s="62">
        <v>229</v>
      </c>
      <c r="B226" s="62">
        <v>18</v>
      </c>
      <c r="C226" s="62" t="s">
        <v>1246</v>
      </c>
      <c r="D226" s="62" t="s">
        <v>1258</v>
      </c>
      <c r="E226" s="62" t="s">
        <v>1250</v>
      </c>
      <c r="F226" s="62" t="s">
        <v>1249</v>
      </c>
    </row>
    <row r="227" spans="1:6" ht="15.75" customHeight="1" x14ac:dyDescent="0.25">
      <c r="A227" s="62">
        <v>230</v>
      </c>
      <c r="B227" s="62">
        <v>19</v>
      </c>
      <c r="C227" s="62" t="s">
        <v>1247</v>
      </c>
      <c r="D227" s="62" t="s">
        <v>1256</v>
      </c>
      <c r="E227" s="62" t="s">
        <v>1248</v>
      </c>
      <c r="F227" s="62" t="s">
        <v>1254</v>
      </c>
    </row>
    <row r="228" spans="1:6" ht="15.75" customHeight="1" x14ac:dyDescent="0.25">
      <c r="A228" s="62">
        <v>231</v>
      </c>
      <c r="B228" s="62">
        <v>19</v>
      </c>
      <c r="C228" s="62" t="s">
        <v>1261</v>
      </c>
      <c r="D228" s="62" t="s">
        <v>1243</v>
      </c>
      <c r="E228" s="62" t="s">
        <v>1250</v>
      </c>
      <c r="F228" s="62" t="s">
        <v>1254</v>
      </c>
    </row>
    <row r="229" spans="1:6" ht="15.75" customHeight="1" x14ac:dyDescent="0.25">
      <c r="A229" s="62">
        <v>232</v>
      </c>
      <c r="B229" s="62">
        <v>18</v>
      </c>
      <c r="C229" s="62" t="s">
        <v>1252</v>
      </c>
      <c r="D229" s="62" t="s">
        <v>1257</v>
      </c>
      <c r="E229" s="62" t="s">
        <v>1250</v>
      </c>
      <c r="F229" s="62" t="s">
        <v>1254</v>
      </c>
    </row>
    <row r="230" spans="1:6" ht="15.75" customHeight="1" x14ac:dyDescent="0.25">
      <c r="A230" s="62">
        <v>233</v>
      </c>
      <c r="B230" s="62">
        <v>25</v>
      </c>
      <c r="C230" s="62" t="s">
        <v>1252</v>
      </c>
      <c r="D230" s="62" t="s">
        <v>1256</v>
      </c>
      <c r="E230" s="62" t="s">
        <v>1253</v>
      </c>
      <c r="F230" s="62" t="s">
        <v>1251</v>
      </c>
    </row>
    <row r="231" spans="1:6" ht="15.75" customHeight="1" x14ac:dyDescent="0.25">
      <c r="A231" s="62">
        <v>234</v>
      </c>
      <c r="B231" s="62">
        <v>18</v>
      </c>
      <c r="C231" s="62" t="s">
        <v>1246</v>
      </c>
      <c r="D231" s="62" t="s">
        <v>1258</v>
      </c>
      <c r="E231" s="62" t="s">
        <v>1250</v>
      </c>
      <c r="F231" s="62" t="s">
        <v>1249</v>
      </c>
    </row>
    <row r="232" spans="1:6" ht="15.75" customHeight="1" x14ac:dyDescent="0.25">
      <c r="A232" s="62">
        <v>235</v>
      </c>
      <c r="B232" s="62">
        <v>18</v>
      </c>
      <c r="C232" s="62" t="s">
        <v>1247</v>
      </c>
      <c r="D232" s="62" t="s">
        <v>1258</v>
      </c>
      <c r="E232" s="62" t="s">
        <v>1248</v>
      </c>
      <c r="F232" s="62" t="s">
        <v>1251</v>
      </c>
    </row>
    <row r="233" spans="1:6" ht="15.75" customHeight="1" x14ac:dyDescent="0.25">
      <c r="A233" s="62">
        <v>236</v>
      </c>
      <c r="B233" s="62">
        <v>21</v>
      </c>
      <c r="C233" s="62" t="s">
        <v>1252</v>
      </c>
      <c r="D233" s="62" t="s">
        <v>1243</v>
      </c>
      <c r="E233" s="62" t="s">
        <v>1255</v>
      </c>
      <c r="F233" s="62" t="s">
        <v>1245</v>
      </c>
    </row>
    <row r="234" spans="1:6" ht="15.75" customHeight="1" x14ac:dyDescent="0.25">
      <c r="A234" s="62">
        <v>237</v>
      </c>
      <c r="B234" s="62">
        <v>21</v>
      </c>
      <c r="C234" s="62" t="s">
        <v>1252</v>
      </c>
      <c r="D234" s="62" t="s">
        <v>1258</v>
      </c>
      <c r="E234" s="62" t="s">
        <v>1248</v>
      </c>
      <c r="F234" s="62" t="s">
        <v>1254</v>
      </c>
    </row>
    <row r="235" spans="1:6" ht="15.75" customHeight="1" x14ac:dyDescent="0.25">
      <c r="A235" s="62">
        <v>238</v>
      </c>
      <c r="B235" s="62">
        <v>20</v>
      </c>
      <c r="C235" s="62" t="s">
        <v>1246</v>
      </c>
      <c r="D235" s="62" t="s">
        <v>1243</v>
      </c>
      <c r="E235" s="62" t="s">
        <v>1253</v>
      </c>
      <c r="F235" s="62" t="s">
        <v>1249</v>
      </c>
    </row>
    <row r="236" spans="1:6" ht="15.75" customHeight="1" x14ac:dyDescent="0.25">
      <c r="A236" s="62">
        <v>239</v>
      </c>
      <c r="B236" s="62">
        <v>22</v>
      </c>
      <c r="C236" s="62" t="s">
        <v>1247</v>
      </c>
      <c r="D236" s="62" t="s">
        <v>1243</v>
      </c>
      <c r="E236" s="62" t="s">
        <v>1248</v>
      </c>
      <c r="F236" s="62" t="s">
        <v>1251</v>
      </c>
    </row>
    <row r="237" spans="1:6" ht="15.75" customHeight="1" x14ac:dyDescent="0.25">
      <c r="A237" s="62">
        <v>240</v>
      </c>
      <c r="B237" s="62">
        <v>19</v>
      </c>
      <c r="C237" s="62" t="s">
        <v>1247</v>
      </c>
      <c r="D237" s="62" t="s">
        <v>1243</v>
      </c>
      <c r="E237" s="62" t="s">
        <v>1248</v>
      </c>
      <c r="F237" s="62" t="s">
        <v>1251</v>
      </c>
    </row>
    <row r="238" spans="1:6" ht="15.75" customHeight="1" x14ac:dyDescent="0.25">
      <c r="A238" s="62">
        <v>241</v>
      </c>
      <c r="B238" s="62">
        <v>19</v>
      </c>
      <c r="C238" s="62" t="s">
        <v>1246</v>
      </c>
      <c r="D238" s="62" t="s">
        <v>1243</v>
      </c>
      <c r="E238" s="62" t="s">
        <v>1253</v>
      </c>
      <c r="F238" s="62" t="s">
        <v>1254</v>
      </c>
    </row>
    <row r="239" spans="1:6" ht="15.75" customHeight="1" x14ac:dyDescent="0.25">
      <c r="A239" s="62">
        <v>242</v>
      </c>
      <c r="B239" s="62">
        <v>19</v>
      </c>
      <c r="C239" s="62" t="s">
        <v>1246</v>
      </c>
      <c r="D239" s="62" t="s">
        <v>1258</v>
      </c>
      <c r="E239" s="62" t="s">
        <v>1255</v>
      </c>
      <c r="F239" s="62" t="s">
        <v>1254</v>
      </c>
    </row>
    <row r="240" spans="1:6" ht="15.75" customHeight="1" x14ac:dyDescent="0.25">
      <c r="A240" s="62">
        <v>243</v>
      </c>
      <c r="B240" s="62">
        <v>24</v>
      </c>
      <c r="C240" s="62" t="s">
        <v>1247</v>
      </c>
      <c r="D240" s="62" t="s">
        <v>1243</v>
      </c>
      <c r="E240" s="62" t="s">
        <v>1250</v>
      </c>
      <c r="F240" s="62" t="s">
        <v>1254</v>
      </c>
    </row>
    <row r="241" spans="1:6" ht="15.75" customHeight="1" x14ac:dyDescent="0.25">
      <c r="A241" s="62">
        <v>245</v>
      </c>
      <c r="B241" s="62">
        <v>22</v>
      </c>
      <c r="C241" s="62" t="s">
        <v>1247</v>
      </c>
      <c r="D241" s="62" t="s">
        <v>1243</v>
      </c>
      <c r="E241" s="62" t="s">
        <v>1248</v>
      </c>
      <c r="F241" s="62" t="s">
        <v>1249</v>
      </c>
    </row>
    <row r="242" spans="1:6" ht="15.75" customHeight="1" x14ac:dyDescent="0.25">
      <c r="A242" s="62">
        <v>246</v>
      </c>
      <c r="B242" s="62">
        <v>22</v>
      </c>
      <c r="C242" s="62" t="s">
        <v>1242</v>
      </c>
      <c r="D242" s="62" t="s">
        <v>1243</v>
      </c>
      <c r="E242" s="62" t="s">
        <v>1244</v>
      </c>
      <c r="F242" s="62" t="s">
        <v>1259</v>
      </c>
    </row>
    <row r="243" spans="1:6" ht="15.75" customHeight="1" x14ac:dyDescent="0.25">
      <c r="A243" s="62">
        <v>247</v>
      </c>
      <c r="B243" s="62">
        <v>20</v>
      </c>
      <c r="C243" s="62" t="s">
        <v>1252</v>
      </c>
      <c r="D243" s="62" t="s">
        <v>1256</v>
      </c>
      <c r="E243" s="62" t="s">
        <v>1244</v>
      </c>
      <c r="F243" s="62" t="s">
        <v>1251</v>
      </c>
    </row>
    <row r="244" spans="1:6" ht="15.75" customHeight="1" x14ac:dyDescent="0.25">
      <c r="A244" s="62">
        <v>248</v>
      </c>
      <c r="B244" s="62">
        <v>23</v>
      </c>
      <c r="C244" s="62" t="s">
        <v>1247</v>
      </c>
      <c r="D244" s="62" t="s">
        <v>1243</v>
      </c>
      <c r="E244" s="62" t="s">
        <v>1253</v>
      </c>
      <c r="F244" s="62" t="s">
        <v>1254</v>
      </c>
    </row>
    <row r="245" spans="1:6" ht="15.75" customHeight="1" x14ac:dyDescent="0.25">
      <c r="A245" s="62">
        <v>249</v>
      </c>
      <c r="B245" s="62">
        <v>19</v>
      </c>
      <c r="C245" s="62" t="s">
        <v>1246</v>
      </c>
      <c r="D245" s="62" t="s">
        <v>1243</v>
      </c>
      <c r="E245" s="62" t="s">
        <v>1253</v>
      </c>
      <c r="F245" s="62" t="s">
        <v>1254</v>
      </c>
    </row>
    <row r="246" spans="1:6" ht="15.75" customHeight="1" x14ac:dyDescent="0.25">
      <c r="A246" s="62">
        <v>250</v>
      </c>
      <c r="B246" s="62">
        <v>21</v>
      </c>
      <c r="C246" s="62" t="s">
        <v>1247</v>
      </c>
      <c r="D246" s="62" t="s">
        <v>1258</v>
      </c>
      <c r="E246" s="62" t="s">
        <v>1248</v>
      </c>
      <c r="F246" s="62" t="s">
        <v>1254</v>
      </c>
    </row>
    <row r="247" spans="1:6" ht="15.75" customHeight="1" x14ac:dyDescent="0.25">
      <c r="A247" s="62">
        <v>251</v>
      </c>
      <c r="B247" s="62">
        <v>21</v>
      </c>
      <c r="C247" s="62" t="s">
        <v>1247</v>
      </c>
      <c r="D247" s="62" t="s">
        <v>1257</v>
      </c>
      <c r="E247" s="62" t="s">
        <v>1255</v>
      </c>
      <c r="F247" s="62" t="s">
        <v>1251</v>
      </c>
    </row>
    <row r="248" spans="1:6" ht="15.75" customHeight="1" x14ac:dyDescent="0.25">
      <c r="A248" s="62">
        <v>252</v>
      </c>
      <c r="B248" s="62">
        <v>19</v>
      </c>
      <c r="C248" s="62" t="s">
        <v>1246</v>
      </c>
      <c r="D248" s="62" t="s">
        <v>1257</v>
      </c>
      <c r="E248" s="62" t="s">
        <v>1255</v>
      </c>
      <c r="F248" s="62" t="s">
        <v>1254</v>
      </c>
    </row>
    <row r="249" spans="1:6" ht="15.75" customHeight="1" x14ac:dyDescent="0.25">
      <c r="A249" s="62">
        <v>253</v>
      </c>
      <c r="B249" s="62">
        <v>18</v>
      </c>
      <c r="C249" s="62" t="s">
        <v>1247</v>
      </c>
      <c r="D249" s="62" t="s">
        <v>1257</v>
      </c>
      <c r="E249" s="62" t="s">
        <v>1248</v>
      </c>
      <c r="F249" s="62" t="s">
        <v>1254</v>
      </c>
    </row>
    <row r="250" spans="1:6" ht="15.75" customHeight="1" x14ac:dyDescent="0.25">
      <c r="A250" s="62">
        <v>254</v>
      </c>
      <c r="B250" s="62">
        <v>20</v>
      </c>
      <c r="C250" s="62" t="s">
        <v>1246</v>
      </c>
      <c r="D250" s="62" t="s">
        <v>1256</v>
      </c>
      <c r="E250" s="62" t="s">
        <v>1248</v>
      </c>
      <c r="F250" s="62" t="s">
        <v>1251</v>
      </c>
    </row>
    <row r="251" spans="1:6" ht="15.75" customHeight="1" x14ac:dyDescent="0.25">
      <c r="A251" s="62">
        <v>255</v>
      </c>
      <c r="B251" s="62">
        <v>24</v>
      </c>
      <c r="C251" s="62" t="s">
        <v>1252</v>
      </c>
      <c r="D251" s="62" t="s">
        <v>1243</v>
      </c>
      <c r="E251" s="62" t="s">
        <v>1253</v>
      </c>
      <c r="F251" s="62" t="s">
        <v>1259</v>
      </c>
    </row>
    <row r="252" spans="1:6" ht="15.75" customHeight="1" x14ac:dyDescent="0.25">
      <c r="A252" s="62">
        <v>256</v>
      </c>
      <c r="B252" s="62">
        <v>21</v>
      </c>
      <c r="C252" s="62" t="s">
        <v>1247</v>
      </c>
      <c r="D252" s="62" t="s">
        <v>1257</v>
      </c>
      <c r="E252" s="62" t="s">
        <v>1253</v>
      </c>
      <c r="F252" s="62" t="s">
        <v>1254</v>
      </c>
    </row>
    <row r="253" spans="1:6" ht="15.75" customHeight="1" x14ac:dyDescent="0.25">
      <c r="A253" s="62">
        <v>257</v>
      </c>
      <c r="B253" s="62">
        <v>21</v>
      </c>
      <c r="C253" s="62" t="s">
        <v>1247</v>
      </c>
      <c r="D253" s="62" t="s">
        <v>1243</v>
      </c>
      <c r="E253" s="62" t="s">
        <v>1244</v>
      </c>
      <c r="F253" s="62" t="s">
        <v>1254</v>
      </c>
    </row>
    <row r="254" spans="1:6" ht="15.75" customHeight="1" x14ac:dyDescent="0.25">
      <c r="A254" s="62">
        <v>258</v>
      </c>
      <c r="B254" s="62">
        <v>19</v>
      </c>
      <c r="C254" s="62" t="s">
        <v>1247</v>
      </c>
      <c r="D254" s="62" t="s">
        <v>1256</v>
      </c>
      <c r="E254" s="62" t="s">
        <v>1255</v>
      </c>
      <c r="F254" s="62" t="s">
        <v>1254</v>
      </c>
    </row>
    <row r="255" spans="1:6" ht="15.75" customHeight="1" x14ac:dyDescent="0.25">
      <c r="A255" s="62">
        <v>259</v>
      </c>
      <c r="B255" s="62">
        <v>21</v>
      </c>
      <c r="C255" s="62" t="s">
        <v>1246</v>
      </c>
      <c r="D255" s="62" t="s">
        <v>1243</v>
      </c>
      <c r="E255" s="62" t="s">
        <v>1248</v>
      </c>
      <c r="F255" s="62" t="s">
        <v>1251</v>
      </c>
    </row>
    <row r="256" spans="1:6" ht="15.75" customHeight="1" x14ac:dyDescent="0.25">
      <c r="A256" s="62">
        <v>260</v>
      </c>
      <c r="B256" s="62">
        <v>19</v>
      </c>
      <c r="C256" s="62" t="s">
        <v>1252</v>
      </c>
      <c r="D256" s="62" t="s">
        <v>1243</v>
      </c>
      <c r="E256" s="62" t="s">
        <v>1255</v>
      </c>
      <c r="F256" s="62" t="s">
        <v>1251</v>
      </c>
    </row>
    <row r="257" spans="1:6" ht="15.75" customHeight="1" x14ac:dyDescent="0.25">
      <c r="A257" s="62">
        <v>261</v>
      </c>
      <c r="B257" s="62">
        <v>18</v>
      </c>
      <c r="C257" s="62" t="s">
        <v>1247</v>
      </c>
      <c r="D257" s="62" t="s">
        <v>1258</v>
      </c>
      <c r="E257" s="62" t="s">
        <v>1255</v>
      </c>
      <c r="F257" s="62" t="s">
        <v>1254</v>
      </c>
    </row>
    <row r="258" spans="1:6" ht="15.75" customHeight="1" x14ac:dyDescent="0.25">
      <c r="A258" s="62">
        <v>262</v>
      </c>
      <c r="B258" s="62">
        <v>21</v>
      </c>
      <c r="C258" s="62" t="s">
        <v>1247</v>
      </c>
      <c r="D258" s="62" t="s">
        <v>1243</v>
      </c>
      <c r="E258" s="62" t="s">
        <v>1253</v>
      </c>
      <c r="F258" s="62" t="s">
        <v>1254</v>
      </c>
    </row>
    <row r="259" spans="1:6" ht="15.75" customHeight="1" x14ac:dyDescent="0.25">
      <c r="A259" s="62">
        <v>263</v>
      </c>
      <c r="B259" s="62">
        <v>22</v>
      </c>
      <c r="C259" s="62" t="s">
        <v>1246</v>
      </c>
      <c r="D259" s="62" t="s">
        <v>1257</v>
      </c>
      <c r="E259" s="62" t="s">
        <v>1244</v>
      </c>
      <c r="F259" s="62" t="s">
        <v>1254</v>
      </c>
    </row>
    <row r="260" spans="1:6" ht="15.75" customHeight="1" x14ac:dyDescent="0.25">
      <c r="A260" s="62">
        <v>265</v>
      </c>
      <c r="B260" s="62">
        <v>23</v>
      </c>
      <c r="C260" s="62" t="s">
        <v>1261</v>
      </c>
      <c r="D260" s="62" t="s">
        <v>1257</v>
      </c>
      <c r="E260" s="62" t="s">
        <v>1248</v>
      </c>
      <c r="F260" s="62" t="s">
        <v>1249</v>
      </c>
    </row>
    <row r="261" spans="1:6" ht="15.75" customHeight="1" x14ac:dyDescent="0.25">
      <c r="A261" s="62">
        <v>220</v>
      </c>
      <c r="B261" s="62">
        <v>24</v>
      </c>
      <c r="C261" s="62" t="s">
        <v>1247</v>
      </c>
      <c r="D261" s="62" t="s">
        <v>1243</v>
      </c>
      <c r="E261" s="62" t="s">
        <v>1248</v>
      </c>
      <c r="F261" s="62" t="s">
        <v>1254</v>
      </c>
    </row>
    <row r="262" spans="1:6" ht="15.75" customHeight="1" x14ac:dyDescent="0.25">
      <c r="A262" s="62">
        <v>266</v>
      </c>
      <c r="B262" s="62">
        <v>24</v>
      </c>
      <c r="C262" s="62" t="s">
        <v>1247</v>
      </c>
      <c r="D262" s="62" t="s">
        <v>1243</v>
      </c>
      <c r="E262" s="62" t="s">
        <v>1253</v>
      </c>
      <c r="F262" s="62" t="s">
        <v>1254</v>
      </c>
    </row>
    <row r="263" spans="1:6" ht="15.75" customHeight="1" x14ac:dyDescent="0.25">
      <c r="A263" s="62">
        <v>267</v>
      </c>
      <c r="B263" s="62">
        <v>22</v>
      </c>
      <c r="C263" s="62" t="s">
        <v>1246</v>
      </c>
      <c r="D263" s="62" t="s">
        <v>1243</v>
      </c>
      <c r="E263" s="62" t="s">
        <v>1253</v>
      </c>
      <c r="F263" s="62" t="s">
        <v>1245</v>
      </c>
    </row>
    <row r="264" spans="1:6" ht="15.75" customHeight="1" x14ac:dyDescent="0.25">
      <c r="A264" s="62">
        <v>268</v>
      </c>
      <c r="B264" s="62">
        <v>20</v>
      </c>
      <c r="C264" s="62" t="s">
        <v>1247</v>
      </c>
      <c r="D264" s="62" t="s">
        <v>1243</v>
      </c>
      <c r="E264" s="62" t="s">
        <v>1248</v>
      </c>
      <c r="F264" s="62" t="s">
        <v>1249</v>
      </c>
    </row>
    <row r="265" spans="1:6" ht="15.75" customHeight="1" x14ac:dyDescent="0.25">
      <c r="A265" s="62">
        <v>269</v>
      </c>
      <c r="B265" s="62">
        <v>21</v>
      </c>
      <c r="C265" s="62" t="s">
        <v>1247</v>
      </c>
      <c r="D265" s="62" t="s">
        <v>1243</v>
      </c>
      <c r="E265" s="62" t="s">
        <v>1248</v>
      </c>
      <c r="F265" s="62" t="s">
        <v>1251</v>
      </c>
    </row>
    <row r="266" spans="1:6" ht="15.75" customHeight="1" x14ac:dyDescent="0.25">
      <c r="A266" s="62">
        <v>270</v>
      </c>
      <c r="B266" s="62">
        <v>19</v>
      </c>
      <c r="C266" s="62" t="s">
        <v>1246</v>
      </c>
      <c r="D266" s="62" t="s">
        <v>1257</v>
      </c>
      <c r="E266" s="62" t="s">
        <v>1253</v>
      </c>
      <c r="F266" s="62" t="s">
        <v>1254</v>
      </c>
    </row>
    <row r="267" spans="1:6" ht="15.75" customHeight="1" x14ac:dyDescent="0.25">
      <c r="A267" s="62">
        <v>271</v>
      </c>
      <c r="B267" s="62">
        <v>21</v>
      </c>
      <c r="C267" s="62" t="s">
        <v>1252</v>
      </c>
      <c r="D267" s="62" t="s">
        <v>1256</v>
      </c>
      <c r="E267" s="62" t="s">
        <v>1248</v>
      </c>
      <c r="F267" s="62" t="s">
        <v>1245</v>
      </c>
    </row>
    <row r="268" spans="1:6" ht="15.75" customHeight="1" x14ac:dyDescent="0.25">
      <c r="A268" s="62">
        <v>272</v>
      </c>
      <c r="B268" s="62">
        <v>25</v>
      </c>
      <c r="C268" s="62" t="s">
        <v>1261</v>
      </c>
      <c r="D268" s="62" t="s">
        <v>1256</v>
      </c>
      <c r="E268" s="62" t="s">
        <v>1248</v>
      </c>
      <c r="F268" s="62" t="s">
        <v>1245</v>
      </c>
    </row>
    <row r="269" spans="1:6" ht="15.75" customHeight="1" x14ac:dyDescent="0.25">
      <c r="A269" s="62">
        <v>273</v>
      </c>
      <c r="B269" s="62">
        <v>21</v>
      </c>
      <c r="C269" s="62" t="s">
        <v>1247</v>
      </c>
      <c r="D269" s="62" t="s">
        <v>1243</v>
      </c>
      <c r="E269" s="62" t="s">
        <v>1253</v>
      </c>
      <c r="F269" s="62" t="s">
        <v>1249</v>
      </c>
    </row>
    <row r="270" spans="1:6" ht="15.75" customHeight="1" x14ac:dyDescent="0.25">
      <c r="A270" s="62">
        <v>274</v>
      </c>
      <c r="B270" s="62">
        <v>21</v>
      </c>
      <c r="C270" s="62" t="s">
        <v>1247</v>
      </c>
      <c r="D270" s="62" t="s">
        <v>1243</v>
      </c>
      <c r="E270" s="62" t="s">
        <v>1250</v>
      </c>
      <c r="F270" s="62" t="s">
        <v>1245</v>
      </c>
    </row>
    <row r="271" spans="1:6" ht="15.75" customHeight="1" x14ac:dyDescent="0.25">
      <c r="A271" s="62">
        <v>275</v>
      </c>
      <c r="B271" s="62">
        <v>21</v>
      </c>
      <c r="C271" s="62" t="s">
        <v>1252</v>
      </c>
      <c r="D271" s="62" t="s">
        <v>1243</v>
      </c>
      <c r="E271" s="62" t="s">
        <v>1253</v>
      </c>
      <c r="F271" s="62" t="s">
        <v>1254</v>
      </c>
    </row>
    <row r="272" spans="1:6" ht="15.75" customHeight="1" x14ac:dyDescent="0.25">
      <c r="A272" s="62">
        <v>276</v>
      </c>
      <c r="B272" s="62">
        <v>21</v>
      </c>
      <c r="C272" s="62" t="s">
        <v>1247</v>
      </c>
      <c r="D272" s="62" t="s">
        <v>1243</v>
      </c>
      <c r="E272" s="62" t="s">
        <v>1253</v>
      </c>
      <c r="F272" s="62" t="s">
        <v>1245</v>
      </c>
    </row>
    <row r="273" spans="1:6" ht="15.75" customHeight="1" x14ac:dyDescent="0.25">
      <c r="A273" s="62">
        <v>277</v>
      </c>
      <c r="B273" s="62">
        <v>21</v>
      </c>
      <c r="C273" s="62" t="s">
        <v>1246</v>
      </c>
      <c r="D273" s="62" t="s">
        <v>1243</v>
      </c>
      <c r="E273" s="62" t="s">
        <v>1253</v>
      </c>
      <c r="F273" s="62" t="s">
        <v>1251</v>
      </c>
    </row>
    <row r="274" spans="1:6" ht="15.75" customHeight="1" x14ac:dyDescent="0.25">
      <c r="A274" s="62">
        <v>278</v>
      </c>
      <c r="B274" s="62">
        <v>25</v>
      </c>
      <c r="C274" s="62" t="s">
        <v>1252</v>
      </c>
      <c r="D274" s="62" t="s">
        <v>1243</v>
      </c>
      <c r="E274" s="62" t="s">
        <v>1253</v>
      </c>
      <c r="F274" s="62" t="s">
        <v>1249</v>
      </c>
    </row>
    <row r="275" spans="1:6" ht="15.75" customHeight="1" x14ac:dyDescent="0.25">
      <c r="A275" s="62">
        <v>279</v>
      </c>
      <c r="B275" s="62">
        <v>18</v>
      </c>
      <c r="C275" s="62" t="s">
        <v>1246</v>
      </c>
      <c r="D275" s="62" t="s">
        <v>1243</v>
      </c>
      <c r="E275" s="62" t="s">
        <v>1255</v>
      </c>
      <c r="F275" s="62" t="s">
        <v>1251</v>
      </c>
    </row>
    <row r="276" spans="1:6" ht="15.75" customHeight="1" x14ac:dyDescent="0.25">
      <c r="A276" s="62">
        <v>280</v>
      </c>
      <c r="B276" s="62">
        <v>19</v>
      </c>
      <c r="C276" s="62" t="s">
        <v>1247</v>
      </c>
      <c r="D276" s="62" t="s">
        <v>1256</v>
      </c>
      <c r="E276" s="62" t="s">
        <v>1248</v>
      </c>
      <c r="F276" s="62" t="s">
        <v>1254</v>
      </c>
    </row>
    <row r="277" spans="1:6" ht="15.75" customHeight="1" x14ac:dyDescent="0.25">
      <c r="A277" s="62">
        <v>281</v>
      </c>
      <c r="B277" s="62">
        <v>19</v>
      </c>
      <c r="C277" s="62" t="s">
        <v>1247</v>
      </c>
      <c r="D277" s="62" t="s">
        <v>1243</v>
      </c>
      <c r="E277" s="62" t="s">
        <v>1248</v>
      </c>
      <c r="F277" s="62" t="s">
        <v>1259</v>
      </c>
    </row>
    <row r="278" spans="1:6" ht="15.75" customHeight="1" x14ac:dyDescent="0.25">
      <c r="A278" s="62">
        <v>282</v>
      </c>
      <c r="B278" s="62">
        <v>20</v>
      </c>
      <c r="C278" s="62" t="s">
        <v>1246</v>
      </c>
      <c r="D278" s="62" t="s">
        <v>1243</v>
      </c>
      <c r="E278" s="62" t="s">
        <v>1253</v>
      </c>
      <c r="F278" s="62" t="s">
        <v>1251</v>
      </c>
    </row>
    <row r="279" spans="1:6" ht="15.75" customHeight="1" x14ac:dyDescent="0.25">
      <c r="A279" s="62">
        <v>283</v>
      </c>
      <c r="B279" s="62">
        <v>23</v>
      </c>
      <c r="C279" s="62" t="s">
        <v>1246</v>
      </c>
      <c r="D279" s="62" t="s">
        <v>1243</v>
      </c>
      <c r="E279" s="62" t="s">
        <v>1250</v>
      </c>
      <c r="F279" s="62" t="s">
        <v>1251</v>
      </c>
    </row>
    <row r="280" spans="1:6" ht="15.75" customHeight="1" x14ac:dyDescent="0.25">
      <c r="A280" s="62">
        <v>284</v>
      </c>
      <c r="B280" s="62">
        <v>18</v>
      </c>
      <c r="C280" s="62" t="s">
        <v>1247</v>
      </c>
      <c r="D280" s="62" t="s">
        <v>1256</v>
      </c>
      <c r="E280" s="62" t="s">
        <v>1244</v>
      </c>
      <c r="F280" s="62" t="s">
        <v>1254</v>
      </c>
    </row>
    <row r="281" spans="1:6" ht="15.75" customHeight="1" x14ac:dyDescent="0.25">
      <c r="A281" s="62">
        <v>286</v>
      </c>
      <c r="B281" s="62">
        <v>19</v>
      </c>
      <c r="C281" s="62" t="s">
        <v>1247</v>
      </c>
      <c r="D281" s="62" t="s">
        <v>1243</v>
      </c>
      <c r="E281" s="62" t="s">
        <v>1253</v>
      </c>
      <c r="F281" s="62" t="s">
        <v>1249</v>
      </c>
    </row>
    <row r="282" spans="1:6" ht="15.75" customHeight="1" x14ac:dyDescent="0.25">
      <c r="A282" s="62">
        <v>287</v>
      </c>
      <c r="B282" s="62">
        <v>18</v>
      </c>
      <c r="C282" s="62" t="s">
        <v>1242</v>
      </c>
      <c r="D282" s="62" t="s">
        <v>1243</v>
      </c>
      <c r="E282" s="62" t="s">
        <v>1250</v>
      </c>
      <c r="F282" s="62" t="s">
        <v>1249</v>
      </c>
    </row>
    <row r="283" spans="1:6" ht="15.75" customHeight="1" x14ac:dyDescent="0.25">
      <c r="A283" s="62">
        <v>288</v>
      </c>
      <c r="B283" s="62">
        <v>21</v>
      </c>
      <c r="C283" s="62" t="s">
        <v>1247</v>
      </c>
      <c r="D283" s="62" t="s">
        <v>1243</v>
      </c>
      <c r="E283" s="62" t="s">
        <v>1248</v>
      </c>
      <c r="F283" s="62" t="s">
        <v>1251</v>
      </c>
    </row>
    <row r="284" spans="1:6" ht="15.75" customHeight="1" x14ac:dyDescent="0.25">
      <c r="A284" s="62">
        <v>289</v>
      </c>
      <c r="B284" s="62">
        <v>24</v>
      </c>
      <c r="C284" s="62" t="s">
        <v>1247</v>
      </c>
      <c r="D284" s="62" t="s">
        <v>1256</v>
      </c>
      <c r="E284" s="62" t="s">
        <v>1248</v>
      </c>
      <c r="F284" s="62" t="s">
        <v>1249</v>
      </c>
    </row>
    <row r="285" spans="1:6" ht="15.75" customHeight="1" x14ac:dyDescent="0.25">
      <c r="A285" s="62">
        <v>290</v>
      </c>
      <c r="B285" s="62">
        <v>25</v>
      </c>
      <c r="C285" s="62" t="s">
        <v>1247</v>
      </c>
      <c r="D285" s="62" t="s">
        <v>1243</v>
      </c>
      <c r="E285" s="62" t="s">
        <v>1244</v>
      </c>
      <c r="F285" s="62" t="s">
        <v>1254</v>
      </c>
    </row>
    <row r="286" spans="1:6" ht="15.75" customHeight="1" x14ac:dyDescent="0.25">
      <c r="A286" s="62">
        <v>291</v>
      </c>
      <c r="B286" s="62">
        <v>19</v>
      </c>
      <c r="C286" s="62" t="s">
        <v>1242</v>
      </c>
      <c r="D286" s="62" t="s">
        <v>1243</v>
      </c>
      <c r="E286" s="62" t="s">
        <v>1250</v>
      </c>
      <c r="F286" s="62" t="s">
        <v>1254</v>
      </c>
    </row>
    <row r="287" spans="1:6" ht="15.75" customHeight="1" x14ac:dyDescent="0.25">
      <c r="A287" s="62">
        <v>292</v>
      </c>
      <c r="B287" s="62">
        <v>19</v>
      </c>
      <c r="C287" s="62" t="s">
        <v>1247</v>
      </c>
      <c r="D287" s="62" t="s">
        <v>1243</v>
      </c>
      <c r="E287" s="62" t="s">
        <v>1253</v>
      </c>
      <c r="F287" s="62" t="s">
        <v>1254</v>
      </c>
    </row>
    <row r="288" spans="1:6" ht="15.75" customHeight="1" x14ac:dyDescent="0.25">
      <c r="A288" s="62">
        <v>293</v>
      </c>
      <c r="B288" s="62">
        <v>21</v>
      </c>
      <c r="C288" s="62" t="s">
        <v>1246</v>
      </c>
      <c r="D288" s="62" t="s">
        <v>1260</v>
      </c>
      <c r="E288" s="62" t="s">
        <v>1253</v>
      </c>
      <c r="F288" s="62" t="s">
        <v>1251</v>
      </c>
    </row>
    <row r="289" spans="1:6" ht="15.75" customHeight="1" x14ac:dyDescent="0.25">
      <c r="A289" s="62">
        <v>294</v>
      </c>
      <c r="B289" s="62">
        <v>22</v>
      </c>
      <c r="C289" s="62" t="s">
        <v>1247</v>
      </c>
      <c r="D289" s="62" t="s">
        <v>1260</v>
      </c>
      <c r="E289" s="62" t="s">
        <v>1253</v>
      </c>
      <c r="F289" s="62" t="s">
        <v>1251</v>
      </c>
    </row>
    <row r="290" spans="1:6" ht="15.75" customHeight="1" x14ac:dyDescent="0.25">
      <c r="A290" s="62">
        <v>295</v>
      </c>
      <c r="B290" s="62">
        <v>24</v>
      </c>
      <c r="C290" s="62" t="s">
        <v>1247</v>
      </c>
      <c r="D290" s="62" t="s">
        <v>1243</v>
      </c>
      <c r="E290" s="62" t="s">
        <v>1250</v>
      </c>
      <c r="F290" s="62" t="s">
        <v>1254</v>
      </c>
    </row>
    <row r="291" spans="1:6" ht="15.75" customHeight="1" x14ac:dyDescent="0.25">
      <c r="A291" s="62">
        <v>296</v>
      </c>
      <c r="B291" s="62">
        <v>19</v>
      </c>
      <c r="C291" s="62" t="s">
        <v>1247</v>
      </c>
      <c r="D291" s="62" t="s">
        <v>1243</v>
      </c>
      <c r="E291" s="62" t="s">
        <v>1248</v>
      </c>
      <c r="F291" s="62" t="s">
        <v>1251</v>
      </c>
    </row>
    <row r="292" spans="1:6" ht="15.75" customHeight="1" x14ac:dyDescent="0.25">
      <c r="A292" s="62">
        <v>297</v>
      </c>
      <c r="B292" s="62">
        <v>24</v>
      </c>
      <c r="C292" s="62" t="s">
        <v>1246</v>
      </c>
      <c r="D292" s="62" t="s">
        <v>1243</v>
      </c>
      <c r="E292" s="62" t="s">
        <v>1250</v>
      </c>
      <c r="F292" s="62" t="s">
        <v>1251</v>
      </c>
    </row>
    <row r="293" spans="1:6" ht="15.75" customHeight="1" x14ac:dyDescent="0.25">
      <c r="A293" s="62">
        <v>298</v>
      </c>
      <c r="B293" s="62">
        <v>19</v>
      </c>
      <c r="C293" s="62" t="s">
        <v>1252</v>
      </c>
      <c r="D293" s="62" t="s">
        <v>1243</v>
      </c>
      <c r="E293" s="62" t="s">
        <v>1253</v>
      </c>
      <c r="F293" s="62" t="s">
        <v>1259</v>
      </c>
    </row>
    <row r="294" spans="1:6" ht="15.75" customHeight="1" x14ac:dyDescent="0.25">
      <c r="A294" s="62">
        <v>299</v>
      </c>
      <c r="B294" s="62">
        <v>23</v>
      </c>
      <c r="C294" s="62" t="s">
        <v>1246</v>
      </c>
      <c r="D294" s="62" t="s">
        <v>1243</v>
      </c>
      <c r="E294" s="62" t="s">
        <v>1248</v>
      </c>
      <c r="F294" s="62" t="s">
        <v>1251</v>
      </c>
    </row>
    <row r="295" spans="1:6" ht="15.75" customHeight="1" x14ac:dyDescent="0.25">
      <c r="A295" s="62">
        <v>300</v>
      </c>
      <c r="B295" s="62">
        <v>20</v>
      </c>
      <c r="C295" s="62" t="s">
        <v>1247</v>
      </c>
      <c r="D295" s="62" t="s">
        <v>1243</v>
      </c>
      <c r="E295" s="62" t="s">
        <v>1253</v>
      </c>
      <c r="F295" s="62" t="s">
        <v>1254</v>
      </c>
    </row>
    <row r="296" spans="1:6" ht="15.75" customHeight="1" x14ac:dyDescent="0.25">
      <c r="A296" s="62">
        <v>301</v>
      </c>
      <c r="B296" s="62">
        <v>18</v>
      </c>
      <c r="C296" s="62" t="s">
        <v>1246</v>
      </c>
      <c r="D296" s="62" t="s">
        <v>1257</v>
      </c>
      <c r="E296" s="62" t="s">
        <v>1248</v>
      </c>
      <c r="F296" s="62" t="s">
        <v>1251</v>
      </c>
    </row>
    <row r="297" spans="1:6" ht="15.75" customHeight="1" x14ac:dyDescent="0.25">
      <c r="A297" s="62">
        <v>302</v>
      </c>
      <c r="B297" s="62">
        <v>25</v>
      </c>
      <c r="C297" s="62" t="s">
        <v>1242</v>
      </c>
      <c r="D297" s="62" t="s">
        <v>1260</v>
      </c>
      <c r="E297" s="62" t="s">
        <v>1248</v>
      </c>
      <c r="F297" s="62" t="s">
        <v>1254</v>
      </c>
    </row>
    <row r="298" spans="1:6" ht="15.75" customHeight="1" x14ac:dyDescent="0.25">
      <c r="A298" s="62">
        <v>303</v>
      </c>
      <c r="B298" s="62">
        <v>18</v>
      </c>
      <c r="C298" s="62" t="s">
        <v>1246</v>
      </c>
      <c r="D298" s="62" t="s">
        <v>1260</v>
      </c>
      <c r="E298" s="62" t="s">
        <v>1248</v>
      </c>
      <c r="F298" s="62" t="s">
        <v>1251</v>
      </c>
    </row>
    <row r="299" spans="1:6" ht="15.75" customHeight="1" x14ac:dyDescent="0.25">
      <c r="A299" s="62">
        <v>304</v>
      </c>
      <c r="B299" s="62">
        <v>20</v>
      </c>
      <c r="C299" s="62" t="s">
        <v>1246</v>
      </c>
      <c r="D299" s="62" t="s">
        <v>1258</v>
      </c>
      <c r="E299" s="62" t="s">
        <v>1248</v>
      </c>
      <c r="F299" s="62" t="s">
        <v>1254</v>
      </c>
    </row>
    <row r="300" spans="1:6" ht="15.75" customHeight="1" x14ac:dyDescent="0.25"/>
    <row r="301" spans="1:6" ht="15.75" customHeight="1" x14ac:dyDescent="0.25"/>
    <row r="302" spans="1:6" ht="15.75" customHeight="1" x14ac:dyDescent="0.25"/>
    <row r="303" spans="1:6" ht="15.75" customHeight="1" x14ac:dyDescent="0.25"/>
    <row r="304" spans="1: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2:F299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00"/>
  <sheetViews>
    <sheetView workbookViewId="0"/>
  </sheetViews>
  <sheetFormatPr defaultColWidth="11.25" defaultRowHeight="15" customHeight="1" x14ac:dyDescent="0.25"/>
  <cols>
    <col min="1" max="1" width="17.25" customWidth="1"/>
    <col min="2" max="2" width="8.875" customWidth="1"/>
    <col min="3" max="5" width="8" customWidth="1"/>
    <col min="6" max="6" width="6.375" customWidth="1"/>
    <col min="7" max="7" width="8.375" customWidth="1"/>
    <col min="8" max="8" width="22.375" customWidth="1"/>
    <col min="9" max="9" width="8" customWidth="1"/>
    <col min="10" max="16" width="10.375" customWidth="1"/>
    <col min="17" max="17" width="12.875" customWidth="1"/>
    <col min="18" max="18" width="14" customWidth="1"/>
    <col min="19" max="19" width="21.625" customWidth="1"/>
    <col min="20" max="26" width="8.5" customWidth="1"/>
  </cols>
  <sheetData>
    <row r="1" spans="1:16" ht="15.75" customHeight="1" x14ac:dyDescent="0.25">
      <c r="A1" s="105" t="s">
        <v>1238</v>
      </c>
      <c r="B1" s="106" t="s">
        <v>1292</v>
      </c>
    </row>
    <row r="2" spans="1:16" ht="15.75" customHeight="1" x14ac:dyDescent="0.25"/>
    <row r="3" spans="1:16" ht="15.75" customHeight="1" x14ac:dyDescent="0.25">
      <c r="A3" s="88" t="s">
        <v>1262</v>
      </c>
      <c r="B3" s="88" t="s">
        <v>1240</v>
      </c>
      <c r="C3" s="89"/>
      <c r="D3" s="89"/>
      <c r="E3" s="89"/>
      <c r="F3" s="89"/>
      <c r="G3" s="90"/>
    </row>
    <row r="4" spans="1:16" ht="15.75" customHeight="1" x14ac:dyDescent="0.25">
      <c r="A4" s="88" t="s">
        <v>1239</v>
      </c>
      <c r="B4" s="91" t="s">
        <v>1244</v>
      </c>
      <c r="C4" s="92" t="s">
        <v>1255</v>
      </c>
      <c r="D4" s="92" t="s">
        <v>1248</v>
      </c>
      <c r="E4" s="92" t="s">
        <v>1253</v>
      </c>
      <c r="F4" s="92" t="s">
        <v>1250</v>
      </c>
      <c r="G4" s="93" t="s">
        <v>1264</v>
      </c>
      <c r="J4" s="71" t="s">
        <v>1263</v>
      </c>
      <c r="K4" s="71" t="s">
        <v>1244</v>
      </c>
      <c r="L4" s="71" t="s">
        <v>1255</v>
      </c>
      <c r="M4" s="71" t="s">
        <v>1248</v>
      </c>
      <c r="N4" s="71" t="s">
        <v>1253</v>
      </c>
      <c r="O4" s="71" t="s">
        <v>1250</v>
      </c>
      <c r="P4" s="71" t="s">
        <v>1264</v>
      </c>
    </row>
    <row r="5" spans="1:16" ht="15.75" customHeight="1" x14ac:dyDescent="0.25">
      <c r="A5" s="91" t="s">
        <v>1256</v>
      </c>
      <c r="B5" s="134">
        <v>4</v>
      </c>
      <c r="C5" s="135">
        <v>3</v>
      </c>
      <c r="D5" s="135">
        <v>6</v>
      </c>
      <c r="E5" s="135">
        <v>2</v>
      </c>
      <c r="F5" s="135">
        <v>3</v>
      </c>
      <c r="G5" s="136">
        <v>18</v>
      </c>
      <c r="J5" s="72" t="s">
        <v>1256</v>
      </c>
      <c r="K5" s="62">
        <v>4</v>
      </c>
      <c r="L5" s="62">
        <v>3</v>
      </c>
      <c r="M5" s="62">
        <v>6</v>
      </c>
      <c r="N5" s="62">
        <v>2</v>
      </c>
      <c r="O5" s="62">
        <v>3</v>
      </c>
      <c r="P5" s="62">
        <v>18</v>
      </c>
    </row>
    <row r="6" spans="1:16" ht="15.75" customHeight="1" x14ac:dyDescent="0.25">
      <c r="A6" s="97" t="s">
        <v>1257</v>
      </c>
      <c r="B6" s="137">
        <v>2</v>
      </c>
      <c r="C6" s="138">
        <v>1</v>
      </c>
      <c r="D6" s="138">
        <v>9</v>
      </c>
      <c r="E6" s="138">
        <v>5</v>
      </c>
      <c r="F6" s="138">
        <v>3</v>
      </c>
      <c r="G6" s="139">
        <v>20</v>
      </c>
      <c r="J6" s="72" t="s">
        <v>1257</v>
      </c>
      <c r="K6" s="62">
        <v>2</v>
      </c>
      <c r="L6" s="62">
        <v>1</v>
      </c>
      <c r="M6" s="62">
        <v>9</v>
      </c>
      <c r="N6" s="62">
        <v>5</v>
      </c>
      <c r="O6" s="62">
        <v>3</v>
      </c>
      <c r="P6" s="62">
        <v>20</v>
      </c>
    </row>
    <row r="7" spans="1:16" ht="15.75" customHeight="1" x14ac:dyDescent="0.25">
      <c r="A7" s="97" t="s">
        <v>1258</v>
      </c>
      <c r="B7" s="137">
        <v>1</v>
      </c>
      <c r="C7" s="138">
        <v>3</v>
      </c>
      <c r="D7" s="138">
        <v>4</v>
      </c>
      <c r="E7" s="138">
        <v>2</v>
      </c>
      <c r="F7" s="138">
        <v>6</v>
      </c>
      <c r="G7" s="139">
        <v>16</v>
      </c>
      <c r="J7" s="72" t="s">
        <v>1258</v>
      </c>
      <c r="K7" s="62">
        <v>1</v>
      </c>
      <c r="L7" s="62">
        <v>3</v>
      </c>
      <c r="M7" s="62">
        <v>4</v>
      </c>
      <c r="N7" s="62">
        <v>2</v>
      </c>
      <c r="O7" s="62">
        <v>6</v>
      </c>
      <c r="P7" s="62">
        <v>16</v>
      </c>
    </row>
    <row r="8" spans="1:16" ht="15.75" customHeight="1" x14ac:dyDescent="0.25">
      <c r="A8" s="97" t="s">
        <v>1260</v>
      </c>
      <c r="B8" s="137">
        <v>2</v>
      </c>
      <c r="C8" s="138"/>
      <c r="D8" s="138">
        <v>5</v>
      </c>
      <c r="E8" s="138">
        <v>2</v>
      </c>
      <c r="F8" s="138">
        <v>2</v>
      </c>
      <c r="G8" s="139">
        <v>11</v>
      </c>
      <c r="J8" s="72" t="s">
        <v>1260</v>
      </c>
      <c r="K8" s="62">
        <v>2</v>
      </c>
      <c r="M8" s="62">
        <v>5</v>
      </c>
      <c r="N8" s="62">
        <v>2</v>
      </c>
      <c r="O8" s="62">
        <v>2</v>
      </c>
      <c r="P8" s="62">
        <v>11</v>
      </c>
    </row>
    <row r="9" spans="1:16" ht="15.75" customHeight="1" x14ac:dyDescent="0.25">
      <c r="A9" s="97" t="s">
        <v>1243</v>
      </c>
      <c r="B9" s="137">
        <v>4</v>
      </c>
      <c r="C9" s="138">
        <v>12</v>
      </c>
      <c r="D9" s="138">
        <v>24</v>
      </c>
      <c r="E9" s="138">
        <v>32</v>
      </c>
      <c r="F9" s="138">
        <v>8</v>
      </c>
      <c r="G9" s="139">
        <v>80</v>
      </c>
      <c r="J9" s="72" t="s">
        <v>1243</v>
      </c>
      <c r="K9" s="62">
        <v>4</v>
      </c>
      <c r="L9" s="62">
        <v>12</v>
      </c>
      <c r="M9" s="62">
        <v>24</v>
      </c>
      <c r="N9" s="62">
        <v>32</v>
      </c>
      <c r="O9" s="62">
        <v>8</v>
      </c>
      <c r="P9" s="62">
        <v>80</v>
      </c>
    </row>
    <row r="10" spans="1:16" ht="15.75" customHeight="1" x14ac:dyDescent="0.25">
      <c r="A10" s="101" t="s">
        <v>1264</v>
      </c>
      <c r="B10" s="140">
        <v>13</v>
      </c>
      <c r="C10" s="141">
        <v>19</v>
      </c>
      <c r="D10" s="141">
        <v>48</v>
      </c>
      <c r="E10" s="141">
        <v>43</v>
      </c>
      <c r="F10" s="141">
        <v>22</v>
      </c>
      <c r="G10" s="142">
        <v>145</v>
      </c>
      <c r="J10" s="73" t="s">
        <v>1264</v>
      </c>
      <c r="K10" s="74">
        <v>13</v>
      </c>
      <c r="L10" s="74">
        <v>19</v>
      </c>
      <c r="M10" s="74">
        <v>48</v>
      </c>
      <c r="N10" s="74">
        <v>43</v>
      </c>
      <c r="O10" s="74">
        <v>22</v>
      </c>
      <c r="P10" s="74">
        <v>145</v>
      </c>
    </row>
    <row r="11" spans="1:16" ht="15.75" customHeight="1" x14ac:dyDescent="0.25"/>
    <row r="12" spans="1:16" ht="15.75" customHeight="1" x14ac:dyDescent="0.25">
      <c r="J12" s="71" t="s">
        <v>1263</v>
      </c>
      <c r="K12" s="71" t="s">
        <v>1244</v>
      </c>
      <c r="L12" s="71" t="s">
        <v>1255</v>
      </c>
      <c r="M12" s="71" t="s">
        <v>1248</v>
      </c>
      <c r="N12" s="71" t="s">
        <v>1253</v>
      </c>
      <c r="O12" s="71" t="s">
        <v>1250</v>
      </c>
      <c r="P12" s="71" t="s">
        <v>1264</v>
      </c>
    </row>
    <row r="13" spans="1:16" ht="15.75" customHeight="1" x14ac:dyDescent="0.25">
      <c r="J13" s="71" t="s">
        <v>1265</v>
      </c>
      <c r="K13" s="75">
        <f t="shared" ref="K13:P13" si="0">K9/$P$10</f>
        <v>2.7586206896551724E-2</v>
      </c>
      <c r="L13" s="75">
        <f t="shared" si="0"/>
        <v>8.2758620689655171E-2</v>
      </c>
      <c r="M13" s="75">
        <f t="shared" si="0"/>
        <v>0.16551724137931034</v>
      </c>
      <c r="N13" s="75">
        <f t="shared" si="0"/>
        <v>0.22068965517241379</v>
      </c>
      <c r="O13" s="75">
        <f t="shared" si="0"/>
        <v>5.5172413793103448E-2</v>
      </c>
      <c r="P13" s="76">
        <f t="shared" si="0"/>
        <v>0.55172413793103448</v>
      </c>
    </row>
    <row r="14" spans="1:16" ht="15.75" customHeight="1" x14ac:dyDescent="0.25">
      <c r="J14" s="71" t="s">
        <v>1266</v>
      </c>
      <c r="K14" s="75">
        <f t="shared" ref="K14:P14" si="1">K7/$P$10</f>
        <v>6.8965517241379309E-3</v>
      </c>
      <c r="L14" s="75">
        <f t="shared" si="1"/>
        <v>2.0689655172413793E-2</v>
      </c>
      <c r="M14" s="75">
        <f t="shared" si="1"/>
        <v>2.7586206896551724E-2</v>
      </c>
      <c r="N14" s="75">
        <f t="shared" si="1"/>
        <v>1.3793103448275862E-2</v>
      </c>
      <c r="O14" s="75">
        <f t="shared" si="1"/>
        <v>4.1379310344827586E-2</v>
      </c>
      <c r="P14" s="76">
        <f t="shared" si="1"/>
        <v>0.1103448275862069</v>
      </c>
    </row>
    <row r="15" spans="1:16" ht="15.75" customHeight="1" x14ac:dyDescent="0.25">
      <c r="J15" s="71" t="s">
        <v>1267</v>
      </c>
      <c r="K15" s="75">
        <f t="shared" ref="K15:P15" si="2">K6/$P$10</f>
        <v>1.3793103448275862E-2</v>
      </c>
      <c r="L15" s="75">
        <f t="shared" si="2"/>
        <v>6.8965517241379309E-3</v>
      </c>
      <c r="M15" s="75">
        <f t="shared" si="2"/>
        <v>6.2068965517241378E-2</v>
      </c>
      <c r="N15" s="75">
        <f t="shared" si="2"/>
        <v>3.4482758620689655E-2</v>
      </c>
      <c r="O15" s="75">
        <f t="shared" si="2"/>
        <v>2.0689655172413793E-2</v>
      </c>
      <c r="P15" s="76">
        <f t="shared" si="2"/>
        <v>0.13793103448275862</v>
      </c>
    </row>
    <row r="16" spans="1:16" ht="15.75" customHeight="1" x14ac:dyDescent="0.25">
      <c r="J16" s="71" t="s">
        <v>1268</v>
      </c>
      <c r="K16" s="75">
        <f t="shared" ref="K16:P16" si="3">K5/$P$10</f>
        <v>2.7586206896551724E-2</v>
      </c>
      <c r="L16" s="75">
        <f t="shared" si="3"/>
        <v>2.0689655172413793E-2</v>
      </c>
      <c r="M16" s="75">
        <f t="shared" si="3"/>
        <v>4.1379310344827586E-2</v>
      </c>
      <c r="N16" s="75">
        <f t="shared" si="3"/>
        <v>1.3793103448275862E-2</v>
      </c>
      <c r="O16" s="75">
        <f t="shared" si="3"/>
        <v>2.0689655172413793E-2</v>
      </c>
      <c r="P16" s="76">
        <f t="shared" si="3"/>
        <v>0.12413793103448276</v>
      </c>
    </row>
    <row r="17" spans="10:19" ht="15.75" customHeight="1" x14ac:dyDescent="0.25">
      <c r="J17" s="71" t="s">
        <v>1269</v>
      </c>
      <c r="K17" s="75">
        <f t="shared" ref="K17:P17" si="4">K8/$P$10</f>
        <v>1.3793103448275862E-2</v>
      </c>
      <c r="L17" s="75">
        <f t="shared" si="4"/>
        <v>0</v>
      </c>
      <c r="M17" s="75">
        <f t="shared" si="4"/>
        <v>3.4482758620689655E-2</v>
      </c>
      <c r="N17" s="75">
        <f t="shared" si="4"/>
        <v>1.3793103448275862E-2</v>
      </c>
      <c r="O17" s="75">
        <f t="shared" si="4"/>
        <v>1.3793103448275862E-2</v>
      </c>
      <c r="P17" s="76">
        <f t="shared" si="4"/>
        <v>7.586206896551724E-2</v>
      </c>
    </row>
    <row r="18" spans="10:19" ht="15.75" customHeight="1" x14ac:dyDescent="0.25">
      <c r="J18" s="73" t="s">
        <v>1264</v>
      </c>
      <c r="K18" s="76">
        <f t="shared" ref="K18:O18" si="5">K10/$P$10</f>
        <v>8.9655172413793102E-2</v>
      </c>
      <c r="L18" s="76">
        <f t="shared" si="5"/>
        <v>0.1310344827586207</v>
      </c>
      <c r="M18" s="76">
        <f t="shared" si="5"/>
        <v>0.33103448275862069</v>
      </c>
      <c r="N18" s="76">
        <f t="shared" si="5"/>
        <v>0.29655172413793102</v>
      </c>
      <c r="O18" s="76">
        <f t="shared" si="5"/>
        <v>0.15172413793103448</v>
      </c>
      <c r="P18" s="77">
        <f>SUM(K13:O17)</f>
        <v>1.0000000000000002</v>
      </c>
    </row>
    <row r="19" spans="10:19" ht="15.75" customHeight="1" x14ac:dyDescent="0.25"/>
    <row r="20" spans="10:19" ht="15.75" customHeight="1" x14ac:dyDescent="0.25">
      <c r="J20" s="70"/>
      <c r="K20" s="70"/>
    </row>
    <row r="21" spans="10:19" ht="15.75" customHeight="1" x14ac:dyDescent="0.25">
      <c r="J21" s="57"/>
      <c r="K21" s="78"/>
      <c r="R21" s="79" t="s">
        <v>1270</v>
      </c>
      <c r="S21" s="75" t="s">
        <v>1271</v>
      </c>
    </row>
    <row r="22" spans="10:19" ht="15.75" customHeight="1" x14ac:dyDescent="0.25">
      <c r="J22" s="57"/>
      <c r="K22" s="78"/>
      <c r="R22" s="79" t="s">
        <v>1272</v>
      </c>
      <c r="S22" s="62" t="s">
        <v>1273</v>
      </c>
    </row>
    <row r="23" spans="10:19" ht="15.75" customHeight="1" x14ac:dyDescent="0.25">
      <c r="J23" s="57"/>
      <c r="K23" s="78"/>
      <c r="R23" s="79" t="s">
        <v>1274</v>
      </c>
      <c r="S23" s="62" t="s">
        <v>1265</v>
      </c>
    </row>
    <row r="24" spans="10:19" ht="15.75" customHeight="1" x14ac:dyDescent="0.25">
      <c r="J24" s="57"/>
      <c r="K24" s="78"/>
    </row>
    <row r="25" spans="10:19" ht="15.75" customHeight="1" x14ac:dyDescent="0.25">
      <c r="J25" s="57"/>
      <c r="K25" s="78"/>
    </row>
    <row r="26" spans="10:19" ht="15.75" customHeight="1" x14ac:dyDescent="0.25">
      <c r="J26" s="57"/>
      <c r="K26" s="78"/>
    </row>
    <row r="27" spans="10:19" ht="15.75" customHeight="1" x14ac:dyDescent="0.25">
      <c r="J27" s="57"/>
      <c r="K27" s="78"/>
    </row>
    <row r="28" spans="10:19" ht="15.75" customHeight="1" x14ac:dyDescent="0.25">
      <c r="J28" s="57"/>
      <c r="K28" s="78"/>
    </row>
    <row r="29" spans="10:19" ht="15.75" customHeight="1" x14ac:dyDescent="0.25">
      <c r="J29" s="57"/>
      <c r="K29" s="78"/>
    </row>
    <row r="30" spans="10:19" ht="15.75" customHeight="1" x14ac:dyDescent="0.25">
      <c r="J30" s="57"/>
      <c r="K30" s="78"/>
    </row>
    <row r="31" spans="10:19" ht="15.75" customHeight="1" x14ac:dyDescent="0.25"/>
    <row r="32" spans="10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38"/>
  <sheetViews>
    <sheetView topLeftCell="A149" workbookViewId="0">
      <selection activeCell="H4" sqref="H4"/>
    </sheetView>
  </sheetViews>
  <sheetFormatPr defaultColWidth="11.25" defaultRowHeight="15" customHeight="1" x14ac:dyDescent="0.25"/>
  <cols>
    <col min="1" max="7" width="8.5" customWidth="1"/>
    <col min="9" max="26" width="8.5" customWidth="1"/>
  </cols>
  <sheetData>
    <row r="1" spans="1:11" ht="15.75" customHeight="1" x14ac:dyDescent="0.25">
      <c r="A1" s="53" t="s">
        <v>0</v>
      </c>
      <c r="B1" s="1"/>
      <c r="C1" s="1"/>
      <c r="D1" s="2"/>
      <c r="E1" s="1"/>
      <c r="F1" s="3"/>
    </row>
    <row r="2" spans="1:11" ht="15.75" customHeight="1" x14ac:dyDescent="0.25">
      <c r="A2" s="59" t="s">
        <v>60</v>
      </c>
      <c r="B2" s="57" t="s">
        <v>1237</v>
      </c>
      <c r="C2" s="112" t="s">
        <v>1295</v>
      </c>
      <c r="D2" s="57" t="s">
        <v>1239</v>
      </c>
      <c r="E2" s="57" t="s">
        <v>1240</v>
      </c>
      <c r="F2" s="57" t="s">
        <v>1241</v>
      </c>
      <c r="G2" s="57" t="s">
        <v>1275</v>
      </c>
      <c r="H2" s="57" t="s">
        <v>1293</v>
      </c>
      <c r="I2" s="57" t="s">
        <v>1294</v>
      </c>
      <c r="J2" s="112" t="s">
        <v>1276</v>
      </c>
      <c r="K2" s="57" t="s">
        <v>1238</v>
      </c>
    </row>
    <row r="3" spans="1:11" ht="15.75" customHeight="1" x14ac:dyDescent="0.25">
      <c r="A3" s="62">
        <v>1</v>
      </c>
      <c r="B3" s="62">
        <v>24</v>
      </c>
      <c r="C3" s="62" t="s">
        <v>1277</v>
      </c>
      <c r="D3" s="62" t="s">
        <v>1243</v>
      </c>
      <c r="E3" s="62" t="s">
        <v>1244</v>
      </c>
      <c r="F3" s="62" t="s">
        <v>1245</v>
      </c>
      <c r="G3">
        <f>IF(F3="550+ рублей",550,IF(F3="451-550",451,IF(F3="351-450",351,IF(F3="250-350",350,250))))</f>
        <v>451</v>
      </c>
      <c r="H3">
        <f>IF(E3="&lt;10 Гб",10,IF(E3="10-20 Гб",20,IF(E3="21-30 Гб",30,IF(E3="31-40 Гб",40,41))))</f>
        <v>10</v>
      </c>
      <c r="I3">
        <f>IF(D3="&lt;35",35,IF(D3="35-60",60,IF(D3="61-90",90,IF(D3="91-120",120,121))))</f>
        <v>35</v>
      </c>
      <c r="J3" t="str">
        <f>IF(AND(G3&gt;330,I3&lt;36,H3&lt;41,OR(K3="Скорее не удовлетворен",K3="Абсолютно не уловлетворен",K3="Затрудняюсь ответить")),"Да","Нет")</f>
        <v>Нет</v>
      </c>
      <c r="K3" s="62" t="s">
        <v>1242</v>
      </c>
    </row>
    <row r="4" spans="1:11" ht="15.75" customHeight="1" x14ac:dyDescent="0.25">
      <c r="A4" s="62">
        <v>2</v>
      </c>
      <c r="B4" s="62">
        <v>21</v>
      </c>
      <c r="C4" s="62" t="s">
        <v>1277</v>
      </c>
      <c r="D4" s="62" t="s">
        <v>1243</v>
      </c>
      <c r="E4" s="62" t="s">
        <v>1244</v>
      </c>
      <c r="F4" s="62" t="s">
        <v>1245</v>
      </c>
      <c r="G4">
        <f t="shared" ref="G4:G67" si="0">IF(F4="550+ рублей",550,IF(F4="451-550",451,IF(F4="351-450",351,IF(F4="250-350",350,250))))</f>
        <v>451</v>
      </c>
      <c r="H4">
        <f t="shared" ref="H4:H67" si="1">IF(E4="&lt;10 Гб",10,IF(E4="10-20 Гб",20,IF(E4="21-30 Гб",30,IF(E4="31-40 Гб",40,41))))</f>
        <v>10</v>
      </c>
      <c r="I4">
        <f t="shared" ref="I4:I67" si="2">IF(D4="&lt;35",35,IF(D4="35-60",60,IF(D4="61-90",90,IF(D4="91-120",120,121))))</f>
        <v>35</v>
      </c>
      <c r="J4" t="str">
        <f t="shared" ref="J4:J67" si="3">IF(AND(G4&gt;330,I4&lt;36,H4&lt;41,OR(K4="Скорее не удовлетворен",K4="Абсолютно не уловлетворен",K4="Затрудняюсь ответить")),"Да","Нет")</f>
        <v>Да</v>
      </c>
      <c r="K4" s="62" t="s">
        <v>1246</v>
      </c>
    </row>
    <row r="5" spans="1:11" ht="15.75" customHeight="1" x14ac:dyDescent="0.25">
      <c r="A5" s="62">
        <v>3</v>
      </c>
      <c r="B5" s="62">
        <v>25</v>
      </c>
      <c r="C5" s="62" t="s">
        <v>1277</v>
      </c>
      <c r="D5" s="62" t="s">
        <v>1243</v>
      </c>
      <c r="E5" s="62" t="s">
        <v>1248</v>
      </c>
      <c r="F5" s="62" t="s">
        <v>1249</v>
      </c>
      <c r="G5">
        <f t="shared" si="0"/>
        <v>550</v>
      </c>
      <c r="H5">
        <f t="shared" si="1"/>
        <v>30</v>
      </c>
      <c r="I5">
        <f t="shared" si="2"/>
        <v>35</v>
      </c>
      <c r="J5" t="str">
        <f t="shared" si="3"/>
        <v>Нет</v>
      </c>
      <c r="K5" s="62" t="s">
        <v>1247</v>
      </c>
    </row>
    <row r="6" spans="1:11" ht="15.75" customHeight="1" x14ac:dyDescent="0.25">
      <c r="A6" s="62">
        <v>4</v>
      </c>
      <c r="B6" s="62">
        <v>23</v>
      </c>
      <c r="C6" s="62" t="s">
        <v>1277</v>
      </c>
      <c r="D6" s="62" t="s">
        <v>1243</v>
      </c>
      <c r="E6" s="62" t="s">
        <v>1250</v>
      </c>
      <c r="F6" s="62" t="s">
        <v>1249</v>
      </c>
      <c r="G6">
        <f t="shared" si="0"/>
        <v>550</v>
      </c>
      <c r="H6">
        <f t="shared" si="1"/>
        <v>41</v>
      </c>
      <c r="I6">
        <f t="shared" si="2"/>
        <v>35</v>
      </c>
      <c r="J6" t="str">
        <f t="shared" si="3"/>
        <v>Нет</v>
      </c>
      <c r="K6" s="62" t="s">
        <v>1247</v>
      </c>
    </row>
    <row r="7" spans="1:11" ht="15.75" customHeight="1" x14ac:dyDescent="0.25">
      <c r="A7" s="62">
        <v>5</v>
      </c>
      <c r="B7" s="62">
        <v>18</v>
      </c>
      <c r="C7" s="62" t="s">
        <v>1277</v>
      </c>
      <c r="D7" s="62" t="s">
        <v>1243</v>
      </c>
      <c r="E7" s="62" t="s">
        <v>1244</v>
      </c>
      <c r="F7" s="62" t="s">
        <v>1245</v>
      </c>
      <c r="G7">
        <f t="shared" si="0"/>
        <v>451</v>
      </c>
      <c r="H7">
        <f t="shared" si="1"/>
        <v>10</v>
      </c>
      <c r="I7">
        <f t="shared" si="2"/>
        <v>35</v>
      </c>
      <c r="J7" t="str">
        <f t="shared" si="3"/>
        <v>Нет</v>
      </c>
      <c r="K7" s="62" t="s">
        <v>1242</v>
      </c>
    </row>
    <row r="8" spans="1:11" ht="15.75" customHeight="1" x14ac:dyDescent="0.25">
      <c r="A8" s="62">
        <v>6</v>
      </c>
      <c r="B8" s="62">
        <v>19</v>
      </c>
      <c r="C8" s="62" t="s">
        <v>1277</v>
      </c>
      <c r="D8" s="62" t="s">
        <v>1243</v>
      </c>
      <c r="E8" s="62" t="s">
        <v>1250</v>
      </c>
      <c r="F8" s="62" t="s">
        <v>1251</v>
      </c>
      <c r="G8">
        <f t="shared" si="0"/>
        <v>250</v>
      </c>
      <c r="H8">
        <f t="shared" si="1"/>
        <v>41</v>
      </c>
      <c r="I8">
        <f t="shared" si="2"/>
        <v>35</v>
      </c>
      <c r="J8" t="str">
        <f t="shared" si="3"/>
        <v>Нет</v>
      </c>
      <c r="K8" s="62" t="s">
        <v>1247</v>
      </c>
    </row>
    <row r="9" spans="1:11" ht="15.75" customHeight="1" x14ac:dyDescent="0.25">
      <c r="A9" s="62">
        <v>7</v>
      </c>
      <c r="B9" s="62">
        <v>21</v>
      </c>
      <c r="C9" s="62" t="s">
        <v>1277</v>
      </c>
      <c r="D9" s="62" t="s">
        <v>1243</v>
      </c>
      <c r="E9" s="62" t="s">
        <v>1248</v>
      </c>
      <c r="F9" s="62" t="s">
        <v>1245</v>
      </c>
      <c r="G9">
        <f t="shared" si="0"/>
        <v>451</v>
      </c>
      <c r="H9">
        <f t="shared" si="1"/>
        <v>30</v>
      </c>
      <c r="I9">
        <f t="shared" si="2"/>
        <v>35</v>
      </c>
      <c r="J9" t="str">
        <f t="shared" si="3"/>
        <v>Да</v>
      </c>
      <c r="K9" s="62" t="s">
        <v>1252</v>
      </c>
    </row>
    <row r="10" spans="1:11" ht="15.75" customHeight="1" x14ac:dyDescent="0.25">
      <c r="A10" s="62">
        <v>8</v>
      </c>
      <c r="B10" s="62">
        <v>24</v>
      </c>
      <c r="C10" s="62" t="s">
        <v>1277</v>
      </c>
      <c r="D10" s="62" t="s">
        <v>1243</v>
      </c>
      <c r="E10" s="62" t="s">
        <v>1253</v>
      </c>
      <c r="F10" s="62" t="s">
        <v>1254</v>
      </c>
      <c r="G10">
        <f t="shared" si="0"/>
        <v>350</v>
      </c>
      <c r="H10">
        <f t="shared" si="1"/>
        <v>40</v>
      </c>
      <c r="I10">
        <f t="shared" si="2"/>
        <v>35</v>
      </c>
      <c r="J10" t="str">
        <f t="shared" si="3"/>
        <v>Нет</v>
      </c>
      <c r="K10" s="62" t="s">
        <v>1247</v>
      </c>
    </row>
    <row r="11" spans="1:11" ht="15.75" customHeight="1" x14ac:dyDescent="0.25">
      <c r="A11" s="62">
        <v>9</v>
      </c>
      <c r="B11" s="62">
        <v>21</v>
      </c>
      <c r="C11" s="62" t="s">
        <v>1277</v>
      </c>
      <c r="D11" s="62" t="s">
        <v>1243</v>
      </c>
      <c r="E11" s="62" t="s">
        <v>1255</v>
      </c>
      <c r="F11" s="62" t="s">
        <v>1254</v>
      </c>
      <c r="G11">
        <f t="shared" si="0"/>
        <v>350</v>
      </c>
      <c r="H11">
        <f t="shared" si="1"/>
        <v>20</v>
      </c>
      <c r="I11">
        <f t="shared" si="2"/>
        <v>35</v>
      </c>
      <c r="J11" t="str">
        <f t="shared" si="3"/>
        <v>Да</v>
      </c>
      <c r="K11" s="62" t="s">
        <v>1252</v>
      </c>
    </row>
    <row r="12" spans="1:11" ht="15.75" customHeight="1" x14ac:dyDescent="0.25">
      <c r="A12" s="62">
        <v>10</v>
      </c>
      <c r="B12" s="62">
        <v>22</v>
      </c>
      <c r="C12" s="62" t="s">
        <v>1277</v>
      </c>
      <c r="D12" s="62" t="s">
        <v>1243</v>
      </c>
      <c r="E12" s="62" t="s">
        <v>1255</v>
      </c>
      <c r="F12" s="62" t="s">
        <v>1254</v>
      </c>
      <c r="G12">
        <f t="shared" si="0"/>
        <v>350</v>
      </c>
      <c r="H12">
        <f t="shared" si="1"/>
        <v>20</v>
      </c>
      <c r="I12">
        <f t="shared" si="2"/>
        <v>35</v>
      </c>
      <c r="J12" t="str">
        <f t="shared" si="3"/>
        <v>Да</v>
      </c>
      <c r="K12" s="62" t="s">
        <v>1246</v>
      </c>
    </row>
    <row r="13" spans="1:11" ht="15.75" customHeight="1" x14ac:dyDescent="0.25">
      <c r="A13" s="62">
        <v>11</v>
      </c>
      <c r="B13" s="62">
        <v>18</v>
      </c>
      <c r="C13" s="62" t="s">
        <v>1277</v>
      </c>
      <c r="D13" s="62" t="s">
        <v>1256</v>
      </c>
      <c r="E13" s="62" t="s">
        <v>1248</v>
      </c>
      <c r="F13" s="62" t="s">
        <v>1249</v>
      </c>
      <c r="G13">
        <f t="shared" si="0"/>
        <v>550</v>
      </c>
      <c r="H13">
        <f t="shared" si="1"/>
        <v>30</v>
      </c>
      <c r="I13">
        <f t="shared" si="2"/>
        <v>120</v>
      </c>
      <c r="J13" t="str">
        <f t="shared" si="3"/>
        <v>Нет</v>
      </c>
      <c r="K13" s="62" t="s">
        <v>1246</v>
      </c>
    </row>
    <row r="14" spans="1:11" ht="15.75" customHeight="1" x14ac:dyDescent="0.25">
      <c r="A14" s="62">
        <v>12</v>
      </c>
      <c r="B14" s="62">
        <v>18</v>
      </c>
      <c r="C14" s="62" t="s">
        <v>1277</v>
      </c>
      <c r="D14" s="62" t="s">
        <v>1257</v>
      </c>
      <c r="E14" s="62" t="s">
        <v>1248</v>
      </c>
      <c r="F14" s="62" t="s">
        <v>1251</v>
      </c>
      <c r="G14">
        <f t="shared" si="0"/>
        <v>250</v>
      </c>
      <c r="H14">
        <f t="shared" si="1"/>
        <v>30</v>
      </c>
      <c r="I14">
        <f t="shared" si="2"/>
        <v>90</v>
      </c>
      <c r="J14" t="str">
        <f t="shared" si="3"/>
        <v>Нет</v>
      </c>
      <c r="K14" s="62" t="s">
        <v>1246</v>
      </c>
    </row>
    <row r="15" spans="1:11" ht="15.75" customHeight="1" x14ac:dyDescent="0.25">
      <c r="A15" s="62">
        <v>13</v>
      </c>
      <c r="B15" s="62">
        <v>25</v>
      </c>
      <c r="C15" s="62" t="s">
        <v>1277</v>
      </c>
      <c r="D15" s="62" t="s">
        <v>1243</v>
      </c>
      <c r="E15" s="62" t="s">
        <v>1244</v>
      </c>
      <c r="F15" s="62" t="s">
        <v>1249</v>
      </c>
      <c r="G15">
        <f t="shared" si="0"/>
        <v>550</v>
      </c>
      <c r="H15">
        <f t="shared" si="1"/>
        <v>10</v>
      </c>
      <c r="I15">
        <f t="shared" si="2"/>
        <v>35</v>
      </c>
      <c r="J15" t="str">
        <f t="shared" si="3"/>
        <v>Да</v>
      </c>
      <c r="K15" s="62" t="s">
        <v>1246</v>
      </c>
    </row>
    <row r="16" spans="1:11" ht="15.75" customHeight="1" x14ac:dyDescent="0.25">
      <c r="A16" s="62">
        <v>14</v>
      </c>
      <c r="B16" s="62">
        <v>21</v>
      </c>
      <c r="C16" s="62" t="s">
        <v>1277</v>
      </c>
      <c r="D16" s="62" t="s">
        <v>1243</v>
      </c>
      <c r="E16" s="62" t="s">
        <v>1250</v>
      </c>
      <c r="F16" s="62" t="s">
        <v>1254</v>
      </c>
      <c r="G16">
        <f t="shared" si="0"/>
        <v>350</v>
      </c>
      <c r="H16">
        <f t="shared" si="1"/>
        <v>41</v>
      </c>
      <c r="I16">
        <f t="shared" si="2"/>
        <v>35</v>
      </c>
      <c r="J16" t="str">
        <f t="shared" si="3"/>
        <v>Нет</v>
      </c>
      <c r="K16" s="62" t="s">
        <v>1247</v>
      </c>
    </row>
    <row r="17" spans="1:11" ht="15.75" customHeight="1" x14ac:dyDescent="0.25">
      <c r="A17" s="62">
        <v>15</v>
      </c>
      <c r="B17" s="62">
        <v>20</v>
      </c>
      <c r="C17" s="62" t="s">
        <v>1277</v>
      </c>
      <c r="D17" s="62" t="s">
        <v>1243</v>
      </c>
      <c r="E17" s="62" t="s">
        <v>1253</v>
      </c>
      <c r="F17" s="62" t="s">
        <v>1251</v>
      </c>
      <c r="G17">
        <f t="shared" si="0"/>
        <v>250</v>
      </c>
      <c r="H17">
        <f t="shared" si="1"/>
        <v>40</v>
      </c>
      <c r="I17">
        <f t="shared" si="2"/>
        <v>35</v>
      </c>
      <c r="J17" t="str">
        <f t="shared" si="3"/>
        <v>Нет</v>
      </c>
      <c r="K17" s="62" t="s">
        <v>1246</v>
      </c>
    </row>
    <row r="18" spans="1:11" ht="15.75" customHeight="1" x14ac:dyDescent="0.25">
      <c r="A18" s="62">
        <v>16</v>
      </c>
      <c r="B18" s="62">
        <v>21</v>
      </c>
      <c r="C18" s="62" t="s">
        <v>1277</v>
      </c>
      <c r="D18" s="62" t="s">
        <v>1243</v>
      </c>
      <c r="E18" s="62" t="s">
        <v>1248</v>
      </c>
      <c r="F18" s="62" t="s">
        <v>1254</v>
      </c>
      <c r="G18">
        <f t="shared" si="0"/>
        <v>350</v>
      </c>
      <c r="H18">
        <f t="shared" si="1"/>
        <v>30</v>
      </c>
      <c r="I18">
        <f t="shared" si="2"/>
        <v>35</v>
      </c>
      <c r="J18" t="str">
        <f t="shared" si="3"/>
        <v>Нет</v>
      </c>
      <c r="K18" s="62" t="s">
        <v>1247</v>
      </c>
    </row>
    <row r="19" spans="1:11" ht="15.75" customHeight="1" x14ac:dyDescent="0.25">
      <c r="A19" s="62">
        <v>17</v>
      </c>
      <c r="B19" s="62">
        <v>24</v>
      </c>
      <c r="C19" s="62" t="s">
        <v>1277</v>
      </c>
      <c r="D19" s="62" t="s">
        <v>1243</v>
      </c>
      <c r="E19" s="62" t="s">
        <v>1248</v>
      </c>
      <c r="F19" s="62" t="s">
        <v>1245</v>
      </c>
      <c r="G19">
        <f t="shared" si="0"/>
        <v>451</v>
      </c>
      <c r="H19">
        <f t="shared" si="1"/>
        <v>30</v>
      </c>
      <c r="I19">
        <f t="shared" si="2"/>
        <v>35</v>
      </c>
      <c r="J19" t="str">
        <f t="shared" si="3"/>
        <v>Да</v>
      </c>
      <c r="K19" s="62" t="s">
        <v>1252</v>
      </c>
    </row>
    <row r="20" spans="1:11" ht="15.75" customHeight="1" x14ac:dyDescent="0.25">
      <c r="A20" s="62">
        <v>18</v>
      </c>
      <c r="B20" s="62">
        <v>22</v>
      </c>
      <c r="C20" s="62" t="s">
        <v>1277</v>
      </c>
      <c r="D20" s="62" t="s">
        <v>1243</v>
      </c>
      <c r="E20" s="62" t="s">
        <v>1253</v>
      </c>
      <c r="F20" s="62" t="s">
        <v>1245</v>
      </c>
      <c r="G20">
        <f t="shared" si="0"/>
        <v>451</v>
      </c>
      <c r="H20">
        <f t="shared" si="1"/>
        <v>40</v>
      </c>
      <c r="I20">
        <f t="shared" si="2"/>
        <v>35</v>
      </c>
      <c r="J20" t="str">
        <f t="shared" si="3"/>
        <v>Да</v>
      </c>
      <c r="K20" s="62" t="s">
        <v>1246</v>
      </c>
    </row>
    <row r="21" spans="1:11" ht="15.75" customHeight="1" x14ac:dyDescent="0.25">
      <c r="A21" s="62">
        <v>19</v>
      </c>
      <c r="B21" s="62">
        <v>25</v>
      </c>
      <c r="C21" s="62" t="s">
        <v>1277</v>
      </c>
      <c r="D21" s="62" t="s">
        <v>1256</v>
      </c>
      <c r="E21" s="62" t="s">
        <v>1250</v>
      </c>
      <c r="F21" s="62" t="s">
        <v>1254</v>
      </c>
      <c r="G21">
        <f t="shared" si="0"/>
        <v>350</v>
      </c>
      <c r="H21">
        <f t="shared" si="1"/>
        <v>41</v>
      </c>
      <c r="I21">
        <f t="shared" si="2"/>
        <v>120</v>
      </c>
      <c r="J21" t="str">
        <f t="shared" si="3"/>
        <v>Нет</v>
      </c>
      <c r="K21" s="62" t="s">
        <v>1246</v>
      </c>
    </row>
    <row r="22" spans="1:11" ht="15.75" customHeight="1" x14ac:dyDescent="0.25">
      <c r="A22" s="62">
        <v>20</v>
      </c>
      <c r="B22" s="62">
        <v>23</v>
      </c>
      <c r="C22" s="62" t="s">
        <v>1277</v>
      </c>
      <c r="D22" s="62" t="s">
        <v>1243</v>
      </c>
      <c r="E22" s="62" t="s">
        <v>1248</v>
      </c>
      <c r="F22" s="62" t="s">
        <v>1245</v>
      </c>
      <c r="G22">
        <f t="shared" si="0"/>
        <v>451</v>
      </c>
      <c r="H22">
        <f t="shared" si="1"/>
        <v>30</v>
      </c>
      <c r="I22">
        <f t="shared" si="2"/>
        <v>35</v>
      </c>
      <c r="J22" t="str">
        <f t="shared" si="3"/>
        <v>Да</v>
      </c>
      <c r="K22" s="62" t="s">
        <v>1246</v>
      </c>
    </row>
    <row r="23" spans="1:11" ht="15.75" customHeight="1" x14ac:dyDescent="0.25">
      <c r="A23" s="62">
        <v>21</v>
      </c>
      <c r="B23" s="62">
        <v>20</v>
      </c>
      <c r="C23" s="62" t="s">
        <v>1277</v>
      </c>
      <c r="D23" s="62" t="s">
        <v>1243</v>
      </c>
      <c r="E23" s="62" t="s">
        <v>1250</v>
      </c>
      <c r="F23" s="62" t="s">
        <v>1249</v>
      </c>
      <c r="G23">
        <f t="shared" si="0"/>
        <v>550</v>
      </c>
      <c r="H23">
        <f t="shared" si="1"/>
        <v>41</v>
      </c>
      <c r="I23">
        <f t="shared" si="2"/>
        <v>35</v>
      </c>
      <c r="J23" t="str">
        <f t="shared" si="3"/>
        <v>Нет</v>
      </c>
      <c r="K23" s="62" t="s">
        <v>1247</v>
      </c>
    </row>
    <row r="24" spans="1:11" ht="15.75" customHeight="1" x14ac:dyDescent="0.25">
      <c r="A24" s="62">
        <v>22</v>
      </c>
      <c r="B24" s="62">
        <v>19</v>
      </c>
      <c r="C24" s="62" t="s">
        <v>1277</v>
      </c>
      <c r="D24" s="62" t="s">
        <v>1243</v>
      </c>
      <c r="E24" s="62" t="s">
        <v>1248</v>
      </c>
      <c r="F24" s="62" t="s">
        <v>1254</v>
      </c>
      <c r="G24">
        <f t="shared" si="0"/>
        <v>350</v>
      </c>
      <c r="H24">
        <f t="shared" si="1"/>
        <v>30</v>
      </c>
      <c r="I24">
        <f t="shared" si="2"/>
        <v>35</v>
      </c>
      <c r="J24" t="str">
        <f t="shared" si="3"/>
        <v>Нет</v>
      </c>
      <c r="K24" s="62" t="s">
        <v>1247</v>
      </c>
    </row>
    <row r="25" spans="1:11" ht="15.75" customHeight="1" x14ac:dyDescent="0.25">
      <c r="A25" s="62">
        <v>23</v>
      </c>
      <c r="B25" s="62">
        <v>18</v>
      </c>
      <c r="C25" s="62" t="s">
        <v>1277</v>
      </c>
      <c r="D25" s="62" t="s">
        <v>1258</v>
      </c>
      <c r="E25" s="62" t="s">
        <v>1250</v>
      </c>
      <c r="F25" s="62" t="s">
        <v>1259</v>
      </c>
      <c r="G25">
        <f t="shared" si="0"/>
        <v>351</v>
      </c>
      <c r="H25">
        <f t="shared" si="1"/>
        <v>41</v>
      </c>
      <c r="I25">
        <f t="shared" si="2"/>
        <v>60</v>
      </c>
      <c r="J25" t="str">
        <f t="shared" si="3"/>
        <v>Нет</v>
      </c>
      <c r="K25" s="62" t="s">
        <v>1247</v>
      </c>
    </row>
    <row r="26" spans="1:11" ht="15.75" customHeight="1" x14ac:dyDescent="0.25">
      <c r="A26" s="62">
        <v>24</v>
      </c>
      <c r="B26" s="62">
        <v>23</v>
      </c>
      <c r="C26" s="62" t="s">
        <v>1277</v>
      </c>
      <c r="D26" s="62" t="s">
        <v>1260</v>
      </c>
      <c r="E26" s="62" t="s">
        <v>1248</v>
      </c>
      <c r="F26" s="62" t="s">
        <v>1254</v>
      </c>
      <c r="G26">
        <f t="shared" si="0"/>
        <v>350</v>
      </c>
      <c r="H26">
        <f t="shared" si="1"/>
        <v>30</v>
      </c>
      <c r="I26">
        <f t="shared" si="2"/>
        <v>121</v>
      </c>
      <c r="J26" t="str">
        <f t="shared" si="3"/>
        <v>Нет</v>
      </c>
      <c r="K26" s="62" t="s">
        <v>1247</v>
      </c>
    </row>
    <row r="27" spans="1:11" ht="15.75" customHeight="1" x14ac:dyDescent="0.25">
      <c r="A27" s="62">
        <v>25</v>
      </c>
      <c r="B27" s="62">
        <v>18</v>
      </c>
      <c r="C27" s="62" t="s">
        <v>1277</v>
      </c>
      <c r="D27" s="62" t="s">
        <v>1257</v>
      </c>
      <c r="E27" s="62" t="s">
        <v>1244</v>
      </c>
      <c r="F27" s="62" t="s">
        <v>1245</v>
      </c>
      <c r="G27">
        <f t="shared" si="0"/>
        <v>451</v>
      </c>
      <c r="H27">
        <f t="shared" si="1"/>
        <v>10</v>
      </c>
      <c r="I27">
        <f t="shared" si="2"/>
        <v>90</v>
      </c>
      <c r="J27" t="str">
        <f t="shared" si="3"/>
        <v>Нет</v>
      </c>
      <c r="K27" s="62" t="s">
        <v>1247</v>
      </c>
    </row>
    <row r="28" spans="1:11" ht="15.75" customHeight="1" x14ac:dyDescent="0.25">
      <c r="A28" s="62">
        <v>26</v>
      </c>
      <c r="B28" s="62">
        <v>20</v>
      </c>
      <c r="C28" s="62" t="s">
        <v>1277</v>
      </c>
      <c r="D28" s="62" t="s">
        <v>1243</v>
      </c>
      <c r="E28" s="62" t="s">
        <v>1253</v>
      </c>
      <c r="F28" s="62" t="s">
        <v>1254</v>
      </c>
      <c r="G28">
        <f t="shared" si="0"/>
        <v>350</v>
      </c>
      <c r="H28">
        <f t="shared" si="1"/>
        <v>40</v>
      </c>
      <c r="I28">
        <f t="shared" si="2"/>
        <v>35</v>
      </c>
      <c r="J28" t="str">
        <f t="shared" si="3"/>
        <v>Да</v>
      </c>
      <c r="K28" s="62" t="s">
        <v>1246</v>
      </c>
    </row>
    <row r="29" spans="1:11" ht="15.75" customHeight="1" x14ac:dyDescent="0.25">
      <c r="A29" s="62">
        <v>27</v>
      </c>
      <c r="B29" s="62">
        <v>18</v>
      </c>
      <c r="C29" s="62" t="s">
        <v>1277</v>
      </c>
      <c r="D29" s="62" t="s">
        <v>1243</v>
      </c>
      <c r="E29" s="62" t="s">
        <v>1253</v>
      </c>
      <c r="F29" s="62" t="s">
        <v>1259</v>
      </c>
      <c r="G29">
        <f t="shared" si="0"/>
        <v>351</v>
      </c>
      <c r="H29">
        <f t="shared" si="1"/>
        <v>40</v>
      </c>
      <c r="I29">
        <f t="shared" si="2"/>
        <v>35</v>
      </c>
      <c r="J29" t="str">
        <f t="shared" si="3"/>
        <v>Нет</v>
      </c>
      <c r="K29" s="62" t="s">
        <v>1242</v>
      </c>
    </row>
    <row r="30" spans="1:11" ht="15.75" customHeight="1" x14ac:dyDescent="0.25">
      <c r="A30" s="62">
        <v>28</v>
      </c>
      <c r="B30" s="62">
        <v>18</v>
      </c>
      <c r="C30" s="62" t="s">
        <v>1277</v>
      </c>
      <c r="D30" s="62" t="s">
        <v>1243</v>
      </c>
      <c r="E30" s="62" t="s">
        <v>1255</v>
      </c>
      <c r="F30" s="62" t="s">
        <v>1245</v>
      </c>
      <c r="G30">
        <f t="shared" si="0"/>
        <v>451</v>
      </c>
      <c r="H30">
        <f t="shared" si="1"/>
        <v>20</v>
      </c>
      <c r="I30">
        <f t="shared" si="2"/>
        <v>35</v>
      </c>
      <c r="J30" t="str">
        <f t="shared" si="3"/>
        <v>Да</v>
      </c>
      <c r="K30" s="62" t="s">
        <v>1252</v>
      </c>
    </row>
    <row r="31" spans="1:11" ht="15.75" customHeight="1" x14ac:dyDescent="0.25">
      <c r="A31" s="62">
        <v>29</v>
      </c>
      <c r="B31" s="62">
        <v>24</v>
      </c>
      <c r="C31" s="62" t="s">
        <v>1277</v>
      </c>
      <c r="D31" s="62" t="s">
        <v>1260</v>
      </c>
      <c r="E31" s="62" t="s">
        <v>1248</v>
      </c>
      <c r="F31" s="62" t="s">
        <v>1254</v>
      </c>
      <c r="G31">
        <f t="shared" si="0"/>
        <v>350</v>
      </c>
      <c r="H31">
        <f t="shared" si="1"/>
        <v>30</v>
      </c>
      <c r="I31">
        <f t="shared" si="2"/>
        <v>121</v>
      </c>
      <c r="J31" t="str">
        <f t="shared" si="3"/>
        <v>Нет</v>
      </c>
      <c r="K31" s="62" t="s">
        <v>1247</v>
      </c>
    </row>
    <row r="32" spans="1:11" ht="15.75" customHeight="1" x14ac:dyDescent="0.25">
      <c r="A32" s="62">
        <v>30</v>
      </c>
      <c r="B32" s="62">
        <v>19</v>
      </c>
      <c r="C32" s="62" t="s">
        <v>1277</v>
      </c>
      <c r="D32" s="62" t="s">
        <v>1260</v>
      </c>
      <c r="E32" s="62" t="s">
        <v>1248</v>
      </c>
      <c r="F32" s="62" t="s">
        <v>1251</v>
      </c>
      <c r="G32">
        <f t="shared" si="0"/>
        <v>250</v>
      </c>
      <c r="H32">
        <f t="shared" si="1"/>
        <v>30</v>
      </c>
      <c r="I32">
        <f t="shared" si="2"/>
        <v>121</v>
      </c>
      <c r="J32" t="str">
        <f t="shared" si="3"/>
        <v>Нет</v>
      </c>
      <c r="K32" s="62" t="s">
        <v>1246</v>
      </c>
    </row>
    <row r="33" spans="1:11" ht="15.75" customHeight="1" x14ac:dyDescent="0.25">
      <c r="A33" s="62">
        <v>31</v>
      </c>
      <c r="B33" s="62">
        <v>25</v>
      </c>
      <c r="C33" s="62" t="s">
        <v>1277</v>
      </c>
      <c r="D33" s="62" t="s">
        <v>1256</v>
      </c>
      <c r="E33" s="62" t="s">
        <v>1248</v>
      </c>
      <c r="F33" s="62" t="s">
        <v>1259</v>
      </c>
      <c r="G33">
        <f t="shared" si="0"/>
        <v>351</v>
      </c>
      <c r="H33">
        <f t="shared" si="1"/>
        <v>30</v>
      </c>
      <c r="I33">
        <f t="shared" si="2"/>
        <v>120</v>
      </c>
      <c r="J33" t="str">
        <f t="shared" si="3"/>
        <v>Нет</v>
      </c>
      <c r="K33" s="62" t="s">
        <v>1252</v>
      </c>
    </row>
    <row r="34" spans="1:11" ht="15.75" customHeight="1" x14ac:dyDescent="0.25">
      <c r="A34" s="62">
        <v>32</v>
      </c>
      <c r="B34" s="62">
        <v>18</v>
      </c>
      <c r="C34" s="62" t="s">
        <v>1277</v>
      </c>
      <c r="D34" s="62" t="s">
        <v>1243</v>
      </c>
      <c r="E34" s="62" t="s">
        <v>1253</v>
      </c>
      <c r="F34" s="62" t="s">
        <v>1254</v>
      </c>
      <c r="G34">
        <f t="shared" si="0"/>
        <v>350</v>
      </c>
      <c r="H34">
        <f t="shared" si="1"/>
        <v>40</v>
      </c>
      <c r="I34">
        <f t="shared" si="2"/>
        <v>35</v>
      </c>
      <c r="J34" t="str">
        <f t="shared" si="3"/>
        <v>Нет</v>
      </c>
      <c r="K34" s="62" t="s">
        <v>1247</v>
      </c>
    </row>
    <row r="35" spans="1:11" ht="15.75" customHeight="1" x14ac:dyDescent="0.25">
      <c r="A35" s="62">
        <v>33</v>
      </c>
      <c r="B35" s="62">
        <v>21</v>
      </c>
      <c r="C35" s="62" t="s">
        <v>1277</v>
      </c>
      <c r="D35" s="62" t="s">
        <v>1256</v>
      </c>
      <c r="E35" s="62" t="s">
        <v>1248</v>
      </c>
      <c r="F35" s="62" t="s">
        <v>1254</v>
      </c>
      <c r="G35">
        <f t="shared" si="0"/>
        <v>350</v>
      </c>
      <c r="H35">
        <f t="shared" si="1"/>
        <v>30</v>
      </c>
      <c r="I35">
        <f t="shared" si="2"/>
        <v>120</v>
      </c>
      <c r="J35" t="str">
        <f t="shared" si="3"/>
        <v>Нет</v>
      </c>
      <c r="K35" s="62" t="s">
        <v>1247</v>
      </c>
    </row>
    <row r="36" spans="1:11" ht="15.75" customHeight="1" x14ac:dyDescent="0.25">
      <c r="A36" s="62">
        <v>34</v>
      </c>
      <c r="B36" s="62">
        <v>18</v>
      </c>
      <c r="C36" s="62" t="s">
        <v>1277</v>
      </c>
      <c r="D36" s="62" t="s">
        <v>1243</v>
      </c>
      <c r="E36" s="62" t="s">
        <v>1253</v>
      </c>
      <c r="F36" s="62" t="s">
        <v>1254</v>
      </c>
      <c r="G36">
        <f t="shared" si="0"/>
        <v>350</v>
      </c>
      <c r="H36">
        <f t="shared" si="1"/>
        <v>40</v>
      </c>
      <c r="I36">
        <f t="shared" si="2"/>
        <v>35</v>
      </c>
      <c r="J36" t="str">
        <f t="shared" si="3"/>
        <v>Да</v>
      </c>
      <c r="K36" s="62" t="s">
        <v>1246</v>
      </c>
    </row>
    <row r="37" spans="1:11" ht="15.75" customHeight="1" x14ac:dyDescent="0.25">
      <c r="A37" s="62">
        <v>35</v>
      </c>
      <c r="B37" s="62">
        <v>21</v>
      </c>
      <c r="C37" s="62" t="s">
        <v>1277</v>
      </c>
      <c r="D37" s="62" t="s">
        <v>1243</v>
      </c>
      <c r="E37" s="62" t="s">
        <v>1253</v>
      </c>
      <c r="F37" s="62" t="s">
        <v>1254</v>
      </c>
      <c r="G37">
        <f t="shared" si="0"/>
        <v>350</v>
      </c>
      <c r="H37">
        <f t="shared" si="1"/>
        <v>40</v>
      </c>
      <c r="I37">
        <f t="shared" si="2"/>
        <v>35</v>
      </c>
      <c r="J37" t="str">
        <f t="shared" si="3"/>
        <v>Нет</v>
      </c>
      <c r="K37" s="62" t="s">
        <v>1247</v>
      </c>
    </row>
    <row r="38" spans="1:11" ht="15.75" customHeight="1" x14ac:dyDescent="0.25">
      <c r="A38" s="62">
        <v>36</v>
      </c>
      <c r="B38" s="62">
        <v>21</v>
      </c>
      <c r="C38" s="62" t="s">
        <v>1277</v>
      </c>
      <c r="D38" s="62" t="s">
        <v>1258</v>
      </c>
      <c r="E38" s="62" t="s">
        <v>1248</v>
      </c>
      <c r="F38" s="62" t="s">
        <v>1251</v>
      </c>
      <c r="G38">
        <f t="shared" si="0"/>
        <v>250</v>
      </c>
      <c r="H38">
        <f t="shared" si="1"/>
        <v>30</v>
      </c>
      <c r="I38">
        <f t="shared" si="2"/>
        <v>60</v>
      </c>
      <c r="J38" t="str">
        <f t="shared" si="3"/>
        <v>Нет</v>
      </c>
      <c r="K38" s="62" t="s">
        <v>1247</v>
      </c>
    </row>
    <row r="39" spans="1:11" ht="15.75" customHeight="1" x14ac:dyDescent="0.25">
      <c r="A39" s="62">
        <v>37</v>
      </c>
      <c r="B39" s="62">
        <v>18</v>
      </c>
      <c r="C39" s="62" t="s">
        <v>1277</v>
      </c>
      <c r="D39" s="62" t="s">
        <v>1257</v>
      </c>
      <c r="E39" s="62" t="s">
        <v>1248</v>
      </c>
      <c r="F39" s="62" t="s">
        <v>1251</v>
      </c>
      <c r="G39">
        <f t="shared" si="0"/>
        <v>250</v>
      </c>
      <c r="H39">
        <f t="shared" si="1"/>
        <v>30</v>
      </c>
      <c r="I39">
        <f t="shared" si="2"/>
        <v>90</v>
      </c>
      <c r="J39" t="str">
        <f t="shared" si="3"/>
        <v>Нет</v>
      </c>
      <c r="K39" s="62" t="s">
        <v>1246</v>
      </c>
    </row>
    <row r="40" spans="1:11" ht="15.75" customHeight="1" x14ac:dyDescent="0.25">
      <c r="A40" s="62">
        <v>38</v>
      </c>
      <c r="B40" s="62">
        <v>21</v>
      </c>
      <c r="C40" s="62" t="s">
        <v>1277</v>
      </c>
      <c r="D40" s="62" t="s">
        <v>1243</v>
      </c>
      <c r="E40" s="62" t="s">
        <v>1250</v>
      </c>
      <c r="F40" s="62" t="s">
        <v>1251</v>
      </c>
      <c r="G40">
        <f t="shared" si="0"/>
        <v>250</v>
      </c>
      <c r="H40">
        <f t="shared" si="1"/>
        <v>41</v>
      </c>
      <c r="I40">
        <f t="shared" si="2"/>
        <v>35</v>
      </c>
      <c r="J40" t="str">
        <f t="shared" si="3"/>
        <v>Нет</v>
      </c>
      <c r="K40" s="62" t="s">
        <v>1261</v>
      </c>
    </row>
    <row r="41" spans="1:11" ht="15.75" customHeight="1" x14ac:dyDescent="0.25">
      <c r="A41" s="62">
        <v>39</v>
      </c>
      <c r="B41" s="62">
        <v>19</v>
      </c>
      <c r="C41" s="62" t="s">
        <v>1277</v>
      </c>
      <c r="D41" s="62" t="s">
        <v>1243</v>
      </c>
      <c r="E41" s="62" t="s">
        <v>1248</v>
      </c>
      <c r="F41" s="62" t="s">
        <v>1251</v>
      </c>
      <c r="G41">
        <f t="shared" si="0"/>
        <v>250</v>
      </c>
      <c r="H41">
        <f t="shared" si="1"/>
        <v>30</v>
      </c>
      <c r="I41">
        <f t="shared" si="2"/>
        <v>35</v>
      </c>
      <c r="J41" t="str">
        <f t="shared" si="3"/>
        <v>Нет</v>
      </c>
      <c r="K41" s="62" t="s">
        <v>1252</v>
      </c>
    </row>
    <row r="42" spans="1:11" ht="15.75" customHeight="1" x14ac:dyDescent="0.25">
      <c r="A42" s="62">
        <v>40</v>
      </c>
      <c r="B42" s="62">
        <v>19</v>
      </c>
      <c r="C42" s="62" t="s">
        <v>1277</v>
      </c>
      <c r="D42" s="62" t="s">
        <v>1260</v>
      </c>
      <c r="E42" s="62" t="s">
        <v>1250</v>
      </c>
      <c r="F42" s="62" t="s">
        <v>1254</v>
      </c>
      <c r="G42">
        <f t="shared" si="0"/>
        <v>350</v>
      </c>
      <c r="H42">
        <f t="shared" si="1"/>
        <v>41</v>
      </c>
      <c r="I42">
        <f t="shared" si="2"/>
        <v>121</v>
      </c>
      <c r="J42" t="str">
        <f t="shared" si="3"/>
        <v>Нет</v>
      </c>
      <c r="K42" s="62" t="s">
        <v>1242</v>
      </c>
    </row>
    <row r="43" spans="1:11" ht="15.75" customHeight="1" x14ac:dyDescent="0.25">
      <c r="A43" s="62">
        <v>41</v>
      </c>
      <c r="B43" s="62">
        <v>19</v>
      </c>
      <c r="C43" s="62" t="s">
        <v>1277</v>
      </c>
      <c r="D43" s="62" t="s">
        <v>1243</v>
      </c>
      <c r="E43" s="62" t="s">
        <v>1253</v>
      </c>
      <c r="F43" s="62" t="s">
        <v>1259</v>
      </c>
      <c r="G43">
        <f t="shared" si="0"/>
        <v>351</v>
      </c>
      <c r="H43">
        <f t="shared" si="1"/>
        <v>40</v>
      </c>
      <c r="I43">
        <f t="shared" si="2"/>
        <v>35</v>
      </c>
      <c r="J43" t="str">
        <f t="shared" si="3"/>
        <v>Нет</v>
      </c>
      <c r="K43" s="62" t="s">
        <v>1247</v>
      </c>
    </row>
    <row r="44" spans="1:11" ht="15.75" customHeight="1" x14ac:dyDescent="0.25">
      <c r="A44" s="62">
        <v>42</v>
      </c>
      <c r="B44" s="62">
        <v>25</v>
      </c>
      <c r="C44" s="62" t="s">
        <v>1277</v>
      </c>
      <c r="D44" s="62" t="s">
        <v>1243</v>
      </c>
      <c r="E44" s="62" t="s">
        <v>1253</v>
      </c>
      <c r="F44" s="62" t="s">
        <v>1254</v>
      </c>
      <c r="G44">
        <f t="shared" si="0"/>
        <v>350</v>
      </c>
      <c r="H44">
        <f t="shared" si="1"/>
        <v>40</v>
      </c>
      <c r="I44">
        <f t="shared" si="2"/>
        <v>35</v>
      </c>
      <c r="J44" t="str">
        <f t="shared" si="3"/>
        <v>Да</v>
      </c>
      <c r="K44" s="62" t="s">
        <v>1246</v>
      </c>
    </row>
    <row r="45" spans="1:11" ht="15.75" customHeight="1" x14ac:dyDescent="0.25">
      <c r="A45" s="62">
        <v>43</v>
      </c>
      <c r="B45" s="62">
        <v>19</v>
      </c>
      <c r="C45" s="62" t="s">
        <v>1277</v>
      </c>
      <c r="D45" s="62" t="s">
        <v>1256</v>
      </c>
      <c r="E45" s="62" t="s">
        <v>1255</v>
      </c>
      <c r="F45" s="62" t="s">
        <v>1251</v>
      </c>
      <c r="G45">
        <f t="shared" si="0"/>
        <v>250</v>
      </c>
      <c r="H45">
        <f t="shared" si="1"/>
        <v>20</v>
      </c>
      <c r="I45">
        <f t="shared" si="2"/>
        <v>120</v>
      </c>
      <c r="J45" t="str">
        <f t="shared" si="3"/>
        <v>Нет</v>
      </c>
      <c r="K45" s="62" t="s">
        <v>1246</v>
      </c>
    </row>
    <row r="46" spans="1:11" ht="15.75" customHeight="1" x14ac:dyDescent="0.25">
      <c r="A46" s="62">
        <v>44</v>
      </c>
      <c r="B46" s="62">
        <v>19</v>
      </c>
      <c r="C46" s="62" t="s">
        <v>1277</v>
      </c>
      <c r="D46" s="62" t="s">
        <v>1243</v>
      </c>
      <c r="E46" s="62" t="s">
        <v>1248</v>
      </c>
      <c r="F46" s="62" t="s">
        <v>1259</v>
      </c>
      <c r="G46">
        <f t="shared" si="0"/>
        <v>351</v>
      </c>
      <c r="H46">
        <f t="shared" si="1"/>
        <v>30</v>
      </c>
      <c r="I46">
        <f t="shared" si="2"/>
        <v>35</v>
      </c>
      <c r="J46" t="str">
        <f t="shared" si="3"/>
        <v>Да</v>
      </c>
      <c r="K46" s="62" t="s">
        <v>1252</v>
      </c>
    </row>
    <row r="47" spans="1:11" ht="15.75" customHeight="1" x14ac:dyDescent="0.25">
      <c r="A47" s="62">
        <v>45</v>
      </c>
      <c r="B47" s="62">
        <v>23</v>
      </c>
      <c r="C47" s="62" t="s">
        <v>1277</v>
      </c>
      <c r="D47" s="62" t="s">
        <v>1260</v>
      </c>
      <c r="E47" s="62" t="s">
        <v>1253</v>
      </c>
      <c r="F47" s="62" t="s">
        <v>1259</v>
      </c>
      <c r="G47">
        <f t="shared" si="0"/>
        <v>351</v>
      </c>
      <c r="H47">
        <f t="shared" si="1"/>
        <v>40</v>
      </c>
      <c r="I47">
        <f t="shared" si="2"/>
        <v>121</v>
      </c>
      <c r="J47" t="str">
        <f t="shared" si="3"/>
        <v>Нет</v>
      </c>
      <c r="K47" s="62" t="s">
        <v>1247</v>
      </c>
    </row>
    <row r="48" spans="1:11" ht="15.75" customHeight="1" x14ac:dyDescent="0.25">
      <c r="A48" s="62">
        <v>46</v>
      </c>
      <c r="B48" s="62">
        <v>24</v>
      </c>
      <c r="C48" s="62" t="s">
        <v>1277</v>
      </c>
      <c r="D48" s="62" t="s">
        <v>1257</v>
      </c>
      <c r="E48" s="62" t="s">
        <v>1248</v>
      </c>
      <c r="F48" s="62" t="s">
        <v>1259</v>
      </c>
      <c r="G48">
        <f t="shared" si="0"/>
        <v>351</v>
      </c>
      <c r="H48">
        <f t="shared" si="1"/>
        <v>30</v>
      </c>
      <c r="I48">
        <f t="shared" si="2"/>
        <v>90</v>
      </c>
      <c r="J48" t="str">
        <f t="shared" si="3"/>
        <v>Нет</v>
      </c>
      <c r="K48" s="62" t="s">
        <v>1246</v>
      </c>
    </row>
    <row r="49" spans="1:11" ht="15.75" customHeight="1" x14ac:dyDescent="0.25">
      <c r="A49" s="62">
        <v>47</v>
      </c>
      <c r="B49" s="62">
        <v>22</v>
      </c>
      <c r="C49" s="62" t="s">
        <v>1277</v>
      </c>
      <c r="D49" s="62" t="s">
        <v>1243</v>
      </c>
      <c r="E49" s="62" t="s">
        <v>1253</v>
      </c>
      <c r="F49" s="62" t="s">
        <v>1251</v>
      </c>
      <c r="G49">
        <f t="shared" si="0"/>
        <v>250</v>
      </c>
      <c r="H49">
        <f t="shared" si="1"/>
        <v>40</v>
      </c>
      <c r="I49">
        <f t="shared" si="2"/>
        <v>35</v>
      </c>
      <c r="J49" t="str">
        <f t="shared" si="3"/>
        <v>Нет</v>
      </c>
      <c r="K49" s="62" t="s">
        <v>1252</v>
      </c>
    </row>
    <row r="50" spans="1:11" ht="15.75" customHeight="1" x14ac:dyDescent="0.25">
      <c r="A50" s="62">
        <v>48</v>
      </c>
      <c r="B50" s="62">
        <v>25</v>
      </c>
      <c r="C50" s="62" t="s">
        <v>1277</v>
      </c>
      <c r="D50" s="62" t="s">
        <v>1243</v>
      </c>
      <c r="E50" s="62" t="s">
        <v>1253</v>
      </c>
      <c r="F50" s="62" t="s">
        <v>1245</v>
      </c>
      <c r="G50">
        <f t="shared" si="0"/>
        <v>451</v>
      </c>
      <c r="H50">
        <f t="shared" si="1"/>
        <v>40</v>
      </c>
      <c r="I50">
        <f t="shared" si="2"/>
        <v>35</v>
      </c>
      <c r="J50" t="str">
        <f t="shared" si="3"/>
        <v>Да</v>
      </c>
      <c r="K50" s="62" t="s">
        <v>1252</v>
      </c>
    </row>
    <row r="51" spans="1:11" ht="15.75" customHeight="1" x14ac:dyDescent="0.25">
      <c r="A51" s="62">
        <v>49</v>
      </c>
      <c r="B51" s="62">
        <v>22</v>
      </c>
      <c r="C51" s="62" t="s">
        <v>1277</v>
      </c>
      <c r="D51" s="62" t="s">
        <v>1257</v>
      </c>
      <c r="E51" s="62" t="s">
        <v>1248</v>
      </c>
      <c r="F51" s="62" t="s">
        <v>1251</v>
      </c>
      <c r="G51">
        <f t="shared" si="0"/>
        <v>250</v>
      </c>
      <c r="H51">
        <f t="shared" si="1"/>
        <v>30</v>
      </c>
      <c r="I51">
        <f t="shared" si="2"/>
        <v>90</v>
      </c>
      <c r="J51" t="str">
        <f t="shared" si="3"/>
        <v>Нет</v>
      </c>
      <c r="K51" s="62" t="s">
        <v>1246</v>
      </c>
    </row>
    <row r="52" spans="1:11" ht="15.75" customHeight="1" x14ac:dyDescent="0.25">
      <c r="A52" s="62">
        <v>50</v>
      </c>
      <c r="B52" s="62">
        <v>25</v>
      </c>
      <c r="C52" s="62" t="s">
        <v>1277</v>
      </c>
      <c r="D52" s="62" t="s">
        <v>1243</v>
      </c>
      <c r="E52" s="62" t="s">
        <v>1255</v>
      </c>
      <c r="F52" s="62" t="s">
        <v>1251</v>
      </c>
      <c r="G52">
        <f t="shared" si="0"/>
        <v>250</v>
      </c>
      <c r="H52">
        <f t="shared" si="1"/>
        <v>20</v>
      </c>
      <c r="I52">
        <f t="shared" si="2"/>
        <v>35</v>
      </c>
      <c r="J52" t="str">
        <f t="shared" si="3"/>
        <v>Нет</v>
      </c>
      <c r="K52" s="62" t="s">
        <v>1242</v>
      </c>
    </row>
    <row r="53" spans="1:11" ht="15.75" customHeight="1" x14ac:dyDescent="0.25">
      <c r="A53" s="62">
        <v>51</v>
      </c>
      <c r="B53" s="62">
        <v>20</v>
      </c>
      <c r="C53" s="62" t="s">
        <v>1277</v>
      </c>
      <c r="D53" s="62" t="s">
        <v>1243</v>
      </c>
      <c r="E53" s="62" t="s">
        <v>1248</v>
      </c>
      <c r="F53" s="62" t="s">
        <v>1259</v>
      </c>
      <c r="G53">
        <f t="shared" si="0"/>
        <v>351</v>
      </c>
      <c r="H53">
        <f t="shared" si="1"/>
        <v>30</v>
      </c>
      <c r="I53">
        <f t="shared" si="2"/>
        <v>35</v>
      </c>
      <c r="J53" t="str">
        <f t="shared" si="3"/>
        <v>Нет</v>
      </c>
      <c r="K53" s="62" t="s">
        <v>1261</v>
      </c>
    </row>
    <row r="54" spans="1:11" ht="15.75" customHeight="1" x14ac:dyDescent="0.25">
      <c r="A54" s="62">
        <v>52</v>
      </c>
      <c r="B54" s="62">
        <v>25</v>
      </c>
      <c r="C54" s="62" t="s">
        <v>1277</v>
      </c>
      <c r="D54" s="62" t="s">
        <v>1243</v>
      </c>
      <c r="E54" s="62" t="s">
        <v>1255</v>
      </c>
      <c r="F54" s="62" t="s">
        <v>1245</v>
      </c>
      <c r="G54">
        <f t="shared" si="0"/>
        <v>451</v>
      </c>
      <c r="H54">
        <f t="shared" si="1"/>
        <v>20</v>
      </c>
      <c r="I54">
        <f t="shared" si="2"/>
        <v>35</v>
      </c>
      <c r="J54" t="str">
        <f t="shared" si="3"/>
        <v>Нет</v>
      </c>
      <c r="K54" s="62" t="s">
        <v>1261</v>
      </c>
    </row>
    <row r="55" spans="1:11" ht="15.75" customHeight="1" x14ac:dyDescent="0.25">
      <c r="A55" s="62">
        <v>53</v>
      </c>
      <c r="B55" s="62">
        <v>24</v>
      </c>
      <c r="C55" s="62" t="s">
        <v>1277</v>
      </c>
      <c r="D55" s="62" t="s">
        <v>1258</v>
      </c>
      <c r="E55" s="62" t="s">
        <v>1253</v>
      </c>
      <c r="F55" s="62" t="s">
        <v>1251</v>
      </c>
      <c r="G55">
        <f t="shared" si="0"/>
        <v>250</v>
      </c>
      <c r="H55">
        <f t="shared" si="1"/>
        <v>40</v>
      </c>
      <c r="I55">
        <f t="shared" si="2"/>
        <v>60</v>
      </c>
      <c r="J55" t="str">
        <f t="shared" si="3"/>
        <v>Нет</v>
      </c>
      <c r="K55" s="62" t="s">
        <v>1252</v>
      </c>
    </row>
    <row r="56" spans="1:11" ht="15.75" customHeight="1" x14ac:dyDescent="0.25">
      <c r="A56" s="62">
        <v>54</v>
      </c>
      <c r="B56" s="62">
        <v>22</v>
      </c>
      <c r="C56" s="62" t="s">
        <v>1277</v>
      </c>
      <c r="D56" s="62" t="s">
        <v>1258</v>
      </c>
      <c r="E56" s="62" t="s">
        <v>1250</v>
      </c>
      <c r="F56" s="62" t="s">
        <v>1254</v>
      </c>
      <c r="G56">
        <f t="shared" si="0"/>
        <v>350</v>
      </c>
      <c r="H56">
        <f t="shared" si="1"/>
        <v>41</v>
      </c>
      <c r="I56">
        <f t="shared" si="2"/>
        <v>60</v>
      </c>
      <c r="J56" t="str">
        <f t="shared" si="3"/>
        <v>Нет</v>
      </c>
      <c r="K56" s="62" t="s">
        <v>1247</v>
      </c>
    </row>
    <row r="57" spans="1:11" ht="15.75" customHeight="1" x14ac:dyDescent="0.25">
      <c r="A57" s="62">
        <v>55</v>
      </c>
      <c r="B57" s="62">
        <v>21</v>
      </c>
      <c r="C57" s="62" t="s">
        <v>1277</v>
      </c>
      <c r="D57" s="62" t="s">
        <v>1243</v>
      </c>
      <c r="E57" s="62" t="s">
        <v>1253</v>
      </c>
      <c r="F57" s="62" t="s">
        <v>1254</v>
      </c>
      <c r="G57">
        <f t="shared" si="0"/>
        <v>350</v>
      </c>
      <c r="H57">
        <f t="shared" si="1"/>
        <v>40</v>
      </c>
      <c r="I57">
        <f t="shared" si="2"/>
        <v>35</v>
      </c>
      <c r="J57" t="str">
        <f t="shared" si="3"/>
        <v>Да</v>
      </c>
      <c r="K57" s="62" t="s">
        <v>1246</v>
      </c>
    </row>
    <row r="58" spans="1:11" ht="15.75" customHeight="1" x14ac:dyDescent="0.25">
      <c r="A58" s="62">
        <v>56</v>
      </c>
      <c r="B58" s="62">
        <v>21</v>
      </c>
      <c r="C58" s="62" t="s">
        <v>1277</v>
      </c>
      <c r="D58" s="62" t="s">
        <v>1256</v>
      </c>
      <c r="E58" s="62" t="s">
        <v>1250</v>
      </c>
      <c r="F58" s="62" t="s">
        <v>1259</v>
      </c>
      <c r="G58">
        <f t="shared" si="0"/>
        <v>351</v>
      </c>
      <c r="H58">
        <f t="shared" si="1"/>
        <v>41</v>
      </c>
      <c r="I58">
        <f t="shared" si="2"/>
        <v>120</v>
      </c>
      <c r="J58" t="str">
        <f t="shared" si="3"/>
        <v>Нет</v>
      </c>
      <c r="K58" s="62" t="s">
        <v>1246</v>
      </c>
    </row>
    <row r="59" spans="1:11" ht="15.75" customHeight="1" x14ac:dyDescent="0.25">
      <c r="A59" s="62">
        <v>57</v>
      </c>
      <c r="B59" s="62">
        <v>18</v>
      </c>
      <c r="C59" s="62" t="s">
        <v>1277</v>
      </c>
      <c r="D59" s="62" t="s">
        <v>1243</v>
      </c>
      <c r="E59" s="62" t="s">
        <v>1244</v>
      </c>
      <c r="F59" s="62" t="s">
        <v>1251</v>
      </c>
      <c r="G59">
        <f t="shared" si="0"/>
        <v>250</v>
      </c>
      <c r="H59">
        <f t="shared" si="1"/>
        <v>10</v>
      </c>
      <c r="I59">
        <f t="shared" si="2"/>
        <v>35</v>
      </c>
      <c r="J59" t="str">
        <f t="shared" si="3"/>
        <v>Нет</v>
      </c>
      <c r="K59" s="62" t="s">
        <v>1247</v>
      </c>
    </row>
    <row r="60" spans="1:11" ht="15.75" customHeight="1" x14ac:dyDescent="0.25">
      <c r="A60" s="62">
        <v>58</v>
      </c>
      <c r="B60" s="62">
        <v>21</v>
      </c>
      <c r="C60" s="62" t="s">
        <v>1277</v>
      </c>
      <c r="D60" s="62" t="s">
        <v>1243</v>
      </c>
      <c r="E60" s="62" t="s">
        <v>1253</v>
      </c>
      <c r="F60" s="62" t="s">
        <v>1254</v>
      </c>
      <c r="G60">
        <f t="shared" si="0"/>
        <v>350</v>
      </c>
      <c r="H60">
        <f t="shared" si="1"/>
        <v>40</v>
      </c>
      <c r="I60">
        <f t="shared" si="2"/>
        <v>35</v>
      </c>
      <c r="J60" t="str">
        <f t="shared" si="3"/>
        <v>Нет</v>
      </c>
      <c r="K60" s="62" t="s">
        <v>1247</v>
      </c>
    </row>
    <row r="61" spans="1:11" ht="15.75" customHeight="1" x14ac:dyDescent="0.25">
      <c r="A61" s="62">
        <v>59</v>
      </c>
      <c r="B61" s="62">
        <v>25</v>
      </c>
      <c r="C61" s="62" t="s">
        <v>1277</v>
      </c>
      <c r="D61" s="62" t="s">
        <v>1243</v>
      </c>
      <c r="E61" s="62" t="s">
        <v>1253</v>
      </c>
      <c r="F61" s="62" t="s">
        <v>1245</v>
      </c>
      <c r="G61">
        <f t="shared" si="0"/>
        <v>451</v>
      </c>
      <c r="H61">
        <f t="shared" si="1"/>
        <v>40</v>
      </c>
      <c r="I61">
        <f t="shared" si="2"/>
        <v>35</v>
      </c>
      <c r="J61" t="str">
        <f t="shared" si="3"/>
        <v>Нет</v>
      </c>
      <c r="K61" s="62" t="s">
        <v>1247</v>
      </c>
    </row>
    <row r="62" spans="1:11" ht="15.75" customHeight="1" x14ac:dyDescent="0.25">
      <c r="A62" s="62">
        <v>60</v>
      </c>
      <c r="B62" s="62">
        <v>23</v>
      </c>
      <c r="C62" s="62" t="s">
        <v>1277</v>
      </c>
      <c r="D62" s="62" t="s">
        <v>1243</v>
      </c>
      <c r="E62" s="62" t="s">
        <v>1250</v>
      </c>
      <c r="F62" s="62" t="s">
        <v>1249</v>
      </c>
      <c r="G62">
        <f t="shared" si="0"/>
        <v>550</v>
      </c>
      <c r="H62">
        <f t="shared" si="1"/>
        <v>41</v>
      </c>
      <c r="I62">
        <f t="shared" si="2"/>
        <v>35</v>
      </c>
      <c r="J62" t="str">
        <f t="shared" si="3"/>
        <v>Нет</v>
      </c>
      <c r="K62" s="62" t="s">
        <v>1242</v>
      </c>
    </row>
    <row r="63" spans="1:11" ht="15.75" customHeight="1" x14ac:dyDescent="0.25">
      <c r="A63" s="62">
        <v>61</v>
      </c>
      <c r="B63" s="62">
        <v>24</v>
      </c>
      <c r="C63" s="62" t="s">
        <v>1277</v>
      </c>
      <c r="D63" s="62" t="s">
        <v>1243</v>
      </c>
      <c r="E63" s="62" t="s">
        <v>1253</v>
      </c>
      <c r="F63" s="62" t="s">
        <v>1245</v>
      </c>
      <c r="G63">
        <f t="shared" si="0"/>
        <v>451</v>
      </c>
      <c r="H63">
        <f t="shared" si="1"/>
        <v>40</v>
      </c>
      <c r="I63">
        <f t="shared" si="2"/>
        <v>35</v>
      </c>
      <c r="J63" t="str">
        <f t="shared" si="3"/>
        <v>Нет</v>
      </c>
      <c r="K63" s="62" t="s">
        <v>1247</v>
      </c>
    </row>
    <row r="64" spans="1:11" ht="15.75" customHeight="1" x14ac:dyDescent="0.25">
      <c r="A64" s="62">
        <v>62</v>
      </c>
      <c r="B64" s="62">
        <v>21</v>
      </c>
      <c r="C64" s="62" t="s">
        <v>1277</v>
      </c>
      <c r="D64" s="62" t="s">
        <v>1243</v>
      </c>
      <c r="E64" s="62" t="s">
        <v>1244</v>
      </c>
      <c r="F64" s="62" t="s">
        <v>1251</v>
      </c>
      <c r="G64">
        <f t="shared" si="0"/>
        <v>250</v>
      </c>
      <c r="H64">
        <f t="shared" si="1"/>
        <v>10</v>
      </c>
      <c r="I64">
        <f t="shared" si="2"/>
        <v>35</v>
      </c>
      <c r="J64" t="str">
        <f t="shared" si="3"/>
        <v>Нет</v>
      </c>
      <c r="K64" s="62" t="s">
        <v>1247</v>
      </c>
    </row>
    <row r="65" spans="1:11" ht="15.75" customHeight="1" x14ac:dyDescent="0.25">
      <c r="A65" s="62">
        <v>63</v>
      </c>
      <c r="B65" s="62">
        <v>23</v>
      </c>
      <c r="C65" s="62" t="s">
        <v>1277</v>
      </c>
      <c r="D65" s="62" t="s">
        <v>1243</v>
      </c>
      <c r="E65" s="62" t="s">
        <v>1253</v>
      </c>
      <c r="F65" s="62" t="s">
        <v>1254</v>
      </c>
      <c r="G65">
        <f t="shared" si="0"/>
        <v>350</v>
      </c>
      <c r="H65">
        <f t="shared" si="1"/>
        <v>40</v>
      </c>
      <c r="I65">
        <f t="shared" si="2"/>
        <v>35</v>
      </c>
      <c r="J65" t="str">
        <f t="shared" si="3"/>
        <v>Нет</v>
      </c>
      <c r="K65" s="62" t="s">
        <v>1247</v>
      </c>
    </row>
    <row r="66" spans="1:11" ht="15.75" customHeight="1" x14ac:dyDescent="0.25">
      <c r="A66" s="62">
        <v>64</v>
      </c>
      <c r="B66" s="62">
        <v>25</v>
      </c>
      <c r="C66" s="62" t="s">
        <v>1277</v>
      </c>
      <c r="D66" s="62" t="s">
        <v>1243</v>
      </c>
      <c r="E66" s="62" t="s">
        <v>1248</v>
      </c>
      <c r="F66" s="62" t="s">
        <v>1251</v>
      </c>
      <c r="G66">
        <f t="shared" si="0"/>
        <v>250</v>
      </c>
      <c r="H66">
        <f t="shared" si="1"/>
        <v>30</v>
      </c>
      <c r="I66">
        <f t="shared" si="2"/>
        <v>35</v>
      </c>
      <c r="J66" t="str">
        <f t="shared" si="3"/>
        <v>Нет</v>
      </c>
      <c r="K66" s="62" t="s">
        <v>1246</v>
      </c>
    </row>
    <row r="67" spans="1:11" ht="15.75" customHeight="1" x14ac:dyDescent="0.25">
      <c r="A67" s="62">
        <v>65</v>
      </c>
      <c r="B67" s="62">
        <v>19</v>
      </c>
      <c r="C67" s="62" t="s">
        <v>1277</v>
      </c>
      <c r="D67" s="62" t="s">
        <v>1260</v>
      </c>
      <c r="E67" s="62" t="s">
        <v>1244</v>
      </c>
      <c r="F67" s="62" t="s">
        <v>1245</v>
      </c>
      <c r="G67">
        <f t="shared" si="0"/>
        <v>451</v>
      </c>
      <c r="H67">
        <f t="shared" si="1"/>
        <v>10</v>
      </c>
      <c r="I67">
        <f t="shared" si="2"/>
        <v>121</v>
      </c>
      <c r="J67" t="str">
        <f t="shared" si="3"/>
        <v>Нет</v>
      </c>
      <c r="K67" s="62" t="s">
        <v>1247</v>
      </c>
    </row>
    <row r="68" spans="1:11" ht="15.75" customHeight="1" x14ac:dyDescent="0.25">
      <c r="A68" s="62">
        <v>66</v>
      </c>
      <c r="B68" s="62">
        <v>21</v>
      </c>
      <c r="C68" s="62" t="s">
        <v>1277</v>
      </c>
      <c r="D68" s="62" t="s">
        <v>1243</v>
      </c>
      <c r="E68" s="62" t="s">
        <v>1253</v>
      </c>
      <c r="F68" s="62" t="s">
        <v>1249</v>
      </c>
      <c r="G68">
        <f t="shared" ref="G68:G131" si="4">IF(F68="550+ рублей",550,IF(F68="451-550",451,IF(F68="351-450",351,IF(F68="250-350",350,250))))</f>
        <v>550</v>
      </c>
      <c r="H68">
        <f t="shared" ref="H68:H131" si="5">IF(E68="&lt;10 Гб",10,IF(E68="10-20 Гб",20,IF(E68="21-30 Гб",30,IF(E68="31-40 Гб",40,41))))</f>
        <v>40</v>
      </c>
      <c r="I68">
        <f t="shared" ref="I68:I131" si="6">IF(D68="&lt;35",35,IF(D68="35-60",60,IF(D68="61-90",90,IF(D68="91-120",120,121))))</f>
        <v>35</v>
      </c>
      <c r="J68" t="str">
        <f t="shared" ref="J68:J131" si="7">IF(AND(G68&gt;330,I68&lt;36,H68&lt;41,OR(K68="Скорее не удовлетворен",K68="Абсолютно не уловлетворен",K68="Затрудняюсь ответить")),"Да","Нет")</f>
        <v>Нет</v>
      </c>
      <c r="K68" s="62" t="s">
        <v>1247</v>
      </c>
    </row>
    <row r="69" spans="1:11" ht="15.75" customHeight="1" x14ac:dyDescent="0.25">
      <c r="A69" s="62">
        <v>67</v>
      </c>
      <c r="B69" s="62">
        <v>18</v>
      </c>
      <c r="C69" s="62" t="s">
        <v>1277</v>
      </c>
      <c r="D69" s="62" t="s">
        <v>1260</v>
      </c>
      <c r="E69" s="62" t="s">
        <v>1255</v>
      </c>
      <c r="F69" s="62" t="s">
        <v>1251</v>
      </c>
      <c r="G69">
        <f t="shared" si="4"/>
        <v>250</v>
      </c>
      <c r="H69">
        <f t="shared" si="5"/>
        <v>20</v>
      </c>
      <c r="I69">
        <f t="shared" si="6"/>
        <v>121</v>
      </c>
      <c r="J69" t="str">
        <f t="shared" si="7"/>
        <v>Нет</v>
      </c>
      <c r="K69" s="62" t="s">
        <v>1247</v>
      </c>
    </row>
    <row r="70" spans="1:11" ht="15.75" customHeight="1" x14ac:dyDescent="0.25">
      <c r="A70" s="62">
        <v>68</v>
      </c>
      <c r="B70" s="62">
        <v>21</v>
      </c>
      <c r="C70" s="62" t="s">
        <v>1277</v>
      </c>
      <c r="D70" s="62" t="s">
        <v>1243</v>
      </c>
      <c r="E70" s="62" t="s">
        <v>1253</v>
      </c>
      <c r="F70" s="62" t="s">
        <v>1254</v>
      </c>
      <c r="G70">
        <f t="shared" si="4"/>
        <v>350</v>
      </c>
      <c r="H70">
        <f t="shared" si="5"/>
        <v>40</v>
      </c>
      <c r="I70">
        <f t="shared" si="6"/>
        <v>35</v>
      </c>
      <c r="J70" t="str">
        <f t="shared" si="7"/>
        <v>Нет</v>
      </c>
      <c r="K70" s="62" t="s">
        <v>1242</v>
      </c>
    </row>
    <row r="71" spans="1:11" ht="15.75" customHeight="1" x14ac:dyDescent="0.25">
      <c r="A71" s="62">
        <v>69</v>
      </c>
      <c r="B71" s="62">
        <v>18</v>
      </c>
      <c r="C71" s="62" t="s">
        <v>1277</v>
      </c>
      <c r="D71" s="62" t="s">
        <v>1258</v>
      </c>
      <c r="E71" s="62" t="s">
        <v>1244</v>
      </c>
      <c r="F71" s="62" t="s">
        <v>1251</v>
      </c>
      <c r="G71">
        <f t="shared" si="4"/>
        <v>250</v>
      </c>
      <c r="H71">
        <f t="shared" si="5"/>
        <v>10</v>
      </c>
      <c r="I71">
        <f t="shared" si="6"/>
        <v>60</v>
      </c>
      <c r="J71" t="str">
        <f t="shared" si="7"/>
        <v>Нет</v>
      </c>
      <c r="K71" s="62" t="s">
        <v>1242</v>
      </c>
    </row>
    <row r="72" spans="1:11" ht="15.75" customHeight="1" x14ac:dyDescent="0.25">
      <c r="A72" s="62">
        <v>70</v>
      </c>
      <c r="B72" s="62">
        <v>20</v>
      </c>
      <c r="C72" s="62" t="s">
        <v>1277</v>
      </c>
      <c r="D72" s="62" t="s">
        <v>1243</v>
      </c>
      <c r="E72" s="62" t="s">
        <v>1248</v>
      </c>
      <c r="F72" s="62" t="s">
        <v>1251</v>
      </c>
      <c r="G72">
        <f t="shared" si="4"/>
        <v>250</v>
      </c>
      <c r="H72">
        <f t="shared" si="5"/>
        <v>30</v>
      </c>
      <c r="I72">
        <f t="shared" si="6"/>
        <v>35</v>
      </c>
      <c r="J72" t="str">
        <f t="shared" si="7"/>
        <v>Нет</v>
      </c>
      <c r="K72" s="62" t="s">
        <v>1246</v>
      </c>
    </row>
    <row r="73" spans="1:11" ht="15.75" customHeight="1" x14ac:dyDescent="0.25">
      <c r="A73" s="62">
        <v>71</v>
      </c>
      <c r="B73" s="62">
        <v>19</v>
      </c>
      <c r="C73" s="62" t="s">
        <v>1277</v>
      </c>
      <c r="D73" s="62" t="s">
        <v>1258</v>
      </c>
      <c r="E73" s="62" t="s">
        <v>1250</v>
      </c>
      <c r="F73" s="62" t="s">
        <v>1251</v>
      </c>
      <c r="G73">
        <f t="shared" si="4"/>
        <v>250</v>
      </c>
      <c r="H73">
        <f t="shared" si="5"/>
        <v>41</v>
      </c>
      <c r="I73">
        <f t="shared" si="6"/>
        <v>60</v>
      </c>
      <c r="J73" t="str">
        <f t="shared" si="7"/>
        <v>Нет</v>
      </c>
      <c r="K73" s="62" t="s">
        <v>1261</v>
      </c>
    </row>
    <row r="74" spans="1:11" ht="15.75" customHeight="1" x14ac:dyDescent="0.25">
      <c r="A74" s="62">
        <v>72</v>
      </c>
      <c r="B74" s="62">
        <v>22</v>
      </c>
      <c r="C74" s="62" t="s">
        <v>1277</v>
      </c>
      <c r="D74" s="62" t="s">
        <v>1243</v>
      </c>
      <c r="E74" s="62" t="s">
        <v>1253</v>
      </c>
      <c r="F74" s="62" t="s">
        <v>1254</v>
      </c>
      <c r="G74">
        <f t="shared" si="4"/>
        <v>350</v>
      </c>
      <c r="H74">
        <f t="shared" si="5"/>
        <v>40</v>
      </c>
      <c r="I74">
        <f t="shared" si="6"/>
        <v>35</v>
      </c>
      <c r="J74" t="str">
        <f t="shared" si="7"/>
        <v>Да</v>
      </c>
      <c r="K74" s="62" t="s">
        <v>1246</v>
      </c>
    </row>
    <row r="75" spans="1:11" ht="15.75" customHeight="1" x14ac:dyDescent="0.25">
      <c r="A75" s="62">
        <v>73</v>
      </c>
      <c r="B75" s="62">
        <v>22</v>
      </c>
      <c r="C75" s="62" t="s">
        <v>1277</v>
      </c>
      <c r="D75" s="62" t="s">
        <v>1243</v>
      </c>
      <c r="E75" s="62" t="s">
        <v>1253</v>
      </c>
      <c r="F75" s="62" t="s">
        <v>1254</v>
      </c>
      <c r="G75">
        <f t="shared" si="4"/>
        <v>350</v>
      </c>
      <c r="H75">
        <f t="shared" si="5"/>
        <v>40</v>
      </c>
      <c r="I75">
        <f t="shared" si="6"/>
        <v>35</v>
      </c>
      <c r="J75" t="str">
        <f t="shared" si="7"/>
        <v>Нет</v>
      </c>
      <c r="K75" s="62" t="s">
        <v>1247</v>
      </c>
    </row>
    <row r="76" spans="1:11" ht="15.75" customHeight="1" x14ac:dyDescent="0.25">
      <c r="A76" s="62">
        <v>74</v>
      </c>
      <c r="B76" s="62">
        <v>21</v>
      </c>
      <c r="C76" s="62" t="s">
        <v>1277</v>
      </c>
      <c r="D76" s="62" t="s">
        <v>1260</v>
      </c>
      <c r="E76" s="62" t="s">
        <v>1248</v>
      </c>
      <c r="F76" s="62" t="s">
        <v>1249</v>
      </c>
      <c r="G76">
        <f t="shared" si="4"/>
        <v>550</v>
      </c>
      <c r="H76">
        <f t="shared" si="5"/>
        <v>30</v>
      </c>
      <c r="I76">
        <f t="shared" si="6"/>
        <v>121</v>
      </c>
      <c r="J76" t="str">
        <f t="shared" si="7"/>
        <v>Нет</v>
      </c>
      <c r="K76" s="62" t="s">
        <v>1247</v>
      </c>
    </row>
    <row r="77" spans="1:11" ht="15.75" customHeight="1" x14ac:dyDescent="0.25">
      <c r="A77" s="62">
        <v>75</v>
      </c>
      <c r="B77" s="62">
        <v>23</v>
      </c>
      <c r="C77" s="62" t="s">
        <v>1277</v>
      </c>
      <c r="D77" s="62" t="s">
        <v>1243</v>
      </c>
      <c r="E77" s="62" t="s">
        <v>1248</v>
      </c>
      <c r="F77" s="62" t="s">
        <v>1251</v>
      </c>
      <c r="G77">
        <f t="shared" si="4"/>
        <v>250</v>
      </c>
      <c r="H77">
        <f t="shared" si="5"/>
        <v>30</v>
      </c>
      <c r="I77">
        <f t="shared" si="6"/>
        <v>35</v>
      </c>
      <c r="J77" t="str">
        <f t="shared" si="7"/>
        <v>Нет</v>
      </c>
      <c r="K77" s="62" t="s">
        <v>1246</v>
      </c>
    </row>
    <row r="78" spans="1:11" ht="15.75" customHeight="1" x14ac:dyDescent="0.25">
      <c r="A78" s="62">
        <v>76</v>
      </c>
      <c r="B78" s="62">
        <v>18</v>
      </c>
      <c r="C78" s="62" t="s">
        <v>1277</v>
      </c>
      <c r="D78" s="62" t="s">
        <v>1243</v>
      </c>
      <c r="E78" s="62" t="s">
        <v>1250</v>
      </c>
      <c r="F78" s="62" t="s">
        <v>1254</v>
      </c>
      <c r="G78">
        <f t="shared" si="4"/>
        <v>350</v>
      </c>
      <c r="H78">
        <f t="shared" si="5"/>
        <v>41</v>
      </c>
      <c r="I78">
        <f t="shared" si="6"/>
        <v>35</v>
      </c>
      <c r="J78" t="str">
        <f t="shared" si="7"/>
        <v>Нет</v>
      </c>
      <c r="K78" s="62" t="s">
        <v>1246</v>
      </c>
    </row>
    <row r="79" spans="1:11" ht="15.75" customHeight="1" x14ac:dyDescent="0.25">
      <c r="A79" s="62">
        <v>77</v>
      </c>
      <c r="B79" s="62">
        <v>19</v>
      </c>
      <c r="C79" s="62" t="s">
        <v>1277</v>
      </c>
      <c r="D79" s="62" t="s">
        <v>1243</v>
      </c>
      <c r="E79" s="62" t="s">
        <v>1253</v>
      </c>
      <c r="F79" s="62" t="s">
        <v>1254</v>
      </c>
      <c r="G79">
        <f t="shared" si="4"/>
        <v>350</v>
      </c>
      <c r="H79">
        <f t="shared" si="5"/>
        <v>40</v>
      </c>
      <c r="I79">
        <f t="shared" si="6"/>
        <v>35</v>
      </c>
      <c r="J79" t="str">
        <f t="shared" si="7"/>
        <v>Нет</v>
      </c>
      <c r="K79" s="62" t="s">
        <v>1247</v>
      </c>
    </row>
    <row r="80" spans="1:11" ht="15.75" customHeight="1" x14ac:dyDescent="0.25">
      <c r="A80" s="62">
        <v>78</v>
      </c>
      <c r="B80" s="62">
        <v>19</v>
      </c>
      <c r="C80" s="62" t="s">
        <v>1277</v>
      </c>
      <c r="D80" s="62" t="s">
        <v>1257</v>
      </c>
      <c r="E80" s="62" t="s">
        <v>1248</v>
      </c>
      <c r="F80" s="62" t="s">
        <v>1259</v>
      </c>
      <c r="G80">
        <f t="shared" si="4"/>
        <v>351</v>
      </c>
      <c r="H80">
        <f t="shared" si="5"/>
        <v>30</v>
      </c>
      <c r="I80">
        <f t="shared" si="6"/>
        <v>90</v>
      </c>
      <c r="J80" t="str">
        <f t="shared" si="7"/>
        <v>Нет</v>
      </c>
      <c r="K80" s="62" t="s">
        <v>1246</v>
      </c>
    </row>
    <row r="81" spans="1:11" ht="15.75" customHeight="1" x14ac:dyDescent="0.25">
      <c r="A81" s="62">
        <v>80</v>
      </c>
      <c r="B81" s="62">
        <v>25</v>
      </c>
      <c r="C81" s="62" t="s">
        <v>1277</v>
      </c>
      <c r="D81" s="62" t="s">
        <v>1256</v>
      </c>
      <c r="E81" s="62" t="s">
        <v>1250</v>
      </c>
      <c r="F81" s="62" t="s">
        <v>1249</v>
      </c>
      <c r="G81">
        <f t="shared" si="4"/>
        <v>550</v>
      </c>
      <c r="H81">
        <f t="shared" si="5"/>
        <v>41</v>
      </c>
      <c r="I81">
        <f t="shared" si="6"/>
        <v>120</v>
      </c>
      <c r="J81" t="str">
        <f t="shared" si="7"/>
        <v>Нет</v>
      </c>
      <c r="K81" s="62" t="s">
        <v>1247</v>
      </c>
    </row>
    <row r="82" spans="1:11" ht="15.75" customHeight="1" x14ac:dyDescent="0.25">
      <c r="A82" s="62">
        <v>81</v>
      </c>
      <c r="B82" s="62">
        <v>21</v>
      </c>
      <c r="C82" s="62" t="s">
        <v>1277</v>
      </c>
      <c r="D82" s="62" t="s">
        <v>1260</v>
      </c>
      <c r="E82" s="62" t="s">
        <v>1248</v>
      </c>
      <c r="F82" s="62" t="s">
        <v>1254</v>
      </c>
      <c r="G82">
        <f t="shared" si="4"/>
        <v>350</v>
      </c>
      <c r="H82">
        <f t="shared" si="5"/>
        <v>30</v>
      </c>
      <c r="I82">
        <f t="shared" si="6"/>
        <v>121</v>
      </c>
      <c r="J82" t="str">
        <f t="shared" si="7"/>
        <v>Нет</v>
      </c>
      <c r="K82" s="62" t="s">
        <v>1246</v>
      </c>
    </row>
    <row r="83" spans="1:11" ht="15.75" customHeight="1" x14ac:dyDescent="0.25">
      <c r="A83" s="62">
        <v>82</v>
      </c>
      <c r="B83" s="62">
        <v>21</v>
      </c>
      <c r="C83" s="62" t="s">
        <v>1277</v>
      </c>
      <c r="D83" s="62" t="s">
        <v>1258</v>
      </c>
      <c r="E83" s="62" t="s">
        <v>1248</v>
      </c>
      <c r="F83" s="62" t="s">
        <v>1251</v>
      </c>
      <c r="G83">
        <f t="shared" si="4"/>
        <v>250</v>
      </c>
      <c r="H83">
        <f t="shared" si="5"/>
        <v>30</v>
      </c>
      <c r="I83">
        <f t="shared" si="6"/>
        <v>60</v>
      </c>
      <c r="J83" t="str">
        <f t="shared" si="7"/>
        <v>Нет</v>
      </c>
      <c r="K83" s="62" t="s">
        <v>1246</v>
      </c>
    </row>
    <row r="84" spans="1:11" ht="15.75" customHeight="1" x14ac:dyDescent="0.25">
      <c r="A84" s="62">
        <v>83</v>
      </c>
      <c r="B84" s="62">
        <v>21</v>
      </c>
      <c r="C84" s="62" t="s">
        <v>1277</v>
      </c>
      <c r="D84" s="62" t="s">
        <v>1243</v>
      </c>
      <c r="E84" s="62" t="s">
        <v>1250</v>
      </c>
      <c r="F84" s="62" t="s">
        <v>1249</v>
      </c>
      <c r="G84">
        <f t="shared" si="4"/>
        <v>550</v>
      </c>
      <c r="H84">
        <f t="shared" si="5"/>
        <v>41</v>
      </c>
      <c r="I84">
        <f t="shared" si="6"/>
        <v>35</v>
      </c>
      <c r="J84" t="str">
        <f t="shared" si="7"/>
        <v>Нет</v>
      </c>
      <c r="K84" s="62" t="s">
        <v>1247</v>
      </c>
    </row>
    <row r="85" spans="1:11" ht="15.75" customHeight="1" x14ac:dyDescent="0.25">
      <c r="A85" s="62">
        <v>84</v>
      </c>
      <c r="B85" s="62">
        <v>24</v>
      </c>
      <c r="C85" s="62" t="s">
        <v>1277</v>
      </c>
      <c r="D85" s="62" t="s">
        <v>1243</v>
      </c>
      <c r="E85" s="62" t="s">
        <v>1248</v>
      </c>
      <c r="F85" s="62" t="s">
        <v>1249</v>
      </c>
      <c r="G85">
        <f t="shared" si="4"/>
        <v>550</v>
      </c>
      <c r="H85">
        <f t="shared" si="5"/>
        <v>30</v>
      </c>
      <c r="I85">
        <f t="shared" si="6"/>
        <v>35</v>
      </c>
      <c r="J85" t="str">
        <f t="shared" si="7"/>
        <v>Нет</v>
      </c>
      <c r="K85" s="62" t="s">
        <v>1242</v>
      </c>
    </row>
    <row r="86" spans="1:11" ht="15.75" customHeight="1" x14ac:dyDescent="0.25">
      <c r="A86" s="62">
        <v>86</v>
      </c>
      <c r="B86" s="62">
        <v>22</v>
      </c>
      <c r="C86" s="62" t="s">
        <v>1277</v>
      </c>
      <c r="D86" s="62" t="s">
        <v>1243</v>
      </c>
      <c r="E86" s="62" t="s">
        <v>1248</v>
      </c>
      <c r="F86" s="62" t="s">
        <v>1259</v>
      </c>
      <c r="G86">
        <f t="shared" si="4"/>
        <v>351</v>
      </c>
      <c r="H86">
        <f t="shared" si="5"/>
        <v>30</v>
      </c>
      <c r="I86">
        <f t="shared" si="6"/>
        <v>35</v>
      </c>
      <c r="J86" t="str">
        <f t="shared" si="7"/>
        <v>Да</v>
      </c>
      <c r="K86" s="62" t="s">
        <v>1252</v>
      </c>
    </row>
    <row r="87" spans="1:11" ht="15.75" customHeight="1" x14ac:dyDescent="0.25">
      <c r="A87" s="62">
        <v>87</v>
      </c>
      <c r="B87" s="62">
        <v>19</v>
      </c>
      <c r="C87" s="62" t="s">
        <v>1277</v>
      </c>
      <c r="D87" s="62" t="s">
        <v>1243</v>
      </c>
      <c r="E87" s="62" t="s">
        <v>1250</v>
      </c>
      <c r="F87" s="62" t="s">
        <v>1249</v>
      </c>
      <c r="G87">
        <f t="shared" si="4"/>
        <v>550</v>
      </c>
      <c r="H87">
        <f t="shared" si="5"/>
        <v>41</v>
      </c>
      <c r="I87">
        <f t="shared" si="6"/>
        <v>35</v>
      </c>
      <c r="J87" t="str">
        <f t="shared" si="7"/>
        <v>Нет</v>
      </c>
      <c r="K87" s="62" t="s">
        <v>1246</v>
      </c>
    </row>
    <row r="88" spans="1:11" ht="15.75" customHeight="1" x14ac:dyDescent="0.25">
      <c r="A88" s="62">
        <v>88</v>
      </c>
      <c r="B88" s="62">
        <v>21</v>
      </c>
      <c r="C88" s="62" t="s">
        <v>1277</v>
      </c>
      <c r="D88" s="62" t="s">
        <v>1260</v>
      </c>
      <c r="E88" s="62" t="s">
        <v>1248</v>
      </c>
      <c r="F88" s="62" t="s">
        <v>1254</v>
      </c>
      <c r="G88">
        <f t="shared" si="4"/>
        <v>350</v>
      </c>
      <c r="H88">
        <f t="shared" si="5"/>
        <v>30</v>
      </c>
      <c r="I88">
        <f t="shared" si="6"/>
        <v>121</v>
      </c>
      <c r="J88" t="str">
        <f t="shared" si="7"/>
        <v>Нет</v>
      </c>
      <c r="K88" s="62" t="s">
        <v>1247</v>
      </c>
    </row>
    <row r="89" spans="1:11" ht="15.75" customHeight="1" x14ac:dyDescent="0.25">
      <c r="A89" s="62">
        <v>89</v>
      </c>
      <c r="B89" s="62">
        <v>24</v>
      </c>
      <c r="C89" s="62" t="s">
        <v>1277</v>
      </c>
      <c r="D89" s="62" t="s">
        <v>1257</v>
      </c>
      <c r="E89" s="62" t="s">
        <v>1253</v>
      </c>
      <c r="F89" s="62" t="s">
        <v>1249</v>
      </c>
      <c r="G89">
        <f t="shared" si="4"/>
        <v>550</v>
      </c>
      <c r="H89">
        <f t="shared" si="5"/>
        <v>40</v>
      </c>
      <c r="I89">
        <f t="shared" si="6"/>
        <v>90</v>
      </c>
      <c r="J89" t="str">
        <f t="shared" si="7"/>
        <v>Нет</v>
      </c>
      <c r="K89" s="62" t="s">
        <v>1247</v>
      </c>
    </row>
    <row r="90" spans="1:11" ht="15.75" customHeight="1" x14ac:dyDescent="0.25">
      <c r="A90" s="62">
        <v>90</v>
      </c>
      <c r="B90" s="62">
        <v>21</v>
      </c>
      <c r="C90" s="62" t="s">
        <v>1277</v>
      </c>
      <c r="D90" s="62" t="s">
        <v>1243</v>
      </c>
      <c r="E90" s="62" t="s">
        <v>1250</v>
      </c>
      <c r="F90" s="62" t="s">
        <v>1249</v>
      </c>
      <c r="G90">
        <f t="shared" si="4"/>
        <v>550</v>
      </c>
      <c r="H90">
        <f t="shared" si="5"/>
        <v>41</v>
      </c>
      <c r="I90">
        <f t="shared" si="6"/>
        <v>35</v>
      </c>
      <c r="J90" t="str">
        <f t="shared" si="7"/>
        <v>Нет</v>
      </c>
      <c r="K90" s="62" t="s">
        <v>1252</v>
      </c>
    </row>
    <row r="91" spans="1:11" ht="15.75" customHeight="1" x14ac:dyDescent="0.25">
      <c r="A91" s="62">
        <v>91</v>
      </c>
      <c r="B91" s="62">
        <v>18</v>
      </c>
      <c r="C91" s="62" t="s">
        <v>1277</v>
      </c>
      <c r="D91" s="62" t="s">
        <v>1243</v>
      </c>
      <c r="E91" s="62" t="s">
        <v>1248</v>
      </c>
      <c r="F91" s="62" t="s">
        <v>1254</v>
      </c>
      <c r="G91">
        <f t="shared" si="4"/>
        <v>350</v>
      </c>
      <c r="H91">
        <f t="shared" si="5"/>
        <v>30</v>
      </c>
      <c r="I91">
        <f t="shared" si="6"/>
        <v>35</v>
      </c>
      <c r="J91" t="str">
        <f t="shared" si="7"/>
        <v>Нет</v>
      </c>
      <c r="K91" s="62" t="s">
        <v>1247</v>
      </c>
    </row>
    <row r="92" spans="1:11" ht="15.75" customHeight="1" x14ac:dyDescent="0.25">
      <c r="A92" s="62">
        <v>92</v>
      </c>
      <c r="B92" s="62">
        <v>23</v>
      </c>
      <c r="C92" s="62" t="s">
        <v>1277</v>
      </c>
      <c r="D92" s="62" t="s">
        <v>1258</v>
      </c>
      <c r="E92" s="62" t="s">
        <v>1255</v>
      </c>
      <c r="F92" s="62" t="s">
        <v>1254</v>
      </c>
      <c r="G92">
        <f t="shared" si="4"/>
        <v>350</v>
      </c>
      <c r="H92">
        <f t="shared" si="5"/>
        <v>20</v>
      </c>
      <c r="I92">
        <f t="shared" si="6"/>
        <v>60</v>
      </c>
      <c r="J92" t="str">
        <f t="shared" si="7"/>
        <v>Нет</v>
      </c>
      <c r="K92" s="62" t="s">
        <v>1261</v>
      </c>
    </row>
    <row r="93" spans="1:11" ht="15.75" customHeight="1" x14ac:dyDescent="0.25">
      <c r="A93" s="62">
        <v>93</v>
      </c>
      <c r="B93" s="62">
        <v>22</v>
      </c>
      <c r="C93" s="62" t="s">
        <v>1277</v>
      </c>
      <c r="D93" s="62" t="s">
        <v>1243</v>
      </c>
      <c r="E93" s="62" t="s">
        <v>1255</v>
      </c>
      <c r="F93" s="62" t="s">
        <v>1254</v>
      </c>
      <c r="G93">
        <f t="shared" si="4"/>
        <v>350</v>
      </c>
      <c r="H93">
        <f t="shared" si="5"/>
        <v>20</v>
      </c>
      <c r="I93">
        <f t="shared" si="6"/>
        <v>35</v>
      </c>
      <c r="J93" t="str">
        <f t="shared" si="7"/>
        <v>Нет</v>
      </c>
      <c r="K93" s="62" t="s">
        <v>1247</v>
      </c>
    </row>
    <row r="94" spans="1:11" ht="15.75" customHeight="1" x14ac:dyDescent="0.25">
      <c r="A94" s="62">
        <v>94</v>
      </c>
      <c r="B94" s="62">
        <v>21</v>
      </c>
      <c r="C94" s="62" t="s">
        <v>1277</v>
      </c>
      <c r="D94" s="62" t="s">
        <v>1243</v>
      </c>
      <c r="E94" s="62" t="s">
        <v>1255</v>
      </c>
      <c r="F94" s="62" t="s">
        <v>1245</v>
      </c>
      <c r="G94">
        <f t="shared" si="4"/>
        <v>451</v>
      </c>
      <c r="H94">
        <f t="shared" si="5"/>
        <v>20</v>
      </c>
      <c r="I94">
        <f t="shared" si="6"/>
        <v>35</v>
      </c>
      <c r="J94" t="str">
        <f t="shared" si="7"/>
        <v>Нет</v>
      </c>
      <c r="K94" s="62" t="s">
        <v>1247</v>
      </c>
    </row>
    <row r="95" spans="1:11" ht="15.75" customHeight="1" x14ac:dyDescent="0.25">
      <c r="A95" s="62">
        <v>95</v>
      </c>
      <c r="B95" s="62">
        <v>19</v>
      </c>
      <c r="C95" s="62" t="s">
        <v>1277</v>
      </c>
      <c r="D95" s="62" t="s">
        <v>1243</v>
      </c>
      <c r="E95" s="62" t="s">
        <v>1244</v>
      </c>
      <c r="F95" s="62" t="s">
        <v>1254</v>
      </c>
      <c r="G95">
        <f t="shared" si="4"/>
        <v>350</v>
      </c>
      <c r="H95">
        <f t="shared" si="5"/>
        <v>10</v>
      </c>
      <c r="I95">
        <f t="shared" si="6"/>
        <v>35</v>
      </c>
      <c r="J95" t="str">
        <f t="shared" si="7"/>
        <v>Нет</v>
      </c>
      <c r="K95" s="62" t="s">
        <v>1247</v>
      </c>
    </row>
    <row r="96" spans="1:11" ht="15.75" customHeight="1" x14ac:dyDescent="0.25">
      <c r="A96" s="62">
        <v>96</v>
      </c>
      <c r="B96" s="62">
        <v>19</v>
      </c>
      <c r="C96" s="62" t="s">
        <v>1277</v>
      </c>
      <c r="D96" s="62" t="s">
        <v>1243</v>
      </c>
      <c r="E96" s="62" t="s">
        <v>1248</v>
      </c>
      <c r="F96" s="62" t="s">
        <v>1259</v>
      </c>
      <c r="G96">
        <f t="shared" si="4"/>
        <v>351</v>
      </c>
      <c r="H96">
        <f t="shared" si="5"/>
        <v>30</v>
      </c>
      <c r="I96">
        <f t="shared" si="6"/>
        <v>35</v>
      </c>
      <c r="J96" t="str">
        <f t="shared" si="7"/>
        <v>Да</v>
      </c>
      <c r="K96" s="62" t="s">
        <v>1246</v>
      </c>
    </row>
    <row r="97" spans="1:11" ht="15.75" customHeight="1" x14ac:dyDescent="0.25">
      <c r="A97" s="62">
        <v>97</v>
      </c>
      <c r="B97" s="62">
        <v>19</v>
      </c>
      <c r="C97" s="62" t="s">
        <v>1277</v>
      </c>
      <c r="D97" s="62" t="s">
        <v>1243</v>
      </c>
      <c r="E97" s="62" t="s">
        <v>1253</v>
      </c>
      <c r="F97" s="62" t="s">
        <v>1245</v>
      </c>
      <c r="G97">
        <f t="shared" si="4"/>
        <v>451</v>
      </c>
      <c r="H97">
        <f t="shared" si="5"/>
        <v>40</v>
      </c>
      <c r="I97">
        <f t="shared" si="6"/>
        <v>35</v>
      </c>
      <c r="J97" t="str">
        <f t="shared" si="7"/>
        <v>Нет</v>
      </c>
      <c r="K97" s="62" t="s">
        <v>1247</v>
      </c>
    </row>
    <row r="98" spans="1:11" ht="15.75" customHeight="1" x14ac:dyDescent="0.25">
      <c r="A98" s="62">
        <v>98</v>
      </c>
      <c r="B98" s="62">
        <v>25</v>
      </c>
      <c r="C98" s="62" t="s">
        <v>1277</v>
      </c>
      <c r="D98" s="62" t="s">
        <v>1243</v>
      </c>
      <c r="E98" s="62" t="s">
        <v>1248</v>
      </c>
      <c r="F98" s="62" t="s">
        <v>1259</v>
      </c>
      <c r="G98">
        <f t="shared" si="4"/>
        <v>351</v>
      </c>
      <c r="H98">
        <f t="shared" si="5"/>
        <v>30</v>
      </c>
      <c r="I98">
        <f t="shared" si="6"/>
        <v>35</v>
      </c>
      <c r="J98" t="str">
        <f t="shared" si="7"/>
        <v>Да</v>
      </c>
      <c r="K98" s="62" t="s">
        <v>1246</v>
      </c>
    </row>
    <row r="99" spans="1:11" ht="15.75" customHeight="1" x14ac:dyDescent="0.25">
      <c r="A99" s="62">
        <v>99</v>
      </c>
      <c r="B99" s="62">
        <v>23</v>
      </c>
      <c r="C99" s="62" t="s">
        <v>1277</v>
      </c>
      <c r="D99" s="62" t="s">
        <v>1243</v>
      </c>
      <c r="E99" s="62" t="s">
        <v>1253</v>
      </c>
      <c r="F99" s="62" t="s">
        <v>1249</v>
      </c>
      <c r="G99">
        <f t="shared" si="4"/>
        <v>550</v>
      </c>
      <c r="H99">
        <f t="shared" si="5"/>
        <v>40</v>
      </c>
      <c r="I99">
        <f t="shared" si="6"/>
        <v>35</v>
      </c>
      <c r="J99" t="str">
        <f t="shared" si="7"/>
        <v>Нет</v>
      </c>
      <c r="K99" s="62" t="s">
        <v>1242</v>
      </c>
    </row>
    <row r="100" spans="1:11" ht="15.75" customHeight="1" x14ac:dyDescent="0.25">
      <c r="A100" s="62">
        <v>100</v>
      </c>
      <c r="B100" s="62">
        <v>22</v>
      </c>
      <c r="C100" s="62" t="s">
        <v>1277</v>
      </c>
      <c r="D100" s="62" t="s">
        <v>1260</v>
      </c>
      <c r="E100" s="62" t="s">
        <v>1248</v>
      </c>
      <c r="F100" s="62" t="s">
        <v>1254</v>
      </c>
      <c r="G100">
        <f t="shared" si="4"/>
        <v>350</v>
      </c>
      <c r="H100">
        <f t="shared" si="5"/>
        <v>30</v>
      </c>
      <c r="I100">
        <f t="shared" si="6"/>
        <v>121</v>
      </c>
      <c r="J100" t="str">
        <f t="shared" si="7"/>
        <v>Нет</v>
      </c>
      <c r="K100" s="62" t="s">
        <v>1247</v>
      </c>
    </row>
    <row r="101" spans="1:11" ht="15.75" customHeight="1" x14ac:dyDescent="0.25">
      <c r="A101" s="62">
        <v>101</v>
      </c>
      <c r="B101" s="62">
        <v>18</v>
      </c>
      <c r="C101" s="62" t="s">
        <v>1277</v>
      </c>
      <c r="D101" s="62" t="s">
        <v>1256</v>
      </c>
      <c r="E101" s="62" t="s">
        <v>1255</v>
      </c>
      <c r="F101" s="62" t="s">
        <v>1254</v>
      </c>
      <c r="G101">
        <f t="shared" si="4"/>
        <v>350</v>
      </c>
      <c r="H101">
        <f t="shared" si="5"/>
        <v>20</v>
      </c>
      <c r="I101">
        <f t="shared" si="6"/>
        <v>120</v>
      </c>
      <c r="J101" t="str">
        <f t="shared" si="7"/>
        <v>Нет</v>
      </c>
      <c r="K101" s="62" t="s">
        <v>1252</v>
      </c>
    </row>
    <row r="102" spans="1:11" ht="15.75" customHeight="1" x14ac:dyDescent="0.25">
      <c r="A102" s="62">
        <v>102</v>
      </c>
      <c r="B102" s="62">
        <v>23</v>
      </c>
      <c r="C102" s="62" t="s">
        <v>1277</v>
      </c>
      <c r="D102" s="62" t="s">
        <v>1243</v>
      </c>
      <c r="E102" s="62" t="s">
        <v>1250</v>
      </c>
      <c r="F102" s="62" t="s">
        <v>1251</v>
      </c>
      <c r="G102">
        <f t="shared" si="4"/>
        <v>250</v>
      </c>
      <c r="H102">
        <f t="shared" si="5"/>
        <v>41</v>
      </c>
      <c r="I102">
        <f t="shared" si="6"/>
        <v>35</v>
      </c>
      <c r="J102" t="str">
        <f t="shared" si="7"/>
        <v>Нет</v>
      </c>
      <c r="K102" s="62" t="s">
        <v>1247</v>
      </c>
    </row>
    <row r="103" spans="1:11" ht="15.75" customHeight="1" x14ac:dyDescent="0.25">
      <c r="A103" s="62">
        <v>104</v>
      </c>
      <c r="B103" s="62">
        <v>21</v>
      </c>
      <c r="C103" s="62" t="s">
        <v>1277</v>
      </c>
      <c r="D103" s="62" t="s">
        <v>1243</v>
      </c>
      <c r="E103" s="62" t="s">
        <v>1248</v>
      </c>
      <c r="F103" s="62" t="s">
        <v>1254</v>
      </c>
      <c r="G103">
        <f t="shared" si="4"/>
        <v>350</v>
      </c>
      <c r="H103">
        <f t="shared" si="5"/>
        <v>30</v>
      </c>
      <c r="I103">
        <f t="shared" si="6"/>
        <v>35</v>
      </c>
      <c r="J103" t="str">
        <f t="shared" si="7"/>
        <v>Нет</v>
      </c>
      <c r="K103" s="62" t="s">
        <v>1261</v>
      </c>
    </row>
    <row r="104" spans="1:11" ht="15.75" customHeight="1" x14ac:dyDescent="0.25">
      <c r="A104" s="62">
        <v>105</v>
      </c>
      <c r="B104" s="62">
        <v>22</v>
      </c>
      <c r="C104" s="62" t="s">
        <v>1277</v>
      </c>
      <c r="D104" s="62" t="s">
        <v>1243</v>
      </c>
      <c r="E104" s="62" t="s">
        <v>1248</v>
      </c>
      <c r="F104" s="62" t="s">
        <v>1254</v>
      </c>
      <c r="G104">
        <f t="shared" si="4"/>
        <v>350</v>
      </c>
      <c r="H104">
        <f t="shared" si="5"/>
        <v>30</v>
      </c>
      <c r="I104">
        <f t="shared" si="6"/>
        <v>35</v>
      </c>
      <c r="J104" t="str">
        <f t="shared" si="7"/>
        <v>Да</v>
      </c>
      <c r="K104" s="62" t="s">
        <v>1252</v>
      </c>
    </row>
    <row r="105" spans="1:11" ht="15.75" customHeight="1" x14ac:dyDescent="0.25">
      <c r="A105" s="62">
        <v>106</v>
      </c>
      <c r="B105" s="62">
        <v>19</v>
      </c>
      <c r="C105" s="62" t="s">
        <v>1277</v>
      </c>
      <c r="D105" s="62" t="s">
        <v>1243</v>
      </c>
      <c r="E105" s="62" t="s">
        <v>1253</v>
      </c>
      <c r="F105" s="62" t="s">
        <v>1259</v>
      </c>
      <c r="G105">
        <f t="shared" si="4"/>
        <v>351</v>
      </c>
      <c r="H105">
        <f t="shared" si="5"/>
        <v>40</v>
      </c>
      <c r="I105">
        <f t="shared" si="6"/>
        <v>35</v>
      </c>
      <c r="J105" t="str">
        <f t="shared" si="7"/>
        <v>Нет</v>
      </c>
      <c r="K105" s="62" t="s">
        <v>1247</v>
      </c>
    </row>
    <row r="106" spans="1:11" ht="15.75" customHeight="1" x14ac:dyDescent="0.25">
      <c r="A106" s="62">
        <v>107</v>
      </c>
      <c r="B106" s="62">
        <v>19</v>
      </c>
      <c r="C106" s="62" t="s">
        <v>1277</v>
      </c>
      <c r="D106" s="62" t="s">
        <v>1260</v>
      </c>
      <c r="E106" s="62" t="s">
        <v>1253</v>
      </c>
      <c r="F106" s="62" t="s">
        <v>1251</v>
      </c>
      <c r="G106">
        <f t="shared" si="4"/>
        <v>250</v>
      </c>
      <c r="H106">
        <f t="shared" si="5"/>
        <v>40</v>
      </c>
      <c r="I106">
        <f t="shared" si="6"/>
        <v>121</v>
      </c>
      <c r="J106" t="str">
        <f t="shared" si="7"/>
        <v>Нет</v>
      </c>
      <c r="K106" s="62" t="s">
        <v>1247</v>
      </c>
    </row>
    <row r="107" spans="1:11" ht="15.75" customHeight="1" x14ac:dyDescent="0.25">
      <c r="A107" s="62">
        <v>108</v>
      </c>
      <c r="B107" s="62">
        <v>24</v>
      </c>
      <c r="C107" s="62" t="s">
        <v>1277</v>
      </c>
      <c r="D107" s="62" t="s">
        <v>1257</v>
      </c>
      <c r="E107" s="62" t="s">
        <v>1250</v>
      </c>
      <c r="F107" s="62" t="s">
        <v>1254</v>
      </c>
      <c r="G107">
        <f t="shared" si="4"/>
        <v>350</v>
      </c>
      <c r="H107">
        <f t="shared" si="5"/>
        <v>41</v>
      </c>
      <c r="I107">
        <f t="shared" si="6"/>
        <v>90</v>
      </c>
      <c r="J107" t="str">
        <f t="shared" si="7"/>
        <v>Нет</v>
      </c>
      <c r="K107" s="62" t="s">
        <v>1246</v>
      </c>
    </row>
    <row r="108" spans="1:11" ht="15.75" customHeight="1" x14ac:dyDescent="0.25">
      <c r="A108" s="62">
        <v>110</v>
      </c>
      <c r="B108" s="62">
        <v>23</v>
      </c>
      <c r="C108" s="62" t="s">
        <v>1277</v>
      </c>
      <c r="D108" s="62" t="s">
        <v>1258</v>
      </c>
      <c r="E108" s="62" t="s">
        <v>1248</v>
      </c>
      <c r="F108" s="62" t="s">
        <v>1251</v>
      </c>
      <c r="G108">
        <f t="shared" si="4"/>
        <v>250</v>
      </c>
      <c r="H108">
        <f t="shared" si="5"/>
        <v>30</v>
      </c>
      <c r="I108">
        <f t="shared" si="6"/>
        <v>60</v>
      </c>
      <c r="J108" t="str">
        <f t="shared" si="7"/>
        <v>Нет</v>
      </c>
      <c r="K108" s="62" t="s">
        <v>1247</v>
      </c>
    </row>
    <row r="109" spans="1:11" ht="15.75" customHeight="1" x14ac:dyDescent="0.25">
      <c r="A109" s="62">
        <v>111</v>
      </c>
      <c r="B109" s="62">
        <v>24</v>
      </c>
      <c r="C109" s="62" t="s">
        <v>1277</v>
      </c>
      <c r="D109" s="62" t="s">
        <v>1243</v>
      </c>
      <c r="E109" s="62" t="s">
        <v>1248</v>
      </c>
      <c r="F109" s="62" t="s">
        <v>1251</v>
      </c>
      <c r="G109">
        <f t="shared" si="4"/>
        <v>250</v>
      </c>
      <c r="H109">
        <f t="shared" si="5"/>
        <v>30</v>
      </c>
      <c r="I109">
        <f t="shared" si="6"/>
        <v>35</v>
      </c>
      <c r="J109" t="str">
        <f t="shared" si="7"/>
        <v>Нет</v>
      </c>
      <c r="K109" s="62" t="s">
        <v>1246</v>
      </c>
    </row>
    <row r="110" spans="1:11" ht="15.75" customHeight="1" x14ac:dyDescent="0.25">
      <c r="A110" s="62">
        <v>112</v>
      </c>
      <c r="B110" s="62">
        <v>22</v>
      </c>
      <c r="C110" s="62" t="s">
        <v>1277</v>
      </c>
      <c r="D110" s="62" t="s">
        <v>1243</v>
      </c>
      <c r="E110" s="62" t="s">
        <v>1248</v>
      </c>
      <c r="F110" s="62" t="s">
        <v>1251</v>
      </c>
      <c r="G110">
        <f t="shared" si="4"/>
        <v>250</v>
      </c>
      <c r="H110">
        <f t="shared" si="5"/>
        <v>30</v>
      </c>
      <c r="I110">
        <f t="shared" si="6"/>
        <v>35</v>
      </c>
      <c r="J110" t="str">
        <f t="shared" si="7"/>
        <v>Нет</v>
      </c>
      <c r="K110" s="62" t="s">
        <v>1242</v>
      </c>
    </row>
    <row r="111" spans="1:11" ht="15.75" customHeight="1" x14ac:dyDescent="0.25">
      <c r="A111" s="62">
        <v>113</v>
      </c>
      <c r="B111" s="62">
        <v>25</v>
      </c>
      <c r="C111" s="62" t="s">
        <v>1277</v>
      </c>
      <c r="D111" s="62" t="s">
        <v>1256</v>
      </c>
      <c r="E111" s="62" t="s">
        <v>1255</v>
      </c>
      <c r="F111" s="62" t="s">
        <v>1251</v>
      </c>
      <c r="G111">
        <f t="shared" si="4"/>
        <v>250</v>
      </c>
      <c r="H111">
        <f t="shared" si="5"/>
        <v>20</v>
      </c>
      <c r="I111">
        <f t="shared" si="6"/>
        <v>120</v>
      </c>
      <c r="J111" t="str">
        <f t="shared" si="7"/>
        <v>Нет</v>
      </c>
      <c r="K111" s="62" t="s">
        <v>1247</v>
      </c>
    </row>
    <row r="112" spans="1:11" ht="15.75" customHeight="1" x14ac:dyDescent="0.25">
      <c r="A112" s="62">
        <v>114</v>
      </c>
      <c r="B112" s="62">
        <v>25</v>
      </c>
      <c r="C112" s="62" t="s">
        <v>1277</v>
      </c>
      <c r="D112" s="62" t="s">
        <v>1258</v>
      </c>
      <c r="E112" s="62" t="s">
        <v>1250</v>
      </c>
      <c r="F112" s="62" t="s">
        <v>1254</v>
      </c>
      <c r="G112">
        <f t="shared" si="4"/>
        <v>350</v>
      </c>
      <c r="H112">
        <f t="shared" si="5"/>
        <v>41</v>
      </c>
      <c r="I112">
        <f t="shared" si="6"/>
        <v>60</v>
      </c>
      <c r="J112" t="str">
        <f t="shared" si="7"/>
        <v>Нет</v>
      </c>
      <c r="K112" s="62" t="s">
        <v>1247</v>
      </c>
    </row>
    <row r="113" spans="1:11" ht="15.75" customHeight="1" x14ac:dyDescent="0.25">
      <c r="A113" s="62">
        <v>115</v>
      </c>
      <c r="B113" s="62">
        <v>21</v>
      </c>
      <c r="C113" s="62" t="s">
        <v>1277</v>
      </c>
      <c r="D113" s="62" t="s">
        <v>1243</v>
      </c>
      <c r="E113" s="62" t="s">
        <v>1248</v>
      </c>
      <c r="F113" s="62" t="s">
        <v>1249</v>
      </c>
      <c r="G113">
        <f t="shared" si="4"/>
        <v>550</v>
      </c>
      <c r="H113">
        <f t="shared" si="5"/>
        <v>30</v>
      </c>
      <c r="I113">
        <f t="shared" si="6"/>
        <v>35</v>
      </c>
      <c r="J113" t="str">
        <f t="shared" si="7"/>
        <v>Нет</v>
      </c>
      <c r="K113" s="62" t="s">
        <v>1247</v>
      </c>
    </row>
    <row r="114" spans="1:11" ht="15.75" customHeight="1" x14ac:dyDescent="0.25">
      <c r="A114" s="62">
        <v>116</v>
      </c>
      <c r="B114" s="62">
        <v>21</v>
      </c>
      <c r="C114" s="62" t="s">
        <v>1277</v>
      </c>
      <c r="D114" s="62" t="s">
        <v>1243</v>
      </c>
      <c r="E114" s="62" t="s">
        <v>1248</v>
      </c>
      <c r="F114" s="62" t="s">
        <v>1249</v>
      </c>
      <c r="G114">
        <f t="shared" si="4"/>
        <v>550</v>
      </c>
      <c r="H114">
        <f t="shared" si="5"/>
        <v>30</v>
      </c>
      <c r="I114">
        <f t="shared" si="6"/>
        <v>35</v>
      </c>
      <c r="J114" t="str">
        <f t="shared" si="7"/>
        <v>Да</v>
      </c>
      <c r="K114" s="62" t="s">
        <v>1246</v>
      </c>
    </row>
    <row r="115" spans="1:11" ht="15.75" customHeight="1" x14ac:dyDescent="0.25">
      <c r="A115" s="62">
        <v>117</v>
      </c>
      <c r="B115" s="62">
        <v>20</v>
      </c>
      <c r="C115" s="62" t="s">
        <v>1277</v>
      </c>
      <c r="D115" s="62" t="s">
        <v>1258</v>
      </c>
      <c r="E115" s="62" t="s">
        <v>1248</v>
      </c>
      <c r="F115" s="62" t="s">
        <v>1254</v>
      </c>
      <c r="G115">
        <f t="shared" si="4"/>
        <v>350</v>
      </c>
      <c r="H115">
        <f t="shared" si="5"/>
        <v>30</v>
      </c>
      <c r="I115">
        <f t="shared" si="6"/>
        <v>60</v>
      </c>
      <c r="J115" t="str">
        <f t="shared" si="7"/>
        <v>Нет</v>
      </c>
      <c r="K115" s="62" t="s">
        <v>1247</v>
      </c>
    </row>
    <row r="116" spans="1:11" ht="15.75" customHeight="1" x14ac:dyDescent="0.25">
      <c r="A116" s="62">
        <v>118</v>
      </c>
      <c r="B116" s="62">
        <v>24</v>
      </c>
      <c r="C116" s="62" t="s">
        <v>1277</v>
      </c>
      <c r="D116" s="62" t="s">
        <v>1257</v>
      </c>
      <c r="E116" s="62" t="s">
        <v>1253</v>
      </c>
      <c r="F116" s="62" t="s">
        <v>1259</v>
      </c>
      <c r="G116">
        <f t="shared" si="4"/>
        <v>351</v>
      </c>
      <c r="H116">
        <f t="shared" si="5"/>
        <v>40</v>
      </c>
      <c r="I116">
        <f t="shared" si="6"/>
        <v>90</v>
      </c>
      <c r="J116" t="str">
        <f t="shared" si="7"/>
        <v>Нет</v>
      </c>
      <c r="K116" s="62" t="s">
        <v>1252</v>
      </c>
    </row>
    <row r="117" spans="1:11" ht="15.75" customHeight="1" x14ac:dyDescent="0.25">
      <c r="A117" s="62">
        <v>119</v>
      </c>
      <c r="B117" s="62">
        <v>22</v>
      </c>
      <c r="C117" s="62" t="s">
        <v>1277</v>
      </c>
      <c r="D117" s="62" t="s">
        <v>1243</v>
      </c>
      <c r="E117" s="62" t="s">
        <v>1255</v>
      </c>
      <c r="F117" s="62" t="s">
        <v>1251</v>
      </c>
      <c r="G117">
        <f t="shared" si="4"/>
        <v>250</v>
      </c>
      <c r="H117">
        <f t="shared" si="5"/>
        <v>20</v>
      </c>
      <c r="I117">
        <f t="shared" si="6"/>
        <v>35</v>
      </c>
      <c r="J117" t="str">
        <f t="shared" si="7"/>
        <v>Нет</v>
      </c>
      <c r="K117" s="62" t="s">
        <v>1247</v>
      </c>
    </row>
    <row r="118" spans="1:11" ht="15.75" customHeight="1" x14ac:dyDescent="0.25">
      <c r="A118" s="62">
        <v>120</v>
      </c>
      <c r="B118" s="62">
        <v>18</v>
      </c>
      <c r="C118" s="62" t="s">
        <v>1277</v>
      </c>
      <c r="D118" s="62" t="s">
        <v>1243</v>
      </c>
      <c r="E118" s="62" t="s">
        <v>1248</v>
      </c>
      <c r="F118" s="62" t="s">
        <v>1251</v>
      </c>
      <c r="G118">
        <f t="shared" si="4"/>
        <v>250</v>
      </c>
      <c r="H118">
        <f t="shared" si="5"/>
        <v>30</v>
      </c>
      <c r="I118">
        <f t="shared" si="6"/>
        <v>35</v>
      </c>
      <c r="J118" t="str">
        <f t="shared" si="7"/>
        <v>Нет</v>
      </c>
      <c r="K118" s="62" t="s">
        <v>1261</v>
      </c>
    </row>
    <row r="119" spans="1:11" ht="15.75" customHeight="1" x14ac:dyDescent="0.25">
      <c r="A119" s="62">
        <v>121</v>
      </c>
      <c r="B119" s="62">
        <v>21</v>
      </c>
      <c r="C119" s="62" t="s">
        <v>1277</v>
      </c>
      <c r="D119" s="62" t="s">
        <v>1257</v>
      </c>
      <c r="E119" s="62" t="s">
        <v>1253</v>
      </c>
      <c r="F119" s="62" t="s">
        <v>1245</v>
      </c>
      <c r="G119">
        <f t="shared" si="4"/>
        <v>451</v>
      </c>
      <c r="H119">
        <f t="shared" si="5"/>
        <v>40</v>
      </c>
      <c r="I119">
        <f t="shared" si="6"/>
        <v>90</v>
      </c>
      <c r="J119" t="str">
        <f t="shared" si="7"/>
        <v>Нет</v>
      </c>
      <c r="K119" s="62" t="s">
        <v>1252</v>
      </c>
    </row>
    <row r="120" spans="1:11" ht="15.75" customHeight="1" x14ac:dyDescent="0.25">
      <c r="A120" s="62">
        <v>122</v>
      </c>
      <c r="B120" s="62">
        <v>20</v>
      </c>
      <c r="C120" s="62" t="s">
        <v>1277</v>
      </c>
      <c r="D120" s="62" t="s">
        <v>1257</v>
      </c>
      <c r="E120" s="62" t="s">
        <v>1250</v>
      </c>
      <c r="F120" s="62" t="s">
        <v>1245</v>
      </c>
      <c r="G120">
        <f t="shared" si="4"/>
        <v>451</v>
      </c>
      <c r="H120">
        <f t="shared" si="5"/>
        <v>41</v>
      </c>
      <c r="I120">
        <f t="shared" si="6"/>
        <v>90</v>
      </c>
      <c r="J120" t="str">
        <f t="shared" si="7"/>
        <v>Нет</v>
      </c>
      <c r="K120" s="62" t="s">
        <v>1246</v>
      </c>
    </row>
    <row r="121" spans="1:11" ht="15.75" customHeight="1" x14ac:dyDescent="0.25">
      <c r="A121" s="62">
        <v>123</v>
      </c>
      <c r="B121" s="62">
        <v>19</v>
      </c>
      <c r="C121" s="62" t="s">
        <v>1277</v>
      </c>
      <c r="D121" s="62" t="s">
        <v>1260</v>
      </c>
      <c r="E121" s="62" t="s">
        <v>1248</v>
      </c>
      <c r="F121" s="62" t="s">
        <v>1245</v>
      </c>
      <c r="G121">
        <f t="shared" si="4"/>
        <v>451</v>
      </c>
      <c r="H121">
        <f t="shared" si="5"/>
        <v>30</v>
      </c>
      <c r="I121">
        <f t="shared" si="6"/>
        <v>121</v>
      </c>
      <c r="J121" t="str">
        <f t="shared" si="7"/>
        <v>Нет</v>
      </c>
      <c r="K121" s="62" t="s">
        <v>1247</v>
      </c>
    </row>
    <row r="122" spans="1:11" ht="15.75" customHeight="1" x14ac:dyDescent="0.25">
      <c r="A122" s="62">
        <v>124</v>
      </c>
      <c r="B122" s="62">
        <v>19</v>
      </c>
      <c r="C122" s="62" t="s">
        <v>1277</v>
      </c>
      <c r="D122" s="62" t="s">
        <v>1258</v>
      </c>
      <c r="E122" s="62" t="s">
        <v>1250</v>
      </c>
      <c r="F122" s="62" t="s">
        <v>1254</v>
      </c>
      <c r="G122">
        <f t="shared" si="4"/>
        <v>350</v>
      </c>
      <c r="H122">
        <f t="shared" si="5"/>
        <v>41</v>
      </c>
      <c r="I122">
        <f t="shared" si="6"/>
        <v>60</v>
      </c>
      <c r="J122" t="str">
        <f t="shared" si="7"/>
        <v>Нет</v>
      </c>
      <c r="K122" s="62" t="s">
        <v>1242</v>
      </c>
    </row>
    <row r="123" spans="1:11" ht="15.75" customHeight="1" x14ac:dyDescent="0.25">
      <c r="A123" s="62">
        <v>125</v>
      </c>
      <c r="B123" s="62">
        <v>18</v>
      </c>
      <c r="C123" s="62" t="s">
        <v>1277</v>
      </c>
      <c r="D123" s="62" t="s">
        <v>1260</v>
      </c>
      <c r="E123" s="62" t="s">
        <v>1248</v>
      </c>
      <c r="F123" s="62" t="s">
        <v>1259</v>
      </c>
      <c r="G123">
        <f t="shared" si="4"/>
        <v>351</v>
      </c>
      <c r="H123">
        <f t="shared" si="5"/>
        <v>30</v>
      </c>
      <c r="I123">
        <f t="shared" si="6"/>
        <v>121</v>
      </c>
      <c r="J123" t="str">
        <f t="shared" si="7"/>
        <v>Нет</v>
      </c>
      <c r="K123" s="62" t="s">
        <v>1252</v>
      </c>
    </row>
    <row r="124" spans="1:11" ht="15.75" customHeight="1" x14ac:dyDescent="0.25">
      <c r="A124" s="62">
        <v>126</v>
      </c>
      <c r="B124" s="62">
        <v>18</v>
      </c>
      <c r="C124" s="62" t="s">
        <v>1277</v>
      </c>
      <c r="D124" s="62" t="s">
        <v>1260</v>
      </c>
      <c r="E124" s="62" t="s">
        <v>1253</v>
      </c>
      <c r="F124" s="62" t="s">
        <v>1259</v>
      </c>
      <c r="G124">
        <f t="shared" si="4"/>
        <v>351</v>
      </c>
      <c r="H124">
        <f t="shared" si="5"/>
        <v>40</v>
      </c>
      <c r="I124">
        <f t="shared" si="6"/>
        <v>121</v>
      </c>
      <c r="J124" t="str">
        <f t="shared" si="7"/>
        <v>Нет</v>
      </c>
      <c r="K124" s="62" t="s">
        <v>1247</v>
      </c>
    </row>
    <row r="125" spans="1:11" ht="15.75" customHeight="1" x14ac:dyDescent="0.25">
      <c r="A125" s="62">
        <v>127</v>
      </c>
      <c r="B125" s="62">
        <v>20</v>
      </c>
      <c r="C125" s="62" t="s">
        <v>1277</v>
      </c>
      <c r="D125" s="62" t="s">
        <v>1243</v>
      </c>
      <c r="E125" s="62" t="s">
        <v>1248</v>
      </c>
      <c r="F125" s="62" t="s">
        <v>1254</v>
      </c>
      <c r="G125">
        <f t="shared" si="4"/>
        <v>350</v>
      </c>
      <c r="H125">
        <f t="shared" si="5"/>
        <v>30</v>
      </c>
      <c r="I125">
        <f t="shared" si="6"/>
        <v>35</v>
      </c>
      <c r="J125" t="str">
        <f t="shared" si="7"/>
        <v>Да</v>
      </c>
      <c r="K125" s="62" t="s">
        <v>1246</v>
      </c>
    </row>
    <row r="126" spans="1:11" ht="15.75" customHeight="1" x14ac:dyDescent="0.25">
      <c r="A126" s="62">
        <v>128</v>
      </c>
      <c r="B126" s="62">
        <v>22</v>
      </c>
      <c r="C126" s="62" t="s">
        <v>1277</v>
      </c>
      <c r="D126" s="62" t="s">
        <v>1243</v>
      </c>
      <c r="E126" s="62" t="s">
        <v>1253</v>
      </c>
      <c r="F126" s="62" t="s">
        <v>1251</v>
      </c>
      <c r="G126">
        <f t="shared" si="4"/>
        <v>250</v>
      </c>
      <c r="H126">
        <f t="shared" si="5"/>
        <v>40</v>
      </c>
      <c r="I126">
        <f t="shared" si="6"/>
        <v>35</v>
      </c>
      <c r="J126" t="str">
        <f t="shared" si="7"/>
        <v>Нет</v>
      </c>
      <c r="K126" s="62" t="s">
        <v>1246</v>
      </c>
    </row>
    <row r="127" spans="1:11" ht="15.75" customHeight="1" x14ac:dyDescent="0.25">
      <c r="A127" s="62">
        <v>129</v>
      </c>
      <c r="B127" s="62">
        <v>21</v>
      </c>
      <c r="C127" s="62" t="s">
        <v>1277</v>
      </c>
      <c r="D127" s="62" t="s">
        <v>1243</v>
      </c>
      <c r="E127" s="62" t="s">
        <v>1250</v>
      </c>
      <c r="F127" s="62" t="s">
        <v>1259</v>
      </c>
      <c r="G127">
        <f t="shared" si="4"/>
        <v>351</v>
      </c>
      <c r="H127">
        <f t="shared" si="5"/>
        <v>41</v>
      </c>
      <c r="I127">
        <f t="shared" si="6"/>
        <v>35</v>
      </c>
      <c r="J127" t="str">
        <f t="shared" si="7"/>
        <v>Нет</v>
      </c>
      <c r="K127" s="62" t="s">
        <v>1247</v>
      </c>
    </row>
    <row r="128" spans="1:11" ht="15.75" customHeight="1" x14ac:dyDescent="0.25">
      <c r="A128" s="62">
        <v>130</v>
      </c>
      <c r="B128" s="62">
        <v>21</v>
      </c>
      <c r="C128" s="62" t="s">
        <v>1277</v>
      </c>
      <c r="D128" s="62" t="s">
        <v>1257</v>
      </c>
      <c r="E128" s="62" t="s">
        <v>1253</v>
      </c>
      <c r="F128" s="62" t="s">
        <v>1251</v>
      </c>
      <c r="G128">
        <f t="shared" si="4"/>
        <v>250</v>
      </c>
      <c r="H128">
        <f t="shared" si="5"/>
        <v>40</v>
      </c>
      <c r="I128">
        <f t="shared" si="6"/>
        <v>90</v>
      </c>
      <c r="J128" t="str">
        <f t="shared" si="7"/>
        <v>Нет</v>
      </c>
      <c r="K128" s="62" t="s">
        <v>1247</v>
      </c>
    </row>
    <row r="129" spans="1:11" ht="15.75" customHeight="1" x14ac:dyDescent="0.25">
      <c r="A129" s="62">
        <v>131</v>
      </c>
      <c r="B129" s="62">
        <v>24</v>
      </c>
      <c r="C129" s="62" t="s">
        <v>1277</v>
      </c>
      <c r="D129" s="62" t="s">
        <v>1258</v>
      </c>
      <c r="E129" s="62" t="s">
        <v>1248</v>
      </c>
      <c r="F129" s="62" t="s">
        <v>1251</v>
      </c>
      <c r="G129">
        <f t="shared" si="4"/>
        <v>250</v>
      </c>
      <c r="H129">
        <f t="shared" si="5"/>
        <v>30</v>
      </c>
      <c r="I129">
        <f t="shared" si="6"/>
        <v>60</v>
      </c>
      <c r="J129" t="str">
        <f t="shared" si="7"/>
        <v>Нет</v>
      </c>
      <c r="K129" s="62" t="s">
        <v>1252</v>
      </c>
    </row>
    <row r="130" spans="1:11" ht="15.75" customHeight="1" x14ac:dyDescent="0.25">
      <c r="A130" s="62">
        <v>132</v>
      </c>
      <c r="B130" s="62">
        <v>21</v>
      </c>
      <c r="C130" s="62" t="s">
        <v>1277</v>
      </c>
      <c r="D130" s="62" t="s">
        <v>1257</v>
      </c>
      <c r="E130" s="62" t="s">
        <v>1244</v>
      </c>
      <c r="F130" s="62" t="s">
        <v>1251</v>
      </c>
      <c r="G130">
        <f t="shared" si="4"/>
        <v>250</v>
      </c>
      <c r="H130">
        <f t="shared" si="5"/>
        <v>10</v>
      </c>
      <c r="I130">
        <f t="shared" si="6"/>
        <v>90</v>
      </c>
      <c r="J130" t="str">
        <f t="shared" si="7"/>
        <v>Нет</v>
      </c>
      <c r="K130" s="62" t="s">
        <v>1246</v>
      </c>
    </row>
    <row r="131" spans="1:11" ht="15.75" customHeight="1" x14ac:dyDescent="0.25">
      <c r="A131" s="62">
        <v>133</v>
      </c>
      <c r="B131" s="62">
        <v>23</v>
      </c>
      <c r="C131" s="62" t="s">
        <v>1277</v>
      </c>
      <c r="D131" s="62" t="s">
        <v>1260</v>
      </c>
      <c r="E131" s="62" t="s">
        <v>1244</v>
      </c>
      <c r="F131" s="62" t="s">
        <v>1259</v>
      </c>
      <c r="G131">
        <f t="shared" si="4"/>
        <v>351</v>
      </c>
      <c r="H131">
        <f t="shared" si="5"/>
        <v>10</v>
      </c>
      <c r="I131">
        <f t="shared" si="6"/>
        <v>121</v>
      </c>
      <c r="J131" t="str">
        <f t="shared" si="7"/>
        <v>Нет</v>
      </c>
      <c r="K131" s="62" t="s">
        <v>1246</v>
      </c>
    </row>
    <row r="132" spans="1:11" ht="15.75" customHeight="1" x14ac:dyDescent="0.25">
      <c r="A132" s="62">
        <v>134</v>
      </c>
      <c r="B132" s="62">
        <v>19</v>
      </c>
      <c r="C132" s="62" t="s">
        <v>1277</v>
      </c>
      <c r="D132" s="62" t="s">
        <v>1257</v>
      </c>
      <c r="E132" s="62" t="s">
        <v>1253</v>
      </c>
      <c r="F132" s="62" t="s">
        <v>1254</v>
      </c>
      <c r="G132">
        <f t="shared" ref="G132:G195" si="8">IF(F132="550+ рублей",550,IF(F132="451-550",451,IF(F132="351-450",351,IF(F132="250-350",350,250))))</f>
        <v>350</v>
      </c>
      <c r="H132">
        <f t="shared" ref="H132:H195" si="9">IF(E132="&lt;10 Гб",10,IF(E132="10-20 Гб",20,IF(E132="21-30 Гб",30,IF(E132="31-40 Гб",40,41))))</f>
        <v>40</v>
      </c>
      <c r="I132">
        <f t="shared" ref="I132:I195" si="10">IF(D132="&lt;35",35,IF(D132="35-60",60,IF(D132="61-90",90,IF(D132="91-120",120,121))))</f>
        <v>90</v>
      </c>
      <c r="J132" t="str">
        <f t="shared" ref="J132:J195" si="11">IF(AND(G132&gt;330,I132&lt;36,H132&lt;41,OR(K132="Скорее не удовлетворен",K132="Абсолютно не уловлетворен",K132="Затрудняюсь ответить")),"Да","Нет")</f>
        <v>Нет</v>
      </c>
      <c r="K132" s="62" t="s">
        <v>1252</v>
      </c>
    </row>
    <row r="133" spans="1:11" ht="15.75" customHeight="1" x14ac:dyDescent="0.25">
      <c r="A133" s="62">
        <v>135</v>
      </c>
      <c r="B133" s="62">
        <v>25</v>
      </c>
      <c r="C133" s="62" t="s">
        <v>1277</v>
      </c>
      <c r="D133" s="62" t="s">
        <v>1258</v>
      </c>
      <c r="E133" s="62" t="s">
        <v>1253</v>
      </c>
      <c r="F133" s="62" t="s">
        <v>1251</v>
      </c>
      <c r="G133">
        <f t="shared" si="8"/>
        <v>250</v>
      </c>
      <c r="H133">
        <f t="shared" si="9"/>
        <v>40</v>
      </c>
      <c r="I133">
        <f t="shared" si="10"/>
        <v>60</v>
      </c>
      <c r="J133" t="str">
        <f t="shared" si="11"/>
        <v>Нет</v>
      </c>
      <c r="K133" s="62" t="s">
        <v>1246</v>
      </c>
    </row>
    <row r="134" spans="1:11" ht="15.75" customHeight="1" x14ac:dyDescent="0.25">
      <c r="A134" s="62">
        <v>136</v>
      </c>
      <c r="B134" s="62">
        <v>19</v>
      </c>
      <c r="C134" s="62" t="s">
        <v>1277</v>
      </c>
      <c r="D134" s="62" t="s">
        <v>1243</v>
      </c>
      <c r="E134" s="62" t="s">
        <v>1250</v>
      </c>
      <c r="F134" s="62" t="s">
        <v>1251</v>
      </c>
      <c r="G134">
        <f t="shared" si="8"/>
        <v>250</v>
      </c>
      <c r="H134">
        <f t="shared" si="9"/>
        <v>41</v>
      </c>
      <c r="I134">
        <f t="shared" si="10"/>
        <v>35</v>
      </c>
      <c r="J134" t="str">
        <f t="shared" si="11"/>
        <v>Нет</v>
      </c>
      <c r="K134" s="62" t="s">
        <v>1247</v>
      </c>
    </row>
    <row r="135" spans="1:11" ht="15.75" customHeight="1" x14ac:dyDescent="0.25">
      <c r="A135" s="62">
        <v>137</v>
      </c>
      <c r="B135" s="62">
        <v>22</v>
      </c>
      <c r="C135" s="62" t="s">
        <v>1277</v>
      </c>
      <c r="D135" s="62" t="s">
        <v>1260</v>
      </c>
      <c r="E135" s="62" t="s">
        <v>1255</v>
      </c>
      <c r="F135" s="62" t="s">
        <v>1251</v>
      </c>
      <c r="G135">
        <f t="shared" si="8"/>
        <v>250</v>
      </c>
      <c r="H135">
        <f t="shared" si="9"/>
        <v>20</v>
      </c>
      <c r="I135">
        <f t="shared" si="10"/>
        <v>121</v>
      </c>
      <c r="J135" t="str">
        <f t="shared" si="11"/>
        <v>Нет</v>
      </c>
      <c r="K135" s="62" t="s">
        <v>1247</v>
      </c>
    </row>
    <row r="136" spans="1:11" ht="15.75" customHeight="1" x14ac:dyDescent="0.25">
      <c r="A136" s="62">
        <v>138</v>
      </c>
      <c r="B136" s="62">
        <v>25</v>
      </c>
      <c r="C136" s="62" t="s">
        <v>1277</v>
      </c>
      <c r="D136" s="62" t="s">
        <v>1260</v>
      </c>
      <c r="E136" s="62" t="s">
        <v>1248</v>
      </c>
      <c r="F136" s="62" t="s">
        <v>1249</v>
      </c>
      <c r="G136">
        <f t="shared" si="8"/>
        <v>550</v>
      </c>
      <c r="H136">
        <f t="shared" si="9"/>
        <v>30</v>
      </c>
      <c r="I136">
        <f t="shared" si="10"/>
        <v>121</v>
      </c>
      <c r="J136" t="str">
        <f t="shared" si="11"/>
        <v>Нет</v>
      </c>
      <c r="K136" s="62" t="s">
        <v>1252</v>
      </c>
    </row>
    <row r="137" spans="1:11" ht="15.75" customHeight="1" x14ac:dyDescent="0.25">
      <c r="A137" s="62">
        <v>139</v>
      </c>
      <c r="B137" s="62">
        <v>22</v>
      </c>
      <c r="C137" s="62" t="s">
        <v>1277</v>
      </c>
      <c r="D137" s="62" t="s">
        <v>1243</v>
      </c>
      <c r="E137" s="62" t="s">
        <v>1253</v>
      </c>
      <c r="F137" s="62" t="s">
        <v>1251</v>
      </c>
      <c r="G137">
        <f t="shared" si="8"/>
        <v>250</v>
      </c>
      <c r="H137">
        <f t="shared" si="9"/>
        <v>40</v>
      </c>
      <c r="I137">
        <f t="shared" si="10"/>
        <v>35</v>
      </c>
      <c r="J137" t="str">
        <f t="shared" si="11"/>
        <v>Нет</v>
      </c>
      <c r="K137" s="62" t="s">
        <v>1242</v>
      </c>
    </row>
    <row r="138" spans="1:11" ht="15.75" customHeight="1" x14ac:dyDescent="0.25">
      <c r="A138" s="62">
        <v>140</v>
      </c>
      <c r="B138" s="62">
        <v>25</v>
      </c>
      <c r="C138" s="62" t="s">
        <v>1277</v>
      </c>
      <c r="D138" s="62" t="s">
        <v>1243</v>
      </c>
      <c r="E138" s="62" t="s">
        <v>1255</v>
      </c>
      <c r="F138" s="62" t="s">
        <v>1254</v>
      </c>
      <c r="G138">
        <f t="shared" si="8"/>
        <v>350</v>
      </c>
      <c r="H138">
        <f t="shared" si="9"/>
        <v>20</v>
      </c>
      <c r="I138">
        <f t="shared" si="10"/>
        <v>35</v>
      </c>
      <c r="J138" t="str">
        <f t="shared" si="11"/>
        <v>Нет</v>
      </c>
      <c r="K138" s="62" t="s">
        <v>1247</v>
      </c>
    </row>
    <row r="139" spans="1:11" ht="15.75" customHeight="1" x14ac:dyDescent="0.25">
      <c r="A139" s="62">
        <v>141</v>
      </c>
      <c r="B139" s="62">
        <v>19</v>
      </c>
      <c r="C139" s="62" t="s">
        <v>1277</v>
      </c>
      <c r="D139" s="62" t="s">
        <v>1256</v>
      </c>
      <c r="E139" s="62" t="s">
        <v>1244</v>
      </c>
      <c r="F139" s="62" t="s">
        <v>1254</v>
      </c>
      <c r="G139">
        <f t="shared" si="8"/>
        <v>350</v>
      </c>
      <c r="H139">
        <f t="shared" si="9"/>
        <v>10</v>
      </c>
      <c r="I139">
        <f t="shared" si="10"/>
        <v>120</v>
      </c>
      <c r="J139" t="str">
        <f t="shared" si="11"/>
        <v>Нет</v>
      </c>
      <c r="K139" s="62" t="s">
        <v>1252</v>
      </c>
    </row>
    <row r="140" spans="1:11" ht="15.75" customHeight="1" x14ac:dyDescent="0.25">
      <c r="A140" s="62">
        <v>142</v>
      </c>
      <c r="B140" s="62">
        <v>21</v>
      </c>
      <c r="C140" s="62" t="s">
        <v>1277</v>
      </c>
      <c r="D140" s="62" t="s">
        <v>1257</v>
      </c>
      <c r="E140" s="62" t="s">
        <v>1253</v>
      </c>
      <c r="F140" s="62" t="s">
        <v>1254</v>
      </c>
      <c r="G140">
        <f t="shared" si="8"/>
        <v>350</v>
      </c>
      <c r="H140">
        <f t="shared" si="9"/>
        <v>40</v>
      </c>
      <c r="I140">
        <f t="shared" si="10"/>
        <v>90</v>
      </c>
      <c r="J140" t="str">
        <f t="shared" si="11"/>
        <v>Нет</v>
      </c>
      <c r="K140" s="62" t="s">
        <v>1242</v>
      </c>
    </row>
    <row r="141" spans="1:11" ht="15.75" customHeight="1" x14ac:dyDescent="0.25">
      <c r="A141" s="62">
        <v>143</v>
      </c>
      <c r="B141" s="62">
        <v>19</v>
      </c>
      <c r="C141" s="62" t="s">
        <v>1277</v>
      </c>
      <c r="D141" s="62" t="s">
        <v>1243</v>
      </c>
      <c r="E141" s="62" t="s">
        <v>1248</v>
      </c>
      <c r="F141" s="62" t="s">
        <v>1251</v>
      </c>
      <c r="G141">
        <f t="shared" si="8"/>
        <v>250</v>
      </c>
      <c r="H141">
        <f t="shared" si="9"/>
        <v>30</v>
      </c>
      <c r="I141">
        <f t="shared" si="10"/>
        <v>35</v>
      </c>
      <c r="J141" t="str">
        <f t="shared" si="11"/>
        <v>Нет</v>
      </c>
      <c r="K141" s="62" t="s">
        <v>1247</v>
      </c>
    </row>
    <row r="142" spans="1:11" ht="15.75" customHeight="1" x14ac:dyDescent="0.25">
      <c r="A142" s="62">
        <v>144</v>
      </c>
      <c r="B142" s="62">
        <v>23</v>
      </c>
      <c r="C142" s="62" t="s">
        <v>1277</v>
      </c>
      <c r="D142" s="62" t="s">
        <v>1243</v>
      </c>
      <c r="E142" s="62" t="s">
        <v>1253</v>
      </c>
      <c r="F142" s="62" t="s">
        <v>1259</v>
      </c>
      <c r="G142">
        <f t="shared" si="8"/>
        <v>351</v>
      </c>
      <c r="H142">
        <f t="shared" si="9"/>
        <v>40</v>
      </c>
      <c r="I142">
        <f t="shared" si="10"/>
        <v>35</v>
      </c>
      <c r="J142" t="str">
        <f t="shared" si="11"/>
        <v>Да</v>
      </c>
      <c r="K142" s="62" t="s">
        <v>1246</v>
      </c>
    </row>
    <row r="143" spans="1:11" ht="15.75" customHeight="1" x14ac:dyDescent="0.25">
      <c r="A143" s="62">
        <v>145</v>
      </c>
      <c r="B143" s="62">
        <v>22</v>
      </c>
      <c r="C143" s="62" t="s">
        <v>1277</v>
      </c>
      <c r="D143" s="62" t="s">
        <v>1243</v>
      </c>
      <c r="E143" s="62" t="s">
        <v>1253</v>
      </c>
      <c r="F143" s="62" t="s">
        <v>1254</v>
      </c>
      <c r="G143">
        <f t="shared" si="8"/>
        <v>350</v>
      </c>
      <c r="H143">
        <f t="shared" si="9"/>
        <v>40</v>
      </c>
      <c r="I143">
        <f t="shared" si="10"/>
        <v>35</v>
      </c>
      <c r="J143" t="str">
        <f t="shared" si="11"/>
        <v>Нет</v>
      </c>
      <c r="K143" s="62" t="s">
        <v>1247</v>
      </c>
    </row>
    <row r="144" spans="1:11" ht="15.75" customHeight="1" x14ac:dyDescent="0.25">
      <c r="A144" s="62">
        <v>146</v>
      </c>
      <c r="B144" s="62">
        <v>22</v>
      </c>
      <c r="C144" s="62" t="s">
        <v>1277</v>
      </c>
      <c r="D144" s="62" t="s">
        <v>1243</v>
      </c>
      <c r="E144" s="62" t="s">
        <v>1250</v>
      </c>
      <c r="F144" s="62" t="s">
        <v>1259</v>
      </c>
      <c r="G144">
        <f t="shared" si="8"/>
        <v>351</v>
      </c>
      <c r="H144">
        <f t="shared" si="9"/>
        <v>41</v>
      </c>
      <c r="I144">
        <f t="shared" si="10"/>
        <v>35</v>
      </c>
      <c r="J144" t="str">
        <f t="shared" si="11"/>
        <v>Нет</v>
      </c>
      <c r="K144" s="62" t="s">
        <v>1247</v>
      </c>
    </row>
    <row r="145" spans="1:11" ht="15.75" customHeight="1" x14ac:dyDescent="0.25">
      <c r="A145" s="62">
        <v>147</v>
      </c>
      <c r="B145" s="62">
        <v>21</v>
      </c>
      <c r="C145" s="62" t="s">
        <v>1277</v>
      </c>
      <c r="D145" s="62" t="s">
        <v>1243</v>
      </c>
      <c r="E145" s="62" t="s">
        <v>1253</v>
      </c>
      <c r="F145" s="62" t="s">
        <v>1251</v>
      </c>
      <c r="G145">
        <f t="shared" si="8"/>
        <v>250</v>
      </c>
      <c r="H145">
        <f t="shared" si="9"/>
        <v>40</v>
      </c>
      <c r="I145">
        <f t="shared" si="10"/>
        <v>35</v>
      </c>
      <c r="J145" t="str">
        <f t="shared" si="11"/>
        <v>Нет</v>
      </c>
      <c r="K145" s="62" t="s">
        <v>1247</v>
      </c>
    </row>
    <row r="146" spans="1:11" ht="15.75" customHeight="1" x14ac:dyDescent="0.25">
      <c r="A146" s="62">
        <v>148</v>
      </c>
      <c r="B146" s="62">
        <v>24</v>
      </c>
      <c r="C146" s="62" t="s">
        <v>1277</v>
      </c>
      <c r="D146" s="62" t="s">
        <v>1243</v>
      </c>
      <c r="E146" s="62" t="s">
        <v>1255</v>
      </c>
      <c r="F146" s="62" t="s">
        <v>1251</v>
      </c>
      <c r="G146">
        <f t="shared" si="8"/>
        <v>250</v>
      </c>
      <c r="H146">
        <f t="shared" si="9"/>
        <v>20</v>
      </c>
      <c r="I146">
        <f t="shared" si="10"/>
        <v>35</v>
      </c>
      <c r="J146" t="str">
        <f t="shared" si="11"/>
        <v>Нет</v>
      </c>
      <c r="K146" s="62" t="s">
        <v>1246</v>
      </c>
    </row>
    <row r="147" spans="1:11" ht="15.75" customHeight="1" x14ac:dyDescent="0.25">
      <c r="A147" s="62">
        <v>149</v>
      </c>
      <c r="B147" s="62">
        <v>19</v>
      </c>
      <c r="C147" s="62" t="s">
        <v>1277</v>
      </c>
      <c r="D147" s="62" t="s">
        <v>1260</v>
      </c>
      <c r="E147" s="62" t="s">
        <v>1244</v>
      </c>
      <c r="F147" s="62" t="s">
        <v>1259</v>
      </c>
      <c r="G147">
        <f t="shared" si="8"/>
        <v>351</v>
      </c>
      <c r="H147">
        <f t="shared" si="9"/>
        <v>10</v>
      </c>
      <c r="I147">
        <f t="shared" si="10"/>
        <v>121</v>
      </c>
      <c r="J147" t="str">
        <f t="shared" si="11"/>
        <v>Нет</v>
      </c>
      <c r="K147" s="62" t="s">
        <v>1246</v>
      </c>
    </row>
    <row r="148" spans="1:11" ht="15.75" customHeight="1" x14ac:dyDescent="0.25">
      <c r="A148" s="62">
        <v>150</v>
      </c>
      <c r="B148" s="62">
        <v>23</v>
      </c>
      <c r="C148" s="62" t="s">
        <v>1277</v>
      </c>
      <c r="D148" s="62" t="s">
        <v>1243</v>
      </c>
      <c r="E148" s="62" t="s">
        <v>1253</v>
      </c>
      <c r="F148" s="62" t="s">
        <v>1254</v>
      </c>
      <c r="G148">
        <f t="shared" si="8"/>
        <v>350</v>
      </c>
      <c r="H148">
        <f t="shared" si="9"/>
        <v>40</v>
      </c>
      <c r="I148">
        <f t="shared" si="10"/>
        <v>35</v>
      </c>
      <c r="J148" t="str">
        <f t="shared" si="11"/>
        <v>Нет</v>
      </c>
      <c r="K148" s="62" t="s">
        <v>1247</v>
      </c>
    </row>
    <row r="149" spans="1:11" ht="15.75" customHeight="1" x14ac:dyDescent="0.25">
      <c r="A149" s="62">
        <v>151</v>
      </c>
      <c r="B149" s="62">
        <v>21</v>
      </c>
      <c r="C149" s="62" t="s">
        <v>1277</v>
      </c>
      <c r="D149" s="62" t="s">
        <v>1243</v>
      </c>
      <c r="E149" s="62" t="s">
        <v>1250</v>
      </c>
      <c r="F149" s="62" t="s">
        <v>1251</v>
      </c>
      <c r="G149">
        <f t="shared" si="8"/>
        <v>250</v>
      </c>
      <c r="H149">
        <f t="shared" si="9"/>
        <v>41</v>
      </c>
      <c r="I149">
        <f t="shared" si="10"/>
        <v>35</v>
      </c>
      <c r="J149" t="str">
        <f t="shared" si="11"/>
        <v>Нет</v>
      </c>
      <c r="K149" s="62" t="s">
        <v>1247</v>
      </c>
    </row>
    <row r="150" spans="1:11" ht="15.75" customHeight="1" x14ac:dyDescent="0.25">
      <c r="A150" s="62">
        <v>152</v>
      </c>
      <c r="B150" s="62">
        <v>20</v>
      </c>
      <c r="C150" s="62" t="s">
        <v>1277</v>
      </c>
      <c r="D150" s="62" t="s">
        <v>1256</v>
      </c>
      <c r="E150" s="62" t="s">
        <v>1248</v>
      </c>
      <c r="F150" s="62" t="s">
        <v>1251</v>
      </c>
      <c r="G150">
        <f t="shared" si="8"/>
        <v>250</v>
      </c>
      <c r="H150">
        <f t="shared" si="9"/>
        <v>30</v>
      </c>
      <c r="I150">
        <f t="shared" si="10"/>
        <v>120</v>
      </c>
      <c r="J150" t="str">
        <f t="shared" si="11"/>
        <v>Нет</v>
      </c>
      <c r="K150" s="62" t="s">
        <v>1252</v>
      </c>
    </row>
    <row r="151" spans="1:11" ht="15.75" customHeight="1" x14ac:dyDescent="0.25">
      <c r="A151" s="62">
        <v>153</v>
      </c>
      <c r="B151" s="62">
        <v>18</v>
      </c>
      <c r="C151" s="62" t="s">
        <v>1277</v>
      </c>
      <c r="D151" s="62" t="s">
        <v>1257</v>
      </c>
      <c r="E151" s="62" t="s">
        <v>1248</v>
      </c>
      <c r="F151" s="62" t="s">
        <v>1251</v>
      </c>
      <c r="G151">
        <f t="shared" si="8"/>
        <v>250</v>
      </c>
      <c r="H151">
        <f t="shared" si="9"/>
        <v>30</v>
      </c>
      <c r="I151">
        <f t="shared" si="10"/>
        <v>90</v>
      </c>
      <c r="J151" t="str">
        <f t="shared" si="11"/>
        <v>Нет</v>
      </c>
      <c r="K151" s="62" t="s">
        <v>1247</v>
      </c>
    </row>
    <row r="152" spans="1:11" ht="15.75" customHeight="1" x14ac:dyDescent="0.25">
      <c r="A152" s="62">
        <v>154</v>
      </c>
      <c r="B152" s="62">
        <v>21</v>
      </c>
      <c r="C152" s="62" t="s">
        <v>1277</v>
      </c>
      <c r="D152" s="62" t="s">
        <v>1243</v>
      </c>
      <c r="E152" s="62" t="s">
        <v>1248</v>
      </c>
      <c r="F152" s="62" t="s">
        <v>1254</v>
      </c>
      <c r="G152">
        <f t="shared" si="8"/>
        <v>350</v>
      </c>
      <c r="H152">
        <f t="shared" si="9"/>
        <v>30</v>
      </c>
      <c r="I152">
        <f t="shared" si="10"/>
        <v>35</v>
      </c>
      <c r="J152" t="str">
        <f t="shared" si="11"/>
        <v>Нет</v>
      </c>
      <c r="K152" s="62" t="s">
        <v>1247</v>
      </c>
    </row>
    <row r="153" spans="1:11" ht="15.75" customHeight="1" x14ac:dyDescent="0.25">
      <c r="A153" s="62">
        <v>155</v>
      </c>
      <c r="B153" s="62">
        <v>25</v>
      </c>
      <c r="C153" s="62" t="s">
        <v>1277</v>
      </c>
      <c r="D153" s="62" t="s">
        <v>1260</v>
      </c>
      <c r="E153" s="62" t="s">
        <v>1250</v>
      </c>
      <c r="F153" s="62" t="s">
        <v>1259</v>
      </c>
      <c r="G153">
        <f t="shared" si="8"/>
        <v>351</v>
      </c>
      <c r="H153">
        <f t="shared" si="9"/>
        <v>41</v>
      </c>
      <c r="I153">
        <f t="shared" si="10"/>
        <v>121</v>
      </c>
      <c r="J153" t="str">
        <f t="shared" si="11"/>
        <v>Нет</v>
      </c>
      <c r="K153" s="62" t="s">
        <v>1246</v>
      </c>
    </row>
    <row r="154" spans="1:11" ht="15.75" customHeight="1" x14ac:dyDescent="0.25">
      <c r="A154" s="62">
        <v>156</v>
      </c>
      <c r="B154" s="62">
        <v>21</v>
      </c>
      <c r="C154" s="62" t="s">
        <v>1277</v>
      </c>
      <c r="D154" s="62" t="s">
        <v>1243</v>
      </c>
      <c r="E154" s="62" t="s">
        <v>1244</v>
      </c>
      <c r="F154" s="62" t="s">
        <v>1254</v>
      </c>
      <c r="G154">
        <f t="shared" si="8"/>
        <v>350</v>
      </c>
      <c r="H154">
        <f t="shared" si="9"/>
        <v>10</v>
      </c>
      <c r="I154">
        <f t="shared" si="10"/>
        <v>35</v>
      </c>
      <c r="J154" t="str">
        <f t="shared" si="11"/>
        <v>Да</v>
      </c>
      <c r="K154" s="62" t="s">
        <v>1246</v>
      </c>
    </row>
    <row r="155" spans="1:11" ht="15.75" customHeight="1" x14ac:dyDescent="0.25">
      <c r="A155" s="62">
        <v>157</v>
      </c>
      <c r="B155" s="62">
        <v>19</v>
      </c>
      <c r="C155" s="62" t="s">
        <v>1277</v>
      </c>
      <c r="D155" s="62" t="s">
        <v>1257</v>
      </c>
      <c r="E155" s="62" t="s">
        <v>1253</v>
      </c>
      <c r="F155" s="62" t="s">
        <v>1259</v>
      </c>
      <c r="G155">
        <f t="shared" si="8"/>
        <v>351</v>
      </c>
      <c r="H155">
        <f t="shared" si="9"/>
        <v>40</v>
      </c>
      <c r="I155">
        <f t="shared" si="10"/>
        <v>90</v>
      </c>
      <c r="J155" t="str">
        <f t="shared" si="11"/>
        <v>Нет</v>
      </c>
      <c r="K155" s="62" t="s">
        <v>1252</v>
      </c>
    </row>
    <row r="156" spans="1:11" ht="15.75" customHeight="1" x14ac:dyDescent="0.25">
      <c r="A156" s="62">
        <v>158</v>
      </c>
      <c r="B156" s="62">
        <v>20</v>
      </c>
      <c r="C156" s="62" t="s">
        <v>1277</v>
      </c>
      <c r="D156" s="62" t="s">
        <v>1243</v>
      </c>
      <c r="E156" s="62" t="s">
        <v>1248</v>
      </c>
      <c r="F156" s="62" t="s">
        <v>1245</v>
      </c>
      <c r="G156">
        <f t="shared" si="8"/>
        <v>451</v>
      </c>
      <c r="H156">
        <f t="shared" si="9"/>
        <v>30</v>
      </c>
      <c r="I156">
        <f t="shared" si="10"/>
        <v>35</v>
      </c>
      <c r="J156" t="str">
        <f t="shared" si="11"/>
        <v>Да</v>
      </c>
      <c r="K156" s="62" t="s">
        <v>1252</v>
      </c>
    </row>
    <row r="157" spans="1:11" ht="15.75" customHeight="1" x14ac:dyDescent="0.25">
      <c r="A157" s="62">
        <v>159</v>
      </c>
      <c r="B157" s="62">
        <v>21</v>
      </c>
      <c r="C157" s="62" t="s">
        <v>1277</v>
      </c>
      <c r="D157" s="62" t="s">
        <v>1243</v>
      </c>
      <c r="E157" s="62" t="s">
        <v>1253</v>
      </c>
      <c r="F157" s="62" t="s">
        <v>1254</v>
      </c>
      <c r="G157">
        <f t="shared" si="8"/>
        <v>350</v>
      </c>
      <c r="H157">
        <f t="shared" si="9"/>
        <v>40</v>
      </c>
      <c r="I157">
        <f t="shared" si="10"/>
        <v>35</v>
      </c>
      <c r="J157" t="str">
        <f t="shared" si="11"/>
        <v>Нет</v>
      </c>
      <c r="K157" s="62" t="s">
        <v>1247</v>
      </c>
    </row>
    <row r="158" spans="1:11" ht="15.75" customHeight="1" x14ac:dyDescent="0.25">
      <c r="A158" s="62">
        <v>160</v>
      </c>
      <c r="B158" s="62">
        <v>19</v>
      </c>
      <c r="C158" s="62" t="s">
        <v>1277</v>
      </c>
      <c r="D158" s="62" t="s">
        <v>1243</v>
      </c>
      <c r="E158" s="62" t="s">
        <v>1255</v>
      </c>
      <c r="F158" s="62" t="s">
        <v>1254</v>
      </c>
      <c r="G158">
        <f t="shared" si="8"/>
        <v>350</v>
      </c>
      <c r="H158">
        <f t="shared" si="9"/>
        <v>20</v>
      </c>
      <c r="I158">
        <f t="shared" si="10"/>
        <v>35</v>
      </c>
      <c r="J158" t="str">
        <f t="shared" si="11"/>
        <v>Да</v>
      </c>
      <c r="K158" s="62" t="s">
        <v>1252</v>
      </c>
    </row>
    <row r="159" spans="1:11" ht="15.75" customHeight="1" x14ac:dyDescent="0.25">
      <c r="A159" s="62">
        <v>161</v>
      </c>
      <c r="B159" s="62">
        <v>25</v>
      </c>
      <c r="C159" s="62" t="s">
        <v>1277</v>
      </c>
      <c r="D159" s="62" t="s">
        <v>1243</v>
      </c>
      <c r="E159" s="62" t="s">
        <v>1253</v>
      </c>
      <c r="F159" s="62" t="s">
        <v>1251</v>
      </c>
      <c r="G159">
        <f t="shared" si="8"/>
        <v>250</v>
      </c>
      <c r="H159">
        <f t="shared" si="9"/>
        <v>40</v>
      </c>
      <c r="I159">
        <f t="shared" si="10"/>
        <v>35</v>
      </c>
      <c r="J159" t="str">
        <f t="shared" si="11"/>
        <v>Нет</v>
      </c>
      <c r="K159" s="62" t="s">
        <v>1252</v>
      </c>
    </row>
    <row r="160" spans="1:11" ht="15.75" customHeight="1" x14ac:dyDescent="0.25">
      <c r="A160" s="62">
        <v>162</v>
      </c>
      <c r="B160" s="62">
        <v>21</v>
      </c>
      <c r="C160" s="62" t="s">
        <v>1277</v>
      </c>
      <c r="D160" s="62" t="s">
        <v>1257</v>
      </c>
      <c r="E160" s="62" t="s">
        <v>1250</v>
      </c>
      <c r="F160" s="62" t="s">
        <v>1251</v>
      </c>
      <c r="G160">
        <f t="shared" si="8"/>
        <v>250</v>
      </c>
      <c r="H160">
        <f t="shared" si="9"/>
        <v>41</v>
      </c>
      <c r="I160">
        <f t="shared" si="10"/>
        <v>90</v>
      </c>
      <c r="J160" t="str">
        <f t="shared" si="11"/>
        <v>Нет</v>
      </c>
      <c r="K160" s="62" t="s">
        <v>1247</v>
      </c>
    </row>
    <row r="161" spans="1:11" ht="15.75" customHeight="1" x14ac:dyDescent="0.25">
      <c r="A161" s="62">
        <v>164</v>
      </c>
      <c r="B161" s="62">
        <v>25</v>
      </c>
      <c r="C161" s="62" t="s">
        <v>1277</v>
      </c>
      <c r="D161" s="62" t="s">
        <v>1256</v>
      </c>
      <c r="E161" s="62" t="s">
        <v>1253</v>
      </c>
      <c r="F161" s="62" t="s">
        <v>1259</v>
      </c>
      <c r="G161">
        <f t="shared" si="8"/>
        <v>351</v>
      </c>
      <c r="H161">
        <f t="shared" si="9"/>
        <v>40</v>
      </c>
      <c r="I161">
        <f t="shared" si="10"/>
        <v>120</v>
      </c>
      <c r="J161" t="str">
        <f t="shared" si="11"/>
        <v>Нет</v>
      </c>
      <c r="K161" s="62" t="s">
        <v>1247</v>
      </c>
    </row>
    <row r="162" spans="1:11" ht="15.75" customHeight="1" x14ac:dyDescent="0.25">
      <c r="A162" s="62">
        <v>165</v>
      </c>
      <c r="B162" s="62">
        <v>21</v>
      </c>
      <c r="C162" s="62" t="s">
        <v>1277</v>
      </c>
      <c r="D162" s="62" t="s">
        <v>1243</v>
      </c>
      <c r="E162" s="62" t="s">
        <v>1248</v>
      </c>
      <c r="F162" s="62" t="s">
        <v>1254</v>
      </c>
      <c r="G162">
        <f t="shared" si="8"/>
        <v>350</v>
      </c>
      <c r="H162">
        <f t="shared" si="9"/>
        <v>30</v>
      </c>
      <c r="I162">
        <f t="shared" si="10"/>
        <v>35</v>
      </c>
      <c r="J162" t="str">
        <f t="shared" si="11"/>
        <v>Нет</v>
      </c>
      <c r="K162" s="62" t="s">
        <v>1247</v>
      </c>
    </row>
    <row r="163" spans="1:11" ht="15.75" customHeight="1" x14ac:dyDescent="0.25">
      <c r="A163" s="62">
        <v>166</v>
      </c>
      <c r="B163" s="62">
        <v>25</v>
      </c>
      <c r="C163" s="62" t="s">
        <v>1277</v>
      </c>
      <c r="D163" s="62" t="s">
        <v>1243</v>
      </c>
      <c r="E163" s="62" t="s">
        <v>1253</v>
      </c>
      <c r="F163" s="62" t="s">
        <v>1259</v>
      </c>
      <c r="G163">
        <f t="shared" si="8"/>
        <v>351</v>
      </c>
      <c r="H163">
        <f t="shared" si="9"/>
        <v>40</v>
      </c>
      <c r="I163">
        <f t="shared" si="10"/>
        <v>35</v>
      </c>
      <c r="J163" t="str">
        <f t="shared" si="11"/>
        <v>Нет</v>
      </c>
      <c r="K163" s="62" t="s">
        <v>1242</v>
      </c>
    </row>
    <row r="164" spans="1:11" ht="15.75" customHeight="1" x14ac:dyDescent="0.25">
      <c r="A164" s="62">
        <v>167</v>
      </c>
      <c r="B164" s="62">
        <v>25</v>
      </c>
      <c r="C164" s="62" t="s">
        <v>1277</v>
      </c>
      <c r="D164" s="62" t="s">
        <v>1257</v>
      </c>
      <c r="E164" s="62" t="s">
        <v>1248</v>
      </c>
      <c r="F164" s="62" t="s">
        <v>1254</v>
      </c>
      <c r="G164">
        <f t="shared" si="8"/>
        <v>350</v>
      </c>
      <c r="H164">
        <f t="shared" si="9"/>
        <v>30</v>
      </c>
      <c r="I164">
        <f t="shared" si="10"/>
        <v>90</v>
      </c>
      <c r="J164" t="str">
        <f t="shared" si="11"/>
        <v>Нет</v>
      </c>
      <c r="K164" s="62" t="s">
        <v>1247</v>
      </c>
    </row>
    <row r="165" spans="1:11" ht="15.75" customHeight="1" x14ac:dyDescent="0.25">
      <c r="A165" s="62">
        <v>168</v>
      </c>
      <c r="B165" s="62">
        <v>22</v>
      </c>
      <c r="C165" s="62" t="s">
        <v>1277</v>
      </c>
      <c r="D165" s="62" t="s">
        <v>1258</v>
      </c>
      <c r="E165" s="62" t="s">
        <v>1248</v>
      </c>
      <c r="F165" s="62" t="s">
        <v>1254</v>
      </c>
      <c r="G165">
        <f t="shared" si="8"/>
        <v>350</v>
      </c>
      <c r="H165">
        <f t="shared" si="9"/>
        <v>30</v>
      </c>
      <c r="I165">
        <f t="shared" si="10"/>
        <v>60</v>
      </c>
      <c r="J165" t="str">
        <f t="shared" si="11"/>
        <v>Нет</v>
      </c>
      <c r="K165" s="62" t="s">
        <v>1247</v>
      </c>
    </row>
    <row r="166" spans="1:11" ht="15.75" customHeight="1" x14ac:dyDescent="0.25">
      <c r="A166" s="62">
        <v>169</v>
      </c>
      <c r="B166" s="62">
        <v>21</v>
      </c>
      <c r="C166" s="62" t="s">
        <v>1277</v>
      </c>
      <c r="D166" s="62" t="s">
        <v>1256</v>
      </c>
      <c r="E166" s="62" t="s">
        <v>1255</v>
      </c>
      <c r="F166" s="62" t="s">
        <v>1254</v>
      </c>
      <c r="G166">
        <f t="shared" si="8"/>
        <v>350</v>
      </c>
      <c r="H166">
        <f t="shared" si="9"/>
        <v>20</v>
      </c>
      <c r="I166">
        <f t="shared" si="10"/>
        <v>120</v>
      </c>
      <c r="J166" t="str">
        <f t="shared" si="11"/>
        <v>Нет</v>
      </c>
      <c r="K166" s="62" t="s">
        <v>1252</v>
      </c>
    </row>
    <row r="167" spans="1:11" ht="15.75" customHeight="1" x14ac:dyDescent="0.25">
      <c r="A167" s="62">
        <v>103</v>
      </c>
      <c r="B167" s="62">
        <v>19</v>
      </c>
      <c r="C167" s="62" t="s">
        <v>1277</v>
      </c>
      <c r="D167" s="62" t="s">
        <v>1243</v>
      </c>
      <c r="E167" s="62" t="s">
        <v>1248</v>
      </c>
      <c r="F167" s="62" t="s">
        <v>1259</v>
      </c>
      <c r="G167">
        <f t="shared" si="8"/>
        <v>351</v>
      </c>
      <c r="H167">
        <f t="shared" si="9"/>
        <v>30</v>
      </c>
      <c r="I167">
        <f t="shared" si="10"/>
        <v>35</v>
      </c>
      <c r="J167" t="str">
        <f t="shared" si="11"/>
        <v>Да</v>
      </c>
      <c r="K167" s="62" t="s">
        <v>1246</v>
      </c>
    </row>
    <row r="168" spans="1:11" ht="15.75" customHeight="1" x14ac:dyDescent="0.25">
      <c r="A168" s="62">
        <v>170</v>
      </c>
      <c r="B168" s="62">
        <v>19</v>
      </c>
      <c r="C168" s="62" t="s">
        <v>1277</v>
      </c>
      <c r="D168" s="62" t="s">
        <v>1243</v>
      </c>
      <c r="E168" s="62" t="s">
        <v>1253</v>
      </c>
      <c r="F168" s="62" t="s">
        <v>1259</v>
      </c>
      <c r="G168">
        <f t="shared" si="8"/>
        <v>351</v>
      </c>
      <c r="H168">
        <f t="shared" si="9"/>
        <v>40</v>
      </c>
      <c r="I168">
        <f t="shared" si="10"/>
        <v>35</v>
      </c>
      <c r="J168" t="str">
        <f t="shared" si="11"/>
        <v>Да</v>
      </c>
      <c r="K168" s="62" t="s">
        <v>1246</v>
      </c>
    </row>
    <row r="169" spans="1:11" ht="15.75" customHeight="1" x14ac:dyDescent="0.25">
      <c r="A169" s="62">
        <v>171</v>
      </c>
      <c r="B169" s="62">
        <v>25</v>
      </c>
      <c r="C169" s="62" t="s">
        <v>1277</v>
      </c>
      <c r="D169" s="62" t="s">
        <v>1257</v>
      </c>
      <c r="E169" s="62" t="s">
        <v>1248</v>
      </c>
      <c r="F169" s="62" t="s">
        <v>1251</v>
      </c>
      <c r="G169">
        <f t="shared" si="8"/>
        <v>250</v>
      </c>
      <c r="H169">
        <f t="shared" si="9"/>
        <v>30</v>
      </c>
      <c r="I169">
        <f t="shared" si="10"/>
        <v>90</v>
      </c>
      <c r="J169" t="str">
        <f t="shared" si="11"/>
        <v>Нет</v>
      </c>
      <c r="K169" s="62" t="s">
        <v>1247</v>
      </c>
    </row>
    <row r="170" spans="1:11" ht="15.75" customHeight="1" x14ac:dyDescent="0.25">
      <c r="A170" s="62">
        <v>172</v>
      </c>
      <c r="B170" s="62">
        <v>18</v>
      </c>
      <c r="C170" s="62" t="s">
        <v>1277</v>
      </c>
      <c r="D170" s="62" t="s">
        <v>1243</v>
      </c>
      <c r="E170" s="62" t="s">
        <v>1253</v>
      </c>
      <c r="F170" s="62" t="s">
        <v>1259</v>
      </c>
      <c r="G170">
        <f t="shared" si="8"/>
        <v>351</v>
      </c>
      <c r="H170">
        <f t="shared" si="9"/>
        <v>40</v>
      </c>
      <c r="I170">
        <f t="shared" si="10"/>
        <v>35</v>
      </c>
      <c r="J170" t="str">
        <f t="shared" si="11"/>
        <v>Нет</v>
      </c>
      <c r="K170" s="62" t="s">
        <v>1261</v>
      </c>
    </row>
    <row r="171" spans="1:11" ht="15.75" customHeight="1" x14ac:dyDescent="0.25">
      <c r="A171" s="62">
        <v>173</v>
      </c>
      <c r="B171" s="62">
        <v>25</v>
      </c>
      <c r="C171" s="62" t="s">
        <v>1277</v>
      </c>
      <c r="D171" s="62" t="s">
        <v>1243</v>
      </c>
      <c r="E171" s="62" t="s">
        <v>1248</v>
      </c>
      <c r="F171" s="62" t="s">
        <v>1249</v>
      </c>
      <c r="G171">
        <f t="shared" si="8"/>
        <v>550</v>
      </c>
      <c r="H171">
        <f t="shared" si="9"/>
        <v>30</v>
      </c>
      <c r="I171">
        <f t="shared" si="10"/>
        <v>35</v>
      </c>
      <c r="J171" t="str">
        <f t="shared" si="11"/>
        <v>Нет</v>
      </c>
      <c r="K171" s="62" t="s">
        <v>1247</v>
      </c>
    </row>
    <row r="172" spans="1:11" ht="15.75" customHeight="1" x14ac:dyDescent="0.25">
      <c r="A172" s="62">
        <v>174</v>
      </c>
      <c r="B172" s="62">
        <v>25</v>
      </c>
      <c r="C172" s="62" t="s">
        <v>1277</v>
      </c>
      <c r="D172" s="62" t="s">
        <v>1257</v>
      </c>
      <c r="E172" s="62" t="s">
        <v>1248</v>
      </c>
      <c r="F172" s="62" t="s">
        <v>1254</v>
      </c>
      <c r="G172">
        <f t="shared" si="8"/>
        <v>350</v>
      </c>
      <c r="H172">
        <f t="shared" si="9"/>
        <v>30</v>
      </c>
      <c r="I172">
        <f t="shared" si="10"/>
        <v>90</v>
      </c>
      <c r="J172" t="str">
        <f t="shared" si="11"/>
        <v>Нет</v>
      </c>
      <c r="K172" s="62" t="s">
        <v>1252</v>
      </c>
    </row>
    <row r="173" spans="1:11" ht="15.75" customHeight="1" x14ac:dyDescent="0.25">
      <c r="A173" s="62">
        <v>175</v>
      </c>
      <c r="B173" s="62">
        <v>22</v>
      </c>
      <c r="C173" s="62" t="s">
        <v>1277</v>
      </c>
      <c r="D173" s="62" t="s">
        <v>1258</v>
      </c>
      <c r="E173" s="62" t="s">
        <v>1248</v>
      </c>
      <c r="F173" s="62" t="s">
        <v>1251</v>
      </c>
      <c r="G173">
        <f t="shared" si="8"/>
        <v>250</v>
      </c>
      <c r="H173">
        <f t="shared" si="9"/>
        <v>30</v>
      </c>
      <c r="I173">
        <f t="shared" si="10"/>
        <v>60</v>
      </c>
      <c r="J173" t="str">
        <f t="shared" si="11"/>
        <v>Нет</v>
      </c>
      <c r="K173" s="62" t="s">
        <v>1242</v>
      </c>
    </row>
    <row r="174" spans="1:11" ht="15.75" customHeight="1" x14ac:dyDescent="0.25">
      <c r="A174" s="62">
        <v>176</v>
      </c>
      <c r="B174" s="62">
        <v>21</v>
      </c>
      <c r="C174" s="62" t="s">
        <v>1277</v>
      </c>
      <c r="D174" s="62" t="s">
        <v>1260</v>
      </c>
      <c r="E174" s="62" t="s">
        <v>1253</v>
      </c>
      <c r="F174" s="62" t="s">
        <v>1251</v>
      </c>
      <c r="G174">
        <f t="shared" si="8"/>
        <v>250</v>
      </c>
      <c r="H174">
        <f t="shared" si="9"/>
        <v>40</v>
      </c>
      <c r="I174">
        <f t="shared" si="10"/>
        <v>121</v>
      </c>
      <c r="J174" t="str">
        <f t="shared" si="11"/>
        <v>Нет</v>
      </c>
      <c r="K174" s="62" t="s">
        <v>1246</v>
      </c>
    </row>
    <row r="175" spans="1:11" ht="15.75" customHeight="1" x14ac:dyDescent="0.25">
      <c r="A175" s="62">
        <v>177</v>
      </c>
      <c r="B175" s="62">
        <v>21</v>
      </c>
      <c r="C175" s="62" t="s">
        <v>1277</v>
      </c>
      <c r="D175" s="62" t="s">
        <v>1243</v>
      </c>
      <c r="E175" s="62" t="s">
        <v>1253</v>
      </c>
      <c r="F175" s="62" t="s">
        <v>1254</v>
      </c>
      <c r="G175">
        <f t="shared" si="8"/>
        <v>350</v>
      </c>
      <c r="H175">
        <f t="shared" si="9"/>
        <v>40</v>
      </c>
      <c r="I175">
        <f t="shared" si="10"/>
        <v>35</v>
      </c>
      <c r="J175" t="str">
        <f t="shared" si="11"/>
        <v>Да</v>
      </c>
      <c r="K175" s="62" t="s">
        <v>1246</v>
      </c>
    </row>
    <row r="176" spans="1:11" ht="15.75" customHeight="1" x14ac:dyDescent="0.25">
      <c r="A176" s="62">
        <v>178</v>
      </c>
      <c r="B176" s="62">
        <v>22</v>
      </c>
      <c r="C176" s="62" t="s">
        <v>1277</v>
      </c>
      <c r="D176" s="62" t="s">
        <v>1243</v>
      </c>
      <c r="E176" s="62" t="s">
        <v>1255</v>
      </c>
      <c r="F176" s="62" t="s">
        <v>1254</v>
      </c>
      <c r="G176">
        <f t="shared" si="8"/>
        <v>350</v>
      </c>
      <c r="H176">
        <f t="shared" si="9"/>
        <v>20</v>
      </c>
      <c r="I176">
        <f t="shared" si="10"/>
        <v>35</v>
      </c>
      <c r="J176" t="str">
        <f t="shared" si="11"/>
        <v>Нет</v>
      </c>
      <c r="K176" s="62" t="s">
        <v>1247</v>
      </c>
    </row>
    <row r="177" spans="1:11" ht="15.75" customHeight="1" x14ac:dyDescent="0.25">
      <c r="A177" s="62">
        <v>179</v>
      </c>
      <c r="B177" s="62">
        <v>21</v>
      </c>
      <c r="C177" s="62" t="s">
        <v>1277</v>
      </c>
      <c r="D177" s="62" t="s">
        <v>1243</v>
      </c>
      <c r="E177" s="62" t="s">
        <v>1253</v>
      </c>
      <c r="F177" s="62" t="s">
        <v>1254</v>
      </c>
      <c r="G177">
        <f t="shared" si="8"/>
        <v>350</v>
      </c>
      <c r="H177">
        <f t="shared" si="9"/>
        <v>40</v>
      </c>
      <c r="I177">
        <f t="shared" si="10"/>
        <v>35</v>
      </c>
      <c r="J177" t="str">
        <f t="shared" si="11"/>
        <v>Да</v>
      </c>
      <c r="K177" s="62" t="s">
        <v>1246</v>
      </c>
    </row>
    <row r="178" spans="1:11" ht="15.75" customHeight="1" x14ac:dyDescent="0.25">
      <c r="A178" s="62">
        <v>180</v>
      </c>
      <c r="B178" s="62">
        <v>25</v>
      </c>
      <c r="C178" s="62" t="s">
        <v>1277</v>
      </c>
      <c r="D178" s="62" t="s">
        <v>1243</v>
      </c>
      <c r="E178" s="62" t="s">
        <v>1244</v>
      </c>
      <c r="F178" s="62" t="s">
        <v>1254</v>
      </c>
      <c r="G178">
        <f t="shared" si="8"/>
        <v>350</v>
      </c>
      <c r="H178">
        <f t="shared" si="9"/>
        <v>10</v>
      </c>
      <c r="I178">
        <f t="shared" si="10"/>
        <v>35</v>
      </c>
      <c r="J178" t="str">
        <f t="shared" si="11"/>
        <v>Да</v>
      </c>
      <c r="K178" s="62" t="s">
        <v>1246</v>
      </c>
    </row>
    <row r="179" spans="1:11" ht="15.75" customHeight="1" x14ac:dyDescent="0.25">
      <c r="A179" s="62">
        <v>181</v>
      </c>
      <c r="B179" s="62">
        <v>21</v>
      </c>
      <c r="C179" s="62" t="s">
        <v>1277</v>
      </c>
      <c r="D179" s="62" t="s">
        <v>1258</v>
      </c>
      <c r="E179" s="62" t="s">
        <v>1244</v>
      </c>
      <c r="F179" s="62" t="s">
        <v>1249</v>
      </c>
      <c r="G179">
        <f t="shared" si="8"/>
        <v>550</v>
      </c>
      <c r="H179">
        <f t="shared" si="9"/>
        <v>10</v>
      </c>
      <c r="I179">
        <f t="shared" si="10"/>
        <v>60</v>
      </c>
      <c r="J179" t="str">
        <f t="shared" si="11"/>
        <v>Нет</v>
      </c>
      <c r="K179" s="62" t="s">
        <v>1252</v>
      </c>
    </row>
    <row r="180" spans="1:11" ht="15.75" customHeight="1" x14ac:dyDescent="0.25">
      <c r="A180" s="62">
        <v>182</v>
      </c>
      <c r="B180" s="62">
        <v>25</v>
      </c>
      <c r="C180" s="62" t="s">
        <v>1277</v>
      </c>
      <c r="D180" s="62" t="s">
        <v>1258</v>
      </c>
      <c r="E180" s="62" t="s">
        <v>1250</v>
      </c>
      <c r="F180" s="62" t="s">
        <v>1259</v>
      </c>
      <c r="G180">
        <f t="shared" si="8"/>
        <v>351</v>
      </c>
      <c r="H180">
        <f t="shared" si="9"/>
        <v>41</v>
      </c>
      <c r="I180">
        <f t="shared" si="10"/>
        <v>60</v>
      </c>
      <c r="J180" t="str">
        <f t="shared" si="11"/>
        <v>Нет</v>
      </c>
      <c r="K180" s="62" t="s">
        <v>1246</v>
      </c>
    </row>
    <row r="181" spans="1:11" ht="15.75" customHeight="1" x14ac:dyDescent="0.25">
      <c r="A181" s="62">
        <v>183</v>
      </c>
      <c r="B181" s="62">
        <v>21</v>
      </c>
      <c r="C181" s="62" t="s">
        <v>1277</v>
      </c>
      <c r="D181" s="62" t="s">
        <v>1258</v>
      </c>
      <c r="E181" s="62" t="s">
        <v>1250</v>
      </c>
      <c r="F181" s="62" t="s">
        <v>1254</v>
      </c>
      <c r="G181">
        <f t="shared" si="8"/>
        <v>350</v>
      </c>
      <c r="H181">
        <f t="shared" si="9"/>
        <v>41</v>
      </c>
      <c r="I181">
        <f t="shared" si="10"/>
        <v>60</v>
      </c>
      <c r="J181" t="str">
        <f t="shared" si="11"/>
        <v>Нет</v>
      </c>
      <c r="K181" s="62" t="s">
        <v>1246</v>
      </c>
    </row>
    <row r="182" spans="1:11" ht="15.75" customHeight="1" x14ac:dyDescent="0.25">
      <c r="A182" s="62">
        <v>184</v>
      </c>
      <c r="B182" s="62">
        <v>23</v>
      </c>
      <c r="C182" s="62" t="s">
        <v>1277</v>
      </c>
      <c r="D182" s="62" t="s">
        <v>1243</v>
      </c>
      <c r="E182" s="62" t="s">
        <v>1248</v>
      </c>
      <c r="F182" s="62" t="s">
        <v>1245</v>
      </c>
      <c r="G182">
        <f t="shared" si="8"/>
        <v>451</v>
      </c>
      <c r="H182">
        <f t="shared" si="9"/>
        <v>30</v>
      </c>
      <c r="I182">
        <f t="shared" si="10"/>
        <v>35</v>
      </c>
      <c r="J182" t="str">
        <f t="shared" si="11"/>
        <v>Да</v>
      </c>
      <c r="K182" s="62" t="s">
        <v>1246</v>
      </c>
    </row>
    <row r="183" spans="1:11" ht="15.75" customHeight="1" x14ac:dyDescent="0.25">
      <c r="A183" s="62">
        <v>185</v>
      </c>
      <c r="B183" s="62">
        <v>24</v>
      </c>
      <c r="C183" s="62" t="s">
        <v>1277</v>
      </c>
      <c r="D183" s="62" t="s">
        <v>1243</v>
      </c>
      <c r="E183" s="62" t="s">
        <v>1253</v>
      </c>
      <c r="F183" s="62" t="s">
        <v>1259</v>
      </c>
      <c r="G183">
        <f t="shared" si="8"/>
        <v>351</v>
      </c>
      <c r="H183">
        <f t="shared" si="9"/>
        <v>40</v>
      </c>
      <c r="I183">
        <f t="shared" si="10"/>
        <v>35</v>
      </c>
      <c r="J183" t="str">
        <f t="shared" si="11"/>
        <v>Нет</v>
      </c>
      <c r="K183" s="62" t="s">
        <v>1247</v>
      </c>
    </row>
    <row r="184" spans="1:11" ht="15.75" customHeight="1" x14ac:dyDescent="0.25">
      <c r="A184" s="62">
        <v>186</v>
      </c>
      <c r="B184" s="62">
        <v>22</v>
      </c>
      <c r="C184" s="62" t="s">
        <v>1277</v>
      </c>
      <c r="D184" s="62" t="s">
        <v>1243</v>
      </c>
      <c r="E184" s="62" t="s">
        <v>1253</v>
      </c>
      <c r="F184" s="62" t="s">
        <v>1254</v>
      </c>
      <c r="G184">
        <f t="shared" si="8"/>
        <v>350</v>
      </c>
      <c r="H184">
        <f t="shared" si="9"/>
        <v>40</v>
      </c>
      <c r="I184">
        <f t="shared" si="10"/>
        <v>35</v>
      </c>
      <c r="J184" t="str">
        <f t="shared" si="11"/>
        <v>Нет</v>
      </c>
      <c r="K184" s="62" t="s">
        <v>1242</v>
      </c>
    </row>
    <row r="185" spans="1:11" ht="15.75" customHeight="1" x14ac:dyDescent="0.25">
      <c r="A185" s="62">
        <v>187</v>
      </c>
      <c r="B185" s="62">
        <v>20</v>
      </c>
      <c r="C185" s="62" t="s">
        <v>1277</v>
      </c>
      <c r="D185" s="62" t="s">
        <v>1243</v>
      </c>
      <c r="E185" s="62" t="s">
        <v>1248</v>
      </c>
      <c r="F185" s="62" t="s">
        <v>1254</v>
      </c>
      <c r="G185">
        <f t="shared" si="8"/>
        <v>350</v>
      </c>
      <c r="H185">
        <f t="shared" si="9"/>
        <v>30</v>
      </c>
      <c r="I185">
        <f t="shared" si="10"/>
        <v>35</v>
      </c>
      <c r="J185" t="str">
        <f t="shared" si="11"/>
        <v>Нет</v>
      </c>
      <c r="K185" s="62" t="s">
        <v>1247</v>
      </c>
    </row>
    <row r="186" spans="1:11" ht="15.75" customHeight="1" x14ac:dyDescent="0.25">
      <c r="A186" s="62">
        <v>188</v>
      </c>
      <c r="B186" s="62">
        <v>18</v>
      </c>
      <c r="C186" s="62" t="s">
        <v>1277</v>
      </c>
      <c r="D186" s="62" t="s">
        <v>1243</v>
      </c>
      <c r="E186" s="62" t="s">
        <v>1248</v>
      </c>
      <c r="F186" s="62" t="s">
        <v>1251</v>
      </c>
      <c r="G186">
        <f t="shared" si="8"/>
        <v>250</v>
      </c>
      <c r="H186">
        <f t="shared" si="9"/>
        <v>30</v>
      </c>
      <c r="I186">
        <f t="shared" si="10"/>
        <v>35</v>
      </c>
      <c r="J186" t="str">
        <f t="shared" si="11"/>
        <v>Нет</v>
      </c>
      <c r="K186" s="62" t="s">
        <v>1247</v>
      </c>
    </row>
    <row r="187" spans="1:11" ht="15.75" customHeight="1" x14ac:dyDescent="0.25">
      <c r="A187" s="62">
        <v>189</v>
      </c>
      <c r="B187" s="62">
        <v>20</v>
      </c>
      <c r="C187" s="62" t="s">
        <v>1277</v>
      </c>
      <c r="D187" s="62" t="s">
        <v>1243</v>
      </c>
      <c r="E187" s="62" t="s">
        <v>1248</v>
      </c>
      <c r="F187" s="62" t="s">
        <v>1251</v>
      </c>
      <c r="G187">
        <f t="shared" si="8"/>
        <v>250</v>
      </c>
      <c r="H187">
        <f t="shared" si="9"/>
        <v>30</v>
      </c>
      <c r="I187">
        <f t="shared" si="10"/>
        <v>35</v>
      </c>
      <c r="J187" t="str">
        <f t="shared" si="11"/>
        <v>Нет</v>
      </c>
      <c r="K187" s="62" t="s">
        <v>1247</v>
      </c>
    </row>
    <row r="188" spans="1:11" ht="15.75" customHeight="1" x14ac:dyDescent="0.25">
      <c r="A188" s="62">
        <v>190</v>
      </c>
      <c r="B188" s="62">
        <v>22</v>
      </c>
      <c r="C188" s="62" t="s">
        <v>1277</v>
      </c>
      <c r="D188" s="62" t="s">
        <v>1243</v>
      </c>
      <c r="E188" s="62" t="s">
        <v>1255</v>
      </c>
      <c r="F188" s="62" t="s">
        <v>1251</v>
      </c>
      <c r="G188">
        <f t="shared" si="8"/>
        <v>250</v>
      </c>
      <c r="H188">
        <f t="shared" si="9"/>
        <v>20</v>
      </c>
      <c r="I188">
        <f t="shared" si="10"/>
        <v>35</v>
      </c>
      <c r="J188" t="str">
        <f t="shared" si="11"/>
        <v>Нет</v>
      </c>
      <c r="K188" s="62" t="s">
        <v>1252</v>
      </c>
    </row>
    <row r="189" spans="1:11" ht="15.75" customHeight="1" x14ac:dyDescent="0.25">
      <c r="A189" s="62">
        <v>191</v>
      </c>
      <c r="B189" s="62">
        <v>20</v>
      </c>
      <c r="C189" s="62" t="s">
        <v>1277</v>
      </c>
      <c r="D189" s="62" t="s">
        <v>1257</v>
      </c>
      <c r="E189" s="62" t="s">
        <v>1253</v>
      </c>
      <c r="F189" s="62" t="s">
        <v>1245</v>
      </c>
      <c r="G189">
        <f t="shared" si="8"/>
        <v>451</v>
      </c>
      <c r="H189">
        <f t="shared" si="9"/>
        <v>40</v>
      </c>
      <c r="I189">
        <f t="shared" si="10"/>
        <v>90</v>
      </c>
      <c r="J189" t="str">
        <f t="shared" si="11"/>
        <v>Нет</v>
      </c>
      <c r="K189" s="62" t="s">
        <v>1242</v>
      </c>
    </row>
    <row r="190" spans="1:11" ht="15.75" customHeight="1" x14ac:dyDescent="0.25">
      <c r="A190" s="62">
        <v>192</v>
      </c>
      <c r="B190" s="62">
        <v>18</v>
      </c>
      <c r="C190" s="62" t="s">
        <v>1277</v>
      </c>
      <c r="D190" s="62" t="s">
        <v>1243</v>
      </c>
      <c r="E190" s="62" t="s">
        <v>1253</v>
      </c>
      <c r="F190" s="62" t="s">
        <v>1254</v>
      </c>
      <c r="G190">
        <f t="shared" si="8"/>
        <v>350</v>
      </c>
      <c r="H190">
        <f t="shared" si="9"/>
        <v>40</v>
      </c>
      <c r="I190">
        <f t="shared" si="10"/>
        <v>35</v>
      </c>
      <c r="J190" t="str">
        <f t="shared" si="11"/>
        <v>Да</v>
      </c>
      <c r="K190" s="62" t="s">
        <v>1252</v>
      </c>
    </row>
    <row r="191" spans="1:11" ht="15.75" customHeight="1" x14ac:dyDescent="0.25">
      <c r="A191" s="62">
        <v>193</v>
      </c>
      <c r="B191" s="62">
        <v>18</v>
      </c>
      <c r="C191" s="62" t="s">
        <v>1277</v>
      </c>
      <c r="D191" s="62" t="s">
        <v>1256</v>
      </c>
      <c r="E191" s="62" t="s">
        <v>1253</v>
      </c>
      <c r="F191" s="62" t="s">
        <v>1251</v>
      </c>
      <c r="G191">
        <f t="shared" si="8"/>
        <v>250</v>
      </c>
      <c r="H191">
        <f t="shared" si="9"/>
        <v>40</v>
      </c>
      <c r="I191">
        <f t="shared" si="10"/>
        <v>120</v>
      </c>
      <c r="J191" t="str">
        <f t="shared" si="11"/>
        <v>Нет</v>
      </c>
      <c r="K191" s="62" t="s">
        <v>1246</v>
      </c>
    </row>
    <row r="192" spans="1:11" ht="15.75" customHeight="1" x14ac:dyDescent="0.25">
      <c r="A192" s="62">
        <v>194</v>
      </c>
      <c r="B192" s="62">
        <v>19</v>
      </c>
      <c r="C192" s="62" t="s">
        <v>1277</v>
      </c>
      <c r="D192" s="62" t="s">
        <v>1260</v>
      </c>
      <c r="E192" s="62" t="s">
        <v>1255</v>
      </c>
      <c r="F192" s="62" t="s">
        <v>1259</v>
      </c>
      <c r="G192">
        <f t="shared" si="8"/>
        <v>351</v>
      </c>
      <c r="H192">
        <f t="shared" si="9"/>
        <v>20</v>
      </c>
      <c r="I192">
        <f t="shared" si="10"/>
        <v>121</v>
      </c>
      <c r="J192" t="str">
        <f t="shared" si="11"/>
        <v>Нет</v>
      </c>
      <c r="K192" s="62" t="s">
        <v>1242</v>
      </c>
    </row>
    <row r="193" spans="1:11" ht="15.75" customHeight="1" x14ac:dyDescent="0.25">
      <c r="A193" s="62">
        <v>195</v>
      </c>
      <c r="B193" s="62">
        <v>20</v>
      </c>
      <c r="C193" s="62" t="s">
        <v>1277</v>
      </c>
      <c r="D193" s="62" t="s">
        <v>1257</v>
      </c>
      <c r="E193" s="62" t="s">
        <v>1248</v>
      </c>
      <c r="F193" s="62" t="s">
        <v>1259</v>
      </c>
      <c r="G193">
        <f t="shared" si="8"/>
        <v>351</v>
      </c>
      <c r="H193">
        <f t="shared" si="9"/>
        <v>30</v>
      </c>
      <c r="I193">
        <f t="shared" si="10"/>
        <v>90</v>
      </c>
      <c r="J193" t="str">
        <f t="shared" si="11"/>
        <v>Нет</v>
      </c>
      <c r="K193" s="62" t="s">
        <v>1252</v>
      </c>
    </row>
    <row r="194" spans="1:11" ht="15.75" customHeight="1" x14ac:dyDescent="0.25">
      <c r="A194" s="62">
        <v>196</v>
      </c>
      <c r="B194" s="62">
        <v>24</v>
      </c>
      <c r="C194" s="62" t="s">
        <v>1277</v>
      </c>
      <c r="D194" s="62" t="s">
        <v>1243</v>
      </c>
      <c r="E194" s="62" t="s">
        <v>1248</v>
      </c>
      <c r="F194" s="62" t="s">
        <v>1254</v>
      </c>
      <c r="G194">
        <f t="shared" si="8"/>
        <v>350</v>
      </c>
      <c r="H194">
        <f t="shared" si="9"/>
        <v>30</v>
      </c>
      <c r="I194">
        <f t="shared" si="10"/>
        <v>35</v>
      </c>
      <c r="J194" t="str">
        <f t="shared" si="11"/>
        <v>Нет</v>
      </c>
      <c r="K194" s="62" t="s">
        <v>1247</v>
      </c>
    </row>
    <row r="195" spans="1:11" ht="15.75" customHeight="1" x14ac:dyDescent="0.25">
      <c r="A195" s="62">
        <v>197</v>
      </c>
      <c r="B195" s="62">
        <v>21</v>
      </c>
      <c r="C195" s="62" t="s">
        <v>1277</v>
      </c>
      <c r="D195" s="62" t="s">
        <v>1257</v>
      </c>
      <c r="E195" s="62" t="s">
        <v>1253</v>
      </c>
      <c r="F195" s="62" t="s">
        <v>1259</v>
      </c>
      <c r="G195">
        <f t="shared" si="8"/>
        <v>351</v>
      </c>
      <c r="H195">
        <f t="shared" si="9"/>
        <v>40</v>
      </c>
      <c r="I195">
        <f t="shared" si="10"/>
        <v>90</v>
      </c>
      <c r="J195" t="str">
        <f t="shared" si="11"/>
        <v>Нет</v>
      </c>
      <c r="K195" s="62" t="s">
        <v>1242</v>
      </c>
    </row>
    <row r="196" spans="1:11" ht="15.75" customHeight="1" x14ac:dyDescent="0.25">
      <c r="A196" s="62">
        <v>198</v>
      </c>
      <c r="B196" s="62">
        <v>24</v>
      </c>
      <c r="C196" s="62" t="s">
        <v>1277</v>
      </c>
      <c r="D196" s="62" t="s">
        <v>1243</v>
      </c>
      <c r="E196" s="62" t="s">
        <v>1253</v>
      </c>
      <c r="F196" s="62" t="s">
        <v>1254</v>
      </c>
      <c r="G196">
        <f t="shared" ref="G196:G259" si="12">IF(F196="550+ рублей",550,IF(F196="451-550",451,IF(F196="351-450",351,IF(F196="250-350",350,250))))</f>
        <v>350</v>
      </c>
      <c r="H196">
        <f t="shared" ref="H196:H259" si="13">IF(E196="&lt;10 Гб",10,IF(E196="10-20 Гб",20,IF(E196="21-30 Гб",30,IF(E196="31-40 Гб",40,41))))</f>
        <v>40</v>
      </c>
      <c r="I196">
        <f t="shared" ref="I196:I259" si="14">IF(D196="&lt;35",35,IF(D196="35-60",60,IF(D196="61-90",90,IF(D196="91-120",120,121))))</f>
        <v>35</v>
      </c>
      <c r="J196" t="str">
        <f t="shared" ref="J196:J259" si="15">IF(AND(G196&gt;330,I196&lt;36,H196&lt;41,OR(K196="Скорее не удовлетворен",K196="Абсолютно не уловлетворен",K196="Затрудняюсь ответить")),"Да","Нет")</f>
        <v>Да</v>
      </c>
      <c r="K196" s="62" t="s">
        <v>1246</v>
      </c>
    </row>
    <row r="197" spans="1:11" ht="15.75" customHeight="1" x14ac:dyDescent="0.25">
      <c r="A197" s="62">
        <v>199</v>
      </c>
      <c r="B197" s="62">
        <v>21</v>
      </c>
      <c r="C197" s="62" t="s">
        <v>1277</v>
      </c>
      <c r="D197" s="62" t="s">
        <v>1258</v>
      </c>
      <c r="E197" s="62" t="s">
        <v>1255</v>
      </c>
      <c r="F197" s="62" t="s">
        <v>1249</v>
      </c>
      <c r="G197">
        <f t="shared" si="12"/>
        <v>550</v>
      </c>
      <c r="H197">
        <f t="shared" si="13"/>
        <v>20</v>
      </c>
      <c r="I197">
        <f t="shared" si="14"/>
        <v>60</v>
      </c>
      <c r="J197" t="str">
        <f t="shared" si="15"/>
        <v>Нет</v>
      </c>
      <c r="K197" s="62" t="s">
        <v>1246</v>
      </c>
    </row>
    <row r="198" spans="1:11" ht="15.75" customHeight="1" x14ac:dyDescent="0.25">
      <c r="A198" s="62">
        <v>200</v>
      </c>
      <c r="B198" s="62">
        <v>25</v>
      </c>
      <c r="C198" s="62" t="s">
        <v>1277</v>
      </c>
      <c r="D198" s="62" t="s">
        <v>1260</v>
      </c>
      <c r="E198" s="62" t="s">
        <v>1250</v>
      </c>
      <c r="F198" s="62" t="s">
        <v>1254</v>
      </c>
      <c r="G198">
        <f t="shared" si="12"/>
        <v>350</v>
      </c>
      <c r="H198">
        <f t="shared" si="13"/>
        <v>41</v>
      </c>
      <c r="I198">
        <f t="shared" si="14"/>
        <v>121</v>
      </c>
      <c r="J198" t="str">
        <f t="shared" si="15"/>
        <v>Нет</v>
      </c>
      <c r="K198" s="62" t="s">
        <v>1242</v>
      </c>
    </row>
    <row r="199" spans="1:11" ht="15.75" customHeight="1" x14ac:dyDescent="0.25">
      <c r="A199" s="62">
        <v>201</v>
      </c>
      <c r="B199" s="62">
        <v>25</v>
      </c>
      <c r="C199" s="62" t="s">
        <v>1277</v>
      </c>
      <c r="D199" s="62" t="s">
        <v>1257</v>
      </c>
      <c r="E199" s="62" t="s">
        <v>1248</v>
      </c>
      <c r="F199" s="62" t="s">
        <v>1259</v>
      </c>
      <c r="G199">
        <f t="shared" si="12"/>
        <v>351</v>
      </c>
      <c r="H199">
        <f t="shared" si="13"/>
        <v>30</v>
      </c>
      <c r="I199">
        <f t="shared" si="14"/>
        <v>90</v>
      </c>
      <c r="J199" t="str">
        <f t="shared" si="15"/>
        <v>Нет</v>
      </c>
      <c r="K199" s="62" t="s">
        <v>1242</v>
      </c>
    </row>
    <row r="200" spans="1:11" ht="15.75" customHeight="1" x14ac:dyDescent="0.25">
      <c r="A200" s="62">
        <v>202</v>
      </c>
      <c r="B200" s="62">
        <v>21</v>
      </c>
      <c r="C200" s="62" t="s">
        <v>1277</v>
      </c>
      <c r="D200" s="62" t="s">
        <v>1243</v>
      </c>
      <c r="E200" s="62" t="s">
        <v>1250</v>
      </c>
      <c r="F200" s="62" t="s">
        <v>1259</v>
      </c>
      <c r="G200">
        <f t="shared" si="12"/>
        <v>351</v>
      </c>
      <c r="H200">
        <f t="shared" si="13"/>
        <v>41</v>
      </c>
      <c r="I200">
        <f t="shared" si="14"/>
        <v>35</v>
      </c>
      <c r="J200" t="str">
        <f t="shared" si="15"/>
        <v>Нет</v>
      </c>
      <c r="K200" s="62" t="s">
        <v>1252</v>
      </c>
    </row>
    <row r="201" spans="1:11" ht="15.75" customHeight="1" x14ac:dyDescent="0.25">
      <c r="A201" s="62">
        <v>203</v>
      </c>
      <c r="B201" s="62">
        <v>24</v>
      </c>
      <c r="C201" s="62" t="s">
        <v>1277</v>
      </c>
      <c r="D201" s="62" t="s">
        <v>1243</v>
      </c>
      <c r="E201" s="62" t="s">
        <v>1244</v>
      </c>
      <c r="F201" s="62" t="s">
        <v>1254</v>
      </c>
      <c r="G201">
        <f t="shared" si="12"/>
        <v>350</v>
      </c>
      <c r="H201">
        <f t="shared" si="13"/>
        <v>10</v>
      </c>
      <c r="I201">
        <f t="shared" si="14"/>
        <v>35</v>
      </c>
      <c r="J201" t="str">
        <f t="shared" si="15"/>
        <v>Нет</v>
      </c>
      <c r="K201" s="62" t="s">
        <v>1247</v>
      </c>
    </row>
    <row r="202" spans="1:11" ht="15.75" customHeight="1" x14ac:dyDescent="0.25">
      <c r="A202" s="62">
        <v>204</v>
      </c>
      <c r="B202" s="62">
        <v>18</v>
      </c>
      <c r="C202" s="62" t="s">
        <v>1277</v>
      </c>
      <c r="D202" s="62" t="s">
        <v>1243</v>
      </c>
      <c r="E202" s="62" t="s">
        <v>1253</v>
      </c>
      <c r="F202" s="62" t="s">
        <v>1245</v>
      </c>
      <c r="G202">
        <f t="shared" si="12"/>
        <v>451</v>
      </c>
      <c r="H202">
        <f t="shared" si="13"/>
        <v>40</v>
      </c>
      <c r="I202">
        <f t="shared" si="14"/>
        <v>35</v>
      </c>
      <c r="J202" t="str">
        <f t="shared" si="15"/>
        <v>Да</v>
      </c>
      <c r="K202" s="62" t="s">
        <v>1246</v>
      </c>
    </row>
    <row r="203" spans="1:11" ht="15.75" customHeight="1" x14ac:dyDescent="0.25">
      <c r="A203" s="62">
        <v>205</v>
      </c>
      <c r="B203" s="62">
        <v>20</v>
      </c>
      <c r="C203" s="62" t="s">
        <v>1277</v>
      </c>
      <c r="D203" s="62" t="s">
        <v>1243</v>
      </c>
      <c r="E203" s="62" t="s">
        <v>1253</v>
      </c>
      <c r="F203" s="62" t="s">
        <v>1254</v>
      </c>
      <c r="G203">
        <f t="shared" si="12"/>
        <v>350</v>
      </c>
      <c r="H203">
        <f t="shared" si="13"/>
        <v>40</v>
      </c>
      <c r="I203">
        <f t="shared" si="14"/>
        <v>35</v>
      </c>
      <c r="J203" t="str">
        <f t="shared" si="15"/>
        <v>Нет</v>
      </c>
      <c r="K203" s="62" t="s">
        <v>1247</v>
      </c>
    </row>
    <row r="204" spans="1:11" ht="15.75" customHeight="1" x14ac:dyDescent="0.25">
      <c r="A204" s="62">
        <v>206</v>
      </c>
      <c r="B204" s="62">
        <v>25</v>
      </c>
      <c r="C204" s="62" t="s">
        <v>1277</v>
      </c>
      <c r="D204" s="62" t="s">
        <v>1256</v>
      </c>
      <c r="E204" s="62" t="s">
        <v>1244</v>
      </c>
      <c r="F204" s="62" t="s">
        <v>1245</v>
      </c>
      <c r="G204">
        <f t="shared" si="12"/>
        <v>451</v>
      </c>
      <c r="H204">
        <f t="shared" si="13"/>
        <v>10</v>
      </c>
      <c r="I204">
        <f t="shared" si="14"/>
        <v>120</v>
      </c>
      <c r="J204" t="str">
        <f t="shared" si="15"/>
        <v>Нет</v>
      </c>
      <c r="K204" s="62" t="s">
        <v>1246</v>
      </c>
    </row>
    <row r="205" spans="1:11" ht="15.75" customHeight="1" x14ac:dyDescent="0.25">
      <c r="A205" s="62">
        <v>207</v>
      </c>
      <c r="B205" s="62">
        <v>20</v>
      </c>
      <c r="C205" s="62" t="s">
        <v>1277</v>
      </c>
      <c r="D205" s="62" t="s">
        <v>1256</v>
      </c>
      <c r="E205" s="62" t="s">
        <v>1244</v>
      </c>
      <c r="F205" s="62" t="s">
        <v>1245</v>
      </c>
      <c r="G205">
        <f t="shared" si="12"/>
        <v>451</v>
      </c>
      <c r="H205">
        <f t="shared" si="13"/>
        <v>10</v>
      </c>
      <c r="I205">
        <f t="shared" si="14"/>
        <v>120</v>
      </c>
      <c r="J205" t="str">
        <f t="shared" si="15"/>
        <v>Нет</v>
      </c>
      <c r="K205" s="62" t="s">
        <v>1252</v>
      </c>
    </row>
    <row r="206" spans="1:11" ht="15.75" customHeight="1" x14ac:dyDescent="0.25">
      <c r="A206" s="62">
        <v>208</v>
      </c>
      <c r="B206" s="62">
        <v>21</v>
      </c>
      <c r="C206" s="62" t="s">
        <v>1277</v>
      </c>
      <c r="D206" s="62" t="s">
        <v>1257</v>
      </c>
      <c r="E206" s="62" t="s">
        <v>1248</v>
      </c>
      <c r="F206" s="62" t="s">
        <v>1249</v>
      </c>
      <c r="G206">
        <f t="shared" si="12"/>
        <v>550</v>
      </c>
      <c r="H206">
        <f t="shared" si="13"/>
        <v>30</v>
      </c>
      <c r="I206">
        <f t="shared" si="14"/>
        <v>90</v>
      </c>
      <c r="J206" t="str">
        <f t="shared" si="15"/>
        <v>Нет</v>
      </c>
      <c r="K206" s="62" t="s">
        <v>1247</v>
      </c>
    </row>
    <row r="207" spans="1:11" ht="15.75" customHeight="1" x14ac:dyDescent="0.25">
      <c r="A207" s="62">
        <v>209</v>
      </c>
      <c r="B207" s="62">
        <v>23</v>
      </c>
      <c r="C207" s="62" t="s">
        <v>1277</v>
      </c>
      <c r="D207" s="62" t="s">
        <v>1260</v>
      </c>
      <c r="E207" s="62" t="s">
        <v>1248</v>
      </c>
      <c r="F207" s="62" t="s">
        <v>1251</v>
      </c>
      <c r="G207">
        <f t="shared" si="12"/>
        <v>250</v>
      </c>
      <c r="H207">
        <f t="shared" si="13"/>
        <v>30</v>
      </c>
      <c r="I207">
        <f t="shared" si="14"/>
        <v>121</v>
      </c>
      <c r="J207" t="str">
        <f t="shared" si="15"/>
        <v>Нет</v>
      </c>
      <c r="K207" s="62" t="s">
        <v>1247</v>
      </c>
    </row>
    <row r="208" spans="1:11" ht="15.75" customHeight="1" x14ac:dyDescent="0.25">
      <c r="A208" s="62">
        <v>210</v>
      </c>
      <c r="B208" s="62">
        <v>24</v>
      </c>
      <c r="C208" s="62" t="s">
        <v>1277</v>
      </c>
      <c r="D208" s="62" t="s">
        <v>1243</v>
      </c>
      <c r="E208" s="62" t="s">
        <v>1253</v>
      </c>
      <c r="F208" s="62" t="s">
        <v>1251</v>
      </c>
      <c r="G208">
        <f t="shared" si="12"/>
        <v>250</v>
      </c>
      <c r="H208">
        <f t="shared" si="13"/>
        <v>40</v>
      </c>
      <c r="I208">
        <f t="shared" si="14"/>
        <v>35</v>
      </c>
      <c r="J208" t="str">
        <f t="shared" si="15"/>
        <v>Нет</v>
      </c>
      <c r="K208" s="62" t="s">
        <v>1247</v>
      </c>
    </row>
    <row r="209" spans="1:11" ht="15.75" customHeight="1" x14ac:dyDescent="0.25">
      <c r="A209" s="62">
        <v>211</v>
      </c>
      <c r="B209" s="62">
        <v>24</v>
      </c>
      <c r="C209" s="62" t="s">
        <v>1277</v>
      </c>
      <c r="D209" s="62" t="s">
        <v>1243</v>
      </c>
      <c r="E209" s="62" t="s">
        <v>1255</v>
      </c>
      <c r="F209" s="62" t="s">
        <v>1254</v>
      </c>
      <c r="G209">
        <f t="shared" si="12"/>
        <v>350</v>
      </c>
      <c r="H209">
        <f t="shared" si="13"/>
        <v>20</v>
      </c>
      <c r="I209">
        <f t="shared" si="14"/>
        <v>35</v>
      </c>
      <c r="J209" t="str">
        <f t="shared" si="15"/>
        <v>Да</v>
      </c>
      <c r="K209" s="62" t="s">
        <v>1246</v>
      </c>
    </row>
    <row r="210" spans="1:11" ht="15.75" customHeight="1" x14ac:dyDescent="0.25">
      <c r="A210" s="62">
        <v>212</v>
      </c>
      <c r="B210" s="62">
        <v>20</v>
      </c>
      <c r="C210" s="62" t="s">
        <v>1277</v>
      </c>
      <c r="D210" s="62" t="s">
        <v>1243</v>
      </c>
      <c r="E210" s="62" t="s">
        <v>1248</v>
      </c>
      <c r="F210" s="62" t="s">
        <v>1259</v>
      </c>
      <c r="G210">
        <f t="shared" si="12"/>
        <v>351</v>
      </c>
      <c r="H210">
        <f t="shared" si="13"/>
        <v>30</v>
      </c>
      <c r="I210">
        <f t="shared" si="14"/>
        <v>35</v>
      </c>
      <c r="J210" t="str">
        <f t="shared" si="15"/>
        <v>Да</v>
      </c>
      <c r="K210" s="62" t="s">
        <v>1246</v>
      </c>
    </row>
    <row r="211" spans="1:11" ht="15.75" customHeight="1" x14ac:dyDescent="0.25">
      <c r="A211" s="62">
        <v>213</v>
      </c>
      <c r="B211" s="62">
        <v>21</v>
      </c>
      <c r="C211" s="62" t="s">
        <v>1277</v>
      </c>
      <c r="D211" s="62" t="s">
        <v>1243</v>
      </c>
      <c r="E211" s="62" t="s">
        <v>1253</v>
      </c>
      <c r="F211" s="62" t="s">
        <v>1251</v>
      </c>
      <c r="G211">
        <f t="shared" si="12"/>
        <v>250</v>
      </c>
      <c r="H211">
        <f t="shared" si="13"/>
        <v>40</v>
      </c>
      <c r="I211">
        <f t="shared" si="14"/>
        <v>35</v>
      </c>
      <c r="J211" t="str">
        <f t="shared" si="15"/>
        <v>Нет</v>
      </c>
      <c r="K211" s="62" t="s">
        <v>1247</v>
      </c>
    </row>
    <row r="212" spans="1:11" ht="15.75" customHeight="1" x14ac:dyDescent="0.25">
      <c r="A212" s="62">
        <v>214</v>
      </c>
      <c r="B212" s="62">
        <v>19</v>
      </c>
      <c r="C212" s="62" t="s">
        <v>1277</v>
      </c>
      <c r="D212" s="62" t="s">
        <v>1243</v>
      </c>
      <c r="E212" s="62" t="s">
        <v>1253</v>
      </c>
      <c r="F212" s="62" t="s">
        <v>1254</v>
      </c>
      <c r="G212">
        <f t="shared" si="12"/>
        <v>350</v>
      </c>
      <c r="H212">
        <f t="shared" si="13"/>
        <v>40</v>
      </c>
      <c r="I212">
        <f t="shared" si="14"/>
        <v>35</v>
      </c>
      <c r="J212" t="str">
        <f t="shared" si="15"/>
        <v>Нет</v>
      </c>
      <c r="K212" s="62" t="s">
        <v>1261</v>
      </c>
    </row>
    <row r="213" spans="1:11" ht="15.75" customHeight="1" x14ac:dyDescent="0.25">
      <c r="A213" s="62">
        <v>215</v>
      </c>
      <c r="B213" s="62">
        <v>20</v>
      </c>
      <c r="C213" s="62" t="s">
        <v>1277</v>
      </c>
      <c r="D213" s="62" t="s">
        <v>1243</v>
      </c>
      <c r="E213" s="62" t="s">
        <v>1248</v>
      </c>
      <c r="F213" s="62" t="s">
        <v>1254</v>
      </c>
      <c r="G213">
        <f t="shared" si="12"/>
        <v>350</v>
      </c>
      <c r="H213">
        <f t="shared" si="13"/>
        <v>30</v>
      </c>
      <c r="I213">
        <f t="shared" si="14"/>
        <v>35</v>
      </c>
      <c r="J213" t="str">
        <f t="shared" si="15"/>
        <v>Нет</v>
      </c>
      <c r="K213" s="62" t="s">
        <v>1247</v>
      </c>
    </row>
    <row r="214" spans="1:11" ht="15.75" customHeight="1" x14ac:dyDescent="0.25">
      <c r="A214" s="62">
        <v>216</v>
      </c>
      <c r="B214" s="62">
        <v>21</v>
      </c>
      <c r="C214" s="62" t="s">
        <v>1277</v>
      </c>
      <c r="D214" s="62" t="s">
        <v>1243</v>
      </c>
      <c r="E214" s="62" t="s">
        <v>1253</v>
      </c>
      <c r="F214" s="62" t="s">
        <v>1249</v>
      </c>
      <c r="G214">
        <f t="shared" si="12"/>
        <v>550</v>
      </c>
      <c r="H214">
        <f t="shared" si="13"/>
        <v>40</v>
      </c>
      <c r="I214">
        <f t="shared" si="14"/>
        <v>35</v>
      </c>
      <c r="J214" t="str">
        <f t="shared" si="15"/>
        <v>Да</v>
      </c>
      <c r="K214" s="62" t="s">
        <v>1252</v>
      </c>
    </row>
    <row r="215" spans="1:11" ht="15.75" customHeight="1" x14ac:dyDescent="0.25">
      <c r="A215" s="62">
        <v>217</v>
      </c>
      <c r="B215" s="62">
        <v>19</v>
      </c>
      <c r="C215" s="62" t="s">
        <v>1277</v>
      </c>
      <c r="D215" s="62" t="s">
        <v>1257</v>
      </c>
      <c r="E215" s="62" t="s">
        <v>1255</v>
      </c>
      <c r="F215" s="62" t="s">
        <v>1251</v>
      </c>
      <c r="G215">
        <f t="shared" si="12"/>
        <v>250</v>
      </c>
      <c r="H215">
        <f t="shared" si="13"/>
        <v>20</v>
      </c>
      <c r="I215">
        <f t="shared" si="14"/>
        <v>90</v>
      </c>
      <c r="J215" t="str">
        <f t="shared" si="15"/>
        <v>Нет</v>
      </c>
      <c r="K215" s="62" t="s">
        <v>1247</v>
      </c>
    </row>
    <row r="216" spans="1:11" ht="15.75" customHeight="1" x14ac:dyDescent="0.25">
      <c r="A216" s="62">
        <v>218</v>
      </c>
      <c r="B216" s="62">
        <v>21</v>
      </c>
      <c r="C216" s="62" t="s">
        <v>1277</v>
      </c>
      <c r="D216" s="62" t="s">
        <v>1256</v>
      </c>
      <c r="E216" s="62" t="s">
        <v>1250</v>
      </c>
      <c r="F216" s="62" t="s">
        <v>1254</v>
      </c>
      <c r="G216">
        <f t="shared" si="12"/>
        <v>350</v>
      </c>
      <c r="H216">
        <f t="shared" si="13"/>
        <v>41</v>
      </c>
      <c r="I216">
        <f t="shared" si="14"/>
        <v>120</v>
      </c>
      <c r="J216" t="str">
        <f t="shared" si="15"/>
        <v>Нет</v>
      </c>
      <c r="K216" s="62" t="s">
        <v>1252</v>
      </c>
    </row>
    <row r="217" spans="1:11" ht="15.75" customHeight="1" x14ac:dyDescent="0.25">
      <c r="A217" s="62">
        <v>219</v>
      </c>
      <c r="B217" s="62">
        <v>24</v>
      </c>
      <c r="C217" s="62" t="s">
        <v>1277</v>
      </c>
      <c r="D217" s="62" t="s">
        <v>1243</v>
      </c>
      <c r="E217" s="62" t="s">
        <v>1253</v>
      </c>
      <c r="F217" s="62" t="s">
        <v>1254</v>
      </c>
      <c r="G217">
        <f t="shared" si="12"/>
        <v>350</v>
      </c>
      <c r="H217">
        <f t="shared" si="13"/>
        <v>40</v>
      </c>
      <c r="I217">
        <f t="shared" si="14"/>
        <v>35</v>
      </c>
      <c r="J217" t="str">
        <f t="shared" si="15"/>
        <v>Нет</v>
      </c>
      <c r="K217" s="62" t="s">
        <v>1247</v>
      </c>
    </row>
    <row r="218" spans="1:11" ht="15.75" customHeight="1" x14ac:dyDescent="0.25">
      <c r="A218" s="62">
        <v>221</v>
      </c>
      <c r="B218" s="62">
        <v>21</v>
      </c>
      <c r="C218" s="62" t="s">
        <v>1277</v>
      </c>
      <c r="D218" s="62" t="s">
        <v>1258</v>
      </c>
      <c r="E218" s="62" t="s">
        <v>1250</v>
      </c>
      <c r="F218" s="62" t="s">
        <v>1249</v>
      </c>
      <c r="G218">
        <f t="shared" si="12"/>
        <v>550</v>
      </c>
      <c r="H218">
        <f t="shared" si="13"/>
        <v>41</v>
      </c>
      <c r="I218">
        <f t="shared" si="14"/>
        <v>60</v>
      </c>
      <c r="J218" t="str">
        <f t="shared" si="15"/>
        <v>Нет</v>
      </c>
      <c r="K218" s="62" t="s">
        <v>1246</v>
      </c>
    </row>
    <row r="219" spans="1:11" ht="15.75" customHeight="1" x14ac:dyDescent="0.25">
      <c r="A219" s="62">
        <v>222</v>
      </c>
      <c r="B219" s="62">
        <v>21</v>
      </c>
      <c r="C219" s="62" t="s">
        <v>1277</v>
      </c>
      <c r="D219" s="62" t="s">
        <v>1260</v>
      </c>
      <c r="E219" s="62" t="s">
        <v>1250</v>
      </c>
      <c r="F219" s="62" t="s">
        <v>1251</v>
      </c>
      <c r="G219">
        <f t="shared" si="12"/>
        <v>250</v>
      </c>
      <c r="H219">
        <f t="shared" si="13"/>
        <v>41</v>
      </c>
      <c r="I219">
        <f t="shared" si="14"/>
        <v>121</v>
      </c>
      <c r="J219" t="str">
        <f t="shared" si="15"/>
        <v>Нет</v>
      </c>
      <c r="K219" s="62" t="s">
        <v>1252</v>
      </c>
    </row>
    <row r="220" spans="1:11" ht="15.75" customHeight="1" x14ac:dyDescent="0.25">
      <c r="A220" s="62">
        <v>223</v>
      </c>
      <c r="B220" s="62">
        <v>21</v>
      </c>
      <c r="C220" s="62" t="s">
        <v>1277</v>
      </c>
      <c r="D220" s="62" t="s">
        <v>1256</v>
      </c>
      <c r="E220" s="62" t="s">
        <v>1248</v>
      </c>
      <c r="F220" s="62" t="s">
        <v>1259</v>
      </c>
      <c r="G220">
        <f t="shared" si="12"/>
        <v>351</v>
      </c>
      <c r="H220">
        <f t="shared" si="13"/>
        <v>30</v>
      </c>
      <c r="I220">
        <f t="shared" si="14"/>
        <v>120</v>
      </c>
      <c r="J220" t="str">
        <f t="shared" si="15"/>
        <v>Нет</v>
      </c>
      <c r="K220" s="62" t="s">
        <v>1247</v>
      </c>
    </row>
    <row r="221" spans="1:11" ht="15.75" customHeight="1" x14ac:dyDescent="0.25">
      <c r="A221" s="62">
        <v>224</v>
      </c>
      <c r="B221" s="62">
        <v>23</v>
      </c>
      <c r="C221" s="62" t="s">
        <v>1277</v>
      </c>
      <c r="D221" s="62" t="s">
        <v>1243</v>
      </c>
      <c r="E221" s="62" t="s">
        <v>1253</v>
      </c>
      <c r="F221" s="62" t="s">
        <v>1251</v>
      </c>
      <c r="G221">
        <f t="shared" si="12"/>
        <v>250</v>
      </c>
      <c r="H221">
        <f t="shared" si="13"/>
        <v>40</v>
      </c>
      <c r="I221">
        <f t="shared" si="14"/>
        <v>35</v>
      </c>
      <c r="J221" t="str">
        <f t="shared" si="15"/>
        <v>Нет</v>
      </c>
      <c r="K221" s="62" t="s">
        <v>1246</v>
      </c>
    </row>
    <row r="222" spans="1:11" ht="15.75" customHeight="1" x14ac:dyDescent="0.25">
      <c r="A222" s="62">
        <v>225</v>
      </c>
      <c r="B222" s="62">
        <v>25</v>
      </c>
      <c r="C222" s="62" t="s">
        <v>1277</v>
      </c>
      <c r="D222" s="62" t="s">
        <v>1257</v>
      </c>
      <c r="E222" s="62" t="s">
        <v>1255</v>
      </c>
      <c r="F222" s="62" t="s">
        <v>1259</v>
      </c>
      <c r="G222">
        <f t="shared" si="12"/>
        <v>351</v>
      </c>
      <c r="H222">
        <f t="shared" si="13"/>
        <v>20</v>
      </c>
      <c r="I222">
        <f t="shared" si="14"/>
        <v>90</v>
      </c>
      <c r="J222" t="str">
        <f t="shared" si="15"/>
        <v>Нет</v>
      </c>
      <c r="K222" s="62" t="s">
        <v>1247</v>
      </c>
    </row>
    <row r="223" spans="1:11" ht="15.75" customHeight="1" x14ac:dyDescent="0.25">
      <c r="A223" s="62">
        <v>226</v>
      </c>
      <c r="B223" s="62">
        <v>21</v>
      </c>
      <c r="C223" s="62" t="s">
        <v>1277</v>
      </c>
      <c r="D223" s="62" t="s">
        <v>1243</v>
      </c>
      <c r="E223" s="62" t="s">
        <v>1244</v>
      </c>
      <c r="F223" s="62" t="s">
        <v>1259</v>
      </c>
      <c r="G223">
        <f t="shared" si="12"/>
        <v>351</v>
      </c>
      <c r="H223">
        <f t="shared" si="13"/>
        <v>10</v>
      </c>
      <c r="I223">
        <f t="shared" si="14"/>
        <v>35</v>
      </c>
      <c r="J223" t="str">
        <f t="shared" si="15"/>
        <v>Нет</v>
      </c>
      <c r="K223" s="62" t="s">
        <v>1247</v>
      </c>
    </row>
    <row r="224" spans="1:11" ht="15.75" customHeight="1" x14ac:dyDescent="0.25">
      <c r="A224" s="62">
        <v>227</v>
      </c>
      <c r="B224" s="62">
        <v>21</v>
      </c>
      <c r="C224" s="62" t="s">
        <v>1277</v>
      </c>
      <c r="D224" s="62" t="s">
        <v>1243</v>
      </c>
      <c r="E224" s="62" t="s">
        <v>1244</v>
      </c>
      <c r="F224" s="62" t="s">
        <v>1259</v>
      </c>
      <c r="G224">
        <f t="shared" si="12"/>
        <v>351</v>
      </c>
      <c r="H224">
        <f t="shared" si="13"/>
        <v>10</v>
      </c>
      <c r="I224">
        <f t="shared" si="14"/>
        <v>35</v>
      </c>
      <c r="J224" t="str">
        <f t="shared" si="15"/>
        <v>Нет</v>
      </c>
      <c r="K224" s="62" t="s">
        <v>1247</v>
      </c>
    </row>
    <row r="225" spans="1:11" ht="15.75" customHeight="1" x14ac:dyDescent="0.25">
      <c r="A225" s="62">
        <v>228</v>
      </c>
      <c r="B225" s="62">
        <v>19</v>
      </c>
      <c r="C225" s="62" t="s">
        <v>1277</v>
      </c>
      <c r="D225" s="62" t="s">
        <v>1243</v>
      </c>
      <c r="E225" s="62" t="s">
        <v>1255</v>
      </c>
      <c r="F225" s="62" t="s">
        <v>1249</v>
      </c>
      <c r="G225">
        <f t="shared" si="12"/>
        <v>550</v>
      </c>
      <c r="H225">
        <f t="shared" si="13"/>
        <v>20</v>
      </c>
      <c r="I225">
        <f t="shared" si="14"/>
        <v>35</v>
      </c>
      <c r="J225" t="str">
        <f t="shared" si="15"/>
        <v>Да</v>
      </c>
      <c r="K225" s="62" t="s">
        <v>1252</v>
      </c>
    </row>
    <row r="226" spans="1:11" ht="15.75" customHeight="1" x14ac:dyDescent="0.25">
      <c r="A226" s="62">
        <v>229</v>
      </c>
      <c r="B226" s="62">
        <v>18</v>
      </c>
      <c r="C226" s="62" t="s">
        <v>1277</v>
      </c>
      <c r="D226" s="62" t="s">
        <v>1258</v>
      </c>
      <c r="E226" s="62" t="s">
        <v>1250</v>
      </c>
      <c r="F226" s="62" t="s">
        <v>1249</v>
      </c>
      <c r="G226">
        <f t="shared" si="12"/>
        <v>550</v>
      </c>
      <c r="H226">
        <f t="shared" si="13"/>
        <v>41</v>
      </c>
      <c r="I226">
        <f t="shared" si="14"/>
        <v>60</v>
      </c>
      <c r="J226" t="str">
        <f t="shared" si="15"/>
        <v>Нет</v>
      </c>
      <c r="K226" s="62" t="s">
        <v>1246</v>
      </c>
    </row>
    <row r="227" spans="1:11" ht="15.75" customHeight="1" x14ac:dyDescent="0.25">
      <c r="A227" s="62">
        <v>230</v>
      </c>
      <c r="B227" s="62">
        <v>19</v>
      </c>
      <c r="C227" s="62" t="s">
        <v>1277</v>
      </c>
      <c r="D227" s="62" t="s">
        <v>1256</v>
      </c>
      <c r="E227" s="62" t="s">
        <v>1248</v>
      </c>
      <c r="F227" s="62" t="s">
        <v>1254</v>
      </c>
      <c r="G227">
        <f t="shared" si="12"/>
        <v>350</v>
      </c>
      <c r="H227">
        <f t="shared" si="13"/>
        <v>30</v>
      </c>
      <c r="I227">
        <f t="shared" si="14"/>
        <v>120</v>
      </c>
      <c r="J227" t="str">
        <f t="shared" si="15"/>
        <v>Нет</v>
      </c>
      <c r="K227" s="62" t="s">
        <v>1247</v>
      </c>
    </row>
    <row r="228" spans="1:11" ht="15.75" customHeight="1" x14ac:dyDescent="0.25">
      <c r="A228" s="62">
        <v>231</v>
      </c>
      <c r="B228" s="62">
        <v>19</v>
      </c>
      <c r="C228" s="62" t="s">
        <v>1277</v>
      </c>
      <c r="D228" s="62" t="s">
        <v>1243</v>
      </c>
      <c r="E228" s="62" t="s">
        <v>1250</v>
      </c>
      <c r="F228" s="62" t="s">
        <v>1254</v>
      </c>
      <c r="G228">
        <f t="shared" si="12"/>
        <v>350</v>
      </c>
      <c r="H228">
        <f t="shared" si="13"/>
        <v>41</v>
      </c>
      <c r="I228">
        <f t="shared" si="14"/>
        <v>35</v>
      </c>
      <c r="J228" t="str">
        <f t="shared" si="15"/>
        <v>Нет</v>
      </c>
      <c r="K228" s="62" t="s">
        <v>1261</v>
      </c>
    </row>
    <row r="229" spans="1:11" ht="15.75" customHeight="1" x14ac:dyDescent="0.25">
      <c r="A229" s="62">
        <v>232</v>
      </c>
      <c r="B229" s="62">
        <v>18</v>
      </c>
      <c r="C229" s="62" t="s">
        <v>1277</v>
      </c>
      <c r="D229" s="62" t="s">
        <v>1257</v>
      </c>
      <c r="E229" s="62" t="s">
        <v>1250</v>
      </c>
      <c r="F229" s="62" t="s">
        <v>1254</v>
      </c>
      <c r="G229">
        <f t="shared" si="12"/>
        <v>350</v>
      </c>
      <c r="H229">
        <f t="shared" si="13"/>
        <v>41</v>
      </c>
      <c r="I229">
        <f t="shared" si="14"/>
        <v>90</v>
      </c>
      <c r="J229" t="str">
        <f t="shared" si="15"/>
        <v>Нет</v>
      </c>
      <c r="K229" s="62" t="s">
        <v>1252</v>
      </c>
    </row>
    <row r="230" spans="1:11" ht="15.75" customHeight="1" x14ac:dyDescent="0.25">
      <c r="A230" s="62">
        <v>233</v>
      </c>
      <c r="B230" s="62">
        <v>25</v>
      </c>
      <c r="C230" s="62" t="s">
        <v>1277</v>
      </c>
      <c r="D230" s="62" t="s">
        <v>1256</v>
      </c>
      <c r="E230" s="62" t="s">
        <v>1253</v>
      </c>
      <c r="F230" s="62" t="s">
        <v>1251</v>
      </c>
      <c r="G230">
        <f t="shared" si="12"/>
        <v>250</v>
      </c>
      <c r="H230">
        <f t="shared" si="13"/>
        <v>40</v>
      </c>
      <c r="I230">
        <f t="shared" si="14"/>
        <v>120</v>
      </c>
      <c r="J230" t="str">
        <f t="shared" si="15"/>
        <v>Нет</v>
      </c>
      <c r="K230" s="62" t="s">
        <v>1252</v>
      </c>
    </row>
    <row r="231" spans="1:11" ht="15.75" customHeight="1" x14ac:dyDescent="0.25">
      <c r="A231" s="62">
        <v>234</v>
      </c>
      <c r="B231" s="62">
        <v>18</v>
      </c>
      <c r="C231" s="62" t="s">
        <v>1277</v>
      </c>
      <c r="D231" s="62" t="s">
        <v>1258</v>
      </c>
      <c r="E231" s="62" t="s">
        <v>1250</v>
      </c>
      <c r="F231" s="62" t="s">
        <v>1249</v>
      </c>
      <c r="G231">
        <f t="shared" si="12"/>
        <v>550</v>
      </c>
      <c r="H231">
        <f t="shared" si="13"/>
        <v>41</v>
      </c>
      <c r="I231">
        <f t="shared" si="14"/>
        <v>60</v>
      </c>
      <c r="J231" t="str">
        <f t="shared" si="15"/>
        <v>Нет</v>
      </c>
      <c r="K231" s="62" t="s">
        <v>1246</v>
      </c>
    </row>
    <row r="232" spans="1:11" ht="15.75" customHeight="1" x14ac:dyDescent="0.25">
      <c r="A232" s="62">
        <v>235</v>
      </c>
      <c r="B232" s="62">
        <v>18</v>
      </c>
      <c r="C232" s="62" t="s">
        <v>1277</v>
      </c>
      <c r="D232" s="62" t="s">
        <v>1258</v>
      </c>
      <c r="E232" s="62" t="s">
        <v>1248</v>
      </c>
      <c r="F232" s="62" t="s">
        <v>1251</v>
      </c>
      <c r="G232">
        <f t="shared" si="12"/>
        <v>250</v>
      </c>
      <c r="H232">
        <f t="shared" si="13"/>
        <v>30</v>
      </c>
      <c r="I232">
        <f t="shared" si="14"/>
        <v>60</v>
      </c>
      <c r="J232" t="str">
        <f t="shared" si="15"/>
        <v>Нет</v>
      </c>
      <c r="K232" s="62" t="s">
        <v>1247</v>
      </c>
    </row>
    <row r="233" spans="1:11" ht="15.75" customHeight="1" x14ac:dyDescent="0.25">
      <c r="A233" s="62">
        <v>236</v>
      </c>
      <c r="B233" s="62">
        <v>21</v>
      </c>
      <c r="C233" s="62" t="s">
        <v>1277</v>
      </c>
      <c r="D233" s="62" t="s">
        <v>1243</v>
      </c>
      <c r="E233" s="62" t="s">
        <v>1255</v>
      </c>
      <c r="F233" s="62" t="s">
        <v>1245</v>
      </c>
      <c r="G233">
        <f t="shared" si="12"/>
        <v>451</v>
      </c>
      <c r="H233">
        <f t="shared" si="13"/>
        <v>20</v>
      </c>
      <c r="I233">
        <f t="shared" si="14"/>
        <v>35</v>
      </c>
      <c r="J233" t="str">
        <f t="shared" si="15"/>
        <v>Да</v>
      </c>
      <c r="K233" s="62" t="s">
        <v>1252</v>
      </c>
    </row>
    <row r="234" spans="1:11" ht="15.75" customHeight="1" x14ac:dyDescent="0.25">
      <c r="A234" s="62">
        <v>237</v>
      </c>
      <c r="B234" s="62">
        <v>21</v>
      </c>
      <c r="C234" s="62" t="s">
        <v>1277</v>
      </c>
      <c r="D234" s="62" t="s">
        <v>1258</v>
      </c>
      <c r="E234" s="62" t="s">
        <v>1248</v>
      </c>
      <c r="F234" s="62" t="s">
        <v>1254</v>
      </c>
      <c r="G234">
        <f t="shared" si="12"/>
        <v>350</v>
      </c>
      <c r="H234">
        <f t="shared" si="13"/>
        <v>30</v>
      </c>
      <c r="I234">
        <f t="shared" si="14"/>
        <v>60</v>
      </c>
      <c r="J234" t="str">
        <f t="shared" si="15"/>
        <v>Нет</v>
      </c>
      <c r="K234" s="62" t="s">
        <v>1252</v>
      </c>
    </row>
    <row r="235" spans="1:11" ht="15.75" customHeight="1" x14ac:dyDescent="0.25">
      <c r="A235" s="62">
        <v>238</v>
      </c>
      <c r="B235" s="62">
        <v>20</v>
      </c>
      <c r="C235" s="62" t="s">
        <v>1277</v>
      </c>
      <c r="D235" s="62" t="s">
        <v>1243</v>
      </c>
      <c r="E235" s="62" t="s">
        <v>1253</v>
      </c>
      <c r="F235" s="62" t="s">
        <v>1249</v>
      </c>
      <c r="G235">
        <f t="shared" si="12"/>
        <v>550</v>
      </c>
      <c r="H235">
        <f t="shared" si="13"/>
        <v>40</v>
      </c>
      <c r="I235">
        <f t="shared" si="14"/>
        <v>35</v>
      </c>
      <c r="J235" t="str">
        <f t="shared" si="15"/>
        <v>Да</v>
      </c>
      <c r="K235" s="62" t="s">
        <v>1246</v>
      </c>
    </row>
    <row r="236" spans="1:11" ht="15.75" customHeight="1" x14ac:dyDescent="0.25">
      <c r="A236" s="62">
        <v>239</v>
      </c>
      <c r="B236" s="62">
        <v>22</v>
      </c>
      <c r="C236" s="62" t="s">
        <v>1277</v>
      </c>
      <c r="D236" s="62" t="s">
        <v>1243</v>
      </c>
      <c r="E236" s="62" t="s">
        <v>1248</v>
      </c>
      <c r="F236" s="62" t="s">
        <v>1251</v>
      </c>
      <c r="G236">
        <f t="shared" si="12"/>
        <v>250</v>
      </c>
      <c r="H236">
        <f t="shared" si="13"/>
        <v>30</v>
      </c>
      <c r="I236">
        <f t="shared" si="14"/>
        <v>35</v>
      </c>
      <c r="J236" t="str">
        <f t="shared" si="15"/>
        <v>Нет</v>
      </c>
      <c r="K236" s="62" t="s">
        <v>1247</v>
      </c>
    </row>
    <row r="237" spans="1:11" ht="15.75" customHeight="1" x14ac:dyDescent="0.25">
      <c r="A237" s="62">
        <v>240</v>
      </c>
      <c r="B237" s="62">
        <v>19</v>
      </c>
      <c r="C237" s="62" t="s">
        <v>1277</v>
      </c>
      <c r="D237" s="62" t="s">
        <v>1243</v>
      </c>
      <c r="E237" s="62" t="s">
        <v>1248</v>
      </c>
      <c r="F237" s="62" t="s">
        <v>1251</v>
      </c>
      <c r="G237">
        <f t="shared" si="12"/>
        <v>250</v>
      </c>
      <c r="H237">
        <f t="shared" si="13"/>
        <v>30</v>
      </c>
      <c r="I237">
        <f t="shared" si="14"/>
        <v>35</v>
      </c>
      <c r="J237" t="str">
        <f t="shared" si="15"/>
        <v>Нет</v>
      </c>
      <c r="K237" s="62" t="s">
        <v>1247</v>
      </c>
    </row>
    <row r="238" spans="1:11" ht="15.75" customHeight="1" x14ac:dyDescent="0.25">
      <c r="A238" s="62">
        <v>241</v>
      </c>
      <c r="B238" s="62">
        <v>19</v>
      </c>
      <c r="C238" s="62" t="s">
        <v>1277</v>
      </c>
      <c r="D238" s="62" t="s">
        <v>1243</v>
      </c>
      <c r="E238" s="62" t="s">
        <v>1253</v>
      </c>
      <c r="F238" s="62" t="s">
        <v>1254</v>
      </c>
      <c r="G238">
        <f t="shared" si="12"/>
        <v>350</v>
      </c>
      <c r="H238">
        <f t="shared" si="13"/>
        <v>40</v>
      </c>
      <c r="I238">
        <f t="shared" si="14"/>
        <v>35</v>
      </c>
      <c r="J238" t="str">
        <f t="shared" si="15"/>
        <v>Да</v>
      </c>
      <c r="K238" s="62" t="s">
        <v>1246</v>
      </c>
    </row>
    <row r="239" spans="1:11" ht="15.75" customHeight="1" x14ac:dyDescent="0.25">
      <c r="A239" s="62">
        <v>242</v>
      </c>
      <c r="B239" s="62">
        <v>19</v>
      </c>
      <c r="C239" s="62" t="s">
        <v>1277</v>
      </c>
      <c r="D239" s="62" t="s">
        <v>1258</v>
      </c>
      <c r="E239" s="62" t="s">
        <v>1255</v>
      </c>
      <c r="F239" s="62" t="s">
        <v>1254</v>
      </c>
      <c r="G239">
        <f t="shared" si="12"/>
        <v>350</v>
      </c>
      <c r="H239">
        <f t="shared" si="13"/>
        <v>20</v>
      </c>
      <c r="I239">
        <f t="shared" si="14"/>
        <v>60</v>
      </c>
      <c r="J239" t="str">
        <f t="shared" si="15"/>
        <v>Нет</v>
      </c>
      <c r="K239" s="62" t="s">
        <v>1246</v>
      </c>
    </row>
    <row r="240" spans="1:11" ht="15.75" customHeight="1" x14ac:dyDescent="0.25">
      <c r="A240" s="62">
        <v>243</v>
      </c>
      <c r="B240" s="62">
        <v>24</v>
      </c>
      <c r="C240" s="62" t="s">
        <v>1277</v>
      </c>
      <c r="D240" s="62" t="s">
        <v>1243</v>
      </c>
      <c r="E240" s="62" t="s">
        <v>1250</v>
      </c>
      <c r="F240" s="62" t="s">
        <v>1254</v>
      </c>
      <c r="G240">
        <f t="shared" si="12"/>
        <v>350</v>
      </c>
      <c r="H240">
        <f t="shared" si="13"/>
        <v>41</v>
      </c>
      <c r="I240">
        <f t="shared" si="14"/>
        <v>35</v>
      </c>
      <c r="J240" t="str">
        <f t="shared" si="15"/>
        <v>Нет</v>
      </c>
      <c r="K240" s="62" t="s">
        <v>1247</v>
      </c>
    </row>
    <row r="241" spans="1:11" ht="15.75" customHeight="1" x14ac:dyDescent="0.25">
      <c r="A241" s="62">
        <v>245</v>
      </c>
      <c r="B241" s="62">
        <v>22</v>
      </c>
      <c r="C241" s="62" t="s">
        <v>1277</v>
      </c>
      <c r="D241" s="62" t="s">
        <v>1243</v>
      </c>
      <c r="E241" s="62" t="s">
        <v>1248</v>
      </c>
      <c r="F241" s="62" t="s">
        <v>1249</v>
      </c>
      <c r="G241">
        <f t="shared" si="12"/>
        <v>550</v>
      </c>
      <c r="H241">
        <f t="shared" si="13"/>
        <v>30</v>
      </c>
      <c r="I241">
        <f t="shared" si="14"/>
        <v>35</v>
      </c>
      <c r="J241" t="str">
        <f t="shared" si="15"/>
        <v>Нет</v>
      </c>
      <c r="K241" s="62" t="s">
        <v>1247</v>
      </c>
    </row>
    <row r="242" spans="1:11" ht="15.75" customHeight="1" x14ac:dyDescent="0.25">
      <c r="A242" s="62">
        <v>246</v>
      </c>
      <c r="B242" s="62">
        <v>22</v>
      </c>
      <c r="C242" s="62" t="s">
        <v>1277</v>
      </c>
      <c r="D242" s="62" t="s">
        <v>1243</v>
      </c>
      <c r="E242" s="62" t="s">
        <v>1244</v>
      </c>
      <c r="F242" s="62" t="s">
        <v>1259</v>
      </c>
      <c r="G242">
        <f t="shared" si="12"/>
        <v>351</v>
      </c>
      <c r="H242">
        <f t="shared" si="13"/>
        <v>10</v>
      </c>
      <c r="I242">
        <f t="shared" si="14"/>
        <v>35</v>
      </c>
      <c r="J242" t="str">
        <f t="shared" si="15"/>
        <v>Нет</v>
      </c>
      <c r="K242" s="62" t="s">
        <v>1242</v>
      </c>
    </row>
    <row r="243" spans="1:11" ht="15.75" customHeight="1" x14ac:dyDescent="0.25">
      <c r="A243" s="62">
        <v>247</v>
      </c>
      <c r="B243" s="62">
        <v>20</v>
      </c>
      <c r="C243" s="62" t="s">
        <v>1277</v>
      </c>
      <c r="D243" s="62" t="s">
        <v>1256</v>
      </c>
      <c r="E243" s="62" t="s">
        <v>1244</v>
      </c>
      <c r="F243" s="62" t="s">
        <v>1251</v>
      </c>
      <c r="G243">
        <f t="shared" si="12"/>
        <v>250</v>
      </c>
      <c r="H243">
        <f t="shared" si="13"/>
        <v>10</v>
      </c>
      <c r="I243">
        <f t="shared" si="14"/>
        <v>120</v>
      </c>
      <c r="J243" t="str">
        <f t="shared" si="15"/>
        <v>Нет</v>
      </c>
      <c r="K243" s="62" t="s">
        <v>1252</v>
      </c>
    </row>
    <row r="244" spans="1:11" ht="15.75" customHeight="1" x14ac:dyDescent="0.25">
      <c r="A244" s="62">
        <v>248</v>
      </c>
      <c r="B244" s="62">
        <v>23</v>
      </c>
      <c r="C244" s="62" t="s">
        <v>1277</v>
      </c>
      <c r="D244" s="62" t="s">
        <v>1243</v>
      </c>
      <c r="E244" s="62" t="s">
        <v>1253</v>
      </c>
      <c r="F244" s="62" t="s">
        <v>1254</v>
      </c>
      <c r="G244">
        <f t="shared" si="12"/>
        <v>350</v>
      </c>
      <c r="H244">
        <f t="shared" si="13"/>
        <v>40</v>
      </c>
      <c r="I244">
        <f t="shared" si="14"/>
        <v>35</v>
      </c>
      <c r="J244" t="str">
        <f t="shared" si="15"/>
        <v>Нет</v>
      </c>
      <c r="K244" s="62" t="s">
        <v>1247</v>
      </c>
    </row>
    <row r="245" spans="1:11" ht="15.75" customHeight="1" x14ac:dyDescent="0.25">
      <c r="A245" s="62">
        <v>249</v>
      </c>
      <c r="B245" s="62">
        <v>19</v>
      </c>
      <c r="C245" s="62" t="s">
        <v>1277</v>
      </c>
      <c r="D245" s="62" t="s">
        <v>1243</v>
      </c>
      <c r="E245" s="62" t="s">
        <v>1253</v>
      </c>
      <c r="F245" s="62" t="s">
        <v>1254</v>
      </c>
      <c r="G245">
        <f t="shared" si="12"/>
        <v>350</v>
      </c>
      <c r="H245">
        <f t="shared" si="13"/>
        <v>40</v>
      </c>
      <c r="I245">
        <f t="shared" si="14"/>
        <v>35</v>
      </c>
      <c r="J245" t="str">
        <f t="shared" si="15"/>
        <v>Да</v>
      </c>
      <c r="K245" s="62" t="s">
        <v>1246</v>
      </c>
    </row>
    <row r="246" spans="1:11" ht="15.75" customHeight="1" x14ac:dyDescent="0.25">
      <c r="A246" s="62">
        <v>250</v>
      </c>
      <c r="B246" s="62">
        <v>21</v>
      </c>
      <c r="C246" s="62" t="s">
        <v>1277</v>
      </c>
      <c r="D246" s="62" t="s">
        <v>1258</v>
      </c>
      <c r="E246" s="62" t="s">
        <v>1248</v>
      </c>
      <c r="F246" s="62" t="s">
        <v>1254</v>
      </c>
      <c r="G246">
        <f t="shared" si="12"/>
        <v>350</v>
      </c>
      <c r="H246">
        <f t="shared" si="13"/>
        <v>30</v>
      </c>
      <c r="I246">
        <f t="shared" si="14"/>
        <v>60</v>
      </c>
      <c r="J246" t="str">
        <f t="shared" si="15"/>
        <v>Нет</v>
      </c>
      <c r="K246" s="62" t="s">
        <v>1247</v>
      </c>
    </row>
    <row r="247" spans="1:11" ht="15.75" customHeight="1" x14ac:dyDescent="0.25">
      <c r="A247" s="62">
        <v>251</v>
      </c>
      <c r="B247" s="62">
        <v>21</v>
      </c>
      <c r="C247" s="62" t="s">
        <v>1277</v>
      </c>
      <c r="D247" s="62" t="s">
        <v>1257</v>
      </c>
      <c r="E247" s="62" t="s">
        <v>1255</v>
      </c>
      <c r="F247" s="62" t="s">
        <v>1251</v>
      </c>
      <c r="G247">
        <f t="shared" si="12"/>
        <v>250</v>
      </c>
      <c r="H247">
        <f t="shared" si="13"/>
        <v>20</v>
      </c>
      <c r="I247">
        <f t="shared" si="14"/>
        <v>90</v>
      </c>
      <c r="J247" t="str">
        <f t="shared" si="15"/>
        <v>Нет</v>
      </c>
      <c r="K247" s="62" t="s">
        <v>1247</v>
      </c>
    </row>
    <row r="248" spans="1:11" ht="15.75" customHeight="1" x14ac:dyDescent="0.25">
      <c r="A248" s="62">
        <v>252</v>
      </c>
      <c r="B248" s="62">
        <v>19</v>
      </c>
      <c r="C248" s="62" t="s">
        <v>1277</v>
      </c>
      <c r="D248" s="62" t="s">
        <v>1257</v>
      </c>
      <c r="E248" s="62" t="s">
        <v>1255</v>
      </c>
      <c r="F248" s="62" t="s">
        <v>1254</v>
      </c>
      <c r="G248">
        <f t="shared" si="12"/>
        <v>350</v>
      </c>
      <c r="H248">
        <f t="shared" si="13"/>
        <v>20</v>
      </c>
      <c r="I248">
        <f t="shared" si="14"/>
        <v>90</v>
      </c>
      <c r="J248" t="str">
        <f t="shared" si="15"/>
        <v>Нет</v>
      </c>
      <c r="K248" s="62" t="s">
        <v>1246</v>
      </c>
    </row>
    <row r="249" spans="1:11" ht="15.75" customHeight="1" x14ac:dyDescent="0.25">
      <c r="A249" s="62">
        <v>253</v>
      </c>
      <c r="B249" s="62">
        <v>18</v>
      </c>
      <c r="C249" s="62" t="s">
        <v>1277</v>
      </c>
      <c r="D249" s="62" t="s">
        <v>1257</v>
      </c>
      <c r="E249" s="62" t="s">
        <v>1248</v>
      </c>
      <c r="F249" s="62" t="s">
        <v>1254</v>
      </c>
      <c r="G249">
        <f t="shared" si="12"/>
        <v>350</v>
      </c>
      <c r="H249">
        <f t="shared" si="13"/>
        <v>30</v>
      </c>
      <c r="I249">
        <f t="shared" si="14"/>
        <v>90</v>
      </c>
      <c r="J249" t="str">
        <f t="shared" si="15"/>
        <v>Нет</v>
      </c>
      <c r="K249" s="62" t="s">
        <v>1247</v>
      </c>
    </row>
    <row r="250" spans="1:11" ht="15.75" customHeight="1" x14ac:dyDescent="0.25">
      <c r="A250" s="62">
        <v>254</v>
      </c>
      <c r="B250" s="62">
        <v>20</v>
      </c>
      <c r="C250" s="62" t="s">
        <v>1277</v>
      </c>
      <c r="D250" s="62" t="s">
        <v>1256</v>
      </c>
      <c r="E250" s="62" t="s">
        <v>1248</v>
      </c>
      <c r="F250" s="62" t="s">
        <v>1251</v>
      </c>
      <c r="G250">
        <f t="shared" si="12"/>
        <v>250</v>
      </c>
      <c r="H250">
        <f t="shared" si="13"/>
        <v>30</v>
      </c>
      <c r="I250">
        <f t="shared" si="14"/>
        <v>120</v>
      </c>
      <c r="J250" t="str">
        <f t="shared" si="15"/>
        <v>Нет</v>
      </c>
      <c r="K250" s="62" t="s">
        <v>1246</v>
      </c>
    </row>
    <row r="251" spans="1:11" ht="15.75" customHeight="1" x14ac:dyDescent="0.25">
      <c r="A251" s="62">
        <v>255</v>
      </c>
      <c r="B251" s="62">
        <v>24</v>
      </c>
      <c r="C251" s="62" t="s">
        <v>1277</v>
      </c>
      <c r="D251" s="62" t="s">
        <v>1243</v>
      </c>
      <c r="E251" s="62" t="s">
        <v>1253</v>
      </c>
      <c r="F251" s="62" t="s">
        <v>1259</v>
      </c>
      <c r="G251">
        <f t="shared" si="12"/>
        <v>351</v>
      </c>
      <c r="H251">
        <f t="shared" si="13"/>
        <v>40</v>
      </c>
      <c r="I251">
        <f t="shared" si="14"/>
        <v>35</v>
      </c>
      <c r="J251" t="str">
        <f t="shared" si="15"/>
        <v>Да</v>
      </c>
      <c r="K251" s="62" t="s">
        <v>1252</v>
      </c>
    </row>
    <row r="252" spans="1:11" ht="15.75" customHeight="1" x14ac:dyDescent="0.25">
      <c r="A252" s="62">
        <v>256</v>
      </c>
      <c r="B252" s="62">
        <v>21</v>
      </c>
      <c r="C252" s="62" t="s">
        <v>1277</v>
      </c>
      <c r="D252" s="62" t="s">
        <v>1257</v>
      </c>
      <c r="E252" s="62" t="s">
        <v>1253</v>
      </c>
      <c r="F252" s="62" t="s">
        <v>1254</v>
      </c>
      <c r="G252">
        <f t="shared" si="12"/>
        <v>350</v>
      </c>
      <c r="H252">
        <f t="shared" si="13"/>
        <v>40</v>
      </c>
      <c r="I252">
        <f t="shared" si="14"/>
        <v>90</v>
      </c>
      <c r="J252" t="str">
        <f t="shared" si="15"/>
        <v>Нет</v>
      </c>
      <c r="K252" s="62" t="s">
        <v>1247</v>
      </c>
    </row>
    <row r="253" spans="1:11" ht="15.75" customHeight="1" x14ac:dyDescent="0.25">
      <c r="A253" s="62">
        <v>257</v>
      </c>
      <c r="B253" s="62">
        <v>21</v>
      </c>
      <c r="C253" s="62" t="s">
        <v>1277</v>
      </c>
      <c r="D253" s="62" t="s">
        <v>1243</v>
      </c>
      <c r="E253" s="62" t="s">
        <v>1244</v>
      </c>
      <c r="F253" s="62" t="s">
        <v>1254</v>
      </c>
      <c r="G253">
        <f t="shared" si="12"/>
        <v>350</v>
      </c>
      <c r="H253">
        <f t="shared" si="13"/>
        <v>10</v>
      </c>
      <c r="I253">
        <f t="shared" si="14"/>
        <v>35</v>
      </c>
      <c r="J253" t="str">
        <f t="shared" si="15"/>
        <v>Нет</v>
      </c>
      <c r="K253" s="62" t="s">
        <v>1247</v>
      </c>
    </row>
    <row r="254" spans="1:11" ht="15.75" customHeight="1" x14ac:dyDescent="0.25">
      <c r="A254" s="62">
        <v>258</v>
      </c>
      <c r="B254" s="62">
        <v>19</v>
      </c>
      <c r="C254" s="62" t="s">
        <v>1277</v>
      </c>
      <c r="D254" s="62" t="s">
        <v>1256</v>
      </c>
      <c r="E254" s="62" t="s">
        <v>1255</v>
      </c>
      <c r="F254" s="62" t="s">
        <v>1254</v>
      </c>
      <c r="G254">
        <f t="shared" si="12"/>
        <v>350</v>
      </c>
      <c r="H254">
        <f t="shared" si="13"/>
        <v>20</v>
      </c>
      <c r="I254">
        <f t="shared" si="14"/>
        <v>120</v>
      </c>
      <c r="J254" t="str">
        <f t="shared" si="15"/>
        <v>Нет</v>
      </c>
      <c r="K254" s="62" t="s">
        <v>1247</v>
      </c>
    </row>
    <row r="255" spans="1:11" ht="15.75" customHeight="1" x14ac:dyDescent="0.25">
      <c r="A255" s="62">
        <v>259</v>
      </c>
      <c r="B255" s="62">
        <v>21</v>
      </c>
      <c r="C255" s="62" t="s">
        <v>1277</v>
      </c>
      <c r="D255" s="62" t="s">
        <v>1243</v>
      </c>
      <c r="E255" s="62" t="s">
        <v>1248</v>
      </c>
      <c r="F255" s="62" t="s">
        <v>1251</v>
      </c>
      <c r="G255">
        <f t="shared" si="12"/>
        <v>250</v>
      </c>
      <c r="H255">
        <f t="shared" si="13"/>
        <v>30</v>
      </c>
      <c r="I255">
        <f t="shared" si="14"/>
        <v>35</v>
      </c>
      <c r="J255" t="str">
        <f t="shared" si="15"/>
        <v>Нет</v>
      </c>
      <c r="K255" s="62" t="s">
        <v>1246</v>
      </c>
    </row>
    <row r="256" spans="1:11" ht="15.75" customHeight="1" x14ac:dyDescent="0.25">
      <c r="A256" s="62">
        <v>260</v>
      </c>
      <c r="B256" s="62">
        <v>19</v>
      </c>
      <c r="C256" s="62" t="s">
        <v>1277</v>
      </c>
      <c r="D256" s="62" t="s">
        <v>1243</v>
      </c>
      <c r="E256" s="62" t="s">
        <v>1255</v>
      </c>
      <c r="F256" s="62" t="s">
        <v>1251</v>
      </c>
      <c r="G256">
        <f t="shared" si="12"/>
        <v>250</v>
      </c>
      <c r="H256">
        <f t="shared" si="13"/>
        <v>20</v>
      </c>
      <c r="I256">
        <f t="shared" si="14"/>
        <v>35</v>
      </c>
      <c r="J256" t="str">
        <f t="shared" si="15"/>
        <v>Нет</v>
      </c>
      <c r="K256" s="62" t="s">
        <v>1252</v>
      </c>
    </row>
    <row r="257" spans="1:11" ht="15.75" customHeight="1" x14ac:dyDescent="0.25">
      <c r="A257" s="62">
        <v>261</v>
      </c>
      <c r="B257" s="62">
        <v>18</v>
      </c>
      <c r="C257" s="62" t="s">
        <v>1277</v>
      </c>
      <c r="D257" s="62" t="s">
        <v>1258</v>
      </c>
      <c r="E257" s="62" t="s">
        <v>1255</v>
      </c>
      <c r="F257" s="62" t="s">
        <v>1254</v>
      </c>
      <c r="G257">
        <f t="shared" si="12"/>
        <v>350</v>
      </c>
      <c r="H257">
        <f t="shared" si="13"/>
        <v>20</v>
      </c>
      <c r="I257">
        <f t="shared" si="14"/>
        <v>60</v>
      </c>
      <c r="J257" t="str">
        <f t="shared" si="15"/>
        <v>Нет</v>
      </c>
      <c r="K257" s="62" t="s">
        <v>1247</v>
      </c>
    </row>
    <row r="258" spans="1:11" ht="15.75" customHeight="1" x14ac:dyDescent="0.25">
      <c r="A258" s="62">
        <v>262</v>
      </c>
      <c r="B258" s="62">
        <v>21</v>
      </c>
      <c r="C258" s="62" t="s">
        <v>1277</v>
      </c>
      <c r="D258" s="62" t="s">
        <v>1243</v>
      </c>
      <c r="E258" s="62" t="s">
        <v>1253</v>
      </c>
      <c r="F258" s="62" t="s">
        <v>1254</v>
      </c>
      <c r="G258">
        <f t="shared" si="12"/>
        <v>350</v>
      </c>
      <c r="H258">
        <f t="shared" si="13"/>
        <v>40</v>
      </c>
      <c r="I258">
        <f t="shared" si="14"/>
        <v>35</v>
      </c>
      <c r="J258" t="str">
        <f t="shared" si="15"/>
        <v>Нет</v>
      </c>
      <c r="K258" s="62" t="s">
        <v>1247</v>
      </c>
    </row>
    <row r="259" spans="1:11" ht="15.75" customHeight="1" x14ac:dyDescent="0.25">
      <c r="A259" s="62">
        <v>263</v>
      </c>
      <c r="B259" s="62">
        <v>22</v>
      </c>
      <c r="C259" s="62" t="s">
        <v>1277</v>
      </c>
      <c r="D259" s="62" t="s">
        <v>1257</v>
      </c>
      <c r="E259" s="62" t="s">
        <v>1244</v>
      </c>
      <c r="F259" s="62" t="s">
        <v>1254</v>
      </c>
      <c r="G259">
        <f t="shared" si="12"/>
        <v>350</v>
      </c>
      <c r="H259">
        <f t="shared" si="13"/>
        <v>10</v>
      </c>
      <c r="I259">
        <f t="shared" si="14"/>
        <v>90</v>
      </c>
      <c r="J259" t="str">
        <f t="shared" si="15"/>
        <v>Нет</v>
      </c>
      <c r="K259" s="62" t="s">
        <v>1246</v>
      </c>
    </row>
    <row r="260" spans="1:11" ht="15.75" customHeight="1" x14ac:dyDescent="0.25">
      <c r="A260" s="62">
        <v>265</v>
      </c>
      <c r="B260" s="62">
        <v>23</v>
      </c>
      <c r="C260" s="62" t="s">
        <v>1277</v>
      </c>
      <c r="D260" s="62" t="s">
        <v>1257</v>
      </c>
      <c r="E260" s="62" t="s">
        <v>1248</v>
      </c>
      <c r="F260" s="62" t="s">
        <v>1249</v>
      </c>
      <c r="G260">
        <f t="shared" ref="G260:G299" si="16">IF(F260="550+ рублей",550,IF(F260="451-550",451,IF(F260="351-450",351,IF(F260="250-350",350,250))))</f>
        <v>550</v>
      </c>
      <c r="H260">
        <f t="shared" ref="H260:H299" si="17">IF(E260="&lt;10 Гб",10,IF(E260="10-20 Гб",20,IF(E260="21-30 Гб",30,IF(E260="31-40 Гб",40,41))))</f>
        <v>30</v>
      </c>
      <c r="I260">
        <f t="shared" ref="I260:I299" si="18">IF(D260="&lt;35",35,IF(D260="35-60",60,IF(D260="61-90",90,IF(D260="91-120",120,121))))</f>
        <v>90</v>
      </c>
      <c r="J260" t="str">
        <f t="shared" ref="J260:J299" si="19">IF(AND(G260&gt;330,I260&lt;36,H260&lt;41,OR(K260="Скорее не удовлетворен",K260="Абсолютно не уловлетворен",K260="Затрудняюсь ответить")),"Да","Нет")</f>
        <v>Нет</v>
      </c>
      <c r="K260" s="62" t="s">
        <v>1261</v>
      </c>
    </row>
    <row r="261" spans="1:11" ht="15.75" customHeight="1" x14ac:dyDescent="0.25">
      <c r="A261" s="62">
        <v>220</v>
      </c>
      <c r="B261" s="62">
        <v>24</v>
      </c>
      <c r="C261" s="62" t="s">
        <v>1277</v>
      </c>
      <c r="D261" s="62" t="s">
        <v>1243</v>
      </c>
      <c r="E261" s="62" t="s">
        <v>1248</v>
      </c>
      <c r="F261" s="62" t="s">
        <v>1254</v>
      </c>
      <c r="G261">
        <f t="shared" si="16"/>
        <v>350</v>
      </c>
      <c r="H261">
        <f t="shared" si="17"/>
        <v>30</v>
      </c>
      <c r="I261">
        <f t="shared" si="18"/>
        <v>35</v>
      </c>
      <c r="J261" t="str">
        <f t="shared" si="19"/>
        <v>Нет</v>
      </c>
      <c r="K261" s="62" t="s">
        <v>1247</v>
      </c>
    </row>
    <row r="262" spans="1:11" ht="15.75" customHeight="1" x14ac:dyDescent="0.25">
      <c r="A262" s="62">
        <v>266</v>
      </c>
      <c r="B262" s="62">
        <v>24</v>
      </c>
      <c r="C262" s="62" t="s">
        <v>1277</v>
      </c>
      <c r="D262" s="62" t="s">
        <v>1243</v>
      </c>
      <c r="E262" s="62" t="s">
        <v>1253</v>
      </c>
      <c r="F262" s="62" t="s">
        <v>1254</v>
      </c>
      <c r="G262">
        <f t="shared" si="16"/>
        <v>350</v>
      </c>
      <c r="H262">
        <f t="shared" si="17"/>
        <v>40</v>
      </c>
      <c r="I262">
        <f t="shared" si="18"/>
        <v>35</v>
      </c>
      <c r="J262" t="str">
        <f t="shared" si="19"/>
        <v>Нет</v>
      </c>
      <c r="K262" s="62" t="s">
        <v>1247</v>
      </c>
    </row>
    <row r="263" spans="1:11" ht="15.75" customHeight="1" x14ac:dyDescent="0.25">
      <c r="A263" s="62">
        <v>267</v>
      </c>
      <c r="B263" s="62">
        <v>22</v>
      </c>
      <c r="C263" s="62" t="s">
        <v>1277</v>
      </c>
      <c r="D263" s="62" t="s">
        <v>1243</v>
      </c>
      <c r="E263" s="62" t="s">
        <v>1253</v>
      </c>
      <c r="F263" s="62" t="s">
        <v>1245</v>
      </c>
      <c r="G263">
        <f t="shared" si="16"/>
        <v>451</v>
      </c>
      <c r="H263">
        <f t="shared" si="17"/>
        <v>40</v>
      </c>
      <c r="I263">
        <f t="shared" si="18"/>
        <v>35</v>
      </c>
      <c r="J263" t="str">
        <f t="shared" si="19"/>
        <v>Да</v>
      </c>
      <c r="K263" s="62" t="s">
        <v>1246</v>
      </c>
    </row>
    <row r="264" spans="1:11" ht="15.75" customHeight="1" x14ac:dyDescent="0.25">
      <c r="A264" s="62">
        <v>268</v>
      </c>
      <c r="B264" s="62">
        <v>20</v>
      </c>
      <c r="C264" s="62" t="s">
        <v>1277</v>
      </c>
      <c r="D264" s="62" t="s">
        <v>1243</v>
      </c>
      <c r="E264" s="62" t="s">
        <v>1248</v>
      </c>
      <c r="F264" s="62" t="s">
        <v>1249</v>
      </c>
      <c r="G264">
        <f t="shared" si="16"/>
        <v>550</v>
      </c>
      <c r="H264">
        <f t="shared" si="17"/>
        <v>30</v>
      </c>
      <c r="I264">
        <f t="shared" si="18"/>
        <v>35</v>
      </c>
      <c r="J264" t="str">
        <f t="shared" si="19"/>
        <v>Нет</v>
      </c>
      <c r="K264" s="62" t="s">
        <v>1247</v>
      </c>
    </row>
    <row r="265" spans="1:11" ht="15.75" customHeight="1" x14ac:dyDescent="0.25">
      <c r="A265" s="62">
        <v>269</v>
      </c>
      <c r="B265" s="62">
        <v>21</v>
      </c>
      <c r="C265" s="62" t="s">
        <v>1277</v>
      </c>
      <c r="D265" s="62" t="s">
        <v>1243</v>
      </c>
      <c r="E265" s="62" t="s">
        <v>1248</v>
      </c>
      <c r="F265" s="62" t="s">
        <v>1251</v>
      </c>
      <c r="G265">
        <f t="shared" si="16"/>
        <v>250</v>
      </c>
      <c r="H265">
        <f t="shared" si="17"/>
        <v>30</v>
      </c>
      <c r="I265">
        <f t="shared" si="18"/>
        <v>35</v>
      </c>
      <c r="J265" t="str">
        <f t="shared" si="19"/>
        <v>Нет</v>
      </c>
      <c r="K265" s="62" t="s">
        <v>1247</v>
      </c>
    </row>
    <row r="266" spans="1:11" ht="15.75" customHeight="1" x14ac:dyDescent="0.25">
      <c r="A266" s="62">
        <v>270</v>
      </c>
      <c r="B266" s="62">
        <v>19</v>
      </c>
      <c r="C266" s="62" t="s">
        <v>1277</v>
      </c>
      <c r="D266" s="62" t="s">
        <v>1257</v>
      </c>
      <c r="E266" s="62" t="s">
        <v>1253</v>
      </c>
      <c r="F266" s="62" t="s">
        <v>1254</v>
      </c>
      <c r="G266">
        <f t="shared" si="16"/>
        <v>350</v>
      </c>
      <c r="H266">
        <f t="shared" si="17"/>
        <v>40</v>
      </c>
      <c r="I266">
        <f t="shared" si="18"/>
        <v>90</v>
      </c>
      <c r="J266" t="str">
        <f t="shared" si="19"/>
        <v>Нет</v>
      </c>
      <c r="K266" s="62" t="s">
        <v>1246</v>
      </c>
    </row>
    <row r="267" spans="1:11" ht="15.75" customHeight="1" x14ac:dyDescent="0.25">
      <c r="A267" s="62">
        <v>271</v>
      </c>
      <c r="B267" s="62">
        <v>21</v>
      </c>
      <c r="C267" s="62" t="s">
        <v>1277</v>
      </c>
      <c r="D267" s="62" t="s">
        <v>1256</v>
      </c>
      <c r="E267" s="62" t="s">
        <v>1248</v>
      </c>
      <c r="F267" s="62" t="s">
        <v>1245</v>
      </c>
      <c r="G267">
        <f t="shared" si="16"/>
        <v>451</v>
      </c>
      <c r="H267">
        <f t="shared" si="17"/>
        <v>30</v>
      </c>
      <c r="I267">
        <f t="shared" si="18"/>
        <v>120</v>
      </c>
      <c r="J267" t="str">
        <f t="shared" si="19"/>
        <v>Нет</v>
      </c>
      <c r="K267" s="62" t="s">
        <v>1252</v>
      </c>
    </row>
    <row r="268" spans="1:11" ht="15.75" customHeight="1" x14ac:dyDescent="0.25">
      <c r="A268" s="62">
        <v>272</v>
      </c>
      <c r="B268" s="62">
        <v>25</v>
      </c>
      <c r="C268" s="62" t="s">
        <v>1277</v>
      </c>
      <c r="D268" s="62" t="s">
        <v>1256</v>
      </c>
      <c r="E268" s="62" t="s">
        <v>1248</v>
      </c>
      <c r="F268" s="62" t="s">
        <v>1245</v>
      </c>
      <c r="G268">
        <f t="shared" si="16"/>
        <v>451</v>
      </c>
      <c r="H268">
        <f t="shared" si="17"/>
        <v>30</v>
      </c>
      <c r="I268">
        <f t="shared" si="18"/>
        <v>120</v>
      </c>
      <c r="J268" t="str">
        <f t="shared" si="19"/>
        <v>Нет</v>
      </c>
      <c r="K268" s="62" t="s">
        <v>1261</v>
      </c>
    </row>
    <row r="269" spans="1:11" ht="15.75" customHeight="1" x14ac:dyDescent="0.25">
      <c r="A269" s="62">
        <v>273</v>
      </c>
      <c r="B269" s="62">
        <v>21</v>
      </c>
      <c r="C269" s="62" t="s">
        <v>1277</v>
      </c>
      <c r="D269" s="62" t="s">
        <v>1243</v>
      </c>
      <c r="E269" s="62" t="s">
        <v>1253</v>
      </c>
      <c r="F269" s="62" t="s">
        <v>1249</v>
      </c>
      <c r="G269">
        <f t="shared" si="16"/>
        <v>550</v>
      </c>
      <c r="H269">
        <f t="shared" si="17"/>
        <v>40</v>
      </c>
      <c r="I269">
        <f t="shared" si="18"/>
        <v>35</v>
      </c>
      <c r="J269" t="str">
        <f t="shared" si="19"/>
        <v>Нет</v>
      </c>
      <c r="K269" s="62" t="s">
        <v>1247</v>
      </c>
    </row>
    <row r="270" spans="1:11" ht="15.75" customHeight="1" x14ac:dyDescent="0.25">
      <c r="A270" s="62">
        <v>274</v>
      </c>
      <c r="B270" s="62">
        <v>21</v>
      </c>
      <c r="C270" s="62" t="s">
        <v>1277</v>
      </c>
      <c r="D270" s="62" t="s">
        <v>1243</v>
      </c>
      <c r="E270" s="62" t="s">
        <v>1250</v>
      </c>
      <c r="F270" s="62" t="s">
        <v>1245</v>
      </c>
      <c r="G270">
        <f t="shared" si="16"/>
        <v>451</v>
      </c>
      <c r="H270">
        <f t="shared" si="17"/>
        <v>41</v>
      </c>
      <c r="I270">
        <f t="shared" si="18"/>
        <v>35</v>
      </c>
      <c r="J270" t="str">
        <f t="shared" si="19"/>
        <v>Нет</v>
      </c>
      <c r="K270" s="62" t="s">
        <v>1247</v>
      </c>
    </row>
    <row r="271" spans="1:11" ht="15.75" customHeight="1" x14ac:dyDescent="0.25">
      <c r="A271" s="62">
        <v>275</v>
      </c>
      <c r="B271" s="62">
        <v>21</v>
      </c>
      <c r="C271" s="62" t="s">
        <v>1277</v>
      </c>
      <c r="D271" s="62" t="s">
        <v>1243</v>
      </c>
      <c r="E271" s="62" t="s">
        <v>1253</v>
      </c>
      <c r="F271" s="62" t="s">
        <v>1254</v>
      </c>
      <c r="G271">
        <f t="shared" si="16"/>
        <v>350</v>
      </c>
      <c r="H271">
        <f t="shared" si="17"/>
        <v>40</v>
      </c>
      <c r="I271">
        <f t="shared" si="18"/>
        <v>35</v>
      </c>
      <c r="J271" t="str">
        <f t="shared" si="19"/>
        <v>Да</v>
      </c>
      <c r="K271" s="62" t="s">
        <v>1252</v>
      </c>
    </row>
    <row r="272" spans="1:11" ht="15.75" customHeight="1" x14ac:dyDescent="0.25">
      <c r="A272" s="62">
        <v>276</v>
      </c>
      <c r="B272" s="62">
        <v>21</v>
      </c>
      <c r="C272" s="62" t="s">
        <v>1277</v>
      </c>
      <c r="D272" s="62" t="s">
        <v>1243</v>
      </c>
      <c r="E272" s="62" t="s">
        <v>1253</v>
      </c>
      <c r="F272" s="62" t="s">
        <v>1245</v>
      </c>
      <c r="G272">
        <f t="shared" si="16"/>
        <v>451</v>
      </c>
      <c r="H272">
        <f t="shared" si="17"/>
        <v>40</v>
      </c>
      <c r="I272">
        <f t="shared" si="18"/>
        <v>35</v>
      </c>
      <c r="J272" t="str">
        <f t="shared" si="19"/>
        <v>Нет</v>
      </c>
      <c r="K272" s="62" t="s">
        <v>1247</v>
      </c>
    </row>
    <row r="273" spans="1:11" ht="15.75" customHeight="1" x14ac:dyDescent="0.25">
      <c r="A273" s="62">
        <v>277</v>
      </c>
      <c r="B273" s="62">
        <v>21</v>
      </c>
      <c r="C273" s="62" t="s">
        <v>1277</v>
      </c>
      <c r="D273" s="62" t="s">
        <v>1243</v>
      </c>
      <c r="E273" s="62" t="s">
        <v>1253</v>
      </c>
      <c r="F273" s="62" t="s">
        <v>1251</v>
      </c>
      <c r="G273">
        <f t="shared" si="16"/>
        <v>250</v>
      </c>
      <c r="H273">
        <f t="shared" si="17"/>
        <v>40</v>
      </c>
      <c r="I273">
        <f t="shared" si="18"/>
        <v>35</v>
      </c>
      <c r="J273" t="str">
        <f t="shared" si="19"/>
        <v>Нет</v>
      </c>
      <c r="K273" s="62" t="s">
        <v>1246</v>
      </c>
    </row>
    <row r="274" spans="1:11" ht="15.75" customHeight="1" x14ac:dyDescent="0.25">
      <c r="A274" s="62">
        <v>278</v>
      </c>
      <c r="B274" s="62">
        <v>25</v>
      </c>
      <c r="C274" s="62" t="s">
        <v>1277</v>
      </c>
      <c r="D274" s="62" t="s">
        <v>1243</v>
      </c>
      <c r="E274" s="62" t="s">
        <v>1253</v>
      </c>
      <c r="F274" s="62" t="s">
        <v>1249</v>
      </c>
      <c r="G274">
        <f t="shared" si="16"/>
        <v>550</v>
      </c>
      <c r="H274">
        <f t="shared" si="17"/>
        <v>40</v>
      </c>
      <c r="I274">
        <f t="shared" si="18"/>
        <v>35</v>
      </c>
      <c r="J274" t="str">
        <f t="shared" si="19"/>
        <v>Да</v>
      </c>
      <c r="K274" s="62" t="s">
        <v>1252</v>
      </c>
    </row>
    <row r="275" spans="1:11" ht="15.75" customHeight="1" x14ac:dyDescent="0.25">
      <c r="A275" s="62">
        <v>279</v>
      </c>
      <c r="B275" s="62">
        <v>18</v>
      </c>
      <c r="C275" s="62" t="s">
        <v>1277</v>
      </c>
      <c r="D275" s="62" t="s">
        <v>1243</v>
      </c>
      <c r="E275" s="62" t="s">
        <v>1255</v>
      </c>
      <c r="F275" s="62" t="s">
        <v>1251</v>
      </c>
      <c r="G275">
        <f t="shared" si="16"/>
        <v>250</v>
      </c>
      <c r="H275">
        <f t="shared" si="17"/>
        <v>20</v>
      </c>
      <c r="I275">
        <f t="shared" si="18"/>
        <v>35</v>
      </c>
      <c r="J275" t="str">
        <f t="shared" si="19"/>
        <v>Нет</v>
      </c>
      <c r="K275" s="62" t="s">
        <v>1246</v>
      </c>
    </row>
    <row r="276" spans="1:11" ht="15.75" customHeight="1" x14ac:dyDescent="0.25">
      <c r="A276" s="62">
        <v>280</v>
      </c>
      <c r="B276" s="62">
        <v>19</v>
      </c>
      <c r="C276" s="62" t="s">
        <v>1277</v>
      </c>
      <c r="D276" s="62" t="s">
        <v>1256</v>
      </c>
      <c r="E276" s="62" t="s">
        <v>1248</v>
      </c>
      <c r="F276" s="62" t="s">
        <v>1254</v>
      </c>
      <c r="G276">
        <f t="shared" si="16"/>
        <v>350</v>
      </c>
      <c r="H276">
        <f t="shared" si="17"/>
        <v>30</v>
      </c>
      <c r="I276">
        <f t="shared" si="18"/>
        <v>120</v>
      </c>
      <c r="J276" t="str">
        <f t="shared" si="19"/>
        <v>Нет</v>
      </c>
      <c r="K276" s="62" t="s">
        <v>1247</v>
      </c>
    </row>
    <row r="277" spans="1:11" ht="15.75" customHeight="1" x14ac:dyDescent="0.25">
      <c r="A277" s="62">
        <v>281</v>
      </c>
      <c r="B277" s="62">
        <v>19</v>
      </c>
      <c r="C277" s="62" t="s">
        <v>1277</v>
      </c>
      <c r="D277" s="62" t="s">
        <v>1243</v>
      </c>
      <c r="E277" s="62" t="s">
        <v>1248</v>
      </c>
      <c r="F277" s="62" t="s">
        <v>1259</v>
      </c>
      <c r="G277">
        <f t="shared" si="16"/>
        <v>351</v>
      </c>
      <c r="H277">
        <f t="shared" si="17"/>
        <v>30</v>
      </c>
      <c r="I277">
        <f t="shared" si="18"/>
        <v>35</v>
      </c>
      <c r="J277" t="str">
        <f t="shared" si="19"/>
        <v>Нет</v>
      </c>
      <c r="K277" s="62" t="s">
        <v>1247</v>
      </c>
    </row>
    <row r="278" spans="1:11" ht="15.75" customHeight="1" x14ac:dyDescent="0.25">
      <c r="A278" s="62">
        <v>282</v>
      </c>
      <c r="B278" s="62">
        <v>20</v>
      </c>
      <c r="C278" s="62" t="s">
        <v>1277</v>
      </c>
      <c r="D278" s="62" t="s">
        <v>1243</v>
      </c>
      <c r="E278" s="62" t="s">
        <v>1253</v>
      </c>
      <c r="F278" s="62" t="s">
        <v>1251</v>
      </c>
      <c r="G278">
        <f t="shared" si="16"/>
        <v>250</v>
      </c>
      <c r="H278">
        <f t="shared" si="17"/>
        <v>40</v>
      </c>
      <c r="I278">
        <f t="shared" si="18"/>
        <v>35</v>
      </c>
      <c r="J278" t="str">
        <f t="shared" si="19"/>
        <v>Нет</v>
      </c>
      <c r="K278" s="62" t="s">
        <v>1246</v>
      </c>
    </row>
    <row r="279" spans="1:11" ht="15.75" customHeight="1" x14ac:dyDescent="0.25">
      <c r="A279" s="62">
        <v>283</v>
      </c>
      <c r="B279" s="62">
        <v>23</v>
      </c>
      <c r="C279" s="62" t="s">
        <v>1277</v>
      </c>
      <c r="D279" s="62" t="s">
        <v>1243</v>
      </c>
      <c r="E279" s="62" t="s">
        <v>1250</v>
      </c>
      <c r="F279" s="62" t="s">
        <v>1251</v>
      </c>
      <c r="G279">
        <f t="shared" si="16"/>
        <v>250</v>
      </c>
      <c r="H279">
        <f t="shared" si="17"/>
        <v>41</v>
      </c>
      <c r="I279">
        <f t="shared" si="18"/>
        <v>35</v>
      </c>
      <c r="J279" t="str">
        <f t="shared" si="19"/>
        <v>Нет</v>
      </c>
      <c r="K279" s="62" t="s">
        <v>1246</v>
      </c>
    </row>
    <row r="280" spans="1:11" ht="15.75" customHeight="1" x14ac:dyDescent="0.25">
      <c r="A280" s="62">
        <v>284</v>
      </c>
      <c r="B280" s="62">
        <v>18</v>
      </c>
      <c r="C280" s="62" t="s">
        <v>1277</v>
      </c>
      <c r="D280" s="62" t="s">
        <v>1256</v>
      </c>
      <c r="E280" s="62" t="s">
        <v>1244</v>
      </c>
      <c r="F280" s="62" t="s">
        <v>1254</v>
      </c>
      <c r="G280">
        <f t="shared" si="16"/>
        <v>350</v>
      </c>
      <c r="H280">
        <f t="shared" si="17"/>
        <v>10</v>
      </c>
      <c r="I280">
        <f t="shared" si="18"/>
        <v>120</v>
      </c>
      <c r="J280" t="str">
        <f t="shared" si="19"/>
        <v>Нет</v>
      </c>
      <c r="K280" s="62" t="s">
        <v>1247</v>
      </c>
    </row>
    <row r="281" spans="1:11" ht="15.75" customHeight="1" x14ac:dyDescent="0.25">
      <c r="A281" s="62">
        <v>286</v>
      </c>
      <c r="B281" s="62">
        <v>19</v>
      </c>
      <c r="C281" s="62" t="s">
        <v>1277</v>
      </c>
      <c r="D281" s="62" t="s">
        <v>1243</v>
      </c>
      <c r="E281" s="62" t="s">
        <v>1253</v>
      </c>
      <c r="F281" s="62" t="s">
        <v>1249</v>
      </c>
      <c r="G281">
        <f t="shared" si="16"/>
        <v>550</v>
      </c>
      <c r="H281">
        <f t="shared" si="17"/>
        <v>40</v>
      </c>
      <c r="I281">
        <f t="shared" si="18"/>
        <v>35</v>
      </c>
      <c r="J281" t="str">
        <f t="shared" si="19"/>
        <v>Нет</v>
      </c>
      <c r="K281" s="62" t="s">
        <v>1247</v>
      </c>
    </row>
    <row r="282" spans="1:11" ht="15.75" customHeight="1" x14ac:dyDescent="0.25">
      <c r="A282" s="62">
        <v>287</v>
      </c>
      <c r="B282" s="62">
        <v>18</v>
      </c>
      <c r="C282" s="62" t="s">
        <v>1277</v>
      </c>
      <c r="D282" s="62" t="s">
        <v>1243</v>
      </c>
      <c r="E282" s="62" t="s">
        <v>1250</v>
      </c>
      <c r="F282" s="62" t="s">
        <v>1249</v>
      </c>
      <c r="G282">
        <f t="shared" si="16"/>
        <v>550</v>
      </c>
      <c r="H282">
        <f t="shared" si="17"/>
        <v>41</v>
      </c>
      <c r="I282">
        <f t="shared" si="18"/>
        <v>35</v>
      </c>
      <c r="J282" t="str">
        <f t="shared" si="19"/>
        <v>Нет</v>
      </c>
      <c r="K282" s="62" t="s">
        <v>1242</v>
      </c>
    </row>
    <row r="283" spans="1:11" ht="15.75" customHeight="1" x14ac:dyDescent="0.25">
      <c r="A283" s="62">
        <v>288</v>
      </c>
      <c r="B283" s="62">
        <v>21</v>
      </c>
      <c r="C283" s="62" t="s">
        <v>1277</v>
      </c>
      <c r="D283" s="62" t="s">
        <v>1243</v>
      </c>
      <c r="E283" s="62" t="s">
        <v>1248</v>
      </c>
      <c r="F283" s="62" t="s">
        <v>1251</v>
      </c>
      <c r="G283">
        <f t="shared" si="16"/>
        <v>250</v>
      </c>
      <c r="H283">
        <f t="shared" si="17"/>
        <v>30</v>
      </c>
      <c r="I283">
        <f t="shared" si="18"/>
        <v>35</v>
      </c>
      <c r="J283" t="str">
        <f t="shared" si="19"/>
        <v>Нет</v>
      </c>
      <c r="K283" s="62" t="s">
        <v>1247</v>
      </c>
    </row>
    <row r="284" spans="1:11" ht="15.75" customHeight="1" x14ac:dyDescent="0.25">
      <c r="A284" s="62">
        <v>289</v>
      </c>
      <c r="B284" s="62">
        <v>24</v>
      </c>
      <c r="C284" s="62" t="s">
        <v>1277</v>
      </c>
      <c r="D284" s="62" t="s">
        <v>1256</v>
      </c>
      <c r="E284" s="62" t="s">
        <v>1248</v>
      </c>
      <c r="F284" s="62" t="s">
        <v>1249</v>
      </c>
      <c r="G284">
        <f t="shared" si="16"/>
        <v>550</v>
      </c>
      <c r="H284">
        <f t="shared" si="17"/>
        <v>30</v>
      </c>
      <c r="I284">
        <f t="shared" si="18"/>
        <v>120</v>
      </c>
      <c r="J284" t="str">
        <f t="shared" si="19"/>
        <v>Нет</v>
      </c>
      <c r="K284" s="62" t="s">
        <v>1247</v>
      </c>
    </row>
    <row r="285" spans="1:11" ht="15.75" customHeight="1" x14ac:dyDescent="0.25">
      <c r="A285" s="62">
        <v>290</v>
      </c>
      <c r="B285" s="62">
        <v>25</v>
      </c>
      <c r="C285" s="62" t="s">
        <v>1277</v>
      </c>
      <c r="D285" s="62" t="s">
        <v>1243</v>
      </c>
      <c r="E285" s="62" t="s">
        <v>1244</v>
      </c>
      <c r="F285" s="62" t="s">
        <v>1254</v>
      </c>
      <c r="G285">
        <f t="shared" si="16"/>
        <v>350</v>
      </c>
      <c r="H285">
        <f t="shared" si="17"/>
        <v>10</v>
      </c>
      <c r="I285">
        <f t="shared" si="18"/>
        <v>35</v>
      </c>
      <c r="J285" t="str">
        <f t="shared" si="19"/>
        <v>Нет</v>
      </c>
      <c r="K285" s="62" t="s">
        <v>1247</v>
      </c>
    </row>
    <row r="286" spans="1:11" ht="15.75" customHeight="1" x14ac:dyDescent="0.25">
      <c r="A286" s="62">
        <v>291</v>
      </c>
      <c r="B286" s="62">
        <v>19</v>
      </c>
      <c r="C286" s="62" t="s">
        <v>1277</v>
      </c>
      <c r="D286" s="62" t="s">
        <v>1243</v>
      </c>
      <c r="E286" s="62" t="s">
        <v>1250</v>
      </c>
      <c r="F286" s="62" t="s">
        <v>1254</v>
      </c>
      <c r="G286">
        <f t="shared" si="16"/>
        <v>350</v>
      </c>
      <c r="H286">
        <f t="shared" si="17"/>
        <v>41</v>
      </c>
      <c r="I286">
        <f t="shared" si="18"/>
        <v>35</v>
      </c>
      <c r="J286" t="str">
        <f t="shared" si="19"/>
        <v>Нет</v>
      </c>
      <c r="K286" s="62" t="s">
        <v>1242</v>
      </c>
    </row>
    <row r="287" spans="1:11" ht="15.75" customHeight="1" x14ac:dyDescent="0.25">
      <c r="A287" s="62">
        <v>292</v>
      </c>
      <c r="B287" s="62">
        <v>19</v>
      </c>
      <c r="C287" s="62" t="s">
        <v>1277</v>
      </c>
      <c r="D287" s="62" t="s">
        <v>1243</v>
      </c>
      <c r="E287" s="62" t="s">
        <v>1253</v>
      </c>
      <c r="F287" s="62" t="s">
        <v>1254</v>
      </c>
      <c r="G287">
        <f t="shared" si="16"/>
        <v>350</v>
      </c>
      <c r="H287">
        <f t="shared" si="17"/>
        <v>40</v>
      </c>
      <c r="I287">
        <f t="shared" si="18"/>
        <v>35</v>
      </c>
      <c r="J287" t="str">
        <f t="shared" si="19"/>
        <v>Нет</v>
      </c>
      <c r="K287" s="62" t="s">
        <v>1247</v>
      </c>
    </row>
    <row r="288" spans="1:11" ht="15.75" customHeight="1" x14ac:dyDescent="0.25">
      <c r="A288" s="62">
        <v>293</v>
      </c>
      <c r="B288" s="62">
        <v>21</v>
      </c>
      <c r="C288" s="62" t="s">
        <v>1277</v>
      </c>
      <c r="D288" s="62" t="s">
        <v>1260</v>
      </c>
      <c r="E288" s="62" t="s">
        <v>1253</v>
      </c>
      <c r="F288" s="62" t="s">
        <v>1251</v>
      </c>
      <c r="G288">
        <f t="shared" si="16"/>
        <v>250</v>
      </c>
      <c r="H288">
        <f t="shared" si="17"/>
        <v>40</v>
      </c>
      <c r="I288">
        <f t="shared" si="18"/>
        <v>121</v>
      </c>
      <c r="J288" t="str">
        <f t="shared" si="19"/>
        <v>Нет</v>
      </c>
      <c r="K288" s="62" t="s">
        <v>1246</v>
      </c>
    </row>
    <row r="289" spans="1:11" ht="15.75" customHeight="1" x14ac:dyDescent="0.25">
      <c r="A289" s="62">
        <v>294</v>
      </c>
      <c r="B289" s="62">
        <v>22</v>
      </c>
      <c r="C289" s="62" t="s">
        <v>1277</v>
      </c>
      <c r="D289" s="62" t="s">
        <v>1260</v>
      </c>
      <c r="E289" s="62" t="s">
        <v>1253</v>
      </c>
      <c r="F289" s="62" t="s">
        <v>1251</v>
      </c>
      <c r="G289">
        <f t="shared" si="16"/>
        <v>250</v>
      </c>
      <c r="H289">
        <f t="shared" si="17"/>
        <v>40</v>
      </c>
      <c r="I289">
        <f t="shared" si="18"/>
        <v>121</v>
      </c>
      <c r="J289" t="str">
        <f t="shared" si="19"/>
        <v>Нет</v>
      </c>
      <c r="K289" s="62" t="s">
        <v>1247</v>
      </c>
    </row>
    <row r="290" spans="1:11" ht="15.75" customHeight="1" x14ac:dyDescent="0.25">
      <c r="A290" s="62">
        <v>295</v>
      </c>
      <c r="B290" s="62">
        <v>24</v>
      </c>
      <c r="C290" s="62" t="s">
        <v>1277</v>
      </c>
      <c r="D290" s="62" t="s">
        <v>1243</v>
      </c>
      <c r="E290" s="62" t="s">
        <v>1250</v>
      </c>
      <c r="F290" s="62" t="s">
        <v>1254</v>
      </c>
      <c r="G290">
        <f t="shared" si="16"/>
        <v>350</v>
      </c>
      <c r="H290">
        <f t="shared" si="17"/>
        <v>41</v>
      </c>
      <c r="I290">
        <f t="shared" si="18"/>
        <v>35</v>
      </c>
      <c r="J290" t="str">
        <f t="shared" si="19"/>
        <v>Нет</v>
      </c>
      <c r="K290" s="62" t="s">
        <v>1247</v>
      </c>
    </row>
    <row r="291" spans="1:11" ht="15.75" customHeight="1" x14ac:dyDescent="0.25">
      <c r="A291" s="62">
        <v>296</v>
      </c>
      <c r="B291" s="62">
        <v>19</v>
      </c>
      <c r="C291" s="62" t="s">
        <v>1277</v>
      </c>
      <c r="D291" s="62" t="s">
        <v>1243</v>
      </c>
      <c r="E291" s="62" t="s">
        <v>1248</v>
      </c>
      <c r="F291" s="62" t="s">
        <v>1251</v>
      </c>
      <c r="G291">
        <f t="shared" si="16"/>
        <v>250</v>
      </c>
      <c r="H291">
        <f t="shared" si="17"/>
        <v>30</v>
      </c>
      <c r="I291">
        <f t="shared" si="18"/>
        <v>35</v>
      </c>
      <c r="J291" t="str">
        <f t="shared" si="19"/>
        <v>Нет</v>
      </c>
      <c r="K291" s="62" t="s">
        <v>1247</v>
      </c>
    </row>
    <row r="292" spans="1:11" ht="15.75" customHeight="1" x14ac:dyDescent="0.25">
      <c r="A292" s="62">
        <v>297</v>
      </c>
      <c r="B292" s="62">
        <v>24</v>
      </c>
      <c r="C292" s="62" t="s">
        <v>1277</v>
      </c>
      <c r="D292" s="62" t="s">
        <v>1243</v>
      </c>
      <c r="E292" s="62" t="s">
        <v>1250</v>
      </c>
      <c r="F292" s="62" t="s">
        <v>1251</v>
      </c>
      <c r="G292">
        <f t="shared" si="16"/>
        <v>250</v>
      </c>
      <c r="H292">
        <f t="shared" si="17"/>
        <v>41</v>
      </c>
      <c r="I292">
        <f t="shared" si="18"/>
        <v>35</v>
      </c>
      <c r="J292" t="str">
        <f t="shared" si="19"/>
        <v>Нет</v>
      </c>
      <c r="K292" s="62" t="s">
        <v>1246</v>
      </c>
    </row>
    <row r="293" spans="1:11" ht="15.75" customHeight="1" x14ac:dyDescent="0.25">
      <c r="A293" s="62">
        <v>298</v>
      </c>
      <c r="B293" s="62">
        <v>19</v>
      </c>
      <c r="C293" s="62" t="s">
        <v>1277</v>
      </c>
      <c r="D293" s="62" t="s">
        <v>1243</v>
      </c>
      <c r="E293" s="62" t="s">
        <v>1253</v>
      </c>
      <c r="F293" s="62" t="s">
        <v>1259</v>
      </c>
      <c r="G293">
        <f t="shared" si="16"/>
        <v>351</v>
      </c>
      <c r="H293">
        <f t="shared" si="17"/>
        <v>40</v>
      </c>
      <c r="I293">
        <f t="shared" si="18"/>
        <v>35</v>
      </c>
      <c r="J293" t="str">
        <f t="shared" si="19"/>
        <v>Да</v>
      </c>
      <c r="K293" s="62" t="s">
        <v>1252</v>
      </c>
    </row>
    <row r="294" spans="1:11" ht="15.75" customHeight="1" x14ac:dyDescent="0.25">
      <c r="A294" s="62">
        <v>299</v>
      </c>
      <c r="B294" s="62">
        <v>23</v>
      </c>
      <c r="C294" s="62" t="s">
        <v>1277</v>
      </c>
      <c r="D294" s="62" t="s">
        <v>1243</v>
      </c>
      <c r="E294" s="62" t="s">
        <v>1248</v>
      </c>
      <c r="F294" s="62" t="s">
        <v>1251</v>
      </c>
      <c r="G294">
        <f t="shared" si="16"/>
        <v>250</v>
      </c>
      <c r="H294">
        <f t="shared" si="17"/>
        <v>30</v>
      </c>
      <c r="I294">
        <f t="shared" si="18"/>
        <v>35</v>
      </c>
      <c r="J294" t="str">
        <f t="shared" si="19"/>
        <v>Нет</v>
      </c>
      <c r="K294" s="62" t="s">
        <v>1246</v>
      </c>
    </row>
    <row r="295" spans="1:11" ht="15.75" customHeight="1" x14ac:dyDescent="0.25">
      <c r="A295" s="62">
        <v>300</v>
      </c>
      <c r="B295" s="62">
        <v>20</v>
      </c>
      <c r="C295" s="62" t="s">
        <v>1277</v>
      </c>
      <c r="D295" s="62" t="s">
        <v>1243</v>
      </c>
      <c r="E295" s="62" t="s">
        <v>1253</v>
      </c>
      <c r="F295" s="62" t="s">
        <v>1254</v>
      </c>
      <c r="G295">
        <f t="shared" si="16"/>
        <v>350</v>
      </c>
      <c r="H295">
        <f t="shared" si="17"/>
        <v>40</v>
      </c>
      <c r="I295">
        <f t="shared" si="18"/>
        <v>35</v>
      </c>
      <c r="J295" t="str">
        <f t="shared" si="19"/>
        <v>Нет</v>
      </c>
      <c r="K295" s="62" t="s">
        <v>1247</v>
      </c>
    </row>
    <row r="296" spans="1:11" ht="15.75" customHeight="1" x14ac:dyDescent="0.25">
      <c r="A296" s="62">
        <v>301</v>
      </c>
      <c r="B296" s="62">
        <v>18</v>
      </c>
      <c r="C296" s="62" t="s">
        <v>1277</v>
      </c>
      <c r="D296" s="62" t="s">
        <v>1257</v>
      </c>
      <c r="E296" s="62" t="s">
        <v>1248</v>
      </c>
      <c r="F296" s="62" t="s">
        <v>1251</v>
      </c>
      <c r="G296">
        <f t="shared" si="16"/>
        <v>250</v>
      </c>
      <c r="H296">
        <f t="shared" si="17"/>
        <v>30</v>
      </c>
      <c r="I296">
        <f t="shared" si="18"/>
        <v>90</v>
      </c>
      <c r="J296" t="str">
        <f t="shared" si="19"/>
        <v>Нет</v>
      </c>
      <c r="K296" s="62" t="s">
        <v>1246</v>
      </c>
    </row>
    <row r="297" spans="1:11" ht="15.75" customHeight="1" x14ac:dyDescent="0.25">
      <c r="A297" s="62">
        <v>302</v>
      </c>
      <c r="B297" s="62">
        <v>25</v>
      </c>
      <c r="C297" s="62" t="s">
        <v>1277</v>
      </c>
      <c r="D297" s="62" t="s">
        <v>1260</v>
      </c>
      <c r="E297" s="62" t="s">
        <v>1248</v>
      </c>
      <c r="F297" s="62" t="s">
        <v>1254</v>
      </c>
      <c r="G297">
        <f t="shared" si="16"/>
        <v>350</v>
      </c>
      <c r="H297">
        <f t="shared" si="17"/>
        <v>30</v>
      </c>
      <c r="I297">
        <f t="shared" si="18"/>
        <v>121</v>
      </c>
      <c r="J297" t="str">
        <f t="shared" si="19"/>
        <v>Нет</v>
      </c>
      <c r="K297" s="62" t="s">
        <v>1242</v>
      </c>
    </row>
    <row r="298" spans="1:11" ht="15.75" customHeight="1" x14ac:dyDescent="0.25">
      <c r="A298" s="62">
        <v>303</v>
      </c>
      <c r="B298" s="62">
        <v>18</v>
      </c>
      <c r="C298" s="62" t="s">
        <v>1277</v>
      </c>
      <c r="D298" s="62" t="s">
        <v>1260</v>
      </c>
      <c r="E298" s="62" t="s">
        <v>1248</v>
      </c>
      <c r="F298" s="62" t="s">
        <v>1251</v>
      </c>
      <c r="G298">
        <f t="shared" si="16"/>
        <v>250</v>
      </c>
      <c r="H298">
        <f t="shared" si="17"/>
        <v>30</v>
      </c>
      <c r="I298">
        <f t="shared" si="18"/>
        <v>121</v>
      </c>
      <c r="J298" t="str">
        <f t="shared" si="19"/>
        <v>Нет</v>
      </c>
      <c r="K298" s="62" t="s">
        <v>1246</v>
      </c>
    </row>
    <row r="299" spans="1:11" ht="15.75" customHeight="1" x14ac:dyDescent="0.25">
      <c r="A299" s="80">
        <v>304</v>
      </c>
      <c r="B299" s="80">
        <v>20</v>
      </c>
      <c r="C299" s="80" t="s">
        <v>1277</v>
      </c>
      <c r="D299" s="80" t="s">
        <v>1258</v>
      </c>
      <c r="E299" s="80" t="s">
        <v>1248</v>
      </c>
      <c r="F299" s="80" t="s">
        <v>1254</v>
      </c>
      <c r="G299">
        <f t="shared" si="16"/>
        <v>350</v>
      </c>
      <c r="H299">
        <f t="shared" si="17"/>
        <v>30</v>
      </c>
      <c r="I299">
        <f t="shared" si="18"/>
        <v>60</v>
      </c>
      <c r="J299" t="str">
        <f t="shared" si="19"/>
        <v>Нет</v>
      </c>
      <c r="K299" s="62" t="s">
        <v>1246</v>
      </c>
    </row>
    <row r="300" spans="1:11" ht="15.75" customHeight="1" x14ac:dyDescent="0.25">
      <c r="A300" s="70" t="s">
        <v>82</v>
      </c>
      <c r="B300" s="70">
        <v>18</v>
      </c>
      <c r="C300" s="70" t="s">
        <v>1278</v>
      </c>
      <c r="D300" s="81" t="s">
        <v>1256</v>
      </c>
      <c r="E300" s="81" t="s">
        <v>1250</v>
      </c>
      <c r="F300" s="70">
        <f>VLOOKUP(VLOOKUP(A300,'Личные данные'!A:V,6,0),'Личные данные'!$X$17:$AA$21,2,0)</f>
        <v>770</v>
      </c>
    </row>
    <row r="301" spans="1:11" ht="15.75" customHeight="1" x14ac:dyDescent="0.25">
      <c r="A301" s="62" t="s">
        <v>87</v>
      </c>
      <c r="B301" s="62">
        <v>18</v>
      </c>
      <c r="C301" s="62" t="s">
        <v>1278</v>
      </c>
      <c r="D301" s="82" t="s">
        <v>1243</v>
      </c>
      <c r="E301" s="82" t="s">
        <v>1253</v>
      </c>
      <c r="F301" s="70">
        <f>VLOOKUP(VLOOKUP(A301,'Личные данные'!A:V,6,0),'Личные данные'!$X$17:$AA$21,2,0)</f>
        <v>330</v>
      </c>
    </row>
    <row r="302" spans="1:11" ht="15.75" customHeight="1" x14ac:dyDescent="0.25">
      <c r="A302" s="62" t="s">
        <v>90</v>
      </c>
      <c r="B302" s="62">
        <v>18</v>
      </c>
      <c r="C302" s="62" t="s">
        <v>1278</v>
      </c>
      <c r="D302" s="82" t="s">
        <v>1243</v>
      </c>
      <c r="E302" s="82" t="s">
        <v>1253</v>
      </c>
      <c r="F302" s="70">
        <f>VLOOKUP(VLOOKUP(A302,'Личные данные'!A:V,6,0),'Личные данные'!$X$17:$AA$21,2,0)</f>
        <v>330</v>
      </c>
    </row>
    <row r="303" spans="1:11" ht="15.75" customHeight="1" x14ac:dyDescent="0.25">
      <c r="A303" s="62" t="s">
        <v>91</v>
      </c>
      <c r="B303" s="62">
        <v>18</v>
      </c>
      <c r="C303" s="62" t="s">
        <v>1278</v>
      </c>
      <c r="D303" s="82" t="s">
        <v>1243</v>
      </c>
      <c r="E303" s="82" t="s">
        <v>1244</v>
      </c>
      <c r="F303" s="70">
        <f>VLOOKUP(VLOOKUP(A303,'Личные данные'!A:V,6,0),'Личные данные'!$X$17:$AA$21,2,0)</f>
        <v>220</v>
      </c>
    </row>
    <row r="304" spans="1:11" ht="15.75" customHeight="1" x14ac:dyDescent="0.25">
      <c r="A304" s="62" t="s">
        <v>94</v>
      </c>
      <c r="B304" s="62">
        <v>18</v>
      </c>
      <c r="C304" s="62" t="s">
        <v>1278</v>
      </c>
      <c r="D304" s="82" t="s">
        <v>1243</v>
      </c>
      <c r="E304" s="82" t="s">
        <v>1253</v>
      </c>
      <c r="F304" s="70">
        <f>VLOOKUP(VLOOKUP(A304,'Личные данные'!A:V,6,0),'Личные данные'!$X$17:$AA$21,2,0)</f>
        <v>330</v>
      </c>
    </row>
    <row r="305" spans="1:6" ht="15.75" customHeight="1" x14ac:dyDescent="0.25">
      <c r="A305" s="62" t="s">
        <v>95</v>
      </c>
      <c r="B305" s="62">
        <v>18</v>
      </c>
      <c r="C305" s="62" t="s">
        <v>1278</v>
      </c>
      <c r="D305" s="82" t="s">
        <v>1257</v>
      </c>
      <c r="E305" s="82" t="s">
        <v>1248</v>
      </c>
      <c r="F305" s="70">
        <f>VLOOKUP(VLOOKUP(A305,'Личные данные'!A:V,6,0),'Личные данные'!$X$17:$AA$21,2,0)</f>
        <v>440</v>
      </c>
    </row>
    <row r="306" spans="1:6" ht="15.75" customHeight="1" x14ac:dyDescent="0.25">
      <c r="A306" s="62" t="s">
        <v>97</v>
      </c>
      <c r="B306" s="62">
        <v>18</v>
      </c>
      <c r="C306" s="62" t="s">
        <v>1278</v>
      </c>
      <c r="D306" s="82" t="s">
        <v>1243</v>
      </c>
      <c r="E306" s="82" t="s">
        <v>1253</v>
      </c>
      <c r="F306" s="70">
        <f>VLOOKUP(VLOOKUP(A306,'Личные данные'!A:V,6,0),'Личные данные'!$X$17:$AA$21,2,0)</f>
        <v>330</v>
      </c>
    </row>
    <row r="307" spans="1:6" ht="15.75" customHeight="1" x14ac:dyDescent="0.25">
      <c r="A307" s="62" t="s">
        <v>98</v>
      </c>
      <c r="B307" s="62">
        <v>18</v>
      </c>
      <c r="C307" s="62" t="s">
        <v>1278</v>
      </c>
      <c r="D307" s="82" t="s">
        <v>1243</v>
      </c>
      <c r="E307" s="82" t="s">
        <v>1248</v>
      </c>
      <c r="F307" s="70">
        <f>VLOOKUP(VLOOKUP(A307,'Личные данные'!A:V,6,0),'Личные данные'!$X$17:$AA$21,2,0)</f>
        <v>440</v>
      </c>
    </row>
    <row r="308" spans="1:6" ht="15.75" customHeight="1" x14ac:dyDescent="0.25">
      <c r="A308" s="62" t="s">
        <v>99</v>
      </c>
      <c r="B308" s="62">
        <v>18</v>
      </c>
      <c r="C308" s="62" t="s">
        <v>1278</v>
      </c>
      <c r="D308" s="82" t="s">
        <v>1256</v>
      </c>
      <c r="E308" s="82" t="s">
        <v>1253</v>
      </c>
      <c r="F308" s="70">
        <f>VLOOKUP(VLOOKUP(A308,'Личные данные'!A:V,6,0),'Личные данные'!$X$17:$AA$21,2,0)</f>
        <v>550</v>
      </c>
    </row>
    <row r="309" spans="1:6" ht="15.75" customHeight="1" x14ac:dyDescent="0.25">
      <c r="A309" s="62" t="s">
        <v>101</v>
      </c>
      <c r="B309" s="62">
        <v>18</v>
      </c>
      <c r="C309" s="62" t="s">
        <v>1278</v>
      </c>
      <c r="D309" s="82" t="s">
        <v>1256</v>
      </c>
      <c r="E309" s="82" t="s">
        <v>1248</v>
      </c>
      <c r="F309" s="70">
        <f>VLOOKUP(VLOOKUP(A309,'Личные данные'!A:V,6,0),'Личные данные'!$X$17:$AA$21,2,0)</f>
        <v>550</v>
      </c>
    </row>
    <row r="310" spans="1:6" ht="15.75" customHeight="1" x14ac:dyDescent="0.25">
      <c r="A310" s="62" t="s">
        <v>104</v>
      </c>
      <c r="B310" s="62">
        <v>18</v>
      </c>
      <c r="C310" s="62" t="s">
        <v>1278</v>
      </c>
      <c r="D310" s="82" t="s">
        <v>1243</v>
      </c>
      <c r="E310" s="82" t="s">
        <v>1253</v>
      </c>
      <c r="F310" s="70">
        <f>VLOOKUP(VLOOKUP(A310,'Личные данные'!A:V,6,0),'Личные данные'!$X$17:$AA$21,2,0)</f>
        <v>550</v>
      </c>
    </row>
    <row r="311" spans="1:6" ht="15.75" customHeight="1" x14ac:dyDescent="0.25">
      <c r="A311" s="62" t="s">
        <v>108</v>
      </c>
      <c r="B311" s="62">
        <v>18</v>
      </c>
      <c r="C311" s="62" t="s">
        <v>1278</v>
      </c>
      <c r="D311" s="82" t="s">
        <v>1243</v>
      </c>
      <c r="E311" s="82" t="s">
        <v>1253</v>
      </c>
      <c r="F311" s="70">
        <f>VLOOKUP(VLOOKUP(A311,'Личные данные'!A:V,6,0),'Личные данные'!$X$17:$AA$21,2,0)</f>
        <v>330</v>
      </c>
    </row>
    <row r="312" spans="1:6" ht="15.75" customHeight="1" x14ac:dyDescent="0.25">
      <c r="A312" s="62" t="s">
        <v>109</v>
      </c>
      <c r="B312" s="62">
        <v>18</v>
      </c>
      <c r="C312" s="62" t="s">
        <v>1278</v>
      </c>
      <c r="D312" s="82" t="s">
        <v>1243</v>
      </c>
      <c r="E312" s="82" t="s">
        <v>1253</v>
      </c>
      <c r="F312" s="70">
        <f>VLOOKUP(VLOOKUP(A312,'Личные данные'!A:V,6,0),'Личные данные'!$X$17:$AA$21,2,0)</f>
        <v>330</v>
      </c>
    </row>
    <row r="313" spans="1:6" ht="15.75" customHeight="1" x14ac:dyDescent="0.25">
      <c r="A313" s="62" t="s">
        <v>110</v>
      </c>
      <c r="B313" s="62">
        <v>18</v>
      </c>
      <c r="C313" s="62" t="s">
        <v>1278</v>
      </c>
      <c r="D313" s="82" t="s">
        <v>1243</v>
      </c>
      <c r="E313" s="82" t="s">
        <v>1253</v>
      </c>
      <c r="F313" s="70">
        <f>VLOOKUP(VLOOKUP(A313,'Личные данные'!A:V,6,0),'Личные данные'!$X$17:$AA$21,2,0)</f>
        <v>330</v>
      </c>
    </row>
    <row r="314" spans="1:6" ht="15.75" customHeight="1" x14ac:dyDescent="0.25">
      <c r="A314" s="62" t="s">
        <v>111</v>
      </c>
      <c r="B314" s="62">
        <v>18</v>
      </c>
      <c r="C314" s="62" t="s">
        <v>1278</v>
      </c>
      <c r="D314" s="82" t="s">
        <v>1257</v>
      </c>
      <c r="E314" s="82" t="s">
        <v>1244</v>
      </c>
      <c r="F314" s="70">
        <f>VLOOKUP(VLOOKUP(A314,'Личные данные'!A:V,6,0),'Личные данные'!$X$17:$AA$21,2,0)</f>
        <v>440</v>
      </c>
    </row>
    <row r="315" spans="1:6" ht="15.75" customHeight="1" x14ac:dyDescent="0.25">
      <c r="A315" s="62" t="s">
        <v>112</v>
      </c>
      <c r="B315" s="62">
        <v>18</v>
      </c>
      <c r="C315" s="62" t="s">
        <v>1278</v>
      </c>
      <c r="D315" s="82" t="s">
        <v>1243</v>
      </c>
      <c r="E315" s="82" t="s">
        <v>1244</v>
      </c>
      <c r="F315" s="70">
        <f>VLOOKUP(VLOOKUP(A315,'Личные данные'!A:V,6,0),'Личные данные'!$X$17:$AA$21,2,0)</f>
        <v>220</v>
      </c>
    </row>
    <row r="316" spans="1:6" ht="15.75" customHeight="1" x14ac:dyDescent="0.25">
      <c r="A316" s="62" t="s">
        <v>113</v>
      </c>
      <c r="B316" s="62">
        <v>18</v>
      </c>
      <c r="C316" s="62" t="s">
        <v>1278</v>
      </c>
      <c r="D316" s="82" t="s">
        <v>1243</v>
      </c>
      <c r="E316" s="82" t="s">
        <v>1255</v>
      </c>
      <c r="F316" s="70">
        <f>VLOOKUP(VLOOKUP(A316,'Личные данные'!A:V,6,0),'Личные данные'!$X$17:$AA$21,2,0)</f>
        <v>330</v>
      </c>
    </row>
    <row r="317" spans="1:6" ht="15.75" customHeight="1" x14ac:dyDescent="0.25">
      <c r="A317" s="62" t="s">
        <v>114</v>
      </c>
      <c r="B317" s="62">
        <v>18</v>
      </c>
      <c r="C317" s="62" t="s">
        <v>1278</v>
      </c>
      <c r="D317" s="82" t="s">
        <v>1256</v>
      </c>
      <c r="E317" s="82" t="s">
        <v>1255</v>
      </c>
      <c r="F317" s="70">
        <f>VLOOKUP(VLOOKUP(A317,'Личные данные'!A:V,6,0),'Личные данные'!$X$17:$AA$21,2,0)</f>
        <v>550</v>
      </c>
    </row>
    <row r="318" spans="1:6" ht="15.75" customHeight="1" x14ac:dyDescent="0.25">
      <c r="A318" s="62" t="s">
        <v>115</v>
      </c>
      <c r="B318" s="62">
        <v>18</v>
      </c>
      <c r="C318" s="62" t="s">
        <v>1278</v>
      </c>
      <c r="D318" s="82" t="s">
        <v>1243</v>
      </c>
      <c r="E318" s="82" t="s">
        <v>1253</v>
      </c>
      <c r="F318" s="70">
        <f>VLOOKUP(VLOOKUP(A318,'Личные данные'!A:V,6,0),'Личные данные'!$X$17:$AA$21,2,0)</f>
        <v>330</v>
      </c>
    </row>
    <row r="319" spans="1:6" ht="15.75" customHeight="1" x14ac:dyDescent="0.25">
      <c r="A319" s="62" t="s">
        <v>116</v>
      </c>
      <c r="B319" s="62">
        <v>18</v>
      </c>
      <c r="C319" s="62" t="s">
        <v>1278</v>
      </c>
      <c r="D319" s="82" t="s">
        <v>1243</v>
      </c>
      <c r="E319" s="82" t="s">
        <v>1253</v>
      </c>
      <c r="F319" s="70">
        <f>VLOOKUP(VLOOKUP(A319,'Личные данные'!A:V,6,0),'Личные данные'!$X$17:$AA$21,2,0)</f>
        <v>330</v>
      </c>
    </row>
    <row r="320" spans="1:6" ht="15.75" customHeight="1" x14ac:dyDescent="0.25">
      <c r="A320" s="62" t="s">
        <v>117</v>
      </c>
      <c r="B320" s="62">
        <v>18</v>
      </c>
      <c r="C320" s="62" t="s">
        <v>1278</v>
      </c>
      <c r="D320" s="82" t="s">
        <v>1243</v>
      </c>
      <c r="E320" s="82" t="s">
        <v>1253</v>
      </c>
      <c r="F320" s="70">
        <f>VLOOKUP(VLOOKUP(A320,'Личные данные'!A:V,6,0),'Личные данные'!$X$17:$AA$21,2,0)</f>
        <v>330</v>
      </c>
    </row>
    <row r="321" spans="1:6" ht="15.75" customHeight="1" x14ac:dyDescent="0.25">
      <c r="A321" s="62" t="s">
        <v>118</v>
      </c>
      <c r="B321" s="62">
        <v>18</v>
      </c>
      <c r="C321" s="62" t="s">
        <v>1278</v>
      </c>
      <c r="D321" s="82" t="s">
        <v>1243</v>
      </c>
      <c r="E321" s="82" t="s">
        <v>1253</v>
      </c>
      <c r="F321" s="70">
        <f>VLOOKUP(VLOOKUP(A321,'Личные данные'!A:V,6,0),'Личные данные'!$X$17:$AA$21,2,0)</f>
        <v>330</v>
      </c>
    </row>
    <row r="322" spans="1:6" ht="15.75" customHeight="1" x14ac:dyDescent="0.25">
      <c r="A322" s="62" t="s">
        <v>119</v>
      </c>
      <c r="B322" s="62">
        <v>18</v>
      </c>
      <c r="C322" s="62" t="s">
        <v>1278</v>
      </c>
      <c r="D322" s="82" t="s">
        <v>1243</v>
      </c>
      <c r="E322" s="82" t="s">
        <v>1253</v>
      </c>
      <c r="F322" s="70">
        <f>VLOOKUP(VLOOKUP(A322,'Личные данные'!A:V,6,0),'Личные данные'!$X$17:$AA$21,2,0)</f>
        <v>330</v>
      </c>
    </row>
    <row r="323" spans="1:6" ht="15.75" customHeight="1" x14ac:dyDescent="0.25">
      <c r="A323" s="62" t="s">
        <v>120</v>
      </c>
      <c r="B323" s="62">
        <v>18</v>
      </c>
      <c r="C323" s="62" t="s">
        <v>1278</v>
      </c>
      <c r="D323" s="82" t="s">
        <v>1257</v>
      </c>
      <c r="E323" s="82" t="s">
        <v>1248</v>
      </c>
      <c r="F323" s="70">
        <f>VLOOKUP(VLOOKUP(A323,'Личные данные'!A:V,6,0),'Личные данные'!$X$17:$AA$21,2,0)</f>
        <v>440</v>
      </c>
    </row>
    <row r="324" spans="1:6" ht="15.75" customHeight="1" x14ac:dyDescent="0.25">
      <c r="A324" s="62" t="s">
        <v>121</v>
      </c>
      <c r="B324" s="62">
        <v>18</v>
      </c>
      <c r="C324" s="62" t="s">
        <v>1278</v>
      </c>
      <c r="D324" s="82" t="s">
        <v>1243</v>
      </c>
      <c r="E324" s="82" t="s">
        <v>1253</v>
      </c>
      <c r="F324" s="70">
        <f>VLOOKUP(VLOOKUP(A324,'Личные данные'!A:V,6,0),'Личные данные'!$X$17:$AA$21,2,0)</f>
        <v>330</v>
      </c>
    </row>
    <row r="325" spans="1:6" ht="15.75" customHeight="1" x14ac:dyDescent="0.25">
      <c r="A325" s="62" t="s">
        <v>122</v>
      </c>
      <c r="B325" s="62">
        <v>18</v>
      </c>
      <c r="C325" s="62" t="s">
        <v>1278</v>
      </c>
      <c r="D325" s="82" t="s">
        <v>1243</v>
      </c>
      <c r="E325" s="82" t="s">
        <v>1255</v>
      </c>
      <c r="F325" s="70">
        <f>VLOOKUP(VLOOKUP(A325,'Личные данные'!A:V,6,0),'Личные данные'!$X$17:$AA$21,2,0)</f>
        <v>440</v>
      </c>
    </row>
    <row r="326" spans="1:6" ht="15.75" customHeight="1" x14ac:dyDescent="0.25">
      <c r="A326" s="62" t="s">
        <v>123</v>
      </c>
      <c r="B326" s="62">
        <v>18</v>
      </c>
      <c r="C326" s="62" t="s">
        <v>1278</v>
      </c>
      <c r="D326" s="82" t="s">
        <v>1256</v>
      </c>
      <c r="E326" s="82" t="s">
        <v>1253</v>
      </c>
      <c r="F326" s="70">
        <f>VLOOKUP(VLOOKUP(A326,'Личные данные'!A:V,6,0),'Личные данные'!$X$17:$AA$21,2,0)</f>
        <v>550</v>
      </c>
    </row>
    <row r="327" spans="1:6" ht="15.75" customHeight="1" x14ac:dyDescent="0.25">
      <c r="A327" s="62" t="s">
        <v>124</v>
      </c>
      <c r="B327" s="62">
        <v>18</v>
      </c>
      <c r="C327" s="62" t="s">
        <v>1278</v>
      </c>
      <c r="D327" s="82" t="s">
        <v>1258</v>
      </c>
      <c r="E327" s="82" t="s">
        <v>1244</v>
      </c>
      <c r="F327" s="70">
        <f>VLOOKUP(VLOOKUP(A327,'Личные данные'!A:V,6,0),'Личные данные'!$X$17:$AA$21,2,0)</f>
        <v>220</v>
      </c>
    </row>
    <row r="328" spans="1:6" ht="15.75" customHeight="1" x14ac:dyDescent="0.25">
      <c r="A328" s="62" t="s">
        <v>125</v>
      </c>
      <c r="B328" s="62">
        <v>18</v>
      </c>
      <c r="C328" s="62" t="s">
        <v>1278</v>
      </c>
      <c r="D328" s="82" t="s">
        <v>1243</v>
      </c>
      <c r="E328" s="82" t="s">
        <v>1253</v>
      </c>
      <c r="F328" s="70">
        <f>VLOOKUP(VLOOKUP(A328,'Личные данные'!A:V,6,0),'Личные данные'!$X$17:$AA$21,2,0)</f>
        <v>330</v>
      </c>
    </row>
    <row r="329" spans="1:6" ht="15.75" customHeight="1" x14ac:dyDescent="0.25">
      <c r="A329" s="62" t="s">
        <v>126</v>
      </c>
      <c r="B329" s="62">
        <v>18</v>
      </c>
      <c r="C329" s="62" t="s">
        <v>1278</v>
      </c>
      <c r="D329" s="82" t="s">
        <v>1243</v>
      </c>
      <c r="E329" s="82" t="s">
        <v>1253</v>
      </c>
      <c r="F329" s="70">
        <f>VLOOKUP(VLOOKUP(A329,'Личные данные'!A:V,6,0),'Личные данные'!$X$17:$AA$21,2,0)</f>
        <v>330</v>
      </c>
    </row>
    <row r="330" spans="1:6" ht="15.75" customHeight="1" x14ac:dyDescent="0.25">
      <c r="A330" s="62" t="s">
        <v>127</v>
      </c>
      <c r="B330" s="62">
        <v>18</v>
      </c>
      <c r="C330" s="62" t="s">
        <v>1278</v>
      </c>
      <c r="D330" s="82" t="s">
        <v>1243</v>
      </c>
      <c r="E330" s="82" t="s">
        <v>1244</v>
      </c>
      <c r="F330" s="70">
        <f>VLOOKUP(VLOOKUP(A330,'Личные данные'!A:V,6,0),'Личные данные'!$X$17:$AA$21,2,0)</f>
        <v>220</v>
      </c>
    </row>
    <row r="331" spans="1:6" ht="15.75" customHeight="1" x14ac:dyDescent="0.25">
      <c r="A331" s="62" t="s">
        <v>128</v>
      </c>
      <c r="B331" s="62">
        <v>18</v>
      </c>
      <c r="C331" s="62" t="s">
        <v>1278</v>
      </c>
      <c r="D331" s="82" t="s">
        <v>1243</v>
      </c>
      <c r="E331" s="82" t="s">
        <v>1253</v>
      </c>
      <c r="F331" s="70">
        <f>VLOOKUP(VLOOKUP(A331,'Личные данные'!A:V,6,0),'Личные данные'!$X$17:$AA$21,2,0)</f>
        <v>330</v>
      </c>
    </row>
    <row r="332" spans="1:6" ht="15.75" customHeight="1" x14ac:dyDescent="0.25">
      <c r="A332" s="62" t="s">
        <v>129</v>
      </c>
      <c r="B332" s="62">
        <v>18</v>
      </c>
      <c r="C332" s="62" t="s">
        <v>1278</v>
      </c>
      <c r="D332" s="82" t="s">
        <v>1243</v>
      </c>
      <c r="E332" s="82" t="s">
        <v>1253</v>
      </c>
      <c r="F332" s="70">
        <f>VLOOKUP(VLOOKUP(A332,'Личные данные'!A:V,6,0),'Личные данные'!$X$17:$AA$21,2,0)</f>
        <v>330</v>
      </c>
    </row>
    <row r="333" spans="1:6" ht="15.75" customHeight="1" x14ac:dyDescent="0.25">
      <c r="A333" s="62" t="s">
        <v>130</v>
      </c>
      <c r="B333" s="62">
        <v>18</v>
      </c>
      <c r="C333" s="62" t="s">
        <v>1278</v>
      </c>
      <c r="D333" s="82" t="s">
        <v>1258</v>
      </c>
      <c r="E333" s="82" t="s">
        <v>1248</v>
      </c>
      <c r="F333" s="70">
        <f>VLOOKUP(VLOOKUP(A333,'Личные данные'!A:V,6,0),'Личные данные'!$X$17:$AA$21,2,0)</f>
        <v>550</v>
      </c>
    </row>
    <row r="334" spans="1:6" ht="15.75" customHeight="1" x14ac:dyDescent="0.25">
      <c r="A334" s="62" t="s">
        <v>131</v>
      </c>
      <c r="B334" s="62">
        <v>18</v>
      </c>
      <c r="C334" s="62" t="s">
        <v>1278</v>
      </c>
      <c r="D334" s="82" t="s">
        <v>1243</v>
      </c>
      <c r="E334" s="82" t="s">
        <v>1253</v>
      </c>
      <c r="F334" s="70">
        <f>VLOOKUP(VLOOKUP(A334,'Личные данные'!A:V,6,0),'Личные данные'!$X$17:$AA$21,2,0)</f>
        <v>330</v>
      </c>
    </row>
    <row r="335" spans="1:6" ht="15.75" customHeight="1" x14ac:dyDescent="0.25">
      <c r="A335" s="62" t="s">
        <v>132</v>
      </c>
      <c r="B335" s="62">
        <v>18</v>
      </c>
      <c r="C335" s="62" t="s">
        <v>1278</v>
      </c>
      <c r="D335" s="82" t="s">
        <v>1257</v>
      </c>
      <c r="E335" s="82" t="s">
        <v>1248</v>
      </c>
      <c r="F335" s="70">
        <f>VLOOKUP(VLOOKUP(A335,'Личные данные'!A:V,6,0),'Личные данные'!$X$17:$AA$21,2,0)</f>
        <v>550</v>
      </c>
    </row>
    <row r="336" spans="1:6" ht="15.75" customHeight="1" x14ac:dyDescent="0.25">
      <c r="A336" s="62" t="s">
        <v>133</v>
      </c>
      <c r="B336" s="62">
        <v>18</v>
      </c>
      <c r="C336" s="62" t="s">
        <v>1278</v>
      </c>
      <c r="D336" s="82" t="s">
        <v>1256</v>
      </c>
      <c r="E336" s="82" t="s">
        <v>1248</v>
      </c>
      <c r="F336" s="70">
        <f>VLOOKUP(VLOOKUP(A336,'Личные данные'!A:V,6,0),'Личные данные'!$X$17:$AA$21,2,0)</f>
        <v>550</v>
      </c>
    </row>
    <row r="337" spans="1:6" ht="15.75" customHeight="1" x14ac:dyDescent="0.25">
      <c r="A337" s="62" t="s">
        <v>134</v>
      </c>
      <c r="B337" s="62">
        <v>18</v>
      </c>
      <c r="C337" s="62" t="s">
        <v>1278</v>
      </c>
      <c r="D337" s="82" t="s">
        <v>1257</v>
      </c>
      <c r="E337" s="82" t="s">
        <v>1248</v>
      </c>
      <c r="F337" s="70">
        <f>VLOOKUP(VLOOKUP(A337,'Личные данные'!A:V,6,0),'Личные данные'!$X$17:$AA$21,2,0)</f>
        <v>440</v>
      </c>
    </row>
    <row r="338" spans="1:6" ht="15.75" customHeight="1" x14ac:dyDescent="0.25">
      <c r="A338" s="62" t="s">
        <v>135</v>
      </c>
      <c r="B338" s="62">
        <v>18</v>
      </c>
      <c r="C338" s="62" t="s">
        <v>1278</v>
      </c>
      <c r="D338" s="82" t="s">
        <v>1257</v>
      </c>
      <c r="E338" s="82" t="s">
        <v>1244</v>
      </c>
      <c r="F338" s="70">
        <f>VLOOKUP(VLOOKUP(A338,'Личные данные'!A:V,6,0),'Личные данные'!$X$17:$AA$21,2,0)</f>
        <v>440</v>
      </c>
    </row>
    <row r="339" spans="1:6" ht="15.75" customHeight="1" x14ac:dyDescent="0.25">
      <c r="A339" s="62" t="s">
        <v>136</v>
      </c>
      <c r="B339" s="62">
        <v>18</v>
      </c>
      <c r="C339" s="62" t="s">
        <v>1278</v>
      </c>
      <c r="D339" s="82" t="s">
        <v>1243</v>
      </c>
      <c r="E339" s="82" t="s">
        <v>1248</v>
      </c>
      <c r="F339" s="70">
        <f>VLOOKUP(VLOOKUP(A339,'Личные данные'!A:V,6,0),'Личные данные'!$X$17:$AA$21,2,0)</f>
        <v>330</v>
      </c>
    </row>
    <row r="340" spans="1:6" ht="15.75" customHeight="1" x14ac:dyDescent="0.25">
      <c r="A340" s="62" t="s">
        <v>137</v>
      </c>
      <c r="B340" s="62">
        <v>18</v>
      </c>
      <c r="C340" s="62" t="s">
        <v>1278</v>
      </c>
      <c r="D340" s="82" t="s">
        <v>1257</v>
      </c>
      <c r="E340" s="82" t="s">
        <v>1255</v>
      </c>
      <c r="F340" s="70">
        <f>VLOOKUP(VLOOKUP(A340,'Личные данные'!A:V,6,0),'Личные данные'!$X$17:$AA$21,2,0)</f>
        <v>440</v>
      </c>
    </row>
    <row r="341" spans="1:6" ht="15.75" customHeight="1" x14ac:dyDescent="0.25">
      <c r="A341" s="62" t="s">
        <v>138</v>
      </c>
      <c r="B341" s="62">
        <v>18</v>
      </c>
      <c r="C341" s="62" t="s">
        <v>1278</v>
      </c>
      <c r="D341" s="82" t="s">
        <v>1243</v>
      </c>
      <c r="E341" s="82" t="s">
        <v>1248</v>
      </c>
      <c r="F341" s="70">
        <f>VLOOKUP(VLOOKUP(A341,'Личные данные'!A:V,6,0),'Личные данные'!$X$17:$AA$21,2,0)</f>
        <v>440</v>
      </c>
    </row>
    <row r="342" spans="1:6" ht="15.75" customHeight="1" x14ac:dyDescent="0.25">
      <c r="A342" s="62" t="s">
        <v>139</v>
      </c>
      <c r="B342" s="62">
        <v>18</v>
      </c>
      <c r="C342" s="62" t="s">
        <v>1278</v>
      </c>
      <c r="D342" s="82" t="s">
        <v>1257</v>
      </c>
      <c r="E342" s="82" t="s">
        <v>1248</v>
      </c>
      <c r="F342" s="70">
        <f>VLOOKUP(VLOOKUP(A342,'Личные данные'!A:V,6,0),'Личные данные'!$X$17:$AA$21,2,0)</f>
        <v>440</v>
      </c>
    </row>
    <row r="343" spans="1:6" ht="15.75" customHeight="1" x14ac:dyDescent="0.25">
      <c r="A343" s="62" t="s">
        <v>140</v>
      </c>
      <c r="B343" s="62">
        <v>18</v>
      </c>
      <c r="C343" s="62" t="s">
        <v>1278</v>
      </c>
      <c r="D343" s="82" t="s">
        <v>1243</v>
      </c>
      <c r="E343" s="82" t="s">
        <v>1244</v>
      </c>
      <c r="F343" s="70">
        <f>VLOOKUP(VLOOKUP(A343,'Личные данные'!A:V,6,0),'Личные данные'!$X$17:$AA$21,2,0)</f>
        <v>440</v>
      </c>
    </row>
    <row r="344" spans="1:6" ht="15.75" customHeight="1" x14ac:dyDescent="0.25">
      <c r="A344" s="62" t="s">
        <v>141</v>
      </c>
      <c r="B344" s="62">
        <v>18</v>
      </c>
      <c r="C344" s="62" t="s">
        <v>1278</v>
      </c>
      <c r="D344" s="82" t="s">
        <v>1257</v>
      </c>
      <c r="E344" s="82" t="s">
        <v>1248</v>
      </c>
      <c r="F344" s="70">
        <f>VLOOKUP(VLOOKUP(A344,'Личные данные'!A:V,6,0),'Личные данные'!$X$17:$AA$21,2,0)</f>
        <v>550</v>
      </c>
    </row>
    <row r="345" spans="1:6" ht="15.75" customHeight="1" x14ac:dyDescent="0.25">
      <c r="A345" s="62" t="s">
        <v>142</v>
      </c>
      <c r="B345" s="62">
        <v>18</v>
      </c>
      <c r="C345" s="62" t="s">
        <v>1278</v>
      </c>
      <c r="D345" s="82" t="s">
        <v>1258</v>
      </c>
      <c r="E345" s="82" t="s">
        <v>1244</v>
      </c>
      <c r="F345" s="70">
        <f>VLOOKUP(VLOOKUP(A345,'Личные данные'!A:V,6,0),'Личные данные'!$X$17:$AA$21,2,0)</f>
        <v>550</v>
      </c>
    </row>
    <row r="346" spans="1:6" ht="15.75" customHeight="1" x14ac:dyDescent="0.25">
      <c r="A346" s="62" t="s">
        <v>143</v>
      </c>
      <c r="B346" s="62">
        <v>18</v>
      </c>
      <c r="C346" s="62" t="s">
        <v>1278</v>
      </c>
      <c r="D346" s="82" t="s">
        <v>1257</v>
      </c>
      <c r="E346" s="82" t="s">
        <v>1255</v>
      </c>
      <c r="F346" s="70">
        <f>VLOOKUP(VLOOKUP(A346,'Личные данные'!A:V,6,0),'Личные данные'!$X$17:$AA$21,2,0)</f>
        <v>440</v>
      </c>
    </row>
    <row r="347" spans="1:6" ht="15.75" customHeight="1" x14ac:dyDescent="0.25">
      <c r="A347" s="62" t="s">
        <v>144</v>
      </c>
      <c r="B347" s="62">
        <v>18</v>
      </c>
      <c r="C347" s="62" t="s">
        <v>1278</v>
      </c>
      <c r="D347" s="82" t="s">
        <v>1243</v>
      </c>
      <c r="E347" s="82" t="s">
        <v>1253</v>
      </c>
      <c r="F347" s="70">
        <f>VLOOKUP(VLOOKUP(A347,'Личные данные'!A:V,6,0),'Личные данные'!$X$17:$AA$21,2,0)</f>
        <v>330</v>
      </c>
    </row>
    <row r="348" spans="1:6" ht="15.75" customHeight="1" x14ac:dyDescent="0.25">
      <c r="A348" s="62" t="s">
        <v>145</v>
      </c>
      <c r="B348" s="62">
        <v>18</v>
      </c>
      <c r="C348" s="62" t="s">
        <v>1278</v>
      </c>
      <c r="D348" s="82" t="s">
        <v>1243</v>
      </c>
      <c r="E348" s="82" t="s">
        <v>1255</v>
      </c>
      <c r="F348" s="70">
        <f>VLOOKUP(VLOOKUP(A348,'Личные данные'!A:V,6,0),'Личные данные'!$X$17:$AA$21,2,0)</f>
        <v>440</v>
      </c>
    </row>
    <row r="349" spans="1:6" ht="15.75" customHeight="1" x14ac:dyDescent="0.25">
      <c r="A349" s="62" t="s">
        <v>146</v>
      </c>
      <c r="B349" s="62">
        <v>18</v>
      </c>
      <c r="C349" s="62" t="s">
        <v>1278</v>
      </c>
      <c r="D349" s="82" t="s">
        <v>1243</v>
      </c>
      <c r="E349" s="82" t="s">
        <v>1253</v>
      </c>
      <c r="F349" s="70">
        <f>VLOOKUP(VLOOKUP(A349,'Личные данные'!A:V,6,0),'Личные данные'!$X$17:$AA$21,2,0)</f>
        <v>330</v>
      </c>
    </row>
    <row r="350" spans="1:6" ht="15.75" customHeight="1" x14ac:dyDescent="0.25">
      <c r="A350" s="62" t="s">
        <v>147</v>
      </c>
      <c r="B350" s="62">
        <v>18</v>
      </c>
      <c r="C350" s="62" t="s">
        <v>1278</v>
      </c>
      <c r="D350" s="82" t="s">
        <v>1257</v>
      </c>
      <c r="E350" s="82" t="s">
        <v>1244</v>
      </c>
      <c r="F350" s="70">
        <f>VLOOKUP(VLOOKUP(A350,'Личные данные'!A:V,6,0),'Личные данные'!$X$17:$AA$21,2,0)</f>
        <v>440</v>
      </c>
    </row>
    <row r="351" spans="1:6" ht="15.75" customHeight="1" x14ac:dyDescent="0.25">
      <c r="A351" s="62" t="s">
        <v>148</v>
      </c>
      <c r="B351" s="62">
        <v>18</v>
      </c>
      <c r="C351" s="62" t="s">
        <v>1278</v>
      </c>
      <c r="D351" s="82" t="s">
        <v>1243</v>
      </c>
      <c r="E351" s="82" t="s">
        <v>1253</v>
      </c>
      <c r="F351" s="70">
        <f>VLOOKUP(VLOOKUP(A351,'Личные данные'!A:V,6,0),'Личные данные'!$X$17:$AA$21,2,0)</f>
        <v>330</v>
      </c>
    </row>
    <row r="352" spans="1:6" ht="15.75" customHeight="1" x14ac:dyDescent="0.25">
      <c r="A352" s="62" t="s">
        <v>149</v>
      </c>
      <c r="B352" s="62">
        <v>18</v>
      </c>
      <c r="C352" s="62" t="s">
        <v>1278</v>
      </c>
      <c r="D352" s="82" t="s">
        <v>1243</v>
      </c>
      <c r="E352" s="82" t="s">
        <v>1255</v>
      </c>
      <c r="F352" s="70">
        <f>VLOOKUP(VLOOKUP(A352,'Личные данные'!A:V,6,0),'Личные данные'!$X$17:$AA$21,2,0)</f>
        <v>440</v>
      </c>
    </row>
    <row r="353" spans="1:6" ht="15.75" customHeight="1" x14ac:dyDescent="0.25">
      <c r="A353" s="62" t="s">
        <v>150</v>
      </c>
      <c r="B353" s="62">
        <v>18</v>
      </c>
      <c r="C353" s="62" t="s">
        <v>1278</v>
      </c>
      <c r="D353" s="82" t="s">
        <v>1256</v>
      </c>
      <c r="E353" s="82" t="s">
        <v>1255</v>
      </c>
      <c r="F353" s="70">
        <f>VLOOKUP(VLOOKUP(A353,'Личные данные'!A:V,6,0),'Личные данные'!$X$17:$AA$21,2,0)</f>
        <v>550</v>
      </c>
    </row>
    <row r="354" spans="1:6" ht="15.75" customHeight="1" x14ac:dyDescent="0.25">
      <c r="A354" s="62" t="s">
        <v>151</v>
      </c>
      <c r="B354" s="62">
        <v>18</v>
      </c>
      <c r="C354" s="62" t="s">
        <v>1278</v>
      </c>
      <c r="D354" s="82" t="s">
        <v>1257</v>
      </c>
      <c r="E354" s="82" t="s">
        <v>1244</v>
      </c>
      <c r="F354" s="70">
        <f>VLOOKUP(VLOOKUP(A354,'Личные данные'!A:V,6,0),'Личные данные'!$X$17:$AA$21,2,0)</f>
        <v>440</v>
      </c>
    </row>
    <row r="355" spans="1:6" ht="15.75" customHeight="1" x14ac:dyDescent="0.25">
      <c r="A355" s="62" t="s">
        <v>152</v>
      </c>
      <c r="B355" s="62">
        <v>18</v>
      </c>
      <c r="C355" s="62" t="s">
        <v>1278</v>
      </c>
      <c r="D355" s="82" t="s">
        <v>1258</v>
      </c>
      <c r="E355" s="82" t="s">
        <v>1253</v>
      </c>
      <c r="F355" s="70">
        <f>VLOOKUP(VLOOKUP(A355,'Личные данные'!A:V,6,0),'Личные данные'!$X$17:$AA$21,2,0)</f>
        <v>550</v>
      </c>
    </row>
    <row r="356" spans="1:6" ht="15.75" customHeight="1" x14ac:dyDescent="0.25">
      <c r="A356" s="62" t="s">
        <v>153</v>
      </c>
      <c r="B356" s="62">
        <v>18</v>
      </c>
      <c r="C356" s="62" t="s">
        <v>1278</v>
      </c>
      <c r="D356" s="82" t="s">
        <v>1243</v>
      </c>
      <c r="E356" s="82" t="s">
        <v>1253</v>
      </c>
      <c r="F356" s="70">
        <f>VLOOKUP(VLOOKUP(A356,'Личные данные'!A:V,6,0),'Личные данные'!$X$17:$AA$21,2,0)</f>
        <v>330</v>
      </c>
    </row>
    <row r="357" spans="1:6" ht="15.75" customHeight="1" x14ac:dyDescent="0.25">
      <c r="A357" s="62" t="s">
        <v>154</v>
      </c>
      <c r="B357" s="62">
        <v>18</v>
      </c>
      <c r="C357" s="62" t="s">
        <v>1278</v>
      </c>
      <c r="D357" s="82" t="s">
        <v>1243</v>
      </c>
      <c r="E357" s="82" t="s">
        <v>1248</v>
      </c>
      <c r="F357" s="70">
        <f>VLOOKUP(VLOOKUP(A357,'Личные данные'!A:V,6,0),'Личные данные'!$X$17:$AA$21,2,0)</f>
        <v>440</v>
      </c>
    </row>
    <row r="358" spans="1:6" ht="15.75" customHeight="1" x14ac:dyDescent="0.25">
      <c r="A358" s="62" t="s">
        <v>155</v>
      </c>
      <c r="B358" s="62">
        <v>18</v>
      </c>
      <c r="C358" s="62" t="s">
        <v>1278</v>
      </c>
      <c r="D358" s="82" t="s">
        <v>1243</v>
      </c>
      <c r="E358" s="82" t="s">
        <v>1253</v>
      </c>
      <c r="F358" s="70">
        <f>VLOOKUP(VLOOKUP(A358,'Личные данные'!A:V,6,0),'Личные данные'!$X$17:$AA$21,2,0)</f>
        <v>330</v>
      </c>
    </row>
    <row r="359" spans="1:6" ht="15.75" customHeight="1" x14ac:dyDescent="0.25">
      <c r="A359" s="62" t="s">
        <v>156</v>
      </c>
      <c r="B359" s="62">
        <v>18</v>
      </c>
      <c r="C359" s="62" t="s">
        <v>1278</v>
      </c>
      <c r="D359" s="82" t="s">
        <v>1257</v>
      </c>
      <c r="E359" s="82" t="s">
        <v>1248</v>
      </c>
      <c r="F359" s="70">
        <f>VLOOKUP(VLOOKUP(A359,'Личные данные'!A:V,6,0),'Личные данные'!$X$17:$AA$21,2,0)</f>
        <v>550</v>
      </c>
    </row>
    <row r="360" spans="1:6" ht="15.75" customHeight="1" x14ac:dyDescent="0.25">
      <c r="A360" s="62" t="s">
        <v>157</v>
      </c>
      <c r="B360" s="62">
        <v>18</v>
      </c>
      <c r="C360" s="62" t="s">
        <v>1278</v>
      </c>
      <c r="D360" s="82" t="s">
        <v>1243</v>
      </c>
      <c r="E360" s="82" t="s">
        <v>1255</v>
      </c>
      <c r="F360" s="70">
        <f>VLOOKUP(VLOOKUP(A360,'Личные данные'!A:V,6,0),'Личные данные'!$X$17:$AA$21,2,0)</f>
        <v>330</v>
      </c>
    </row>
    <row r="361" spans="1:6" ht="15.75" customHeight="1" x14ac:dyDescent="0.25">
      <c r="A361" s="62" t="s">
        <v>158</v>
      </c>
      <c r="B361" s="62">
        <v>18</v>
      </c>
      <c r="C361" s="62" t="s">
        <v>1278</v>
      </c>
      <c r="D361" s="82" t="s">
        <v>1258</v>
      </c>
      <c r="E361" s="82" t="s">
        <v>1244</v>
      </c>
      <c r="F361" s="70">
        <f>VLOOKUP(VLOOKUP(A361,'Личные данные'!A:V,6,0),'Личные данные'!$X$17:$AA$21,2,0)</f>
        <v>220</v>
      </c>
    </row>
    <row r="362" spans="1:6" ht="15.75" customHeight="1" x14ac:dyDescent="0.25">
      <c r="A362" s="62" t="s">
        <v>159</v>
      </c>
      <c r="B362" s="62">
        <v>18</v>
      </c>
      <c r="C362" s="62" t="s">
        <v>1278</v>
      </c>
      <c r="D362" s="82" t="s">
        <v>1243</v>
      </c>
      <c r="E362" s="82" t="s">
        <v>1244</v>
      </c>
      <c r="F362" s="70">
        <f>VLOOKUP(VLOOKUP(A362,'Личные данные'!A:V,6,0),'Личные данные'!$X$17:$AA$21,2,0)</f>
        <v>220</v>
      </c>
    </row>
    <row r="363" spans="1:6" ht="15.75" customHeight="1" x14ac:dyDescent="0.25">
      <c r="A363" s="62" t="s">
        <v>160</v>
      </c>
      <c r="B363" s="62">
        <v>18</v>
      </c>
      <c r="C363" s="62" t="s">
        <v>1278</v>
      </c>
      <c r="D363" s="82" t="s">
        <v>1243</v>
      </c>
      <c r="E363" s="82" t="s">
        <v>1244</v>
      </c>
      <c r="F363" s="70">
        <f>VLOOKUP(VLOOKUP(A363,'Личные данные'!A:V,6,0),'Личные данные'!$X$17:$AA$21,2,0)</f>
        <v>220</v>
      </c>
    </row>
    <row r="364" spans="1:6" ht="15.75" customHeight="1" x14ac:dyDescent="0.25">
      <c r="A364" s="62" t="s">
        <v>161</v>
      </c>
      <c r="B364" s="62">
        <v>18</v>
      </c>
      <c r="C364" s="62" t="s">
        <v>1278</v>
      </c>
      <c r="D364" s="82" t="s">
        <v>1258</v>
      </c>
      <c r="E364" s="82" t="s">
        <v>1244</v>
      </c>
      <c r="F364" s="70">
        <f>VLOOKUP(VLOOKUP(A364,'Личные данные'!A:V,6,0),'Личные данные'!$X$17:$AA$21,2,0)</f>
        <v>220</v>
      </c>
    </row>
    <row r="365" spans="1:6" ht="15.75" customHeight="1" x14ac:dyDescent="0.25">
      <c r="A365" s="62" t="s">
        <v>162</v>
      </c>
      <c r="B365" s="62">
        <v>18</v>
      </c>
      <c r="C365" s="62" t="s">
        <v>1278</v>
      </c>
      <c r="D365" s="82" t="s">
        <v>1243</v>
      </c>
      <c r="E365" s="82" t="s">
        <v>1253</v>
      </c>
      <c r="F365" s="70">
        <f>VLOOKUP(VLOOKUP(A365,'Личные данные'!A:V,6,0),'Личные данные'!$X$17:$AA$21,2,0)</f>
        <v>330</v>
      </c>
    </row>
    <row r="366" spans="1:6" ht="15.75" customHeight="1" x14ac:dyDescent="0.25">
      <c r="A366" s="62" t="s">
        <v>163</v>
      </c>
      <c r="B366" s="62">
        <v>18</v>
      </c>
      <c r="C366" s="62" t="s">
        <v>1278</v>
      </c>
      <c r="D366" s="82" t="s">
        <v>1243</v>
      </c>
      <c r="E366" s="82" t="s">
        <v>1253</v>
      </c>
      <c r="F366" s="70">
        <f>VLOOKUP(VLOOKUP(A366,'Личные данные'!A:V,6,0),'Личные данные'!$X$17:$AA$21,2,0)</f>
        <v>330</v>
      </c>
    </row>
    <row r="367" spans="1:6" ht="15.75" customHeight="1" x14ac:dyDescent="0.25">
      <c r="A367" s="62" t="s">
        <v>164</v>
      </c>
      <c r="B367" s="62">
        <v>18</v>
      </c>
      <c r="C367" s="62" t="s">
        <v>1278</v>
      </c>
      <c r="D367" s="82" t="s">
        <v>1243</v>
      </c>
      <c r="E367" s="82" t="s">
        <v>1248</v>
      </c>
      <c r="F367" s="70">
        <f>VLOOKUP(VLOOKUP(A367,'Личные данные'!A:V,6,0),'Личные данные'!$X$17:$AA$21,2,0)</f>
        <v>440</v>
      </c>
    </row>
    <row r="368" spans="1:6" ht="15.75" customHeight="1" x14ac:dyDescent="0.25">
      <c r="A368" s="62" t="s">
        <v>165</v>
      </c>
      <c r="B368" s="62">
        <v>18</v>
      </c>
      <c r="C368" s="62" t="s">
        <v>1278</v>
      </c>
      <c r="D368" s="82" t="s">
        <v>1243</v>
      </c>
      <c r="E368" s="82" t="s">
        <v>1248</v>
      </c>
      <c r="F368" s="70">
        <f>VLOOKUP(VLOOKUP(A368,'Личные данные'!A:V,6,0),'Личные данные'!$X$17:$AA$21,2,0)</f>
        <v>330</v>
      </c>
    </row>
    <row r="369" spans="1:6" ht="15.75" customHeight="1" x14ac:dyDescent="0.25">
      <c r="A369" s="62" t="s">
        <v>166</v>
      </c>
      <c r="B369" s="62">
        <v>18</v>
      </c>
      <c r="C369" s="62" t="s">
        <v>1278</v>
      </c>
      <c r="D369" s="82" t="s">
        <v>1243</v>
      </c>
      <c r="E369" s="82" t="s">
        <v>1248</v>
      </c>
      <c r="F369" s="70">
        <f>VLOOKUP(VLOOKUP(A369,'Личные данные'!A:V,6,0),'Личные данные'!$X$17:$AA$21,2,0)</f>
        <v>330</v>
      </c>
    </row>
    <row r="370" spans="1:6" ht="15.75" customHeight="1" x14ac:dyDescent="0.25">
      <c r="A370" s="62" t="s">
        <v>167</v>
      </c>
      <c r="B370" s="62">
        <v>18</v>
      </c>
      <c r="C370" s="62" t="s">
        <v>1278</v>
      </c>
      <c r="D370" s="82" t="s">
        <v>1243</v>
      </c>
      <c r="E370" s="82" t="s">
        <v>1248</v>
      </c>
      <c r="F370" s="70">
        <f>VLOOKUP(VLOOKUP(A370,'Личные данные'!A:V,6,0),'Личные данные'!$X$17:$AA$21,2,0)</f>
        <v>330</v>
      </c>
    </row>
    <row r="371" spans="1:6" ht="15.75" customHeight="1" x14ac:dyDescent="0.25">
      <c r="A371" s="62" t="s">
        <v>168</v>
      </c>
      <c r="B371" s="62">
        <v>18</v>
      </c>
      <c r="C371" s="62" t="s">
        <v>1278</v>
      </c>
      <c r="D371" s="82" t="s">
        <v>1243</v>
      </c>
      <c r="E371" s="82" t="s">
        <v>1253</v>
      </c>
      <c r="F371" s="70">
        <f>VLOOKUP(VLOOKUP(A371,'Личные данные'!A:V,6,0),'Личные данные'!$X$17:$AA$21,2,0)</f>
        <v>330</v>
      </c>
    </row>
    <row r="372" spans="1:6" ht="15.75" customHeight="1" x14ac:dyDescent="0.25">
      <c r="A372" s="62" t="s">
        <v>169</v>
      </c>
      <c r="B372" s="62">
        <v>18</v>
      </c>
      <c r="C372" s="62" t="s">
        <v>1278</v>
      </c>
      <c r="D372" s="82" t="s">
        <v>1243</v>
      </c>
      <c r="E372" s="82" t="s">
        <v>1244</v>
      </c>
      <c r="F372" s="70">
        <f>VLOOKUP(VLOOKUP(A372,'Личные данные'!A:V,6,0),'Личные данные'!$X$17:$AA$21,2,0)</f>
        <v>330</v>
      </c>
    </row>
    <row r="373" spans="1:6" ht="15.75" customHeight="1" x14ac:dyDescent="0.25">
      <c r="A373" s="62" t="s">
        <v>170</v>
      </c>
      <c r="B373" s="62">
        <v>18</v>
      </c>
      <c r="C373" s="62" t="s">
        <v>1278</v>
      </c>
      <c r="D373" s="82" t="s">
        <v>1257</v>
      </c>
      <c r="E373" s="82" t="s">
        <v>1248</v>
      </c>
      <c r="F373" s="70">
        <f>VLOOKUP(VLOOKUP(A373,'Личные данные'!A:V,6,0),'Личные данные'!$X$17:$AA$21,2,0)</f>
        <v>440</v>
      </c>
    </row>
    <row r="374" spans="1:6" ht="15.75" customHeight="1" x14ac:dyDescent="0.25">
      <c r="A374" s="62" t="s">
        <v>171</v>
      </c>
      <c r="B374" s="62">
        <v>18</v>
      </c>
      <c r="C374" s="62" t="s">
        <v>1278</v>
      </c>
      <c r="D374" s="82" t="s">
        <v>1257</v>
      </c>
      <c r="E374" s="82" t="s">
        <v>1248</v>
      </c>
      <c r="F374" s="70">
        <f>VLOOKUP(VLOOKUP(A374,'Личные данные'!A:V,6,0),'Личные данные'!$X$17:$AA$21,2,0)</f>
        <v>440</v>
      </c>
    </row>
    <row r="375" spans="1:6" ht="15.75" customHeight="1" x14ac:dyDescent="0.25">
      <c r="A375" s="62" t="s">
        <v>172</v>
      </c>
      <c r="B375" s="62">
        <v>18</v>
      </c>
      <c r="C375" s="62" t="s">
        <v>1278</v>
      </c>
      <c r="D375" s="82" t="s">
        <v>1243</v>
      </c>
      <c r="E375" s="82" t="s">
        <v>1253</v>
      </c>
      <c r="F375" s="70">
        <f>VLOOKUP(VLOOKUP(A375,'Личные данные'!A:V,6,0),'Личные данные'!$X$17:$AA$21,2,0)</f>
        <v>330</v>
      </c>
    </row>
    <row r="376" spans="1:6" ht="15.75" customHeight="1" x14ac:dyDescent="0.25">
      <c r="A376" s="62" t="s">
        <v>173</v>
      </c>
      <c r="B376" s="62">
        <v>18</v>
      </c>
      <c r="C376" s="62" t="s">
        <v>1278</v>
      </c>
      <c r="D376" s="82" t="s">
        <v>1258</v>
      </c>
      <c r="E376" s="82" t="s">
        <v>1244</v>
      </c>
      <c r="F376" s="70">
        <f>VLOOKUP(VLOOKUP(A376,'Личные данные'!A:V,6,0),'Личные данные'!$X$17:$AA$21,2,0)</f>
        <v>220</v>
      </c>
    </row>
    <row r="377" spans="1:6" ht="15.75" customHeight="1" x14ac:dyDescent="0.25">
      <c r="A377" s="62" t="s">
        <v>174</v>
      </c>
      <c r="B377" s="62">
        <v>18</v>
      </c>
      <c r="C377" s="62" t="s">
        <v>1278</v>
      </c>
      <c r="D377" s="82" t="s">
        <v>1243</v>
      </c>
      <c r="E377" s="82" t="s">
        <v>1253</v>
      </c>
      <c r="F377" s="70">
        <f>VLOOKUP(VLOOKUP(A377,'Личные данные'!A:V,6,0),'Личные данные'!$X$17:$AA$21,2,0)</f>
        <v>330</v>
      </c>
    </row>
    <row r="378" spans="1:6" ht="15.75" customHeight="1" x14ac:dyDescent="0.25">
      <c r="A378" s="62" t="s">
        <v>175</v>
      </c>
      <c r="B378" s="62">
        <v>18</v>
      </c>
      <c r="C378" s="62" t="s">
        <v>1278</v>
      </c>
      <c r="D378" s="82" t="s">
        <v>1257</v>
      </c>
      <c r="E378" s="82" t="s">
        <v>1248</v>
      </c>
      <c r="F378" s="70">
        <f>VLOOKUP(VLOOKUP(A378,'Личные данные'!A:V,6,0),'Личные данные'!$X$17:$AA$21,2,0)</f>
        <v>440</v>
      </c>
    </row>
    <row r="379" spans="1:6" ht="15.75" customHeight="1" x14ac:dyDescent="0.25">
      <c r="A379" s="62" t="s">
        <v>176</v>
      </c>
      <c r="B379" s="62">
        <v>18</v>
      </c>
      <c r="C379" s="62" t="s">
        <v>1278</v>
      </c>
      <c r="D379" s="82" t="s">
        <v>1243</v>
      </c>
      <c r="E379" s="82" t="s">
        <v>1248</v>
      </c>
      <c r="F379" s="70">
        <f>VLOOKUP(VLOOKUP(A379,'Личные данные'!A:V,6,0),'Личные данные'!$X$17:$AA$21,2,0)</f>
        <v>440</v>
      </c>
    </row>
    <row r="380" spans="1:6" ht="15.75" customHeight="1" x14ac:dyDescent="0.25">
      <c r="A380" s="62" t="s">
        <v>177</v>
      </c>
      <c r="B380" s="62">
        <v>18</v>
      </c>
      <c r="C380" s="62" t="s">
        <v>1278</v>
      </c>
      <c r="D380" s="82" t="s">
        <v>1243</v>
      </c>
      <c r="E380" s="82" t="s">
        <v>1248</v>
      </c>
      <c r="F380" s="70">
        <f>VLOOKUP(VLOOKUP(A380,'Личные данные'!A:V,6,0),'Личные данные'!$X$17:$AA$21,2,0)</f>
        <v>330</v>
      </c>
    </row>
    <row r="381" spans="1:6" ht="15.75" customHeight="1" x14ac:dyDescent="0.25">
      <c r="A381" s="62" t="s">
        <v>178</v>
      </c>
      <c r="B381" s="62">
        <v>18</v>
      </c>
      <c r="C381" s="62" t="s">
        <v>1278</v>
      </c>
      <c r="D381" s="82" t="s">
        <v>1260</v>
      </c>
      <c r="E381" s="82" t="s">
        <v>1250</v>
      </c>
      <c r="F381" s="70">
        <f>VLOOKUP(VLOOKUP(A381,'Личные данные'!A:V,6,0),'Личные данные'!$X$17:$AA$21,2,0)</f>
        <v>770</v>
      </c>
    </row>
    <row r="382" spans="1:6" ht="15.75" customHeight="1" x14ac:dyDescent="0.25">
      <c r="A382" s="62" t="s">
        <v>179</v>
      </c>
      <c r="B382" s="62">
        <v>18</v>
      </c>
      <c r="C382" s="62" t="s">
        <v>1278</v>
      </c>
      <c r="D382" s="82" t="s">
        <v>1257</v>
      </c>
      <c r="E382" s="82" t="s">
        <v>1250</v>
      </c>
      <c r="F382" s="70">
        <f>VLOOKUP(VLOOKUP(A382,'Личные данные'!A:V,6,0),'Личные данные'!$X$17:$AA$21,2,0)</f>
        <v>770</v>
      </c>
    </row>
    <row r="383" spans="1:6" ht="15.75" customHeight="1" x14ac:dyDescent="0.25">
      <c r="A383" s="62" t="s">
        <v>180</v>
      </c>
      <c r="B383" s="62">
        <v>18</v>
      </c>
      <c r="C383" s="62" t="s">
        <v>1278</v>
      </c>
      <c r="D383" s="82" t="s">
        <v>1243</v>
      </c>
      <c r="E383" s="82" t="s">
        <v>1253</v>
      </c>
      <c r="F383" s="70">
        <f>VLOOKUP(VLOOKUP(A383,'Личные данные'!A:V,6,0),'Личные данные'!$X$17:$AA$21,2,0)</f>
        <v>330</v>
      </c>
    </row>
    <row r="384" spans="1:6" ht="15.75" customHeight="1" x14ac:dyDescent="0.25">
      <c r="A384" s="62" t="s">
        <v>181</v>
      </c>
      <c r="B384" s="62">
        <v>18</v>
      </c>
      <c r="C384" s="62" t="s">
        <v>1278</v>
      </c>
      <c r="D384" s="82" t="s">
        <v>1243</v>
      </c>
      <c r="E384" s="82" t="s">
        <v>1253</v>
      </c>
      <c r="F384" s="70">
        <f>VLOOKUP(VLOOKUP(A384,'Личные данные'!A:V,6,0),'Личные данные'!$X$17:$AA$21,2,0)</f>
        <v>550</v>
      </c>
    </row>
    <row r="385" spans="1:6" ht="15.75" customHeight="1" x14ac:dyDescent="0.25">
      <c r="A385" s="62" t="s">
        <v>182</v>
      </c>
      <c r="B385" s="62">
        <v>18</v>
      </c>
      <c r="C385" s="62" t="s">
        <v>1278</v>
      </c>
      <c r="D385" s="82" t="s">
        <v>1256</v>
      </c>
      <c r="E385" s="82" t="s">
        <v>1248</v>
      </c>
      <c r="F385" s="70">
        <f>VLOOKUP(VLOOKUP(A385,'Личные данные'!A:V,6,0),'Личные данные'!$X$17:$AA$21,2,0)</f>
        <v>550</v>
      </c>
    </row>
    <row r="386" spans="1:6" ht="15.75" customHeight="1" x14ac:dyDescent="0.25">
      <c r="A386" s="62" t="s">
        <v>183</v>
      </c>
      <c r="B386" s="62">
        <v>18</v>
      </c>
      <c r="C386" s="62" t="s">
        <v>1278</v>
      </c>
      <c r="D386" s="82" t="s">
        <v>1243</v>
      </c>
      <c r="E386" s="82" t="s">
        <v>1248</v>
      </c>
      <c r="F386" s="70">
        <f>VLOOKUP(VLOOKUP(A386,'Личные данные'!A:V,6,0),'Личные данные'!$X$17:$AA$21,2,0)</f>
        <v>440</v>
      </c>
    </row>
    <row r="387" spans="1:6" ht="15.75" customHeight="1" x14ac:dyDescent="0.25">
      <c r="A387" s="62" t="s">
        <v>184</v>
      </c>
      <c r="B387" s="62">
        <v>18</v>
      </c>
      <c r="C387" s="62" t="s">
        <v>1278</v>
      </c>
      <c r="D387" s="82" t="s">
        <v>1258</v>
      </c>
      <c r="E387" s="82" t="s">
        <v>1248</v>
      </c>
      <c r="F387" s="70">
        <f>VLOOKUP(VLOOKUP(A387,'Личные данные'!A:V,6,0),'Личные данные'!$X$17:$AA$21,2,0)</f>
        <v>440</v>
      </c>
    </row>
    <row r="388" spans="1:6" ht="15.75" customHeight="1" x14ac:dyDescent="0.25">
      <c r="A388" s="62" t="s">
        <v>185</v>
      </c>
      <c r="B388" s="62">
        <v>18</v>
      </c>
      <c r="C388" s="62" t="s">
        <v>1278</v>
      </c>
      <c r="D388" s="82" t="s">
        <v>1258</v>
      </c>
      <c r="E388" s="82" t="s">
        <v>1253</v>
      </c>
      <c r="F388" s="70">
        <f>VLOOKUP(VLOOKUP(A388,'Личные данные'!A:V,6,0),'Личные данные'!$X$17:$AA$21,2,0)</f>
        <v>550</v>
      </c>
    </row>
    <row r="389" spans="1:6" ht="15.75" customHeight="1" x14ac:dyDescent="0.25">
      <c r="A389" s="62" t="s">
        <v>186</v>
      </c>
      <c r="B389" s="62">
        <v>18</v>
      </c>
      <c r="C389" s="62" t="s">
        <v>1278</v>
      </c>
      <c r="D389" s="82" t="s">
        <v>1243</v>
      </c>
      <c r="E389" s="82" t="s">
        <v>1253</v>
      </c>
      <c r="F389" s="70">
        <f>VLOOKUP(VLOOKUP(A389,'Личные данные'!A:V,6,0),'Личные данные'!$X$17:$AA$21,2,0)</f>
        <v>330</v>
      </c>
    </row>
    <row r="390" spans="1:6" ht="15.75" customHeight="1" x14ac:dyDescent="0.25">
      <c r="A390" s="62" t="s">
        <v>187</v>
      </c>
      <c r="B390" s="62">
        <v>18</v>
      </c>
      <c r="C390" s="62" t="s">
        <v>1278</v>
      </c>
      <c r="D390" s="82" t="s">
        <v>1243</v>
      </c>
      <c r="E390" s="82" t="s">
        <v>1248</v>
      </c>
      <c r="F390" s="70">
        <f>VLOOKUP(VLOOKUP(A390,'Личные данные'!A:V,6,0),'Личные данные'!$X$17:$AA$21,2,0)</f>
        <v>330</v>
      </c>
    </row>
    <row r="391" spans="1:6" ht="15.75" customHeight="1" x14ac:dyDescent="0.25">
      <c r="A391" s="62" t="s">
        <v>188</v>
      </c>
      <c r="B391" s="62">
        <v>18</v>
      </c>
      <c r="C391" s="62" t="s">
        <v>1278</v>
      </c>
      <c r="D391" s="82" t="s">
        <v>1243</v>
      </c>
      <c r="E391" s="82" t="s">
        <v>1255</v>
      </c>
      <c r="F391" s="70">
        <f>VLOOKUP(VLOOKUP(A391,'Личные данные'!A:V,6,0),'Личные данные'!$X$17:$AA$21,2,0)</f>
        <v>440</v>
      </c>
    </row>
    <row r="392" spans="1:6" ht="15.75" customHeight="1" x14ac:dyDescent="0.25">
      <c r="A392" s="62" t="s">
        <v>189</v>
      </c>
      <c r="B392" s="62">
        <v>18</v>
      </c>
      <c r="C392" s="62" t="s">
        <v>1278</v>
      </c>
      <c r="D392" s="82" t="s">
        <v>1258</v>
      </c>
      <c r="E392" s="82" t="s">
        <v>1244</v>
      </c>
      <c r="F392" s="70">
        <f>VLOOKUP(VLOOKUP(A392,'Личные данные'!A:V,6,0),'Личные данные'!$X$17:$AA$21,2,0)</f>
        <v>440</v>
      </c>
    </row>
    <row r="393" spans="1:6" ht="15.75" customHeight="1" x14ac:dyDescent="0.25">
      <c r="A393" s="62" t="s">
        <v>190</v>
      </c>
      <c r="B393" s="62">
        <v>18</v>
      </c>
      <c r="C393" s="62" t="s">
        <v>1278</v>
      </c>
      <c r="D393" s="82" t="s">
        <v>1243</v>
      </c>
      <c r="E393" s="82" t="s">
        <v>1253</v>
      </c>
      <c r="F393" s="70">
        <f>VLOOKUP(VLOOKUP(A393,'Личные данные'!A:V,6,0),'Личные данные'!$X$17:$AA$21,2,0)</f>
        <v>330</v>
      </c>
    </row>
    <row r="394" spans="1:6" ht="15.75" customHeight="1" x14ac:dyDescent="0.25">
      <c r="A394" s="62" t="s">
        <v>191</v>
      </c>
      <c r="B394" s="62">
        <v>18</v>
      </c>
      <c r="C394" s="62" t="s">
        <v>1278</v>
      </c>
      <c r="D394" s="82" t="s">
        <v>1243</v>
      </c>
      <c r="E394" s="82" t="s">
        <v>1248</v>
      </c>
      <c r="F394" s="70">
        <f>VLOOKUP(VLOOKUP(A394,'Личные данные'!A:V,6,0),'Личные данные'!$X$17:$AA$21,2,0)</f>
        <v>440</v>
      </c>
    </row>
    <row r="395" spans="1:6" ht="15.75" customHeight="1" x14ac:dyDescent="0.25">
      <c r="A395" s="62" t="s">
        <v>192</v>
      </c>
      <c r="B395" s="62">
        <v>18</v>
      </c>
      <c r="C395" s="62" t="s">
        <v>1278</v>
      </c>
      <c r="D395" s="82" t="s">
        <v>1243</v>
      </c>
      <c r="E395" s="82" t="s">
        <v>1248</v>
      </c>
      <c r="F395" s="70">
        <f>VLOOKUP(VLOOKUP(A395,'Личные данные'!A:V,6,0),'Личные данные'!$X$17:$AA$21,2,0)</f>
        <v>330</v>
      </c>
    </row>
    <row r="396" spans="1:6" ht="15.75" customHeight="1" x14ac:dyDescent="0.25">
      <c r="A396" s="62" t="s">
        <v>193</v>
      </c>
      <c r="B396" s="62">
        <v>19</v>
      </c>
      <c r="C396" s="62" t="s">
        <v>1278</v>
      </c>
      <c r="D396" s="82" t="s">
        <v>1256</v>
      </c>
      <c r="E396" s="82" t="s">
        <v>1253</v>
      </c>
      <c r="F396" s="70">
        <f>VLOOKUP(VLOOKUP(A396,'Личные данные'!A:V,6,0),'Личные данные'!$X$17:$AA$21,2,0)</f>
        <v>550</v>
      </c>
    </row>
    <row r="397" spans="1:6" ht="15.75" customHeight="1" x14ac:dyDescent="0.25">
      <c r="A397" s="62" t="s">
        <v>194</v>
      </c>
      <c r="B397" s="62">
        <v>19</v>
      </c>
      <c r="C397" s="62" t="s">
        <v>1278</v>
      </c>
      <c r="D397" s="82" t="s">
        <v>1243</v>
      </c>
      <c r="E397" s="82" t="s">
        <v>1253</v>
      </c>
      <c r="F397" s="70">
        <f>VLOOKUP(VLOOKUP(A397,'Личные данные'!A:V,6,0),'Личные данные'!$X$17:$AA$21,2,0)</f>
        <v>550</v>
      </c>
    </row>
    <row r="398" spans="1:6" ht="15.75" customHeight="1" x14ac:dyDescent="0.25">
      <c r="A398" s="62" t="s">
        <v>195</v>
      </c>
      <c r="B398" s="62">
        <v>19</v>
      </c>
      <c r="C398" s="62" t="s">
        <v>1278</v>
      </c>
      <c r="D398" s="82" t="s">
        <v>1243</v>
      </c>
      <c r="E398" s="82" t="s">
        <v>1253</v>
      </c>
      <c r="F398" s="70">
        <f>VLOOKUP(VLOOKUP(A398,'Личные данные'!A:V,6,0),'Личные данные'!$X$17:$AA$21,2,0)</f>
        <v>330</v>
      </c>
    </row>
    <row r="399" spans="1:6" ht="15.75" customHeight="1" x14ac:dyDescent="0.25">
      <c r="A399" s="62" t="s">
        <v>196</v>
      </c>
      <c r="B399" s="62">
        <v>19</v>
      </c>
      <c r="C399" s="62" t="s">
        <v>1278</v>
      </c>
      <c r="D399" s="82" t="s">
        <v>1243</v>
      </c>
      <c r="E399" s="82" t="s">
        <v>1248</v>
      </c>
      <c r="F399" s="70">
        <f>VLOOKUP(VLOOKUP(A399,'Личные данные'!A:V,6,0),'Личные данные'!$X$17:$AA$21,2,0)</f>
        <v>440</v>
      </c>
    </row>
    <row r="400" spans="1:6" ht="15.75" customHeight="1" x14ac:dyDescent="0.25">
      <c r="A400" s="62" t="s">
        <v>197</v>
      </c>
      <c r="B400" s="62">
        <v>19</v>
      </c>
      <c r="C400" s="62" t="s">
        <v>1278</v>
      </c>
      <c r="D400" s="82" t="s">
        <v>1260</v>
      </c>
      <c r="E400" s="82" t="s">
        <v>1255</v>
      </c>
      <c r="F400" s="70">
        <f>VLOOKUP(VLOOKUP(A400,'Личные данные'!A:V,6,0),'Личные данные'!$X$17:$AA$21,2,0)</f>
        <v>770</v>
      </c>
    </row>
    <row r="401" spans="1:6" ht="15.75" customHeight="1" x14ac:dyDescent="0.25">
      <c r="A401" s="62" t="s">
        <v>198</v>
      </c>
      <c r="B401" s="62">
        <v>19</v>
      </c>
      <c r="C401" s="62" t="s">
        <v>1278</v>
      </c>
      <c r="D401" s="82" t="s">
        <v>1243</v>
      </c>
      <c r="E401" s="82" t="s">
        <v>1244</v>
      </c>
      <c r="F401" s="70">
        <f>VLOOKUP(VLOOKUP(A401,'Личные данные'!A:V,6,0),'Личные данные'!$X$17:$AA$21,2,0)</f>
        <v>330</v>
      </c>
    </row>
    <row r="402" spans="1:6" ht="15.75" customHeight="1" x14ac:dyDescent="0.25">
      <c r="A402" s="62" t="s">
        <v>199</v>
      </c>
      <c r="B402" s="62">
        <v>19</v>
      </c>
      <c r="C402" s="62" t="s">
        <v>1278</v>
      </c>
      <c r="D402" s="82" t="s">
        <v>1257</v>
      </c>
      <c r="E402" s="82" t="s">
        <v>1248</v>
      </c>
      <c r="F402" s="70">
        <f>VLOOKUP(VLOOKUP(A402,'Личные данные'!A:V,6,0),'Личные данные'!$X$17:$AA$21,2,0)</f>
        <v>440</v>
      </c>
    </row>
    <row r="403" spans="1:6" ht="15.75" customHeight="1" x14ac:dyDescent="0.25">
      <c r="A403" s="62" t="s">
        <v>200</v>
      </c>
      <c r="B403" s="62">
        <v>19</v>
      </c>
      <c r="C403" s="62" t="s">
        <v>1278</v>
      </c>
      <c r="D403" s="82" t="s">
        <v>1243</v>
      </c>
      <c r="E403" s="82" t="s">
        <v>1253</v>
      </c>
      <c r="F403" s="70">
        <f>VLOOKUP(VLOOKUP(A403,'Личные данные'!A:V,6,0),'Личные данные'!$X$17:$AA$21,2,0)</f>
        <v>330</v>
      </c>
    </row>
    <row r="404" spans="1:6" ht="15.75" customHeight="1" x14ac:dyDescent="0.25">
      <c r="A404" s="62" t="s">
        <v>201</v>
      </c>
      <c r="B404" s="62">
        <v>19</v>
      </c>
      <c r="C404" s="62" t="s">
        <v>1278</v>
      </c>
      <c r="D404" s="82" t="s">
        <v>1243</v>
      </c>
      <c r="E404" s="82" t="s">
        <v>1248</v>
      </c>
      <c r="F404" s="70">
        <f>VLOOKUP(VLOOKUP(A404,'Личные данные'!A:V,6,0),'Личные данные'!$X$17:$AA$21,2,0)</f>
        <v>330</v>
      </c>
    </row>
    <row r="405" spans="1:6" ht="15.75" customHeight="1" x14ac:dyDescent="0.25">
      <c r="A405" s="62" t="s">
        <v>202</v>
      </c>
      <c r="B405" s="62">
        <v>19</v>
      </c>
      <c r="C405" s="62" t="s">
        <v>1278</v>
      </c>
      <c r="D405" s="82" t="s">
        <v>1256</v>
      </c>
      <c r="E405" s="82" t="s">
        <v>1255</v>
      </c>
      <c r="F405" s="70">
        <f>VLOOKUP(VLOOKUP(A405,'Личные данные'!A:V,6,0),'Личные данные'!$X$17:$AA$21,2,0)</f>
        <v>550</v>
      </c>
    </row>
    <row r="406" spans="1:6" ht="15.75" customHeight="1" x14ac:dyDescent="0.25">
      <c r="A406" s="62" t="s">
        <v>203</v>
      </c>
      <c r="B406" s="62">
        <v>19</v>
      </c>
      <c r="C406" s="62" t="s">
        <v>1278</v>
      </c>
      <c r="D406" s="82" t="s">
        <v>1243</v>
      </c>
      <c r="E406" s="82" t="s">
        <v>1244</v>
      </c>
      <c r="F406" s="70">
        <f>VLOOKUP(VLOOKUP(A406,'Личные данные'!A:V,6,0),'Личные данные'!$X$17:$AA$21,2,0)</f>
        <v>220</v>
      </c>
    </row>
    <row r="407" spans="1:6" ht="15.75" customHeight="1" x14ac:dyDescent="0.25">
      <c r="A407" s="62" t="s">
        <v>204</v>
      </c>
      <c r="B407" s="62">
        <v>19</v>
      </c>
      <c r="C407" s="62" t="s">
        <v>1278</v>
      </c>
      <c r="D407" s="82" t="s">
        <v>1243</v>
      </c>
      <c r="E407" s="82" t="s">
        <v>1253</v>
      </c>
      <c r="F407" s="70">
        <f>VLOOKUP(VLOOKUP(A407,'Личные данные'!A:V,6,0),'Личные данные'!$X$17:$AA$21,2,0)</f>
        <v>330</v>
      </c>
    </row>
    <row r="408" spans="1:6" ht="15.75" customHeight="1" x14ac:dyDescent="0.25">
      <c r="A408" s="62" t="s">
        <v>205</v>
      </c>
      <c r="B408" s="62">
        <v>19</v>
      </c>
      <c r="C408" s="62" t="s">
        <v>1278</v>
      </c>
      <c r="D408" s="82" t="s">
        <v>1257</v>
      </c>
      <c r="E408" s="82" t="s">
        <v>1255</v>
      </c>
      <c r="F408" s="70">
        <f>VLOOKUP(VLOOKUP(A408,'Личные данные'!A:V,6,0),'Личные данные'!$X$17:$AA$21,2,0)</f>
        <v>440</v>
      </c>
    </row>
    <row r="409" spans="1:6" ht="15.75" customHeight="1" x14ac:dyDescent="0.25">
      <c r="A409" s="62" t="s">
        <v>206</v>
      </c>
      <c r="B409" s="62">
        <v>19</v>
      </c>
      <c r="C409" s="62" t="s">
        <v>1278</v>
      </c>
      <c r="D409" s="82" t="s">
        <v>1243</v>
      </c>
      <c r="E409" s="82" t="s">
        <v>1253</v>
      </c>
      <c r="F409" s="70">
        <f>VLOOKUP(VLOOKUP(A409,'Личные данные'!A:V,6,0),'Личные данные'!$X$17:$AA$21,2,0)</f>
        <v>330</v>
      </c>
    </row>
    <row r="410" spans="1:6" ht="15.75" customHeight="1" x14ac:dyDescent="0.25">
      <c r="A410" s="62" t="s">
        <v>207</v>
      </c>
      <c r="B410" s="62">
        <v>19</v>
      </c>
      <c r="C410" s="62" t="s">
        <v>1278</v>
      </c>
      <c r="D410" s="82" t="s">
        <v>1257</v>
      </c>
      <c r="E410" s="82" t="s">
        <v>1248</v>
      </c>
      <c r="F410" s="70">
        <f>VLOOKUP(VLOOKUP(A410,'Личные данные'!A:V,6,0),'Личные данные'!$X$17:$AA$21,2,0)</f>
        <v>440</v>
      </c>
    </row>
    <row r="411" spans="1:6" ht="15.75" customHeight="1" x14ac:dyDescent="0.25">
      <c r="A411" s="62" t="s">
        <v>208</v>
      </c>
      <c r="B411" s="62">
        <v>19</v>
      </c>
      <c r="C411" s="62" t="s">
        <v>1278</v>
      </c>
      <c r="D411" s="82" t="s">
        <v>1243</v>
      </c>
      <c r="E411" s="82" t="s">
        <v>1253</v>
      </c>
      <c r="F411" s="70">
        <f>VLOOKUP(VLOOKUP(A411,'Личные данные'!A:V,6,0),'Личные данные'!$X$17:$AA$21,2,0)</f>
        <v>330</v>
      </c>
    </row>
    <row r="412" spans="1:6" ht="15.75" customHeight="1" x14ac:dyDescent="0.25">
      <c r="A412" s="62" t="s">
        <v>209</v>
      </c>
      <c r="B412" s="62">
        <v>19</v>
      </c>
      <c r="C412" s="62" t="s">
        <v>1278</v>
      </c>
      <c r="D412" s="82" t="s">
        <v>1257</v>
      </c>
      <c r="E412" s="82" t="s">
        <v>1248</v>
      </c>
      <c r="F412" s="70">
        <f>VLOOKUP(VLOOKUP(A412,'Личные данные'!A:V,6,0),'Личные данные'!$X$17:$AA$21,2,0)</f>
        <v>440</v>
      </c>
    </row>
    <row r="413" spans="1:6" ht="15.75" customHeight="1" x14ac:dyDescent="0.25">
      <c r="A413" s="62" t="s">
        <v>210</v>
      </c>
      <c r="B413" s="62">
        <v>19</v>
      </c>
      <c r="C413" s="62" t="s">
        <v>1278</v>
      </c>
      <c r="D413" s="82" t="s">
        <v>1258</v>
      </c>
      <c r="E413" s="82" t="s">
        <v>1244</v>
      </c>
      <c r="F413" s="70">
        <f>VLOOKUP(VLOOKUP(A413,'Личные данные'!A:V,6,0),'Личные данные'!$X$17:$AA$21,2,0)</f>
        <v>440</v>
      </c>
    </row>
    <row r="414" spans="1:6" ht="15.75" customHeight="1" x14ac:dyDescent="0.25">
      <c r="A414" s="62" t="s">
        <v>211</v>
      </c>
      <c r="B414" s="62">
        <v>19</v>
      </c>
      <c r="C414" s="62" t="s">
        <v>1278</v>
      </c>
      <c r="D414" s="82" t="s">
        <v>1243</v>
      </c>
      <c r="E414" s="82" t="s">
        <v>1244</v>
      </c>
      <c r="F414" s="70">
        <f>VLOOKUP(VLOOKUP(A414,'Личные данные'!A:V,6,0),'Личные данные'!$X$17:$AA$21,2,0)</f>
        <v>440</v>
      </c>
    </row>
    <row r="415" spans="1:6" ht="15.75" customHeight="1" x14ac:dyDescent="0.25">
      <c r="A415" s="62" t="s">
        <v>212</v>
      </c>
      <c r="B415" s="62">
        <v>19</v>
      </c>
      <c r="C415" s="62" t="s">
        <v>1278</v>
      </c>
      <c r="D415" s="82" t="s">
        <v>1257</v>
      </c>
      <c r="E415" s="82" t="s">
        <v>1248</v>
      </c>
      <c r="F415" s="70">
        <f>VLOOKUP(VLOOKUP(A415,'Личные данные'!A:V,6,0),'Личные данные'!$X$17:$AA$21,2,0)</f>
        <v>440</v>
      </c>
    </row>
    <row r="416" spans="1:6" ht="15.75" customHeight="1" x14ac:dyDescent="0.25">
      <c r="A416" s="62" t="s">
        <v>213</v>
      </c>
      <c r="B416" s="62">
        <v>19</v>
      </c>
      <c r="C416" s="62" t="s">
        <v>1278</v>
      </c>
      <c r="D416" s="82" t="s">
        <v>1243</v>
      </c>
      <c r="E416" s="82" t="s">
        <v>1253</v>
      </c>
      <c r="F416" s="70">
        <f>VLOOKUP(VLOOKUP(A416,'Личные данные'!A:V,6,0),'Личные данные'!$X$17:$AA$21,2,0)</f>
        <v>330</v>
      </c>
    </row>
    <row r="417" spans="1:6" ht="15.75" customHeight="1" x14ac:dyDescent="0.25">
      <c r="A417" s="62" t="s">
        <v>214</v>
      </c>
      <c r="B417" s="62">
        <v>19</v>
      </c>
      <c r="C417" s="62" t="s">
        <v>1278</v>
      </c>
      <c r="D417" s="82" t="s">
        <v>1258</v>
      </c>
      <c r="E417" s="82" t="s">
        <v>1244</v>
      </c>
      <c r="F417" s="70">
        <f>VLOOKUP(VLOOKUP(A417,'Личные данные'!A:V,6,0),'Личные данные'!$X$17:$AA$21,2,0)</f>
        <v>220</v>
      </c>
    </row>
    <row r="418" spans="1:6" ht="15.75" customHeight="1" x14ac:dyDescent="0.25">
      <c r="A418" s="62" t="s">
        <v>215</v>
      </c>
      <c r="B418" s="62">
        <v>19</v>
      </c>
      <c r="C418" s="62" t="s">
        <v>1278</v>
      </c>
      <c r="D418" s="82" t="s">
        <v>1257</v>
      </c>
      <c r="E418" s="82" t="s">
        <v>1255</v>
      </c>
      <c r="F418" s="70">
        <f>VLOOKUP(VLOOKUP(A418,'Личные данные'!A:V,6,0),'Личные данные'!$X$17:$AA$21,2,0)</f>
        <v>550</v>
      </c>
    </row>
    <row r="419" spans="1:6" ht="15.75" customHeight="1" x14ac:dyDescent="0.25">
      <c r="A419" s="62" t="s">
        <v>216</v>
      </c>
      <c r="B419" s="62">
        <v>19</v>
      </c>
      <c r="C419" s="62" t="s">
        <v>1278</v>
      </c>
      <c r="D419" s="82" t="s">
        <v>1258</v>
      </c>
      <c r="E419" s="82" t="s">
        <v>1244</v>
      </c>
      <c r="F419" s="70">
        <f>VLOOKUP(VLOOKUP(A419,'Личные данные'!A:V,6,0),'Личные данные'!$X$17:$AA$21,2,0)</f>
        <v>220</v>
      </c>
    </row>
    <row r="420" spans="1:6" ht="15.75" customHeight="1" x14ac:dyDescent="0.25">
      <c r="A420" s="62" t="s">
        <v>217</v>
      </c>
      <c r="B420" s="62">
        <v>19</v>
      </c>
      <c r="C420" s="62" t="s">
        <v>1278</v>
      </c>
      <c r="D420" s="82" t="s">
        <v>1243</v>
      </c>
      <c r="E420" s="82" t="s">
        <v>1255</v>
      </c>
      <c r="F420" s="70">
        <f>VLOOKUP(VLOOKUP(A420,'Личные данные'!A:V,6,0),'Личные данные'!$X$17:$AA$21,2,0)</f>
        <v>330</v>
      </c>
    </row>
    <row r="421" spans="1:6" ht="15.75" customHeight="1" x14ac:dyDescent="0.25">
      <c r="A421" s="62" t="s">
        <v>218</v>
      </c>
      <c r="B421" s="62">
        <v>19</v>
      </c>
      <c r="C421" s="62" t="s">
        <v>1278</v>
      </c>
      <c r="D421" s="82" t="s">
        <v>1243</v>
      </c>
      <c r="E421" s="82" t="s">
        <v>1253</v>
      </c>
      <c r="F421" s="70">
        <f>VLOOKUP(VLOOKUP(A421,'Личные данные'!A:V,6,0),'Личные данные'!$X$17:$AA$21,2,0)</f>
        <v>330</v>
      </c>
    </row>
    <row r="422" spans="1:6" ht="15.75" customHeight="1" x14ac:dyDescent="0.25">
      <c r="A422" s="62" t="s">
        <v>219</v>
      </c>
      <c r="B422" s="62">
        <v>19</v>
      </c>
      <c r="C422" s="62" t="s">
        <v>1278</v>
      </c>
      <c r="D422" s="82" t="s">
        <v>1243</v>
      </c>
      <c r="E422" s="82" t="s">
        <v>1248</v>
      </c>
      <c r="F422" s="70">
        <f>VLOOKUP(VLOOKUP(A422,'Личные данные'!A:V,6,0),'Личные данные'!$X$17:$AA$21,2,0)</f>
        <v>440</v>
      </c>
    </row>
    <row r="423" spans="1:6" ht="15.75" customHeight="1" x14ac:dyDescent="0.25">
      <c r="A423" s="62" t="s">
        <v>220</v>
      </c>
      <c r="B423" s="62">
        <v>19</v>
      </c>
      <c r="C423" s="62" t="s">
        <v>1278</v>
      </c>
      <c r="D423" s="82" t="s">
        <v>1258</v>
      </c>
      <c r="E423" s="82" t="s">
        <v>1248</v>
      </c>
      <c r="F423" s="70">
        <f>VLOOKUP(VLOOKUP(A423,'Личные данные'!A:V,6,0),'Личные данные'!$X$17:$AA$21,2,0)</f>
        <v>440</v>
      </c>
    </row>
    <row r="424" spans="1:6" ht="15.75" customHeight="1" x14ac:dyDescent="0.25">
      <c r="A424" s="62" t="s">
        <v>221</v>
      </c>
      <c r="B424" s="62">
        <v>19</v>
      </c>
      <c r="C424" s="62" t="s">
        <v>1278</v>
      </c>
      <c r="D424" s="82" t="s">
        <v>1243</v>
      </c>
      <c r="E424" s="82" t="s">
        <v>1253</v>
      </c>
      <c r="F424" s="70">
        <f>VLOOKUP(VLOOKUP(A424,'Личные данные'!A:V,6,0),'Личные данные'!$X$17:$AA$21,2,0)</f>
        <v>330</v>
      </c>
    </row>
    <row r="425" spans="1:6" ht="15.75" customHeight="1" x14ac:dyDescent="0.25">
      <c r="A425" s="62" t="s">
        <v>222</v>
      </c>
      <c r="B425" s="62">
        <v>19</v>
      </c>
      <c r="C425" s="62" t="s">
        <v>1278</v>
      </c>
      <c r="D425" s="82" t="s">
        <v>1257</v>
      </c>
      <c r="E425" s="82" t="s">
        <v>1244</v>
      </c>
      <c r="F425" s="70">
        <f>VLOOKUP(VLOOKUP(A425,'Личные данные'!A:V,6,0),'Личные данные'!$X$17:$AA$21,2,0)</f>
        <v>440</v>
      </c>
    </row>
    <row r="426" spans="1:6" ht="15.75" customHeight="1" x14ac:dyDescent="0.25">
      <c r="A426" s="62" t="s">
        <v>223</v>
      </c>
      <c r="B426" s="62">
        <v>19</v>
      </c>
      <c r="C426" s="62" t="s">
        <v>1278</v>
      </c>
      <c r="D426" s="82" t="s">
        <v>1243</v>
      </c>
      <c r="E426" s="82" t="s">
        <v>1244</v>
      </c>
      <c r="F426" s="70">
        <f>VLOOKUP(VLOOKUP(A426,'Личные данные'!A:V,6,0),'Личные данные'!$X$17:$AA$21,2,0)</f>
        <v>330</v>
      </c>
    </row>
    <row r="427" spans="1:6" ht="15.75" customHeight="1" x14ac:dyDescent="0.25">
      <c r="A427" s="62" t="s">
        <v>224</v>
      </c>
      <c r="B427" s="62">
        <v>19</v>
      </c>
      <c r="C427" s="62" t="s">
        <v>1278</v>
      </c>
      <c r="D427" s="82" t="s">
        <v>1258</v>
      </c>
      <c r="E427" s="82" t="s">
        <v>1248</v>
      </c>
      <c r="F427" s="70">
        <f>VLOOKUP(VLOOKUP(A427,'Личные данные'!A:V,6,0),'Личные данные'!$X$17:$AA$21,2,0)</f>
        <v>440</v>
      </c>
    </row>
    <row r="428" spans="1:6" ht="15.75" customHeight="1" x14ac:dyDescent="0.25">
      <c r="A428" s="62" t="s">
        <v>225</v>
      </c>
      <c r="B428" s="62">
        <v>19</v>
      </c>
      <c r="C428" s="62" t="s">
        <v>1278</v>
      </c>
      <c r="D428" s="82" t="s">
        <v>1256</v>
      </c>
      <c r="E428" s="82" t="s">
        <v>1248</v>
      </c>
      <c r="F428" s="70">
        <f>VLOOKUP(VLOOKUP(A428,'Личные данные'!A:V,6,0),'Личные данные'!$X$17:$AA$21,2,0)</f>
        <v>440</v>
      </c>
    </row>
    <row r="429" spans="1:6" ht="15.75" customHeight="1" x14ac:dyDescent="0.25">
      <c r="A429" s="62" t="s">
        <v>226</v>
      </c>
      <c r="B429" s="62">
        <v>19</v>
      </c>
      <c r="C429" s="62" t="s">
        <v>1278</v>
      </c>
      <c r="D429" s="82" t="s">
        <v>1243</v>
      </c>
      <c r="E429" s="82" t="s">
        <v>1248</v>
      </c>
      <c r="F429" s="70">
        <f>VLOOKUP(VLOOKUP(A429,'Личные данные'!A:V,6,0),'Личные данные'!$X$17:$AA$21,2,0)</f>
        <v>440</v>
      </c>
    </row>
    <row r="430" spans="1:6" ht="15.75" customHeight="1" x14ac:dyDescent="0.25">
      <c r="A430" s="62" t="s">
        <v>227</v>
      </c>
      <c r="B430" s="62">
        <v>19</v>
      </c>
      <c r="C430" s="62" t="s">
        <v>1278</v>
      </c>
      <c r="D430" s="82" t="s">
        <v>1258</v>
      </c>
      <c r="E430" s="82" t="s">
        <v>1255</v>
      </c>
      <c r="F430" s="70">
        <f>VLOOKUP(VLOOKUP(A430,'Личные данные'!A:V,6,0),'Личные данные'!$X$17:$AA$21,2,0)</f>
        <v>440</v>
      </c>
    </row>
    <row r="431" spans="1:6" ht="15.75" customHeight="1" x14ac:dyDescent="0.25">
      <c r="A431" s="62" t="s">
        <v>228</v>
      </c>
      <c r="B431" s="62">
        <v>19</v>
      </c>
      <c r="C431" s="62" t="s">
        <v>1278</v>
      </c>
      <c r="D431" s="82" t="s">
        <v>1258</v>
      </c>
      <c r="E431" s="82" t="s">
        <v>1248</v>
      </c>
      <c r="F431" s="70">
        <f>VLOOKUP(VLOOKUP(A431,'Личные данные'!A:V,6,0),'Личные данные'!$X$17:$AA$21,2,0)</f>
        <v>550</v>
      </c>
    </row>
    <row r="432" spans="1:6" ht="15.75" customHeight="1" x14ac:dyDescent="0.25">
      <c r="A432" s="62" t="s">
        <v>229</v>
      </c>
      <c r="B432" s="62">
        <v>19</v>
      </c>
      <c r="C432" s="62" t="s">
        <v>1278</v>
      </c>
      <c r="D432" s="82" t="s">
        <v>1257</v>
      </c>
      <c r="E432" s="82" t="s">
        <v>1248</v>
      </c>
      <c r="F432" s="70">
        <f>VLOOKUP(VLOOKUP(A432,'Личные данные'!A:V,6,0),'Личные данные'!$X$17:$AA$21,2,0)</f>
        <v>440</v>
      </c>
    </row>
    <row r="433" spans="1:6" ht="15.75" customHeight="1" x14ac:dyDescent="0.25">
      <c r="A433" s="62" t="s">
        <v>230</v>
      </c>
      <c r="B433" s="62">
        <v>19</v>
      </c>
      <c r="C433" s="62" t="s">
        <v>1278</v>
      </c>
      <c r="D433" s="82" t="s">
        <v>1257</v>
      </c>
      <c r="E433" s="82" t="s">
        <v>1255</v>
      </c>
      <c r="F433" s="70">
        <f>VLOOKUP(VLOOKUP(A433,'Личные данные'!A:V,6,0),'Личные данные'!$X$17:$AA$21,2,0)</f>
        <v>440</v>
      </c>
    </row>
    <row r="434" spans="1:6" ht="15.75" customHeight="1" x14ac:dyDescent="0.25">
      <c r="A434" s="62" t="s">
        <v>231</v>
      </c>
      <c r="B434" s="62">
        <v>19</v>
      </c>
      <c r="C434" s="62" t="s">
        <v>1278</v>
      </c>
      <c r="D434" s="82" t="s">
        <v>1256</v>
      </c>
      <c r="E434" s="82" t="s">
        <v>1248</v>
      </c>
      <c r="F434" s="70">
        <f>VLOOKUP(VLOOKUP(A434,'Личные данные'!A:V,6,0),'Личные данные'!$X$17:$AA$21,2,0)</f>
        <v>550</v>
      </c>
    </row>
    <row r="435" spans="1:6" ht="15.75" customHeight="1" x14ac:dyDescent="0.25">
      <c r="A435" s="62" t="s">
        <v>232</v>
      </c>
      <c r="B435" s="62">
        <v>19</v>
      </c>
      <c r="C435" s="62" t="s">
        <v>1278</v>
      </c>
      <c r="D435" s="82" t="s">
        <v>1257</v>
      </c>
      <c r="E435" s="82" t="s">
        <v>1248</v>
      </c>
      <c r="F435" s="70">
        <f>VLOOKUP(VLOOKUP(A435,'Личные данные'!A:V,6,0),'Личные данные'!$X$17:$AA$21,2,0)</f>
        <v>440</v>
      </c>
    </row>
    <row r="436" spans="1:6" ht="15.75" customHeight="1" x14ac:dyDescent="0.25">
      <c r="A436" s="62" t="s">
        <v>233</v>
      </c>
      <c r="B436" s="62">
        <v>19</v>
      </c>
      <c r="C436" s="62" t="s">
        <v>1278</v>
      </c>
      <c r="D436" s="82" t="s">
        <v>1243</v>
      </c>
      <c r="E436" s="82" t="s">
        <v>1255</v>
      </c>
      <c r="F436" s="70">
        <f>VLOOKUP(VLOOKUP(A436,'Личные данные'!A:V,6,0),'Личные данные'!$X$17:$AA$21,2,0)</f>
        <v>440</v>
      </c>
    </row>
    <row r="437" spans="1:6" ht="15.75" customHeight="1" x14ac:dyDescent="0.25">
      <c r="A437" s="62" t="s">
        <v>234</v>
      </c>
      <c r="B437" s="62">
        <v>19</v>
      </c>
      <c r="C437" s="62" t="s">
        <v>1278</v>
      </c>
      <c r="D437" s="82" t="s">
        <v>1258</v>
      </c>
      <c r="E437" s="82" t="s">
        <v>1248</v>
      </c>
      <c r="F437" s="70">
        <f>VLOOKUP(VLOOKUP(A437,'Личные данные'!A:V,6,0),'Личные данные'!$X$17:$AA$21,2,0)</f>
        <v>550</v>
      </c>
    </row>
    <row r="438" spans="1:6" ht="15.75" customHeight="1" x14ac:dyDescent="0.25">
      <c r="A438" s="62" t="s">
        <v>235</v>
      </c>
      <c r="B438" s="62">
        <v>19</v>
      </c>
      <c r="C438" s="62" t="s">
        <v>1278</v>
      </c>
      <c r="D438" s="82" t="s">
        <v>1257</v>
      </c>
      <c r="E438" s="82" t="s">
        <v>1244</v>
      </c>
      <c r="F438" s="70">
        <f>VLOOKUP(VLOOKUP(A438,'Личные данные'!A:V,6,0),'Личные данные'!$X$17:$AA$21,2,0)</f>
        <v>440</v>
      </c>
    </row>
    <row r="439" spans="1:6" ht="15.75" customHeight="1" x14ac:dyDescent="0.25">
      <c r="A439" s="62" t="s">
        <v>236</v>
      </c>
      <c r="B439" s="62">
        <v>19</v>
      </c>
      <c r="C439" s="62" t="s">
        <v>1278</v>
      </c>
      <c r="D439" s="82" t="s">
        <v>1260</v>
      </c>
      <c r="E439" s="82" t="s">
        <v>1244</v>
      </c>
      <c r="F439" s="70">
        <f>VLOOKUP(VLOOKUP(A439,'Личные данные'!A:V,6,0),'Личные данные'!$X$17:$AA$21,2,0)</f>
        <v>770</v>
      </c>
    </row>
    <row r="440" spans="1:6" ht="15.75" customHeight="1" x14ac:dyDescent="0.25">
      <c r="A440" s="62" t="s">
        <v>237</v>
      </c>
      <c r="B440" s="62">
        <v>19</v>
      </c>
      <c r="C440" s="62" t="s">
        <v>1278</v>
      </c>
      <c r="D440" s="82" t="s">
        <v>1243</v>
      </c>
      <c r="E440" s="82" t="s">
        <v>1253</v>
      </c>
      <c r="F440" s="70">
        <f>VLOOKUP(VLOOKUP(A440,'Личные данные'!A:V,6,0),'Личные данные'!$X$17:$AA$21,2,0)</f>
        <v>330</v>
      </c>
    </row>
    <row r="441" spans="1:6" ht="15.75" customHeight="1" x14ac:dyDescent="0.25">
      <c r="A441" s="62" t="s">
        <v>238</v>
      </c>
      <c r="B441" s="62">
        <v>19</v>
      </c>
      <c r="C441" s="62" t="s">
        <v>1278</v>
      </c>
      <c r="D441" s="82" t="s">
        <v>1256</v>
      </c>
      <c r="E441" s="82" t="s">
        <v>1248</v>
      </c>
      <c r="F441" s="70">
        <f>VLOOKUP(VLOOKUP(A441,'Личные данные'!A:V,6,0),'Личные данные'!$X$17:$AA$21,2,0)</f>
        <v>550</v>
      </c>
    </row>
    <row r="442" spans="1:6" ht="15.75" customHeight="1" x14ac:dyDescent="0.25">
      <c r="A442" s="62" t="s">
        <v>239</v>
      </c>
      <c r="B442" s="62">
        <v>19</v>
      </c>
      <c r="C442" s="62" t="s">
        <v>1278</v>
      </c>
      <c r="D442" s="82" t="s">
        <v>1243</v>
      </c>
      <c r="E442" s="82" t="s">
        <v>1255</v>
      </c>
      <c r="F442" s="70">
        <f>VLOOKUP(VLOOKUP(A442,'Личные данные'!A:V,6,0),'Личные данные'!$X$17:$AA$21,2,0)</f>
        <v>440</v>
      </c>
    </row>
    <row r="443" spans="1:6" ht="15.75" customHeight="1" x14ac:dyDescent="0.25">
      <c r="A443" s="62" t="s">
        <v>240</v>
      </c>
      <c r="B443" s="62">
        <v>19</v>
      </c>
      <c r="C443" s="62" t="s">
        <v>1278</v>
      </c>
      <c r="D443" s="82" t="s">
        <v>1257</v>
      </c>
      <c r="E443" s="82" t="s">
        <v>1253</v>
      </c>
      <c r="F443" s="70">
        <f>VLOOKUP(VLOOKUP(A443,'Личные данные'!A:V,6,0),'Личные данные'!$X$17:$AA$21,2,0)</f>
        <v>550</v>
      </c>
    </row>
    <row r="444" spans="1:6" ht="15.75" customHeight="1" x14ac:dyDescent="0.25">
      <c r="A444" s="62" t="s">
        <v>241</v>
      </c>
      <c r="B444" s="62">
        <v>19</v>
      </c>
      <c r="C444" s="62" t="s">
        <v>1278</v>
      </c>
      <c r="D444" s="82" t="s">
        <v>1256</v>
      </c>
      <c r="E444" s="82" t="s">
        <v>1244</v>
      </c>
      <c r="F444" s="70">
        <f>VLOOKUP(VLOOKUP(A444,'Личные данные'!A:V,6,0),'Личные данные'!$X$17:$AA$21,2,0)</f>
        <v>550</v>
      </c>
    </row>
    <row r="445" spans="1:6" ht="15.75" customHeight="1" x14ac:dyDescent="0.25">
      <c r="A445" s="62" t="s">
        <v>242</v>
      </c>
      <c r="B445" s="62">
        <v>19</v>
      </c>
      <c r="C445" s="62" t="s">
        <v>1278</v>
      </c>
      <c r="D445" s="82" t="s">
        <v>1243</v>
      </c>
      <c r="E445" s="82" t="s">
        <v>1248</v>
      </c>
      <c r="F445" s="70">
        <f>VLOOKUP(VLOOKUP(A445,'Личные данные'!A:V,6,0),'Личные данные'!$X$17:$AA$21,2,0)</f>
        <v>440</v>
      </c>
    </row>
    <row r="446" spans="1:6" ht="15.75" customHeight="1" x14ac:dyDescent="0.25">
      <c r="A446" s="62" t="s">
        <v>243</v>
      </c>
      <c r="B446" s="62">
        <v>19</v>
      </c>
      <c r="C446" s="62" t="s">
        <v>1278</v>
      </c>
      <c r="D446" s="82" t="s">
        <v>1243</v>
      </c>
      <c r="E446" s="82" t="s">
        <v>1253</v>
      </c>
      <c r="F446" s="70">
        <f>VLOOKUP(VLOOKUP(A446,'Личные данные'!A:V,6,0),'Личные данные'!$X$17:$AA$21,2,0)</f>
        <v>330</v>
      </c>
    </row>
    <row r="447" spans="1:6" ht="15.75" customHeight="1" x14ac:dyDescent="0.25">
      <c r="A447" s="62" t="s">
        <v>244</v>
      </c>
      <c r="B447" s="62">
        <v>19</v>
      </c>
      <c r="C447" s="62" t="s">
        <v>1278</v>
      </c>
      <c r="D447" s="82" t="s">
        <v>1258</v>
      </c>
      <c r="E447" s="82" t="s">
        <v>1248</v>
      </c>
      <c r="F447" s="70">
        <f>VLOOKUP(VLOOKUP(A447,'Личные данные'!A:V,6,0),'Личные данные'!$X$17:$AA$21,2,0)</f>
        <v>440</v>
      </c>
    </row>
    <row r="448" spans="1:6" ht="15.75" customHeight="1" x14ac:dyDescent="0.25">
      <c r="A448" s="62" t="s">
        <v>245</v>
      </c>
      <c r="B448" s="62">
        <v>19</v>
      </c>
      <c r="C448" s="62" t="s">
        <v>1278</v>
      </c>
      <c r="D448" s="82" t="s">
        <v>1256</v>
      </c>
      <c r="E448" s="82" t="s">
        <v>1248</v>
      </c>
      <c r="F448" s="70">
        <f>VLOOKUP(VLOOKUP(A448,'Личные данные'!A:V,6,0),'Личные данные'!$X$17:$AA$21,2,0)</f>
        <v>550</v>
      </c>
    </row>
    <row r="449" spans="1:6" ht="15.75" customHeight="1" x14ac:dyDescent="0.25">
      <c r="A449" s="62" t="s">
        <v>246</v>
      </c>
      <c r="B449" s="62">
        <v>19</v>
      </c>
      <c r="C449" s="62" t="s">
        <v>1278</v>
      </c>
      <c r="D449" s="82" t="s">
        <v>1257</v>
      </c>
      <c r="E449" s="82" t="s">
        <v>1253</v>
      </c>
      <c r="F449" s="70">
        <f>VLOOKUP(VLOOKUP(A449,'Личные данные'!A:V,6,0),'Личные данные'!$X$17:$AA$21,2,0)</f>
        <v>550</v>
      </c>
    </row>
    <row r="450" spans="1:6" ht="15.75" customHeight="1" x14ac:dyDescent="0.25">
      <c r="A450" s="62" t="s">
        <v>247</v>
      </c>
      <c r="B450" s="62">
        <v>19</v>
      </c>
      <c r="C450" s="62" t="s">
        <v>1278</v>
      </c>
      <c r="D450" s="82" t="s">
        <v>1243</v>
      </c>
      <c r="E450" s="82" t="s">
        <v>1253</v>
      </c>
      <c r="F450" s="70">
        <f>VLOOKUP(VLOOKUP(A450,'Личные данные'!A:V,6,0),'Личные данные'!$X$17:$AA$21,2,0)</f>
        <v>330</v>
      </c>
    </row>
    <row r="451" spans="1:6" ht="15.75" customHeight="1" x14ac:dyDescent="0.25">
      <c r="A451" s="62" t="s">
        <v>248</v>
      </c>
      <c r="B451" s="62">
        <v>19</v>
      </c>
      <c r="C451" s="62" t="s">
        <v>1278</v>
      </c>
      <c r="D451" s="82" t="s">
        <v>1243</v>
      </c>
      <c r="E451" s="82" t="s">
        <v>1255</v>
      </c>
      <c r="F451" s="70">
        <f>VLOOKUP(VLOOKUP(A451,'Личные данные'!A:V,6,0),'Личные данные'!$X$17:$AA$21,2,0)</f>
        <v>440</v>
      </c>
    </row>
    <row r="452" spans="1:6" ht="15.75" customHeight="1" x14ac:dyDescent="0.25">
      <c r="A452" s="62" t="s">
        <v>249</v>
      </c>
      <c r="B452" s="62">
        <v>19</v>
      </c>
      <c r="C452" s="62" t="s">
        <v>1278</v>
      </c>
      <c r="D452" s="82" t="s">
        <v>1243</v>
      </c>
      <c r="E452" s="82" t="s">
        <v>1248</v>
      </c>
      <c r="F452" s="70">
        <f>VLOOKUP(VLOOKUP(A452,'Личные данные'!A:V,6,0),'Личные данные'!$X$17:$AA$21,2,0)</f>
        <v>330</v>
      </c>
    </row>
    <row r="453" spans="1:6" ht="15.75" customHeight="1" x14ac:dyDescent="0.25">
      <c r="A453" s="62" t="s">
        <v>250</v>
      </c>
      <c r="B453" s="62">
        <v>19</v>
      </c>
      <c r="C453" s="62" t="s">
        <v>1278</v>
      </c>
      <c r="D453" s="82" t="s">
        <v>1243</v>
      </c>
      <c r="E453" s="82" t="s">
        <v>1253</v>
      </c>
      <c r="F453" s="70">
        <f>VLOOKUP(VLOOKUP(A453,'Личные данные'!A:V,6,0),'Личные данные'!$X$17:$AA$21,2,0)</f>
        <v>330</v>
      </c>
    </row>
    <row r="454" spans="1:6" ht="15.75" customHeight="1" x14ac:dyDescent="0.25">
      <c r="A454" s="62" t="s">
        <v>251</v>
      </c>
      <c r="B454" s="62">
        <v>19</v>
      </c>
      <c r="C454" s="62" t="s">
        <v>1278</v>
      </c>
      <c r="D454" s="82" t="s">
        <v>1258</v>
      </c>
      <c r="E454" s="82" t="s">
        <v>1248</v>
      </c>
      <c r="F454" s="70">
        <f>VLOOKUP(VLOOKUP(A454,'Личные данные'!A:V,6,0),'Личные данные'!$X$17:$AA$21,2,0)</f>
        <v>440</v>
      </c>
    </row>
    <row r="455" spans="1:6" ht="15.75" customHeight="1" x14ac:dyDescent="0.25">
      <c r="A455" s="62" t="s">
        <v>252</v>
      </c>
      <c r="B455" s="62">
        <v>19</v>
      </c>
      <c r="C455" s="62" t="s">
        <v>1278</v>
      </c>
      <c r="D455" s="82" t="s">
        <v>1243</v>
      </c>
      <c r="E455" s="82" t="s">
        <v>1248</v>
      </c>
      <c r="F455" s="70">
        <f>VLOOKUP(VLOOKUP(A455,'Личные данные'!A:V,6,0),'Личные данные'!$X$17:$AA$21,2,0)</f>
        <v>440</v>
      </c>
    </row>
    <row r="456" spans="1:6" ht="15.75" customHeight="1" x14ac:dyDescent="0.25">
      <c r="A456" s="62" t="s">
        <v>253</v>
      </c>
      <c r="B456" s="62">
        <v>19</v>
      </c>
      <c r="C456" s="62" t="s">
        <v>1278</v>
      </c>
      <c r="D456" s="82" t="s">
        <v>1258</v>
      </c>
      <c r="E456" s="82" t="s">
        <v>1248</v>
      </c>
      <c r="F456" s="70">
        <f>VLOOKUP(VLOOKUP(A456,'Личные данные'!A:V,6,0),'Личные данные'!$X$17:$AA$21,2,0)</f>
        <v>440</v>
      </c>
    </row>
    <row r="457" spans="1:6" ht="15.75" customHeight="1" x14ac:dyDescent="0.25">
      <c r="A457" s="62" t="s">
        <v>254</v>
      </c>
      <c r="B457" s="62">
        <v>19</v>
      </c>
      <c r="C457" s="62" t="s">
        <v>1278</v>
      </c>
      <c r="D457" s="82" t="s">
        <v>1243</v>
      </c>
      <c r="E457" s="82" t="s">
        <v>1244</v>
      </c>
      <c r="F457" s="70">
        <f>VLOOKUP(VLOOKUP(A457,'Личные данные'!A:V,6,0),'Личные данные'!$X$17:$AA$21,2,0)</f>
        <v>220</v>
      </c>
    </row>
    <row r="458" spans="1:6" ht="15.75" customHeight="1" x14ac:dyDescent="0.25">
      <c r="A458" s="62" t="s">
        <v>255</v>
      </c>
      <c r="B458" s="62">
        <v>19</v>
      </c>
      <c r="C458" s="62" t="s">
        <v>1278</v>
      </c>
      <c r="D458" s="82" t="s">
        <v>1243</v>
      </c>
      <c r="E458" s="82" t="s">
        <v>1253</v>
      </c>
      <c r="F458" s="70">
        <f>VLOOKUP(VLOOKUP(A458,'Личные данные'!A:V,6,0),'Личные данные'!$X$17:$AA$21,2,0)</f>
        <v>330</v>
      </c>
    </row>
    <row r="459" spans="1:6" ht="15.75" customHeight="1" x14ac:dyDescent="0.25">
      <c r="A459" s="62" t="s">
        <v>256</v>
      </c>
      <c r="B459" s="62">
        <v>19</v>
      </c>
      <c r="C459" s="62" t="s">
        <v>1278</v>
      </c>
      <c r="D459" s="82" t="s">
        <v>1258</v>
      </c>
      <c r="E459" s="82" t="s">
        <v>1244</v>
      </c>
      <c r="F459" s="70">
        <f>VLOOKUP(VLOOKUP(A459,'Личные данные'!A:V,6,0),'Личные данные'!$X$17:$AA$21,2,0)</f>
        <v>220</v>
      </c>
    </row>
    <row r="460" spans="1:6" ht="15.75" customHeight="1" x14ac:dyDescent="0.25">
      <c r="A460" s="62" t="s">
        <v>257</v>
      </c>
      <c r="B460" s="62">
        <v>19</v>
      </c>
      <c r="C460" s="62" t="s">
        <v>1278</v>
      </c>
      <c r="D460" s="82" t="s">
        <v>1258</v>
      </c>
      <c r="E460" s="82" t="s">
        <v>1248</v>
      </c>
      <c r="F460" s="70">
        <f>VLOOKUP(VLOOKUP(A460,'Личные данные'!A:V,6,0),'Личные данные'!$X$17:$AA$21,2,0)</f>
        <v>550</v>
      </c>
    </row>
    <row r="461" spans="1:6" ht="15.75" customHeight="1" x14ac:dyDescent="0.25">
      <c r="A461" s="62" t="s">
        <v>258</v>
      </c>
      <c r="B461" s="62">
        <v>19</v>
      </c>
      <c r="C461" s="62" t="s">
        <v>1278</v>
      </c>
      <c r="D461" s="82" t="s">
        <v>1243</v>
      </c>
      <c r="E461" s="82" t="s">
        <v>1255</v>
      </c>
      <c r="F461" s="70">
        <f>VLOOKUP(VLOOKUP(A461,'Личные данные'!A:V,6,0),'Личные данные'!$X$17:$AA$21,2,0)</f>
        <v>330</v>
      </c>
    </row>
    <row r="462" spans="1:6" ht="15.75" customHeight="1" x14ac:dyDescent="0.25">
      <c r="A462" s="62" t="s">
        <v>259</v>
      </c>
      <c r="B462" s="62">
        <v>19</v>
      </c>
      <c r="C462" s="62" t="s">
        <v>1278</v>
      </c>
      <c r="D462" s="82" t="s">
        <v>1258</v>
      </c>
      <c r="E462" s="82" t="s">
        <v>1255</v>
      </c>
      <c r="F462" s="70">
        <f>VLOOKUP(VLOOKUP(A462,'Личные данные'!A:V,6,0),'Личные данные'!$X$17:$AA$21,2,0)</f>
        <v>440</v>
      </c>
    </row>
    <row r="463" spans="1:6" ht="15.75" customHeight="1" x14ac:dyDescent="0.25">
      <c r="A463" s="62" t="s">
        <v>260</v>
      </c>
      <c r="B463" s="62">
        <v>19</v>
      </c>
      <c r="C463" s="62" t="s">
        <v>1278</v>
      </c>
      <c r="D463" s="82" t="s">
        <v>1243</v>
      </c>
      <c r="E463" s="82" t="s">
        <v>1255</v>
      </c>
      <c r="F463" s="70">
        <f>VLOOKUP(VLOOKUP(A463,'Личные данные'!A:V,6,0),'Личные данные'!$X$17:$AA$21,2,0)</f>
        <v>330</v>
      </c>
    </row>
    <row r="464" spans="1:6" ht="15.75" customHeight="1" x14ac:dyDescent="0.25">
      <c r="A464" s="62" t="s">
        <v>261</v>
      </c>
      <c r="B464" s="62">
        <v>19</v>
      </c>
      <c r="C464" s="62" t="s">
        <v>1278</v>
      </c>
      <c r="D464" s="82" t="s">
        <v>1243</v>
      </c>
      <c r="E464" s="82" t="s">
        <v>1255</v>
      </c>
      <c r="F464" s="70">
        <f>VLOOKUP(VLOOKUP(A464,'Личные данные'!A:V,6,0),'Личные данные'!$X$17:$AA$21,2,0)</f>
        <v>440</v>
      </c>
    </row>
    <row r="465" spans="1:6" ht="15.75" customHeight="1" x14ac:dyDescent="0.25">
      <c r="A465" s="62" t="s">
        <v>262</v>
      </c>
      <c r="B465" s="62">
        <v>19</v>
      </c>
      <c r="C465" s="62" t="s">
        <v>1278</v>
      </c>
      <c r="D465" s="82" t="s">
        <v>1257</v>
      </c>
      <c r="E465" s="82" t="s">
        <v>1244</v>
      </c>
      <c r="F465" s="70">
        <f>VLOOKUP(VLOOKUP(A465,'Личные данные'!A:V,6,0),'Личные данные'!$X$17:$AA$21,2,0)</f>
        <v>440</v>
      </c>
    </row>
    <row r="466" spans="1:6" ht="15.75" customHeight="1" x14ac:dyDescent="0.25">
      <c r="A466" s="62" t="s">
        <v>263</v>
      </c>
      <c r="B466" s="62">
        <v>19</v>
      </c>
      <c r="C466" s="62" t="s">
        <v>1278</v>
      </c>
      <c r="D466" s="82" t="s">
        <v>1243</v>
      </c>
      <c r="E466" s="82" t="s">
        <v>1253</v>
      </c>
      <c r="F466" s="70">
        <f>VLOOKUP(VLOOKUP(A466,'Личные данные'!A:V,6,0),'Личные данные'!$X$17:$AA$21,2,0)</f>
        <v>330</v>
      </c>
    </row>
    <row r="467" spans="1:6" ht="15.75" customHeight="1" x14ac:dyDescent="0.25">
      <c r="A467" s="62" t="s">
        <v>264</v>
      </c>
      <c r="B467" s="62">
        <v>19</v>
      </c>
      <c r="C467" s="62" t="s">
        <v>1278</v>
      </c>
      <c r="D467" s="82" t="s">
        <v>1243</v>
      </c>
      <c r="E467" s="82" t="s">
        <v>1255</v>
      </c>
      <c r="F467" s="70">
        <f>VLOOKUP(VLOOKUP(A467,'Личные данные'!A:V,6,0),'Личные данные'!$X$17:$AA$21,2,0)</f>
        <v>330</v>
      </c>
    </row>
    <row r="468" spans="1:6" ht="15.75" customHeight="1" x14ac:dyDescent="0.25">
      <c r="A468" s="62" t="s">
        <v>265</v>
      </c>
      <c r="B468" s="62">
        <v>19</v>
      </c>
      <c r="C468" s="62" t="s">
        <v>1278</v>
      </c>
      <c r="D468" s="82" t="s">
        <v>1243</v>
      </c>
      <c r="E468" s="82" t="s">
        <v>1244</v>
      </c>
      <c r="F468" s="70">
        <f>VLOOKUP(VLOOKUP(A468,'Личные данные'!A:V,6,0),'Личные данные'!$X$17:$AA$21,2,0)</f>
        <v>220</v>
      </c>
    </row>
    <row r="469" spans="1:6" ht="15.75" customHeight="1" x14ac:dyDescent="0.25">
      <c r="A469" s="62" t="s">
        <v>266</v>
      </c>
      <c r="B469" s="62">
        <v>19</v>
      </c>
      <c r="C469" s="62" t="s">
        <v>1278</v>
      </c>
      <c r="D469" s="82" t="s">
        <v>1243</v>
      </c>
      <c r="E469" s="82" t="s">
        <v>1248</v>
      </c>
      <c r="F469" s="70">
        <f>VLOOKUP(VLOOKUP(A469,'Личные данные'!A:V,6,0),'Личные данные'!$X$17:$AA$21,2,0)</f>
        <v>550</v>
      </c>
    </row>
    <row r="470" spans="1:6" ht="15.75" customHeight="1" x14ac:dyDescent="0.25">
      <c r="A470" s="62" t="s">
        <v>267</v>
      </c>
      <c r="B470" s="62">
        <v>19</v>
      </c>
      <c r="C470" s="62" t="s">
        <v>1278</v>
      </c>
      <c r="D470" s="82" t="s">
        <v>1257</v>
      </c>
      <c r="E470" s="82" t="s">
        <v>1248</v>
      </c>
      <c r="F470" s="70">
        <f>VLOOKUP(VLOOKUP(A470,'Личные данные'!A:V,6,0),'Личные данные'!$X$17:$AA$21,2,0)</f>
        <v>440</v>
      </c>
    </row>
    <row r="471" spans="1:6" ht="15.75" customHeight="1" x14ac:dyDescent="0.25">
      <c r="A471" s="62" t="s">
        <v>268</v>
      </c>
      <c r="B471" s="62">
        <v>19</v>
      </c>
      <c r="C471" s="62" t="s">
        <v>1278</v>
      </c>
      <c r="D471" s="82" t="s">
        <v>1257</v>
      </c>
      <c r="E471" s="82" t="s">
        <v>1248</v>
      </c>
      <c r="F471" s="70">
        <f>VLOOKUP(VLOOKUP(A471,'Личные данные'!A:V,6,0),'Личные данные'!$X$17:$AA$21,2,0)</f>
        <v>550</v>
      </c>
    </row>
    <row r="472" spans="1:6" ht="15.75" customHeight="1" x14ac:dyDescent="0.25">
      <c r="A472" s="62" t="s">
        <v>269</v>
      </c>
      <c r="B472" s="62">
        <v>19</v>
      </c>
      <c r="C472" s="62" t="s">
        <v>1278</v>
      </c>
      <c r="D472" s="82" t="s">
        <v>1243</v>
      </c>
      <c r="E472" s="82" t="s">
        <v>1253</v>
      </c>
      <c r="F472" s="70">
        <f>VLOOKUP(VLOOKUP(A472,'Личные данные'!A:V,6,0),'Личные данные'!$X$17:$AA$21,2,0)</f>
        <v>330</v>
      </c>
    </row>
    <row r="473" spans="1:6" ht="15.75" customHeight="1" x14ac:dyDescent="0.25">
      <c r="A473" s="62" t="s">
        <v>270</v>
      </c>
      <c r="B473" s="62">
        <v>19</v>
      </c>
      <c r="C473" s="62" t="s">
        <v>1278</v>
      </c>
      <c r="D473" s="82" t="s">
        <v>1258</v>
      </c>
      <c r="E473" s="82" t="s">
        <v>1248</v>
      </c>
      <c r="F473" s="70">
        <f>VLOOKUP(VLOOKUP(A473,'Личные данные'!A:V,6,0),'Личные данные'!$X$17:$AA$21,2,0)</f>
        <v>440</v>
      </c>
    </row>
    <row r="474" spans="1:6" ht="15.75" customHeight="1" x14ac:dyDescent="0.25">
      <c r="A474" s="62" t="s">
        <v>271</v>
      </c>
      <c r="B474" s="62">
        <v>19</v>
      </c>
      <c r="C474" s="62" t="s">
        <v>1278</v>
      </c>
      <c r="D474" s="82" t="s">
        <v>1243</v>
      </c>
      <c r="E474" s="82" t="s">
        <v>1253</v>
      </c>
      <c r="F474" s="70">
        <f>VLOOKUP(VLOOKUP(A474,'Личные данные'!A:V,6,0),'Личные данные'!$X$17:$AA$21,2,0)</f>
        <v>330</v>
      </c>
    </row>
    <row r="475" spans="1:6" ht="15.75" customHeight="1" x14ac:dyDescent="0.25">
      <c r="A475" s="62" t="s">
        <v>272</v>
      </c>
      <c r="B475" s="62">
        <v>19</v>
      </c>
      <c r="C475" s="62" t="s">
        <v>1278</v>
      </c>
      <c r="D475" s="82" t="s">
        <v>1258</v>
      </c>
      <c r="E475" s="82" t="s">
        <v>1244</v>
      </c>
      <c r="F475" s="70">
        <f>VLOOKUP(VLOOKUP(A475,'Личные данные'!A:V,6,0),'Личные данные'!$X$17:$AA$21,2,0)</f>
        <v>220</v>
      </c>
    </row>
    <row r="476" spans="1:6" ht="15.75" customHeight="1" x14ac:dyDescent="0.25">
      <c r="A476" s="62" t="s">
        <v>273</v>
      </c>
      <c r="B476" s="62">
        <v>19</v>
      </c>
      <c r="C476" s="62" t="s">
        <v>1278</v>
      </c>
      <c r="D476" s="82" t="s">
        <v>1243</v>
      </c>
      <c r="E476" s="82" t="s">
        <v>1248</v>
      </c>
      <c r="F476" s="70">
        <f>VLOOKUP(VLOOKUP(A476,'Личные данные'!A:V,6,0),'Личные данные'!$X$17:$AA$21,2,0)</f>
        <v>440</v>
      </c>
    </row>
    <row r="477" spans="1:6" ht="15.75" customHeight="1" x14ac:dyDescent="0.25">
      <c r="A477" s="62" t="s">
        <v>274</v>
      </c>
      <c r="B477" s="62">
        <v>19</v>
      </c>
      <c r="C477" s="62" t="s">
        <v>1278</v>
      </c>
      <c r="D477" s="82" t="s">
        <v>1243</v>
      </c>
      <c r="E477" s="82" t="s">
        <v>1253</v>
      </c>
      <c r="F477" s="70">
        <f>VLOOKUP(VLOOKUP(A477,'Личные данные'!A:V,6,0),'Личные данные'!$X$17:$AA$21,2,0)</f>
        <v>330</v>
      </c>
    </row>
    <row r="478" spans="1:6" ht="15.75" customHeight="1" x14ac:dyDescent="0.25">
      <c r="A478" s="62" t="s">
        <v>275</v>
      </c>
      <c r="B478" s="62">
        <v>19</v>
      </c>
      <c r="C478" s="62" t="s">
        <v>1278</v>
      </c>
      <c r="D478" s="82" t="s">
        <v>1243</v>
      </c>
      <c r="E478" s="82" t="s">
        <v>1244</v>
      </c>
      <c r="F478" s="70">
        <f>VLOOKUP(VLOOKUP(A478,'Личные данные'!A:V,6,0),'Личные данные'!$X$17:$AA$21,2,0)</f>
        <v>220</v>
      </c>
    </row>
    <row r="479" spans="1:6" ht="15.75" customHeight="1" x14ac:dyDescent="0.25">
      <c r="A479" s="62" t="s">
        <v>276</v>
      </c>
      <c r="B479" s="62">
        <v>19</v>
      </c>
      <c r="C479" s="62" t="s">
        <v>1278</v>
      </c>
      <c r="D479" s="82" t="s">
        <v>1258</v>
      </c>
      <c r="E479" s="82" t="s">
        <v>1244</v>
      </c>
      <c r="F479" s="70">
        <f>VLOOKUP(VLOOKUP(A479,'Личные данные'!A:V,6,0),'Личные данные'!$X$17:$AA$21,2,0)</f>
        <v>440</v>
      </c>
    </row>
    <row r="480" spans="1:6" ht="15.75" customHeight="1" x14ac:dyDescent="0.25">
      <c r="A480" s="62" t="s">
        <v>277</v>
      </c>
      <c r="B480" s="62">
        <v>19</v>
      </c>
      <c r="C480" s="62" t="s">
        <v>1278</v>
      </c>
      <c r="D480" s="82" t="s">
        <v>1243</v>
      </c>
      <c r="E480" s="82" t="s">
        <v>1248</v>
      </c>
      <c r="F480" s="70">
        <f>VLOOKUP(VLOOKUP(A480,'Личные данные'!A:V,6,0),'Личные данные'!$X$17:$AA$21,2,0)</f>
        <v>330</v>
      </c>
    </row>
    <row r="481" spans="1:6" ht="15.75" customHeight="1" x14ac:dyDescent="0.25">
      <c r="A481" s="62" t="s">
        <v>278</v>
      </c>
      <c r="B481" s="62">
        <v>19</v>
      </c>
      <c r="C481" s="62" t="s">
        <v>1278</v>
      </c>
      <c r="D481" s="82" t="s">
        <v>1243</v>
      </c>
      <c r="E481" s="82" t="s">
        <v>1253</v>
      </c>
      <c r="F481" s="70">
        <f>VLOOKUP(VLOOKUP(A481,'Личные данные'!A:V,6,0),'Личные данные'!$X$17:$AA$21,2,0)</f>
        <v>330</v>
      </c>
    </row>
    <row r="482" spans="1:6" ht="15.75" customHeight="1" x14ac:dyDescent="0.25">
      <c r="A482" s="62" t="s">
        <v>279</v>
      </c>
      <c r="B482" s="62">
        <v>19</v>
      </c>
      <c r="C482" s="62" t="s">
        <v>1278</v>
      </c>
      <c r="D482" s="82" t="s">
        <v>1256</v>
      </c>
      <c r="E482" s="82" t="s">
        <v>1248</v>
      </c>
      <c r="F482" s="70">
        <f>VLOOKUP(VLOOKUP(A482,'Личные данные'!A:V,6,0),'Личные данные'!$X$17:$AA$21,2,0)</f>
        <v>440</v>
      </c>
    </row>
    <row r="483" spans="1:6" ht="15.75" customHeight="1" x14ac:dyDescent="0.25">
      <c r="A483" s="62" t="s">
        <v>280</v>
      </c>
      <c r="B483" s="62">
        <v>19</v>
      </c>
      <c r="C483" s="62" t="s">
        <v>1278</v>
      </c>
      <c r="D483" s="82" t="s">
        <v>1260</v>
      </c>
      <c r="E483" s="82" t="s">
        <v>1248</v>
      </c>
      <c r="F483" s="70">
        <f>VLOOKUP(VLOOKUP(A483,'Личные данные'!A:V,6,0),'Личные данные'!$X$17:$AA$21,2,0)</f>
        <v>770</v>
      </c>
    </row>
    <row r="484" spans="1:6" ht="15.75" customHeight="1" x14ac:dyDescent="0.25">
      <c r="A484" s="62" t="s">
        <v>281</v>
      </c>
      <c r="B484" s="62">
        <v>19</v>
      </c>
      <c r="C484" s="62" t="s">
        <v>1278</v>
      </c>
      <c r="D484" s="82" t="s">
        <v>1256</v>
      </c>
      <c r="E484" s="82" t="s">
        <v>1248</v>
      </c>
      <c r="F484" s="70">
        <f>VLOOKUP(VLOOKUP(A484,'Личные данные'!A:V,6,0),'Личные данные'!$X$17:$AA$21,2,0)</f>
        <v>440</v>
      </c>
    </row>
    <row r="485" spans="1:6" ht="15.75" customHeight="1" x14ac:dyDescent="0.25">
      <c r="A485" s="62" t="s">
        <v>282</v>
      </c>
      <c r="B485" s="62">
        <v>19</v>
      </c>
      <c r="C485" s="62" t="s">
        <v>1278</v>
      </c>
      <c r="D485" s="82" t="s">
        <v>1257</v>
      </c>
      <c r="E485" s="82" t="s">
        <v>1248</v>
      </c>
      <c r="F485" s="70">
        <f>VLOOKUP(VLOOKUP(A485,'Личные данные'!A:V,6,0),'Личные данные'!$X$17:$AA$21,2,0)</f>
        <v>550</v>
      </c>
    </row>
    <row r="486" spans="1:6" ht="15.75" customHeight="1" x14ac:dyDescent="0.25">
      <c r="A486" s="62" t="s">
        <v>283</v>
      </c>
      <c r="B486" s="62">
        <v>19</v>
      </c>
      <c r="C486" s="62" t="s">
        <v>1278</v>
      </c>
      <c r="D486" s="82" t="s">
        <v>1258</v>
      </c>
      <c r="E486" s="82" t="s">
        <v>1248</v>
      </c>
      <c r="F486" s="70">
        <f>VLOOKUP(VLOOKUP(A486,'Личные данные'!A:V,6,0),'Личные данные'!$X$17:$AA$21,2,0)</f>
        <v>550</v>
      </c>
    </row>
    <row r="487" spans="1:6" ht="15.75" customHeight="1" x14ac:dyDescent="0.25">
      <c r="A487" s="62" t="s">
        <v>284</v>
      </c>
      <c r="B487" s="62">
        <v>19</v>
      </c>
      <c r="C487" s="62" t="s">
        <v>1278</v>
      </c>
      <c r="D487" s="82" t="s">
        <v>1243</v>
      </c>
      <c r="E487" s="82" t="s">
        <v>1255</v>
      </c>
      <c r="F487" s="70">
        <f>VLOOKUP(VLOOKUP(A487,'Личные данные'!A:V,6,0),'Личные данные'!$X$17:$AA$21,2,0)</f>
        <v>550</v>
      </c>
    </row>
    <row r="488" spans="1:6" ht="15.75" customHeight="1" x14ac:dyDescent="0.25">
      <c r="A488" s="62" t="s">
        <v>285</v>
      </c>
      <c r="B488" s="62">
        <v>19</v>
      </c>
      <c r="C488" s="62" t="s">
        <v>1278</v>
      </c>
      <c r="D488" s="82" t="s">
        <v>1243</v>
      </c>
      <c r="E488" s="82" t="s">
        <v>1253</v>
      </c>
      <c r="F488" s="70">
        <f>VLOOKUP(VLOOKUP(A488,'Личные данные'!A:V,6,0),'Личные данные'!$X$17:$AA$21,2,0)</f>
        <v>330</v>
      </c>
    </row>
    <row r="489" spans="1:6" ht="15.75" customHeight="1" x14ac:dyDescent="0.25">
      <c r="A489" s="62" t="s">
        <v>286</v>
      </c>
      <c r="B489" s="62">
        <v>19</v>
      </c>
      <c r="C489" s="62" t="s">
        <v>1278</v>
      </c>
      <c r="D489" s="82" t="s">
        <v>1243</v>
      </c>
      <c r="E489" s="82" t="s">
        <v>1253</v>
      </c>
      <c r="F489" s="70">
        <f>VLOOKUP(VLOOKUP(A489,'Личные данные'!A:V,6,0),'Личные данные'!$X$17:$AA$21,2,0)</f>
        <v>330</v>
      </c>
    </row>
    <row r="490" spans="1:6" ht="15.75" customHeight="1" x14ac:dyDescent="0.25">
      <c r="A490" s="62" t="s">
        <v>287</v>
      </c>
      <c r="B490" s="62">
        <v>19</v>
      </c>
      <c r="C490" s="62" t="s">
        <v>1278</v>
      </c>
      <c r="D490" s="82" t="s">
        <v>1243</v>
      </c>
      <c r="E490" s="82" t="s">
        <v>1253</v>
      </c>
      <c r="F490" s="70">
        <f>VLOOKUP(VLOOKUP(A490,'Личные данные'!A:V,6,0),'Личные данные'!$X$17:$AA$21,2,0)</f>
        <v>330</v>
      </c>
    </row>
    <row r="491" spans="1:6" ht="15.75" customHeight="1" x14ac:dyDescent="0.25">
      <c r="A491" s="62" t="s">
        <v>288</v>
      </c>
      <c r="B491" s="62">
        <v>19</v>
      </c>
      <c r="C491" s="62" t="s">
        <v>1278</v>
      </c>
      <c r="D491" s="82" t="s">
        <v>1260</v>
      </c>
      <c r="E491" s="82" t="s">
        <v>1250</v>
      </c>
      <c r="F491" s="70">
        <f>VLOOKUP(VLOOKUP(A491,'Личные данные'!A:V,6,0),'Личные данные'!$X$17:$AA$21,2,0)</f>
        <v>770</v>
      </c>
    </row>
    <row r="492" spans="1:6" ht="15.75" customHeight="1" x14ac:dyDescent="0.25">
      <c r="A492" s="62" t="s">
        <v>289</v>
      </c>
      <c r="B492" s="62">
        <v>19</v>
      </c>
      <c r="C492" s="62" t="s">
        <v>1278</v>
      </c>
      <c r="D492" s="82" t="s">
        <v>1243</v>
      </c>
      <c r="E492" s="82" t="s">
        <v>1248</v>
      </c>
      <c r="F492" s="70">
        <f>VLOOKUP(VLOOKUP(A492,'Личные данные'!A:V,6,0),'Личные данные'!$X$17:$AA$21,2,0)</f>
        <v>330</v>
      </c>
    </row>
    <row r="493" spans="1:6" ht="15.75" customHeight="1" x14ac:dyDescent="0.25">
      <c r="A493" s="62" t="s">
        <v>290</v>
      </c>
      <c r="B493" s="62">
        <v>19</v>
      </c>
      <c r="C493" s="62" t="s">
        <v>1278</v>
      </c>
      <c r="D493" s="82" t="s">
        <v>1243</v>
      </c>
      <c r="E493" s="82" t="s">
        <v>1248</v>
      </c>
      <c r="F493" s="70">
        <f>VLOOKUP(VLOOKUP(A493,'Личные данные'!A:V,6,0),'Личные данные'!$X$17:$AA$21,2,0)</f>
        <v>550</v>
      </c>
    </row>
    <row r="494" spans="1:6" ht="15.75" customHeight="1" x14ac:dyDescent="0.25">
      <c r="A494" s="62" t="s">
        <v>291</v>
      </c>
      <c r="B494" s="62">
        <v>19</v>
      </c>
      <c r="C494" s="62" t="s">
        <v>1278</v>
      </c>
      <c r="D494" s="82" t="s">
        <v>1257</v>
      </c>
      <c r="E494" s="82" t="s">
        <v>1255</v>
      </c>
      <c r="F494" s="70">
        <f>VLOOKUP(VLOOKUP(A494,'Личные данные'!A:V,6,0),'Личные данные'!$X$17:$AA$21,2,0)</f>
        <v>550</v>
      </c>
    </row>
    <row r="495" spans="1:6" ht="15.75" customHeight="1" x14ac:dyDescent="0.25">
      <c r="A495" s="62" t="s">
        <v>292</v>
      </c>
      <c r="B495" s="62">
        <v>19</v>
      </c>
      <c r="C495" s="62" t="s">
        <v>1278</v>
      </c>
      <c r="D495" s="82" t="s">
        <v>1256</v>
      </c>
      <c r="E495" s="82" t="s">
        <v>1253</v>
      </c>
      <c r="F495" s="70">
        <f>VLOOKUP(VLOOKUP(A495,'Личные данные'!A:V,6,0),'Личные данные'!$X$17:$AA$21,2,0)</f>
        <v>550</v>
      </c>
    </row>
    <row r="496" spans="1:6" ht="15.75" customHeight="1" x14ac:dyDescent="0.25">
      <c r="A496" s="62" t="s">
        <v>293</v>
      </c>
      <c r="B496" s="62">
        <v>19</v>
      </c>
      <c r="C496" s="62" t="s">
        <v>1278</v>
      </c>
      <c r="D496" s="82" t="s">
        <v>1243</v>
      </c>
      <c r="E496" s="82" t="s">
        <v>1248</v>
      </c>
      <c r="F496" s="70">
        <f>VLOOKUP(VLOOKUP(A496,'Личные данные'!A:V,6,0),'Личные данные'!$X$17:$AA$21,2,0)</f>
        <v>440</v>
      </c>
    </row>
    <row r="497" spans="1:6" ht="15.75" customHeight="1" x14ac:dyDescent="0.25">
      <c r="A497" s="62" t="s">
        <v>294</v>
      </c>
      <c r="B497" s="62">
        <v>19</v>
      </c>
      <c r="C497" s="62" t="s">
        <v>1278</v>
      </c>
      <c r="D497" s="82" t="s">
        <v>1243</v>
      </c>
      <c r="E497" s="82" t="s">
        <v>1253</v>
      </c>
      <c r="F497" s="70">
        <f>VLOOKUP(VLOOKUP(A497,'Личные данные'!A:V,6,0),'Личные данные'!$X$17:$AA$21,2,0)</f>
        <v>330</v>
      </c>
    </row>
    <row r="498" spans="1:6" ht="15.75" customHeight="1" x14ac:dyDescent="0.25">
      <c r="A498" s="62" t="s">
        <v>295</v>
      </c>
      <c r="B498" s="62">
        <v>19</v>
      </c>
      <c r="C498" s="62" t="s">
        <v>1278</v>
      </c>
      <c r="D498" s="82" t="s">
        <v>1243</v>
      </c>
      <c r="E498" s="82" t="s">
        <v>1253</v>
      </c>
      <c r="F498" s="70">
        <f>VLOOKUP(VLOOKUP(A498,'Личные данные'!A:V,6,0),'Личные данные'!$X$17:$AA$21,2,0)</f>
        <v>330</v>
      </c>
    </row>
    <row r="499" spans="1:6" ht="15.75" customHeight="1" x14ac:dyDescent="0.25">
      <c r="A499" s="62" t="s">
        <v>296</v>
      </c>
      <c r="B499" s="62">
        <v>19</v>
      </c>
      <c r="C499" s="62" t="s">
        <v>1278</v>
      </c>
      <c r="D499" s="82" t="s">
        <v>1243</v>
      </c>
      <c r="E499" s="82" t="s">
        <v>1253</v>
      </c>
      <c r="F499" s="70">
        <f>VLOOKUP(VLOOKUP(A499,'Личные данные'!A:V,6,0),'Личные данные'!$X$17:$AA$21,2,0)</f>
        <v>330</v>
      </c>
    </row>
    <row r="500" spans="1:6" ht="15.75" customHeight="1" x14ac:dyDescent="0.25">
      <c r="A500" s="62" t="s">
        <v>297</v>
      </c>
      <c r="B500" s="62">
        <v>19</v>
      </c>
      <c r="C500" s="62" t="s">
        <v>1278</v>
      </c>
      <c r="D500" s="82" t="s">
        <v>1256</v>
      </c>
      <c r="E500" s="82" t="s">
        <v>1248</v>
      </c>
      <c r="F500" s="70">
        <f>VLOOKUP(VLOOKUP(A500,'Личные данные'!A:V,6,0),'Личные данные'!$X$17:$AA$21,2,0)</f>
        <v>550</v>
      </c>
    </row>
    <row r="501" spans="1:6" ht="15.75" customHeight="1" x14ac:dyDescent="0.25">
      <c r="A501" s="62" t="s">
        <v>298</v>
      </c>
      <c r="B501" s="62">
        <v>19</v>
      </c>
      <c r="C501" s="62" t="s">
        <v>1278</v>
      </c>
      <c r="D501" s="82" t="s">
        <v>1243</v>
      </c>
      <c r="E501" s="82" t="s">
        <v>1244</v>
      </c>
      <c r="F501" s="70">
        <f>VLOOKUP(VLOOKUP(A501,'Личные данные'!A:V,6,0),'Личные данные'!$X$17:$AA$21,2,0)</f>
        <v>330</v>
      </c>
    </row>
    <row r="502" spans="1:6" ht="15.75" customHeight="1" x14ac:dyDescent="0.25">
      <c r="A502" s="62" t="s">
        <v>299</v>
      </c>
      <c r="B502" s="62">
        <v>19</v>
      </c>
      <c r="C502" s="62" t="s">
        <v>1278</v>
      </c>
      <c r="D502" s="82" t="s">
        <v>1243</v>
      </c>
      <c r="E502" s="82" t="s">
        <v>1253</v>
      </c>
      <c r="F502" s="70">
        <f>VLOOKUP(VLOOKUP(A502,'Личные данные'!A:V,6,0),'Личные данные'!$X$17:$AA$21,2,0)</f>
        <v>330</v>
      </c>
    </row>
    <row r="503" spans="1:6" ht="15.75" customHeight="1" x14ac:dyDescent="0.25">
      <c r="A503" s="62" t="s">
        <v>300</v>
      </c>
      <c r="B503" s="62">
        <v>20</v>
      </c>
      <c r="C503" s="62" t="s">
        <v>1278</v>
      </c>
      <c r="D503" s="82" t="s">
        <v>1243</v>
      </c>
      <c r="E503" s="82" t="s">
        <v>1248</v>
      </c>
      <c r="F503" s="70">
        <f>VLOOKUP(VLOOKUP(A503,'Личные данные'!A:V,6,0),'Личные данные'!$X$17:$AA$21,2,0)</f>
        <v>330</v>
      </c>
    </row>
    <row r="504" spans="1:6" ht="15.75" customHeight="1" x14ac:dyDescent="0.25">
      <c r="A504" s="62" t="s">
        <v>301</v>
      </c>
      <c r="B504" s="62">
        <v>20</v>
      </c>
      <c r="C504" s="62" t="s">
        <v>1278</v>
      </c>
      <c r="D504" s="82" t="s">
        <v>1243</v>
      </c>
      <c r="E504" s="82" t="s">
        <v>1253</v>
      </c>
      <c r="F504" s="70">
        <f>VLOOKUP(VLOOKUP(A504,'Личные данные'!A:V,6,0),'Личные данные'!$X$17:$AA$21,2,0)</f>
        <v>330</v>
      </c>
    </row>
    <row r="505" spans="1:6" ht="15.75" customHeight="1" x14ac:dyDescent="0.25">
      <c r="A505" s="62" t="s">
        <v>302</v>
      </c>
      <c r="B505" s="62">
        <v>20</v>
      </c>
      <c r="C505" s="62" t="s">
        <v>1278</v>
      </c>
      <c r="D505" s="82" t="s">
        <v>1256</v>
      </c>
      <c r="E505" s="82" t="s">
        <v>1255</v>
      </c>
      <c r="F505" s="70">
        <f>VLOOKUP(VLOOKUP(A505,'Личные данные'!A:V,6,0),'Личные данные'!$X$17:$AA$21,2,0)</f>
        <v>770</v>
      </c>
    </row>
    <row r="506" spans="1:6" ht="15.75" customHeight="1" x14ac:dyDescent="0.25">
      <c r="A506" s="62" t="s">
        <v>303</v>
      </c>
      <c r="B506" s="62">
        <v>20</v>
      </c>
      <c r="C506" s="62" t="s">
        <v>1278</v>
      </c>
      <c r="D506" s="82" t="s">
        <v>1243</v>
      </c>
      <c r="E506" s="82" t="s">
        <v>1255</v>
      </c>
      <c r="F506" s="70">
        <f>VLOOKUP(VLOOKUP(A506,'Личные данные'!A:V,6,0),'Личные данные'!$X$17:$AA$21,2,0)</f>
        <v>330</v>
      </c>
    </row>
    <row r="507" spans="1:6" ht="15.75" customHeight="1" x14ac:dyDescent="0.25">
      <c r="A507" s="62" t="s">
        <v>304</v>
      </c>
      <c r="B507" s="62">
        <v>20</v>
      </c>
      <c r="C507" s="62" t="s">
        <v>1278</v>
      </c>
      <c r="D507" s="82" t="s">
        <v>1243</v>
      </c>
      <c r="E507" s="82" t="s">
        <v>1244</v>
      </c>
      <c r="F507" s="70">
        <f>VLOOKUP(VLOOKUP(A507,'Личные данные'!A:V,6,0),'Личные данные'!$X$17:$AA$21,2,0)</f>
        <v>330</v>
      </c>
    </row>
    <row r="508" spans="1:6" ht="15.75" customHeight="1" x14ac:dyDescent="0.25">
      <c r="A508" s="62" t="s">
        <v>305</v>
      </c>
      <c r="B508" s="62">
        <v>20</v>
      </c>
      <c r="C508" s="62" t="s">
        <v>1278</v>
      </c>
      <c r="D508" s="82" t="s">
        <v>1257</v>
      </c>
      <c r="E508" s="82" t="s">
        <v>1248</v>
      </c>
      <c r="F508" s="70">
        <f>VLOOKUP(VLOOKUP(A508,'Личные данные'!A:V,6,0),'Личные данные'!$X$17:$AA$21,2,0)</f>
        <v>440</v>
      </c>
    </row>
    <row r="509" spans="1:6" ht="15.75" customHeight="1" x14ac:dyDescent="0.25">
      <c r="A509" s="62" t="s">
        <v>306</v>
      </c>
      <c r="B509" s="62">
        <v>20</v>
      </c>
      <c r="C509" s="62" t="s">
        <v>1278</v>
      </c>
      <c r="D509" s="82" t="s">
        <v>1243</v>
      </c>
      <c r="E509" s="82" t="s">
        <v>1255</v>
      </c>
      <c r="F509" s="70">
        <f>VLOOKUP(VLOOKUP(A509,'Личные данные'!A:V,6,0),'Личные данные'!$X$17:$AA$21,2,0)</f>
        <v>330</v>
      </c>
    </row>
    <row r="510" spans="1:6" ht="15.75" customHeight="1" x14ac:dyDescent="0.25">
      <c r="A510" s="62" t="s">
        <v>307</v>
      </c>
      <c r="B510" s="62">
        <v>20</v>
      </c>
      <c r="C510" s="62" t="s">
        <v>1278</v>
      </c>
      <c r="D510" s="82" t="s">
        <v>1243</v>
      </c>
      <c r="E510" s="82" t="s">
        <v>1248</v>
      </c>
      <c r="F510" s="70">
        <f>VLOOKUP(VLOOKUP(A510,'Личные данные'!A:V,6,0),'Личные данные'!$X$17:$AA$21,2,0)</f>
        <v>330</v>
      </c>
    </row>
    <row r="511" spans="1:6" ht="15.75" customHeight="1" x14ac:dyDescent="0.25">
      <c r="A511" s="62" t="s">
        <v>308</v>
      </c>
      <c r="B511" s="62">
        <v>20</v>
      </c>
      <c r="C511" s="62" t="s">
        <v>1278</v>
      </c>
      <c r="D511" s="82" t="s">
        <v>1256</v>
      </c>
      <c r="E511" s="82" t="s">
        <v>1253</v>
      </c>
      <c r="F511" s="70">
        <f>VLOOKUP(VLOOKUP(A511,'Личные данные'!A:V,6,0),'Личные данные'!$X$17:$AA$21,2,0)</f>
        <v>550</v>
      </c>
    </row>
    <row r="512" spans="1:6" ht="15.75" customHeight="1" x14ac:dyDescent="0.25">
      <c r="A512" s="62" t="s">
        <v>309</v>
      </c>
      <c r="B512" s="62">
        <v>20</v>
      </c>
      <c r="C512" s="62" t="s">
        <v>1278</v>
      </c>
      <c r="D512" s="82" t="s">
        <v>1243</v>
      </c>
      <c r="E512" s="82" t="s">
        <v>1244</v>
      </c>
      <c r="F512" s="70">
        <f>VLOOKUP(VLOOKUP(A512,'Личные данные'!A:V,6,0),'Личные данные'!$X$17:$AA$21,2,0)</f>
        <v>330</v>
      </c>
    </row>
    <row r="513" spans="1:6" ht="15.75" customHeight="1" x14ac:dyDescent="0.25">
      <c r="A513" s="62" t="s">
        <v>310</v>
      </c>
      <c r="B513" s="62">
        <v>20</v>
      </c>
      <c r="C513" s="62" t="s">
        <v>1278</v>
      </c>
      <c r="D513" s="82" t="s">
        <v>1243</v>
      </c>
      <c r="E513" s="82" t="s">
        <v>1253</v>
      </c>
      <c r="F513" s="70">
        <f>VLOOKUP(VLOOKUP(A513,'Личные данные'!A:V,6,0),'Личные данные'!$X$17:$AA$21,2,0)</f>
        <v>330</v>
      </c>
    </row>
    <row r="514" spans="1:6" ht="15.75" customHeight="1" x14ac:dyDescent="0.25">
      <c r="A514" s="62" t="s">
        <v>311</v>
      </c>
      <c r="B514" s="62">
        <v>20</v>
      </c>
      <c r="C514" s="62" t="s">
        <v>1278</v>
      </c>
      <c r="D514" s="82" t="s">
        <v>1243</v>
      </c>
      <c r="E514" s="82" t="s">
        <v>1248</v>
      </c>
      <c r="F514" s="70">
        <f>VLOOKUP(VLOOKUP(A514,'Личные данные'!A:V,6,0),'Личные данные'!$X$17:$AA$21,2,0)</f>
        <v>330</v>
      </c>
    </row>
    <row r="515" spans="1:6" ht="15.75" customHeight="1" x14ac:dyDescent="0.25">
      <c r="A515" s="62" t="s">
        <v>312</v>
      </c>
      <c r="B515" s="62">
        <v>20</v>
      </c>
      <c r="C515" s="62" t="s">
        <v>1278</v>
      </c>
      <c r="D515" s="82" t="s">
        <v>1256</v>
      </c>
      <c r="E515" s="82" t="s">
        <v>1248</v>
      </c>
      <c r="F515" s="70">
        <f>VLOOKUP(VLOOKUP(A515,'Личные данные'!A:V,6,0),'Личные данные'!$X$17:$AA$21,2,0)</f>
        <v>440</v>
      </c>
    </row>
    <row r="516" spans="1:6" ht="15.75" customHeight="1" x14ac:dyDescent="0.25">
      <c r="A516" s="62" t="s">
        <v>313</v>
      </c>
      <c r="B516" s="62">
        <v>20</v>
      </c>
      <c r="C516" s="62" t="s">
        <v>1278</v>
      </c>
      <c r="D516" s="82" t="s">
        <v>1243</v>
      </c>
      <c r="E516" s="82" t="s">
        <v>1253</v>
      </c>
      <c r="F516" s="70">
        <f>VLOOKUP(VLOOKUP(A516,'Личные данные'!A:V,6,0),'Личные данные'!$X$17:$AA$21,2,0)</f>
        <v>330</v>
      </c>
    </row>
    <row r="517" spans="1:6" ht="15.75" customHeight="1" x14ac:dyDescent="0.25">
      <c r="A517" s="62" t="s">
        <v>314</v>
      </c>
      <c r="B517" s="62">
        <v>20</v>
      </c>
      <c r="C517" s="62" t="s">
        <v>1278</v>
      </c>
      <c r="D517" s="82" t="s">
        <v>1258</v>
      </c>
      <c r="E517" s="82" t="s">
        <v>1255</v>
      </c>
      <c r="F517" s="70">
        <f>VLOOKUP(VLOOKUP(A517,'Личные данные'!A:V,6,0),'Личные данные'!$X$17:$AA$21,2,0)</f>
        <v>440</v>
      </c>
    </row>
    <row r="518" spans="1:6" ht="15.75" customHeight="1" x14ac:dyDescent="0.25">
      <c r="A518" s="62" t="s">
        <v>315</v>
      </c>
      <c r="B518" s="62">
        <v>20</v>
      </c>
      <c r="C518" s="62" t="s">
        <v>1278</v>
      </c>
      <c r="D518" s="82" t="s">
        <v>1257</v>
      </c>
      <c r="E518" s="82" t="s">
        <v>1253</v>
      </c>
      <c r="F518" s="70">
        <f>VLOOKUP(VLOOKUP(A518,'Личные данные'!A:V,6,0),'Личные данные'!$X$17:$AA$21,2,0)</f>
        <v>550</v>
      </c>
    </row>
    <row r="519" spans="1:6" ht="15.75" customHeight="1" x14ac:dyDescent="0.25">
      <c r="A519" s="62" t="s">
        <v>316</v>
      </c>
      <c r="B519" s="62">
        <v>20</v>
      </c>
      <c r="C519" s="62" t="s">
        <v>1278</v>
      </c>
      <c r="D519" s="82" t="s">
        <v>1243</v>
      </c>
      <c r="E519" s="82" t="s">
        <v>1253</v>
      </c>
      <c r="F519" s="70">
        <f>VLOOKUP(VLOOKUP(A519,'Личные данные'!A:V,6,0),'Личные данные'!$X$17:$AA$21,2,0)</f>
        <v>330</v>
      </c>
    </row>
    <row r="520" spans="1:6" ht="15.75" customHeight="1" x14ac:dyDescent="0.25">
      <c r="A520" s="62" t="s">
        <v>317</v>
      </c>
      <c r="B520" s="62">
        <v>20</v>
      </c>
      <c r="C520" s="62" t="s">
        <v>1278</v>
      </c>
      <c r="D520" s="82" t="s">
        <v>1256</v>
      </c>
      <c r="E520" s="82" t="s">
        <v>1248</v>
      </c>
      <c r="F520" s="70">
        <f>VLOOKUP(VLOOKUP(A520,'Личные данные'!A:V,6,0),'Личные данные'!$X$17:$AA$21,2,0)</f>
        <v>550</v>
      </c>
    </row>
    <row r="521" spans="1:6" ht="15.75" customHeight="1" x14ac:dyDescent="0.25">
      <c r="A521" s="62" t="s">
        <v>318</v>
      </c>
      <c r="B521" s="62">
        <v>20</v>
      </c>
      <c r="C521" s="62" t="s">
        <v>1278</v>
      </c>
      <c r="D521" s="82" t="s">
        <v>1243</v>
      </c>
      <c r="E521" s="82" t="s">
        <v>1255</v>
      </c>
      <c r="F521" s="70">
        <f>VLOOKUP(VLOOKUP(A521,'Личные данные'!A:V,6,0),'Личные данные'!$X$17:$AA$21,2,0)</f>
        <v>330</v>
      </c>
    </row>
    <row r="522" spans="1:6" ht="15.75" customHeight="1" x14ac:dyDescent="0.25">
      <c r="A522" s="62" t="s">
        <v>319</v>
      </c>
      <c r="B522" s="62">
        <v>20</v>
      </c>
      <c r="C522" s="62" t="s">
        <v>1278</v>
      </c>
      <c r="D522" s="82" t="s">
        <v>1256</v>
      </c>
      <c r="E522" s="82" t="s">
        <v>1244</v>
      </c>
      <c r="F522" s="70">
        <f>VLOOKUP(VLOOKUP(A522,'Личные данные'!A:V,6,0),'Личные данные'!$X$17:$AA$21,2,0)</f>
        <v>550</v>
      </c>
    </row>
    <row r="523" spans="1:6" ht="15.75" customHeight="1" x14ac:dyDescent="0.25">
      <c r="A523" s="62" t="s">
        <v>320</v>
      </c>
      <c r="B523" s="62">
        <v>20</v>
      </c>
      <c r="C523" s="62" t="s">
        <v>1278</v>
      </c>
      <c r="D523" s="82" t="s">
        <v>1243</v>
      </c>
      <c r="E523" s="82" t="s">
        <v>1253</v>
      </c>
      <c r="F523" s="70">
        <f>VLOOKUP(VLOOKUP(A523,'Личные данные'!A:V,6,0),'Личные данные'!$X$17:$AA$21,2,0)</f>
        <v>330</v>
      </c>
    </row>
    <row r="524" spans="1:6" ht="15.75" customHeight="1" x14ac:dyDescent="0.25">
      <c r="A524" s="62" t="s">
        <v>321</v>
      </c>
      <c r="B524" s="62">
        <v>20</v>
      </c>
      <c r="C524" s="62" t="s">
        <v>1278</v>
      </c>
      <c r="D524" s="82" t="s">
        <v>1258</v>
      </c>
      <c r="E524" s="82" t="s">
        <v>1255</v>
      </c>
      <c r="F524" s="70">
        <f>VLOOKUP(VLOOKUP(A524,'Личные данные'!A:V,6,0),'Личные данные'!$X$17:$AA$21,2,0)</f>
        <v>440</v>
      </c>
    </row>
    <row r="525" spans="1:6" ht="15.75" customHeight="1" x14ac:dyDescent="0.25">
      <c r="A525" s="62" t="s">
        <v>322</v>
      </c>
      <c r="B525" s="62">
        <v>20</v>
      </c>
      <c r="C525" s="62" t="s">
        <v>1278</v>
      </c>
      <c r="D525" s="82" t="s">
        <v>1243</v>
      </c>
      <c r="E525" s="82" t="s">
        <v>1248</v>
      </c>
      <c r="F525" s="70">
        <f>VLOOKUP(VLOOKUP(A525,'Личные данные'!A:V,6,0),'Личные данные'!$X$17:$AA$21,2,0)</f>
        <v>330</v>
      </c>
    </row>
    <row r="526" spans="1:6" ht="15.75" customHeight="1" x14ac:dyDescent="0.25">
      <c r="A526" s="62" t="s">
        <v>323</v>
      </c>
      <c r="B526" s="62">
        <v>20</v>
      </c>
      <c r="C526" s="62" t="s">
        <v>1278</v>
      </c>
      <c r="D526" s="82" t="s">
        <v>1258</v>
      </c>
      <c r="E526" s="82" t="s">
        <v>1244</v>
      </c>
      <c r="F526" s="70">
        <f>VLOOKUP(VLOOKUP(A526,'Личные данные'!A:V,6,0),'Личные данные'!$X$17:$AA$21,2,0)</f>
        <v>550</v>
      </c>
    </row>
    <row r="527" spans="1:6" ht="15.75" customHeight="1" x14ac:dyDescent="0.25">
      <c r="A527" s="62" t="s">
        <v>324</v>
      </c>
      <c r="B527" s="62">
        <v>20</v>
      </c>
      <c r="C527" s="62" t="s">
        <v>1278</v>
      </c>
      <c r="D527" s="82" t="s">
        <v>1258</v>
      </c>
      <c r="E527" s="82" t="s">
        <v>1255</v>
      </c>
      <c r="F527" s="70">
        <f>VLOOKUP(VLOOKUP(A527,'Личные данные'!A:V,6,0),'Личные данные'!$X$17:$AA$21,2,0)</f>
        <v>440</v>
      </c>
    </row>
    <row r="528" spans="1:6" ht="15.75" customHeight="1" x14ac:dyDescent="0.25">
      <c r="A528" s="62" t="s">
        <v>325</v>
      </c>
      <c r="B528" s="62">
        <v>20</v>
      </c>
      <c r="C528" s="62" t="s">
        <v>1278</v>
      </c>
      <c r="D528" s="82" t="s">
        <v>1257</v>
      </c>
      <c r="E528" s="82" t="s">
        <v>1248</v>
      </c>
      <c r="F528" s="70">
        <f>VLOOKUP(VLOOKUP(A528,'Личные данные'!A:V,6,0),'Личные данные'!$X$17:$AA$21,2,0)</f>
        <v>550</v>
      </c>
    </row>
    <row r="529" spans="1:6" ht="15.75" customHeight="1" x14ac:dyDescent="0.25">
      <c r="A529" s="62" t="s">
        <v>326</v>
      </c>
      <c r="B529" s="62">
        <v>20</v>
      </c>
      <c r="C529" s="62" t="s">
        <v>1278</v>
      </c>
      <c r="D529" s="82" t="s">
        <v>1258</v>
      </c>
      <c r="E529" s="82" t="s">
        <v>1255</v>
      </c>
      <c r="F529" s="70">
        <f>VLOOKUP(VLOOKUP(A529,'Личные данные'!A:V,6,0),'Личные данные'!$X$17:$AA$21,2,0)</f>
        <v>440</v>
      </c>
    </row>
    <row r="530" spans="1:6" ht="15.75" customHeight="1" x14ac:dyDescent="0.25">
      <c r="A530" s="62" t="s">
        <v>327</v>
      </c>
      <c r="B530" s="62">
        <v>20</v>
      </c>
      <c r="C530" s="62" t="s">
        <v>1278</v>
      </c>
      <c r="D530" s="82" t="s">
        <v>1258</v>
      </c>
      <c r="E530" s="82" t="s">
        <v>1248</v>
      </c>
      <c r="F530" s="70">
        <f>VLOOKUP(VLOOKUP(A530,'Личные данные'!A:V,6,0),'Личные данные'!$X$17:$AA$21,2,0)</f>
        <v>440</v>
      </c>
    </row>
    <row r="531" spans="1:6" ht="15.75" customHeight="1" x14ac:dyDescent="0.25">
      <c r="A531" s="62" t="s">
        <v>328</v>
      </c>
      <c r="B531" s="62">
        <v>20</v>
      </c>
      <c r="C531" s="62" t="s">
        <v>1278</v>
      </c>
      <c r="D531" s="82" t="s">
        <v>1243</v>
      </c>
      <c r="E531" s="82" t="s">
        <v>1253</v>
      </c>
      <c r="F531" s="70">
        <f>VLOOKUP(VLOOKUP(A531,'Личные данные'!A:V,6,0),'Личные данные'!$X$17:$AA$21,2,0)</f>
        <v>330</v>
      </c>
    </row>
    <row r="532" spans="1:6" ht="15.75" customHeight="1" x14ac:dyDescent="0.25">
      <c r="A532" s="62" t="s">
        <v>329</v>
      </c>
      <c r="B532" s="62">
        <v>20</v>
      </c>
      <c r="C532" s="62" t="s">
        <v>1278</v>
      </c>
      <c r="D532" s="82" t="s">
        <v>1243</v>
      </c>
      <c r="E532" s="82" t="s">
        <v>1255</v>
      </c>
      <c r="F532" s="70">
        <f>VLOOKUP(VLOOKUP(A532,'Личные данные'!A:V,6,0),'Личные данные'!$X$17:$AA$21,2,0)</f>
        <v>440</v>
      </c>
    </row>
    <row r="533" spans="1:6" ht="15.75" customHeight="1" x14ac:dyDescent="0.25">
      <c r="A533" s="62" t="s">
        <v>330</v>
      </c>
      <c r="B533" s="62">
        <v>20</v>
      </c>
      <c r="C533" s="62" t="s">
        <v>1278</v>
      </c>
      <c r="D533" s="82" t="s">
        <v>1257</v>
      </c>
      <c r="E533" s="82" t="s">
        <v>1248</v>
      </c>
      <c r="F533" s="70">
        <f>VLOOKUP(VLOOKUP(A533,'Личные данные'!A:V,6,0),'Личные данные'!$X$17:$AA$21,2,0)</f>
        <v>440</v>
      </c>
    </row>
    <row r="534" spans="1:6" ht="15.75" customHeight="1" x14ac:dyDescent="0.25">
      <c r="A534" s="62" t="s">
        <v>331</v>
      </c>
      <c r="B534" s="62">
        <v>20</v>
      </c>
      <c r="C534" s="62" t="s">
        <v>1278</v>
      </c>
      <c r="D534" s="82" t="s">
        <v>1257</v>
      </c>
      <c r="E534" s="82" t="s">
        <v>1248</v>
      </c>
      <c r="F534" s="70">
        <f>VLOOKUP(VLOOKUP(A534,'Личные данные'!A:V,6,0),'Личные данные'!$X$17:$AA$21,2,0)</f>
        <v>440</v>
      </c>
    </row>
    <row r="535" spans="1:6" ht="15.75" customHeight="1" x14ac:dyDescent="0.25">
      <c r="A535" s="62" t="s">
        <v>332</v>
      </c>
      <c r="B535" s="62">
        <v>20</v>
      </c>
      <c r="C535" s="62" t="s">
        <v>1278</v>
      </c>
      <c r="D535" s="82" t="s">
        <v>1243</v>
      </c>
      <c r="E535" s="82" t="s">
        <v>1244</v>
      </c>
      <c r="F535" s="70">
        <f>VLOOKUP(VLOOKUP(A535,'Личные данные'!A:V,6,0),'Личные данные'!$X$17:$AA$21,2,0)</f>
        <v>330</v>
      </c>
    </row>
    <row r="536" spans="1:6" ht="15.75" customHeight="1" x14ac:dyDescent="0.25">
      <c r="A536" s="62" t="s">
        <v>333</v>
      </c>
      <c r="B536" s="62">
        <v>20</v>
      </c>
      <c r="C536" s="62" t="s">
        <v>1278</v>
      </c>
      <c r="D536" s="82" t="s">
        <v>1257</v>
      </c>
      <c r="E536" s="82" t="s">
        <v>1248</v>
      </c>
      <c r="F536" s="70">
        <f>VLOOKUP(VLOOKUP(A536,'Личные данные'!A:V,6,0),'Личные данные'!$X$17:$AA$21,2,0)</f>
        <v>770</v>
      </c>
    </row>
    <row r="537" spans="1:6" ht="15.75" customHeight="1" x14ac:dyDescent="0.25">
      <c r="A537" s="62" t="s">
        <v>334</v>
      </c>
      <c r="B537" s="62">
        <v>20</v>
      </c>
      <c r="C537" s="62" t="s">
        <v>1278</v>
      </c>
      <c r="D537" s="82" t="s">
        <v>1243</v>
      </c>
      <c r="E537" s="82" t="s">
        <v>1248</v>
      </c>
      <c r="F537" s="70">
        <f>VLOOKUP(VLOOKUP(A537,'Личные данные'!A:V,6,0),'Личные данные'!$X$17:$AA$21,2,0)</f>
        <v>440</v>
      </c>
    </row>
    <row r="538" spans="1:6" ht="15.75" customHeight="1" x14ac:dyDescent="0.25">
      <c r="A538" s="62" t="s">
        <v>335</v>
      </c>
      <c r="B538" s="62">
        <v>20</v>
      </c>
      <c r="C538" s="62" t="s">
        <v>1278</v>
      </c>
      <c r="D538" s="82" t="s">
        <v>1243</v>
      </c>
      <c r="E538" s="82" t="s">
        <v>1253</v>
      </c>
      <c r="F538" s="70">
        <f>VLOOKUP(VLOOKUP(A538,'Личные данные'!A:V,6,0),'Личные данные'!$X$17:$AA$21,2,0)</f>
        <v>330</v>
      </c>
    </row>
    <row r="539" spans="1:6" ht="15.75" customHeight="1" x14ac:dyDescent="0.25">
      <c r="A539" s="62" t="s">
        <v>336</v>
      </c>
      <c r="B539" s="62">
        <v>20</v>
      </c>
      <c r="C539" s="62" t="s">
        <v>1278</v>
      </c>
      <c r="D539" s="82" t="s">
        <v>1243</v>
      </c>
      <c r="E539" s="82" t="s">
        <v>1253</v>
      </c>
      <c r="F539" s="70">
        <f>VLOOKUP(VLOOKUP(A539,'Личные данные'!A:V,6,0),'Личные данные'!$X$17:$AA$21,2,0)</f>
        <v>330</v>
      </c>
    </row>
    <row r="540" spans="1:6" ht="15.75" customHeight="1" x14ac:dyDescent="0.25">
      <c r="A540" s="62" t="s">
        <v>337</v>
      </c>
      <c r="B540" s="62">
        <v>20</v>
      </c>
      <c r="C540" s="62" t="s">
        <v>1278</v>
      </c>
      <c r="D540" s="82" t="s">
        <v>1256</v>
      </c>
      <c r="E540" s="82" t="s">
        <v>1253</v>
      </c>
      <c r="F540" s="70">
        <f>VLOOKUP(VLOOKUP(A540,'Личные данные'!A:V,6,0),'Личные данные'!$X$17:$AA$21,2,0)</f>
        <v>550</v>
      </c>
    </row>
    <row r="541" spans="1:6" ht="15.75" customHeight="1" x14ac:dyDescent="0.25">
      <c r="A541" s="62" t="s">
        <v>338</v>
      </c>
      <c r="B541" s="62">
        <v>20</v>
      </c>
      <c r="C541" s="62" t="s">
        <v>1278</v>
      </c>
      <c r="D541" s="82" t="s">
        <v>1243</v>
      </c>
      <c r="E541" s="82" t="s">
        <v>1248</v>
      </c>
      <c r="F541" s="70">
        <f>VLOOKUP(VLOOKUP(A541,'Личные данные'!A:V,6,0),'Личные данные'!$X$17:$AA$21,2,0)</f>
        <v>330</v>
      </c>
    </row>
    <row r="542" spans="1:6" ht="15.75" customHeight="1" x14ac:dyDescent="0.25">
      <c r="A542" s="62" t="s">
        <v>339</v>
      </c>
      <c r="B542" s="62">
        <v>20</v>
      </c>
      <c r="C542" s="62" t="s">
        <v>1278</v>
      </c>
      <c r="D542" s="82" t="s">
        <v>1260</v>
      </c>
      <c r="E542" s="82" t="s">
        <v>1250</v>
      </c>
      <c r="F542" s="70">
        <f>VLOOKUP(VLOOKUP(A542,'Личные данные'!A:V,6,0),'Личные данные'!$X$17:$AA$21,2,0)</f>
        <v>770</v>
      </c>
    </row>
    <row r="543" spans="1:6" ht="15.75" customHeight="1" x14ac:dyDescent="0.25">
      <c r="A543" s="62" t="s">
        <v>340</v>
      </c>
      <c r="B543" s="62">
        <v>20</v>
      </c>
      <c r="C543" s="62" t="s">
        <v>1278</v>
      </c>
      <c r="D543" s="82" t="s">
        <v>1257</v>
      </c>
      <c r="E543" s="82" t="s">
        <v>1253</v>
      </c>
      <c r="F543" s="70">
        <f>VLOOKUP(VLOOKUP(A543,'Личные данные'!A:V,6,0),'Личные данные'!$X$17:$AA$21,2,0)</f>
        <v>550</v>
      </c>
    </row>
    <row r="544" spans="1:6" ht="15.75" customHeight="1" x14ac:dyDescent="0.25">
      <c r="A544" s="62" t="s">
        <v>341</v>
      </c>
      <c r="B544" s="62">
        <v>20</v>
      </c>
      <c r="C544" s="62" t="s">
        <v>1278</v>
      </c>
      <c r="D544" s="82" t="s">
        <v>1243</v>
      </c>
      <c r="E544" s="82" t="s">
        <v>1253</v>
      </c>
      <c r="F544" s="70">
        <f>VLOOKUP(VLOOKUP(A544,'Личные данные'!A:V,6,0),'Личные данные'!$X$17:$AA$21,2,0)</f>
        <v>330</v>
      </c>
    </row>
    <row r="545" spans="1:6" ht="15.75" customHeight="1" x14ac:dyDescent="0.25">
      <c r="A545" s="62" t="s">
        <v>342</v>
      </c>
      <c r="B545" s="62">
        <v>20</v>
      </c>
      <c r="C545" s="62" t="s">
        <v>1278</v>
      </c>
      <c r="D545" s="82" t="s">
        <v>1256</v>
      </c>
      <c r="E545" s="82" t="s">
        <v>1253</v>
      </c>
      <c r="F545" s="70">
        <f>VLOOKUP(VLOOKUP(A545,'Личные данные'!A:V,6,0),'Личные данные'!$X$17:$AA$21,2,0)</f>
        <v>550</v>
      </c>
    </row>
    <row r="546" spans="1:6" ht="15.75" customHeight="1" x14ac:dyDescent="0.25">
      <c r="A546" s="62" t="s">
        <v>343</v>
      </c>
      <c r="B546" s="62">
        <v>20</v>
      </c>
      <c r="C546" s="62" t="s">
        <v>1278</v>
      </c>
      <c r="D546" s="82" t="s">
        <v>1243</v>
      </c>
      <c r="E546" s="82" t="s">
        <v>1255</v>
      </c>
      <c r="F546" s="70">
        <f>VLOOKUP(VLOOKUP(A546,'Личные данные'!A:V,6,0),'Личные данные'!$X$17:$AA$21,2,0)</f>
        <v>440</v>
      </c>
    </row>
    <row r="547" spans="1:6" ht="15.75" customHeight="1" x14ac:dyDescent="0.25">
      <c r="A547" s="62" t="s">
        <v>344</v>
      </c>
      <c r="B547" s="62">
        <v>20</v>
      </c>
      <c r="C547" s="62" t="s">
        <v>1278</v>
      </c>
      <c r="D547" s="82" t="s">
        <v>1243</v>
      </c>
      <c r="E547" s="82" t="s">
        <v>1253</v>
      </c>
      <c r="F547" s="70">
        <f>VLOOKUP(VLOOKUP(A547,'Личные данные'!A:V,6,0),'Личные данные'!$X$17:$AA$21,2,0)</f>
        <v>330</v>
      </c>
    </row>
    <row r="548" spans="1:6" ht="15.75" customHeight="1" x14ac:dyDescent="0.25">
      <c r="A548" s="62" t="s">
        <v>345</v>
      </c>
      <c r="B548" s="62">
        <v>20</v>
      </c>
      <c r="C548" s="62" t="s">
        <v>1278</v>
      </c>
      <c r="D548" s="82" t="s">
        <v>1256</v>
      </c>
      <c r="E548" s="82" t="s">
        <v>1244</v>
      </c>
      <c r="F548" s="70">
        <f>VLOOKUP(VLOOKUP(A548,'Личные данные'!A:V,6,0),'Личные данные'!$X$17:$AA$21,2,0)</f>
        <v>440</v>
      </c>
    </row>
    <row r="549" spans="1:6" ht="15.75" customHeight="1" x14ac:dyDescent="0.25">
      <c r="A549" s="62" t="s">
        <v>346</v>
      </c>
      <c r="B549" s="62">
        <v>20</v>
      </c>
      <c r="C549" s="62" t="s">
        <v>1278</v>
      </c>
      <c r="D549" s="82" t="s">
        <v>1258</v>
      </c>
      <c r="E549" s="82" t="s">
        <v>1244</v>
      </c>
      <c r="F549" s="70">
        <f>VLOOKUP(VLOOKUP(A549,'Личные данные'!A:V,6,0),'Личные данные'!$X$17:$AA$21,2,0)</f>
        <v>440</v>
      </c>
    </row>
    <row r="550" spans="1:6" ht="15.75" customHeight="1" x14ac:dyDescent="0.25">
      <c r="A550" s="62" t="s">
        <v>347</v>
      </c>
      <c r="B550" s="62">
        <v>20</v>
      </c>
      <c r="C550" s="62" t="s">
        <v>1278</v>
      </c>
      <c r="D550" s="82" t="s">
        <v>1243</v>
      </c>
      <c r="E550" s="82" t="s">
        <v>1248</v>
      </c>
      <c r="F550" s="70">
        <f>VLOOKUP(VLOOKUP(A550,'Личные данные'!A:V,6,0),'Личные данные'!$X$17:$AA$21,2,0)</f>
        <v>330</v>
      </c>
    </row>
    <row r="551" spans="1:6" ht="15.75" customHeight="1" x14ac:dyDescent="0.25">
      <c r="A551" s="62" t="s">
        <v>348</v>
      </c>
      <c r="B551" s="62">
        <v>20</v>
      </c>
      <c r="C551" s="62" t="s">
        <v>1278</v>
      </c>
      <c r="D551" s="82" t="s">
        <v>1243</v>
      </c>
      <c r="E551" s="82" t="s">
        <v>1253</v>
      </c>
      <c r="F551" s="70">
        <f>VLOOKUP(VLOOKUP(A551,'Личные данные'!A:V,6,0),'Личные данные'!$X$17:$AA$21,2,0)</f>
        <v>330</v>
      </c>
    </row>
    <row r="552" spans="1:6" ht="15.75" customHeight="1" x14ac:dyDescent="0.25">
      <c r="A552" s="62" t="s">
        <v>349</v>
      </c>
      <c r="B552" s="62">
        <v>20</v>
      </c>
      <c r="C552" s="62" t="s">
        <v>1278</v>
      </c>
      <c r="D552" s="82" t="s">
        <v>1258</v>
      </c>
      <c r="E552" s="82" t="s">
        <v>1248</v>
      </c>
      <c r="F552" s="70">
        <f>VLOOKUP(VLOOKUP(A552,'Личные данные'!A:V,6,0),'Личные данные'!$X$17:$AA$21,2,0)</f>
        <v>440</v>
      </c>
    </row>
    <row r="553" spans="1:6" ht="15.75" customHeight="1" x14ac:dyDescent="0.25">
      <c r="A553" s="62" t="s">
        <v>350</v>
      </c>
      <c r="B553" s="62">
        <v>20</v>
      </c>
      <c r="C553" s="62" t="s">
        <v>1278</v>
      </c>
      <c r="D553" s="82" t="s">
        <v>1243</v>
      </c>
      <c r="E553" s="82" t="s">
        <v>1244</v>
      </c>
      <c r="F553" s="70">
        <f>VLOOKUP(VLOOKUP(A553,'Личные данные'!A:V,6,0),'Личные данные'!$X$17:$AA$21,2,0)</f>
        <v>220</v>
      </c>
    </row>
    <row r="554" spans="1:6" ht="15.75" customHeight="1" x14ac:dyDescent="0.25">
      <c r="A554" s="62" t="s">
        <v>351</v>
      </c>
      <c r="B554" s="62">
        <v>20</v>
      </c>
      <c r="C554" s="62" t="s">
        <v>1278</v>
      </c>
      <c r="D554" s="82" t="s">
        <v>1243</v>
      </c>
      <c r="E554" s="82" t="s">
        <v>1248</v>
      </c>
      <c r="F554" s="70">
        <f>VLOOKUP(VLOOKUP(A554,'Личные данные'!A:V,6,0),'Личные данные'!$X$17:$AA$21,2,0)</f>
        <v>440</v>
      </c>
    </row>
    <row r="555" spans="1:6" ht="15.75" customHeight="1" x14ac:dyDescent="0.25">
      <c r="A555" s="62" t="s">
        <v>352</v>
      </c>
      <c r="B555" s="62">
        <v>20</v>
      </c>
      <c r="C555" s="62" t="s">
        <v>1278</v>
      </c>
      <c r="D555" s="82" t="s">
        <v>1243</v>
      </c>
      <c r="E555" s="82" t="s">
        <v>1255</v>
      </c>
      <c r="F555" s="70">
        <f>VLOOKUP(VLOOKUP(A555,'Личные данные'!A:V,6,0),'Личные данные'!$X$17:$AA$21,2,0)</f>
        <v>330</v>
      </c>
    </row>
    <row r="556" spans="1:6" ht="15.75" customHeight="1" x14ac:dyDescent="0.25">
      <c r="A556" s="62" t="s">
        <v>353</v>
      </c>
      <c r="B556" s="62">
        <v>20</v>
      </c>
      <c r="C556" s="62" t="s">
        <v>1278</v>
      </c>
      <c r="D556" s="82" t="s">
        <v>1257</v>
      </c>
      <c r="E556" s="82" t="s">
        <v>1255</v>
      </c>
      <c r="F556" s="70">
        <f>VLOOKUP(VLOOKUP(A556,'Личные данные'!A:V,6,0),'Личные данные'!$X$17:$AA$21,2,0)</f>
        <v>440</v>
      </c>
    </row>
    <row r="557" spans="1:6" ht="15.75" customHeight="1" x14ac:dyDescent="0.25">
      <c r="A557" s="62" t="s">
        <v>354</v>
      </c>
      <c r="B557" s="62">
        <v>20</v>
      </c>
      <c r="C557" s="62" t="s">
        <v>1278</v>
      </c>
      <c r="D557" s="82" t="s">
        <v>1243</v>
      </c>
      <c r="E557" s="82" t="s">
        <v>1253</v>
      </c>
      <c r="F557" s="70">
        <f>VLOOKUP(VLOOKUP(A557,'Личные данные'!A:V,6,0),'Личные данные'!$X$17:$AA$21,2,0)</f>
        <v>330</v>
      </c>
    </row>
    <row r="558" spans="1:6" ht="15.75" customHeight="1" x14ac:dyDescent="0.25">
      <c r="A558" s="62" t="s">
        <v>355</v>
      </c>
      <c r="B558" s="62">
        <v>20</v>
      </c>
      <c r="C558" s="62" t="s">
        <v>1278</v>
      </c>
      <c r="D558" s="82" t="s">
        <v>1243</v>
      </c>
      <c r="E558" s="82" t="s">
        <v>1255</v>
      </c>
      <c r="F558" s="70">
        <f>VLOOKUP(VLOOKUP(A558,'Личные данные'!A:V,6,0),'Личные данные'!$X$17:$AA$21,2,0)</f>
        <v>330</v>
      </c>
    </row>
    <row r="559" spans="1:6" ht="15.75" customHeight="1" x14ac:dyDescent="0.25">
      <c r="A559" s="62" t="s">
        <v>356</v>
      </c>
      <c r="B559" s="62">
        <v>20</v>
      </c>
      <c r="C559" s="62" t="s">
        <v>1278</v>
      </c>
      <c r="D559" s="82" t="s">
        <v>1243</v>
      </c>
      <c r="E559" s="82" t="s">
        <v>1248</v>
      </c>
      <c r="F559" s="70">
        <f>VLOOKUP(VLOOKUP(A559,'Личные данные'!A:V,6,0),'Личные данные'!$X$17:$AA$21,2,0)</f>
        <v>330</v>
      </c>
    </row>
    <row r="560" spans="1:6" ht="15.75" customHeight="1" x14ac:dyDescent="0.25">
      <c r="A560" s="62" t="s">
        <v>357</v>
      </c>
      <c r="B560" s="62">
        <v>20</v>
      </c>
      <c r="C560" s="62" t="s">
        <v>1278</v>
      </c>
      <c r="D560" s="82" t="s">
        <v>1243</v>
      </c>
      <c r="E560" s="82" t="s">
        <v>1253</v>
      </c>
      <c r="F560" s="70">
        <f>VLOOKUP(VLOOKUP(A560,'Личные данные'!A:V,6,0),'Личные данные'!$X$17:$AA$21,2,0)</f>
        <v>330</v>
      </c>
    </row>
    <row r="561" spans="1:6" ht="15.75" customHeight="1" x14ac:dyDescent="0.25">
      <c r="A561" s="62" t="s">
        <v>358</v>
      </c>
      <c r="B561" s="62">
        <v>20</v>
      </c>
      <c r="C561" s="62" t="s">
        <v>1278</v>
      </c>
      <c r="D561" s="82" t="s">
        <v>1256</v>
      </c>
      <c r="E561" s="82" t="s">
        <v>1248</v>
      </c>
      <c r="F561" s="70">
        <f>VLOOKUP(VLOOKUP(A561,'Личные данные'!A:V,6,0),'Личные данные'!$X$17:$AA$21,2,0)</f>
        <v>550</v>
      </c>
    </row>
    <row r="562" spans="1:6" ht="15.75" customHeight="1" x14ac:dyDescent="0.25">
      <c r="A562" s="62" t="s">
        <v>359</v>
      </c>
      <c r="B562" s="62">
        <v>20</v>
      </c>
      <c r="C562" s="62" t="s">
        <v>1278</v>
      </c>
      <c r="D562" s="82" t="s">
        <v>1243</v>
      </c>
      <c r="E562" s="82" t="s">
        <v>1253</v>
      </c>
      <c r="F562" s="70">
        <f>VLOOKUP(VLOOKUP(A562,'Личные данные'!A:V,6,0),'Личные данные'!$X$17:$AA$21,2,0)</f>
        <v>330</v>
      </c>
    </row>
    <row r="563" spans="1:6" ht="15.75" customHeight="1" x14ac:dyDescent="0.25">
      <c r="A563" s="62" t="s">
        <v>360</v>
      </c>
      <c r="B563" s="62">
        <v>20</v>
      </c>
      <c r="C563" s="62" t="s">
        <v>1278</v>
      </c>
      <c r="D563" s="82" t="s">
        <v>1260</v>
      </c>
      <c r="E563" s="82" t="s">
        <v>1250</v>
      </c>
      <c r="F563" s="70">
        <f>VLOOKUP(VLOOKUP(A563,'Личные данные'!A:V,6,0),'Личные данные'!$X$17:$AA$21,2,0)</f>
        <v>770</v>
      </c>
    </row>
    <row r="564" spans="1:6" ht="15.75" customHeight="1" x14ac:dyDescent="0.25">
      <c r="A564" s="62" t="s">
        <v>361</v>
      </c>
      <c r="B564" s="62">
        <v>20</v>
      </c>
      <c r="C564" s="62" t="s">
        <v>1278</v>
      </c>
      <c r="D564" s="82" t="s">
        <v>1257</v>
      </c>
      <c r="E564" s="82" t="s">
        <v>1248</v>
      </c>
      <c r="F564" s="70">
        <f>VLOOKUP(VLOOKUP(A564,'Личные данные'!A:V,6,0),'Личные данные'!$X$17:$AA$21,2,0)</f>
        <v>440</v>
      </c>
    </row>
    <row r="565" spans="1:6" ht="15.75" customHeight="1" x14ac:dyDescent="0.25">
      <c r="A565" s="62" t="s">
        <v>362</v>
      </c>
      <c r="B565" s="62">
        <v>20</v>
      </c>
      <c r="C565" s="62" t="s">
        <v>1278</v>
      </c>
      <c r="D565" s="82" t="s">
        <v>1243</v>
      </c>
      <c r="E565" s="82" t="s">
        <v>1253</v>
      </c>
      <c r="F565" s="70">
        <f>VLOOKUP(VLOOKUP(A565,'Личные данные'!A:V,6,0),'Личные данные'!$X$17:$AA$21,2,0)</f>
        <v>330</v>
      </c>
    </row>
    <row r="566" spans="1:6" ht="15.75" customHeight="1" x14ac:dyDescent="0.25">
      <c r="A566" s="62" t="s">
        <v>363</v>
      </c>
      <c r="B566" s="62">
        <v>20</v>
      </c>
      <c r="C566" s="62" t="s">
        <v>1278</v>
      </c>
      <c r="D566" s="82" t="s">
        <v>1256</v>
      </c>
      <c r="E566" s="82" t="s">
        <v>1248</v>
      </c>
      <c r="F566" s="70">
        <f>VLOOKUP(VLOOKUP(A566,'Личные данные'!A:V,6,0),'Личные данные'!$X$17:$AA$21,2,0)</f>
        <v>550</v>
      </c>
    </row>
    <row r="567" spans="1:6" ht="15.75" customHeight="1" x14ac:dyDescent="0.25">
      <c r="A567" s="62" t="s">
        <v>364</v>
      </c>
      <c r="B567" s="62">
        <v>20</v>
      </c>
      <c r="C567" s="62" t="s">
        <v>1278</v>
      </c>
      <c r="D567" s="82" t="s">
        <v>1258</v>
      </c>
      <c r="E567" s="82" t="s">
        <v>1255</v>
      </c>
      <c r="F567" s="70">
        <f>VLOOKUP(VLOOKUP(A567,'Личные данные'!A:V,6,0),'Личные данные'!$X$17:$AA$21,2,0)</f>
        <v>550</v>
      </c>
    </row>
    <row r="568" spans="1:6" ht="15.75" customHeight="1" x14ac:dyDescent="0.25">
      <c r="A568" s="62" t="s">
        <v>365</v>
      </c>
      <c r="B568" s="62">
        <v>20</v>
      </c>
      <c r="C568" s="62" t="s">
        <v>1278</v>
      </c>
      <c r="D568" s="82" t="s">
        <v>1256</v>
      </c>
      <c r="E568" s="82" t="s">
        <v>1248</v>
      </c>
      <c r="F568" s="70">
        <f>VLOOKUP(VLOOKUP(A568,'Личные данные'!A:V,6,0),'Личные данные'!$X$17:$AA$21,2,0)</f>
        <v>440</v>
      </c>
    </row>
    <row r="569" spans="1:6" ht="15.75" customHeight="1" x14ac:dyDescent="0.25">
      <c r="A569" s="62" t="s">
        <v>366</v>
      </c>
      <c r="B569" s="62">
        <v>20</v>
      </c>
      <c r="C569" s="62" t="s">
        <v>1278</v>
      </c>
      <c r="D569" s="82" t="s">
        <v>1256</v>
      </c>
      <c r="E569" s="82" t="s">
        <v>1244</v>
      </c>
      <c r="F569" s="70">
        <f>VLOOKUP(VLOOKUP(A569,'Личные данные'!A:V,6,0),'Личные данные'!$X$17:$AA$21,2,0)</f>
        <v>440</v>
      </c>
    </row>
    <row r="570" spans="1:6" ht="15.75" customHeight="1" x14ac:dyDescent="0.25">
      <c r="A570" s="62" t="s">
        <v>367</v>
      </c>
      <c r="B570" s="62">
        <v>20</v>
      </c>
      <c r="C570" s="62" t="s">
        <v>1278</v>
      </c>
      <c r="D570" s="82" t="s">
        <v>1243</v>
      </c>
      <c r="E570" s="82" t="s">
        <v>1253</v>
      </c>
      <c r="F570" s="70">
        <f>VLOOKUP(VLOOKUP(A570,'Личные данные'!A:V,6,0),'Личные данные'!$X$17:$AA$21,2,0)</f>
        <v>330</v>
      </c>
    </row>
    <row r="571" spans="1:6" ht="15.75" customHeight="1" x14ac:dyDescent="0.25">
      <c r="A571" s="62" t="s">
        <v>368</v>
      </c>
      <c r="B571" s="62">
        <v>20</v>
      </c>
      <c r="C571" s="62" t="s">
        <v>1278</v>
      </c>
      <c r="D571" s="82" t="s">
        <v>1243</v>
      </c>
      <c r="E571" s="82" t="s">
        <v>1244</v>
      </c>
      <c r="F571" s="70">
        <f>VLOOKUP(VLOOKUP(A571,'Личные данные'!A:V,6,0),'Личные данные'!$X$17:$AA$21,2,0)</f>
        <v>220</v>
      </c>
    </row>
    <row r="572" spans="1:6" ht="15.75" customHeight="1" x14ac:dyDescent="0.25">
      <c r="A572" s="62" t="s">
        <v>369</v>
      </c>
      <c r="B572" s="62">
        <v>20</v>
      </c>
      <c r="C572" s="62" t="s">
        <v>1278</v>
      </c>
      <c r="D572" s="82" t="s">
        <v>1243</v>
      </c>
      <c r="E572" s="82" t="s">
        <v>1244</v>
      </c>
      <c r="F572" s="70">
        <f>VLOOKUP(VLOOKUP(A572,'Личные данные'!A:V,6,0),'Личные данные'!$X$17:$AA$21,2,0)</f>
        <v>220</v>
      </c>
    </row>
    <row r="573" spans="1:6" ht="15.75" customHeight="1" x14ac:dyDescent="0.25">
      <c r="A573" s="62" t="s">
        <v>370</v>
      </c>
      <c r="B573" s="62">
        <v>20</v>
      </c>
      <c r="C573" s="62" t="s">
        <v>1278</v>
      </c>
      <c r="D573" s="82" t="s">
        <v>1256</v>
      </c>
      <c r="E573" s="82" t="s">
        <v>1248</v>
      </c>
      <c r="F573" s="70">
        <f>VLOOKUP(VLOOKUP(A573,'Личные данные'!A:V,6,0),'Личные данные'!$X$17:$AA$21,2,0)</f>
        <v>550</v>
      </c>
    </row>
    <row r="574" spans="1:6" ht="15.75" customHeight="1" x14ac:dyDescent="0.25">
      <c r="A574" s="62" t="s">
        <v>371</v>
      </c>
      <c r="B574" s="62">
        <v>20</v>
      </c>
      <c r="C574" s="62" t="s">
        <v>1278</v>
      </c>
      <c r="D574" s="82" t="s">
        <v>1243</v>
      </c>
      <c r="E574" s="82" t="s">
        <v>1253</v>
      </c>
      <c r="F574" s="70">
        <f>VLOOKUP(VLOOKUP(A574,'Личные данные'!A:V,6,0),'Личные данные'!$X$17:$AA$21,2,0)</f>
        <v>330</v>
      </c>
    </row>
    <row r="575" spans="1:6" ht="15.75" customHeight="1" x14ac:dyDescent="0.25">
      <c r="A575" s="62" t="s">
        <v>372</v>
      </c>
      <c r="B575" s="62">
        <v>20</v>
      </c>
      <c r="C575" s="62" t="s">
        <v>1278</v>
      </c>
      <c r="D575" s="82" t="s">
        <v>1243</v>
      </c>
      <c r="E575" s="82" t="s">
        <v>1253</v>
      </c>
      <c r="F575" s="70">
        <f>VLOOKUP(VLOOKUP(A575,'Личные данные'!A:V,6,0),'Личные данные'!$X$17:$AA$21,2,0)</f>
        <v>330</v>
      </c>
    </row>
    <row r="576" spans="1:6" ht="15.75" customHeight="1" x14ac:dyDescent="0.25">
      <c r="A576" s="62" t="s">
        <v>373</v>
      </c>
      <c r="B576" s="62">
        <v>20</v>
      </c>
      <c r="C576" s="62" t="s">
        <v>1278</v>
      </c>
      <c r="D576" s="82" t="s">
        <v>1243</v>
      </c>
      <c r="E576" s="82" t="s">
        <v>1253</v>
      </c>
      <c r="F576" s="70">
        <f>VLOOKUP(VLOOKUP(A576,'Личные данные'!A:V,6,0),'Личные данные'!$X$17:$AA$21,2,0)</f>
        <v>330</v>
      </c>
    </row>
    <row r="577" spans="1:6" ht="15.75" customHeight="1" x14ac:dyDescent="0.25">
      <c r="A577" s="62" t="s">
        <v>374</v>
      </c>
      <c r="B577" s="62">
        <v>20</v>
      </c>
      <c r="C577" s="62" t="s">
        <v>1278</v>
      </c>
      <c r="D577" s="82" t="s">
        <v>1243</v>
      </c>
      <c r="E577" s="82" t="s">
        <v>1253</v>
      </c>
      <c r="F577" s="70">
        <f>VLOOKUP(VLOOKUP(A577,'Личные данные'!A:V,6,0),'Личные данные'!$X$17:$AA$21,2,0)</f>
        <v>330</v>
      </c>
    </row>
    <row r="578" spans="1:6" ht="15.75" customHeight="1" x14ac:dyDescent="0.25">
      <c r="A578" s="62" t="s">
        <v>375</v>
      </c>
      <c r="B578" s="62">
        <v>20</v>
      </c>
      <c r="C578" s="62" t="s">
        <v>1278</v>
      </c>
      <c r="D578" s="82" t="s">
        <v>1260</v>
      </c>
      <c r="E578" s="82" t="s">
        <v>1255</v>
      </c>
      <c r="F578" s="70">
        <f>VLOOKUP(VLOOKUP(A578,'Личные данные'!A:V,6,0),'Личные данные'!$X$17:$AA$21,2,0)</f>
        <v>770</v>
      </c>
    </row>
    <row r="579" spans="1:6" ht="15.75" customHeight="1" x14ac:dyDescent="0.25">
      <c r="A579" s="62" t="s">
        <v>376</v>
      </c>
      <c r="B579" s="62">
        <v>20</v>
      </c>
      <c r="C579" s="62" t="s">
        <v>1278</v>
      </c>
      <c r="D579" s="82" t="s">
        <v>1243</v>
      </c>
      <c r="E579" s="82" t="s">
        <v>1250</v>
      </c>
      <c r="F579" s="70">
        <f>VLOOKUP(VLOOKUP(A579,'Личные данные'!A:V,6,0),'Личные данные'!$X$17:$AA$21,2,0)</f>
        <v>770</v>
      </c>
    </row>
    <row r="580" spans="1:6" ht="15.75" customHeight="1" x14ac:dyDescent="0.25">
      <c r="A580" s="62" t="s">
        <v>377</v>
      </c>
      <c r="B580" s="62">
        <v>20</v>
      </c>
      <c r="C580" s="62" t="s">
        <v>1278</v>
      </c>
      <c r="D580" s="82" t="s">
        <v>1257</v>
      </c>
      <c r="E580" s="82" t="s">
        <v>1253</v>
      </c>
      <c r="F580" s="70">
        <f>VLOOKUP(VLOOKUP(A580,'Личные данные'!A:V,6,0),'Личные данные'!$X$17:$AA$21,2,0)</f>
        <v>550</v>
      </c>
    </row>
    <row r="581" spans="1:6" ht="15.75" customHeight="1" x14ac:dyDescent="0.25">
      <c r="A581" s="62" t="s">
        <v>378</v>
      </c>
      <c r="B581" s="62">
        <v>20</v>
      </c>
      <c r="C581" s="62" t="s">
        <v>1278</v>
      </c>
      <c r="D581" s="82" t="s">
        <v>1257</v>
      </c>
      <c r="E581" s="82" t="s">
        <v>1255</v>
      </c>
      <c r="F581" s="70">
        <f>VLOOKUP(VLOOKUP(A581,'Личные данные'!A:V,6,0),'Личные данные'!$X$17:$AA$21,2,0)</f>
        <v>440</v>
      </c>
    </row>
    <row r="582" spans="1:6" ht="15.75" customHeight="1" x14ac:dyDescent="0.25">
      <c r="A582" s="62" t="s">
        <v>379</v>
      </c>
      <c r="B582" s="62">
        <v>20</v>
      </c>
      <c r="C582" s="62" t="s">
        <v>1278</v>
      </c>
      <c r="D582" s="82" t="s">
        <v>1258</v>
      </c>
      <c r="E582" s="82" t="s">
        <v>1244</v>
      </c>
      <c r="F582" s="70">
        <f>VLOOKUP(VLOOKUP(A582,'Личные данные'!A:V,6,0),'Личные данные'!$X$17:$AA$21,2,0)</f>
        <v>440</v>
      </c>
    </row>
    <row r="583" spans="1:6" ht="15.75" customHeight="1" x14ac:dyDescent="0.25">
      <c r="A583" s="62" t="s">
        <v>380</v>
      </c>
      <c r="B583" s="62">
        <v>20</v>
      </c>
      <c r="C583" s="62" t="s">
        <v>1278</v>
      </c>
      <c r="D583" s="82" t="s">
        <v>1243</v>
      </c>
      <c r="E583" s="82" t="s">
        <v>1248</v>
      </c>
      <c r="F583" s="70">
        <f>VLOOKUP(VLOOKUP(A583,'Личные данные'!A:V,6,0),'Личные данные'!$X$17:$AA$21,2,0)</f>
        <v>330</v>
      </c>
    </row>
    <row r="584" spans="1:6" ht="15.75" customHeight="1" x14ac:dyDescent="0.25">
      <c r="A584" s="62" t="s">
        <v>381</v>
      </c>
      <c r="B584" s="62">
        <v>20</v>
      </c>
      <c r="C584" s="62" t="s">
        <v>1278</v>
      </c>
      <c r="D584" s="82" t="s">
        <v>1243</v>
      </c>
      <c r="E584" s="82" t="s">
        <v>1253</v>
      </c>
      <c r="F584" s="70">
        <f>VLOOKUP(VLOOKUP(A584,'Личные данные'!A:V,6,0),'Личные данные'!$X$17:$AA$21,2,0)</f>
        <v>330</v>
      </c>
    </row>
    <row r="585" spans="1:6" ht="15.75" customHeight="1" x14ac:dyDescent="0.25">
      <c r="A585" s="62" t="s">
        <v>382</v>
      </c>
      <c r="B585" s="62">
        <v>20</v>
      </c>
      <c r="C585" s="62" t="s">
        <v>1278</v>
      </c>
      <c r="D585" s="82" t="s">
        <v>1243</v>
      </c>
      <c r="E585" s="82" t="s">
        <v>1248</v>
      </c>
      <c r="F585" s="70">
        <f>VLOOKUP(VLOOKUP(A585,'Личные данные'!A:V,6,0),'Личные данные'!$X$17:$AA$21,2,0)</f>
        <v>440</v>
      </c>
    </row>
    <row r="586" spans="1:6" ht="15.75" customHeight="1" x14ac:dyDescent="0.25">
      <c r="A586" s="62" t="s">
        <v>383</v>
      </c>
      <c r="B586" s="62">
        <v>20</v>
      </c>
      <c r="C586" s="62" t="s">
        <v>1278</v>
      </c>
      <c r="D586" s="82" t="s">
        <v>1257</v>
      </c>
      <c r="E586" s="82" t="s">
        <v>1244</v>
      </c>
      <c r="F586" s="70">
        <f>VLOOKUP(VLOOKUP(A586,'Личные данные'!A:V,6,0),'Личные данные'!$X$17:$AA$21,2,0)</f>
        <v>440</v>
      </c>
    </row>
    <row r="587" spans="1:6" ht="15.75" customHeight="1" x14ac:dyDescent="0.25">
      <c r="A587" s="62" t="s">
        <v>384</v>
      </c>
      <c r="B587" s="62">
        <v>20</v>
      </c>
      <c r="C587" s="62" t="s">
        <v>1278</v>
      </c>
      <c r="D587" s="82" t="s">
        <v>1256</v>
      </c>
      <c r="E587" s="82" t="s">
        <v>1253</v>
      </c>
      <c r="F587" s="70">
        <f>VLOOKUP(VLOOKUP(A587,'Личные данные'!A:V,6,0),'Личные данные'!$X$17:$AA$21,2,0)</f>
        <v>770</v>
      </c>
    </row>
    <row r="588" spans="1:6" ht="15.75" customHeight="1" x14ac:dyDescent="0.25">
      <c r="A588" s="62" t="s">
        <v>385</v>
      </c>
      <c r="B588" s="62">
        <v>20</v>
      </c>
      <c r="C588" s="62" t="s">
        <v>1278</v>
      </c>
      <c r="D588" s="82" t="s">
        <v>1256</v>
      </c>
      <c r="E588" s="82" t="s">
        <v>1248</v>
      </c>
      <c r="F588" s="70">
        <f>VLOOKUP(VLOOKUP(A588,'Личные данные'!A:V,6,0),'Личные данные'!$X$17:$AA$21,2,0)</f>
        <v>550</v>
      </c>
    </row>
    <row r="589" spans="1:6" ht="15.75" customHeight="1" x14ac:dyDescent="0.25">
      <c r="A589" s="62" t="s">
        <v>386</v>
      </c>
      <c r="B589" s="62">
        <v>20</v>
      </c>
      <c r="C589" s="62" t="s">
        <v>1278</v>
      </c>
      <c r="D589" s="82" t="s">
        <v>1243</v>
      </c>
      <c r="E589" s="82" t="s">
        <v>1248</v>
      </c>
      <c r="F589" s="70">
        <f>VLOOKUP(VLOOKUP(A589,'Личные данные'!A:V,6,0),'Личные данные'!$X$17:$AA$21,2,0)</f>
        <v>550</v>
      </c>
    </row>
    <row r="590" spans="1:6" ht="15.75" customHeight="1" x14ac:dyDescent="0.25">
      <c r="A590" s="62" t="s">
        <v>387</v>
      </c>
      <c r="B590" s="62">
        <v>20</v>
      </c>
      <c r="C590" s="62" t="s">
        <v>1278</v>
      </c>
      <c r="D590" s="82" t="s">
        <v>1257</v>
      </c>
      <c r="E590" s="82" t="s">
        <v>1248</v>
      </c>
      <c r="F590" s="70">
        <f>VLOOKUP(VLOOKUP(A590,'Личные данные'!A:V,6,0),'Личные данные'!$X$17:$AA$21,2,0)</f>
        <v>550</v>
      </c>
    </row>
    <row r="591" spans="1:6" ht="15.75" customHeight="1" x14ac:dyDescent="0.25">
      <c r="A591" s="62" t="s">
        <v>388</v>
      </c>
      <c r="B591" s="62">
        <v>20</v>
      </c>
      <c r="C591" s="62" t="s">
        <v>1278</v>
      </c>
      <c r="D591" s="82" t="s">
        <v>1243</v>
      </c>
      <c r="E591" s="82" t="s">
        <v>1248</v>
      </c>
      <c r="F591" s="70">
        <f>VLOOKUP(VLOOKUP(A591,'Личные данные'!A:V,6,0),'Личные данные'!$X$17:$AA$21,2,0)</f>
        <v>440</v>
      </c>
    </row>
    <row r="592" spans="1:6" ht="15.75" customHeight="1" x14ac:dyDescent="0.25">
      <c r="A592" s="62" t="s">
        <v>389</v>
      </c>
      <c r="B592" s="62">
        <v>20</v>
      </c>
      <c r="C592" s="62" t="s">
        <v>1278</v>
      </c>
      <c r="D592" s="82" t="s">
        <v>1257</v>
      </c>
      <c r="E592" s="82" t="s">
        <v>1248</v>
      </c>
      <c r="F592" s="70">
        <f>VLOOKUP(VLOOKUP(A592,'Личные данные'!A:V,6,0),'Личные данные'!$X$17:$AA$21,2,0)</f>
        <v>440</v>
      </c>
    </row>
    <row r="593" spans="1:6" ht="15.75" customHeight="1" x14ac:dyDescent="0.25">
      <c r="A593" s="62" t="s">
        <v>390</v>
      </c>
      <c r="B593" s="62">
        <v>20</v>
      </c>
      <c r="C593" s="62" t="s">
        <v>1278</v>
      </c>
      <c r="D593" s="82" t="s">
        <v>1256</v>
      </c>
      <c r="E593" s="82" t="s">
        <v>1253</v>
      </c>
      <c r="F593" s="70">
        <f>VLOOKUP(VLOOKUP(A593,'Личные данные'!A:V,6,0),'Личные данные'!$X$17:$AA$21,2,0)</f>
        <v>550</v>
      </c>
    </row>
    <row r="594" spans="1:6" ht="15.75" customHeight="1" x14ac:dyDescent="0.25">
      <c r="A594" s="62" t="s">
        <v>391</v>
      </c>
      <c r="B594" s="62">
        <v>20</v>
      </c>
      <c r="C594" s="62" t="s">
        <v>1278</v>
      </c>
      <c r="D594" s="82" t="s">
        <v>1243</v>
      </c>
      <c r="E594" s="82" t="s">
        <v>1253</v>
      </c>
      <c r="F594" s="70">
        <f>VLOOKUP(VLOOKUP(A594,'Личные данные'!A:V,6,0),'Личные данные'!$X$17:$AA$21,2,0)</f>
        <v>330</v>
      </c>
    </row>
    <row r="595" spans="1:6" ht="15.75" customHeight="1" x14ac:dyDescent="0.25">
      <c r="A595" s="62" t="s">
        <v>392</v>
      </c>
      <c r="B595" s="62">
        <v>20</v>
      </c>
      <c r="C595" s="62" t="s">
        <v>1278</v>
      </c>
      <c r="D595" s="82" t="s">
        <v>1243</v>
      </c>
      <c r="E595" s="82" t="s">
        <v>1253</v>
      </c>
      <c r="F595" s="70">
        <f>VLOOKUP(VLOOKUP(A595,'Личные данные'!A:V,6,0),'Личные данные'!$X$17:$AA$21,2,0)</f>
        <v>330</v>
      </c>
    </row>
    <row r="596" spans="1:6" ht="15.75" customHeight="1" x14ac:dyDescent="0.25">
      <c r="A596" s="62" t="s">
        <v>393</v>
      </c>
      <c r="B596" s="62">
        <v>20</v>
      </c>
      <c r="C596" s="62" t="s">
        <v>1278</v>
      </c>
      <c r="D596" s="82" t="s">
        <v>1257</v>
      </c>
      <c r="E596" s="82" t="s">
        <v>1253</v>
      </c>
      <c r="F596" s="70">
        <f>VLOOKUP(VLOOKUP(A596,'Личные данные'!A:V,6,0),'Личные данные'!$X$17:$AA$21,2,0)</f>
        <v>550</v>
      </c>
    </row>
    <row r="597" spans="1:6" ht="15.75" customHeight="1" x14ac:dyDescent="0.25">
      <c r="A597" s="62" t="s">
        <v>394</v>
      </c>
      <c r="B597" s="62">
        <v>20</v>
      </c>
      <c r="C597" s="62" t="s">
        <v>1278</v>
      </c>
      <c r="D597" s="82" t="s">
        <v>1257</v>
      </c>
      <c r="E597" s="82" t="s">
        <v>1248</v>
      </c>
      <c r="F597" s="70">
        <f>VLOOKUP(VLOOKUP(A597,'Личные данные'!A:V,6,0),'Личные данные'!$X$17:$AA$21,2,0)</f>
        <v>550</v>
      </c>
    </row>
    <row r="598" spans="1:6" ht="15.75" customHeight="1" x14ac:dyDescent="0.25">
      <c r="A598" s="62" t="s">
        <v>395</v>
      </c>
      <c r="B598" s="62">
        <v>20</v>
      </c>
      <c r="C598" s="62" t="s">
        <v>1278</v>
      </c>
      <c r="D598" s="82" t="s">
        <v>1243</v>
      </c>
      <c r="E598" s="82" t="s">
        <v>1244</v>
      </c>
      <c r="F598" s="70">
        <f>VLOOKUP(VLOOKUP(A598,'Личные данные'!A:V,6,0),'Личные данные'!$X$17:$AA$21,2,0)</f>
        <v>440</v>
      </c>
    </row>
    <row r="599" spans="1:6" ht="15.75" customHeight="1" x14ac:dyDescent="0.25">
      <c r="A599" s="62" t="s">
        <v>396</v>
      </c>
      <c r="B599" s="62">
        <v>20</v>
      </c>
      <c r="C599" s="62" t="s">
        <v>1278</v>
      </c>
      <c r="D599" s="82" t="s">
        <v>1243</v>
      </c>
      <c r="E599" s="82" t="s">
        <v>1253</v>
      </c>
      <c r="F599" s="70">
        <f>VLOOKUP(VLOOKUP(A599,'Личные данные'!A:V,6,0),'Личные данные'!$X$17:$AA$21,2,0)</f>
        <v>330</v>
      </c>
    </row>
    <row r="600" spans="1:6" ht="15.75" customHeight="1" x14ac:dyDescent="0.25">
      <c r="A600" s="62" t="s">
        <v>397</v>
      </c>
      <c r="B600" s="62">
        <v>20</v>
      </c>
      <c r="C600" s="62" t="s">
        <v>1278</v>
      </c>
      <c r="D600" s="82" t="s">
        <v>1243</v>
      </c>
      <c r="E600" s="82" t="s">
        <v>1244</v>
      </c>
      <c r="F600" s="70">
        <f>VLOOKUP(VLOOKUP(A600,'Личные данные'!A:V,6,0),'Личные данные'!$X$17:$AA$21,2,0)</f>
        <v>440</v>
      </c>
    </row>
    <row r="601" spans="1:6" ht="15.75" customHeight="1" x14ac:dyDescent="0.25">
      <c r="A601" s="62" t="s">
        <v>398</v>
      </c>
      <c r="B601" s="62">
        <v>20</v>
      </c>
      <c r="C601" s="62" t="s">
        <v>1278</v>
      </c>
      <c r="D601" s="82" t="s">
        <v>1243</v>
      </c>
      <c r="E601" s="82" t="s">
        <v>1244</v>
      </c>
      <c r="F601" s="70">
        <f>VLOOKUP(VLOOKUP(A601,'Личные данные'!A:V,6,0),'Личные данные'!$X$17:$AA$21,2,0)</f>
        <v>440</v>
      </c>
    </row>
    <row r="602" spans="1:6" ht="15.75" customHeight="1" x14ac:dyDescent="0.25">
      <c r="A602" s="62" t="s">
        <v>399</v>
      </c>
      <c r="B602" s="62">
        <v>20</v>
      </c>
      <c r="C602" s="62" t="s">
        <v>1278</v>
      </c>
      <c r="D602" s="82" t="s">
        <v>1258</v>
      </c>
      <c r="E602" s="82" t="s">
        <v>1255</v>
      </c>
      <c r="F602" s="70">
        <f>VLOOKUP(VLOOKUP(A602,'Личные данные'!A:V,6,0),'Личные данные'!$X$17:$AA$21,2,0)</f>
        <v>440</v>
      </c>
    </row>
    <row r="603" spans="1:6" ht="15.75" customHeight="1" x14ac:dyDescent="0.25">
      <c r="A603" s="62" t="s">
        <v>400</v>
      </c>
      <c r="B603" s="62">
        <v>20</v>
      </c>
      <c r="C603" s="62" t="s">
        <v>1278</v>
      </c>
      <c r="D603" s="82" t="s">
        <v>1243</v>
      </c>
      <c r="E603" s="82" t="s">
        <v>1253</v>
      </c>
      <c r="F603" s="70">
        <f>VLOOKUP(VLOOKUP(A603,'Личные данные'!A:V,6,0),'Личные данные'!$X$17:$AA$21,2,0)</f>
        <v>330</v>
      </c>
    </row>
    <row r="604" spans="1:6" ht="15.75" customHeight="1" x14ac:dyDescent="0.25">
      <c r="A604" s="62" t="s">
        <v>401</v>
      </c>
      <c r="B604" s="62">
        <v>20</v>
      </c>
      <c r="C604" s="62" t="s">
        <v>1278</v>
      </c>
      <c r="D604" s="82" t="s">
        <v>1243</v>
      </c>
      <c r="E604" s="82" t="s">
        <v>1244</v>
      </c>
      <c r="F604" s="70">
        <f>VLOOKUP(VLOOKUP(A604,'Личные данные'!A:V,6,0),'Личные данные'!$X$17:$AA$21,2,0)</f>
        <v>220</v>
      </c>
    </row>
    <row r="605" spans="1:6" ht="15.75" customHeight="1" x14ac:dyDescent="0.25">
      <c r="A605" s="62" t="s">
        <v>402</v>
      </c>
      <c r="B605" s="62">
        <v>20</v>
      </c>
      <c r="C605" s="62" t="s">
        <v>1278</v>
      </c>
      <c r="D605" s="82" t="s">
        <v>1258</v>
      </c>
      <c r="E605" s="82" t="s">
        <v>1255</v>
      </c>
      <c r="F605" s="70">
        <f>VLOOKUP(VLOOKUP(A605,'Личные данные'!A:V,6,0),'Личные данные'!$X$17:$AA$21,2,0)</f>
        <v>550</v>
      </c>
    </row>
    <row r="606" spans="1:6" ht="15.75" customHeight="1" x14ac:dyDescent="0.25">
      <c r="A606" s="62" t="s">
        <v>403</v>
      </c>
      <c r="B606" s="62">
        <v>20</v>
      </c>
      <c r="C606" s="62" t="s">
        <v>1278</v>
      </c>
      <c r="D606" s="82" t="s">
        <v>1243</v>
      </c>
      <c r="E606" s="82" t="s">
        <v>1253</v>
      </c>
      <c r="F606" s="70">
        <f>VLOOKUP(VLOOKUP(A606,'Личные данные'!A:V,6,0),'Личные данные'!$X$17:$AA$21,2,0)</f>
        <v>330</v>
      </c>
    </row>
    <row r="607" spans="1:6" ht="15.75" customHeight="1" x14ac:dyDescent="0.25">
      <c r="A607" s="62" t="s">
        <v>404</v>
      </c>
      <c r="B607" s="62">
        <v>20</v>
      </c>
      <c r="C607" s="62" t="s">
        <v>1278</v>
      </c>
      <c r="D607" s="82" t="s">
        <v>1256</v>
      </c>
      <c r="E607" s="82" t="s">
        <v>1248</v>
      </c>
      <c r="F607" s="70">
        <f>VLOOKUP(VLOOKUP(A607,'Личные данные'!A:V,6,0),'Личные данные'!$X$17:$AA$21,2,0)</f>
        <v>550</v>
      </c>
    </row>
    <row r="608" spans="1:6" ht="15.75" customHeight="1" x14ac:dyDescent="0.25">
      <c r="A608" s="62" t="s">
        <v>405</v>
      </c>
      <c r="B608" s="62">
        <v>20</v>
      </c>
      <c r="C608" s="62" t="s">
        <v>1278</v>
      </c>
      <c r="D608" s="82" t="s">
        <v>1243</v>
      </c>
      <c r="E608" s="82" t="s">
        <v>1253</v>
      </c>
      <c r="F608" s="70">
        <f>VLOOKUP(VLOOKUP(A608,'Личные данные'!A:V,6,0),'Личные данные'!$X$17:$AA$21,2,0)</f>
        <v>550</v>
      </c>
    </row>
    <row r="609" spans="1:6" ht="15.75" customHeight="1" x14ac:dyDescent="0.25">
      <c r="A609" s="62" t="s">
        <v>406</v>
      </c>
      <c r="B609" s="62">
        <v>20</v>
      </c>
      <c r="C609" s="62" t="s">
        <v>1278</v>
      </c>
      <c r="D609" s="82" t="s">
        <v>1243</v>
      </c>
      <c r="E609" s="82" t="s">
        <v>1244</v>
      </c>
      <c r="F609" s="70">
        <f>VLOOKUP(VLOOKUP(A609,'Личные данные'!A:V,6,0),'Личные данные'!$X$17:$AA$21,2,0)</f>
        <v>440</v>
      </c>
    </row>
    <row r="610" spans="1:6" ht="15.75" customHeight="1" x14ac:dyDescent="0.25">
      <c r="A610" s="62" t="s">
        <v>407</v>
      </c>
      <c r="B610" s="62">
        <v>20</v>
      </c>
      <c r="C610" s="62" t="s">
        <v>1278</v>
      </c>
      <c r="D610" s="82" t="s">
        <v>1243</v>
      </c>
      <c r="E610" s="82" t="s">
        <v>1253</v>
      </c>
      <c r="F610" s="70">
        <f>VLOOKUP(VLOOKUP(A610,'Личные данные'!A:V,6,0),'Личные данные'!$X$17:$AA$21,2,0)</f>
        <v>330</v>
      </c>
    </row>
    <row r="611" spans="1:6" ht="15.75" customHeight="1" x14ac:dyDescent="0.25">
      <c r="A611" s="62" t="s">
        <v>408</v>
      </c>
      <c r="B611" s="62">
        <v>20</v>
      </c>
      <c r="C611" s="62" t="s">
        <v>1278</v>
      </c>
      <c r="D611" s="82" t="s">
        <v>1257</v>
      </c>
      <c r="E611" s="82" t="s">
        <v>1255</v>
      </c>
      <c r="F611" s="70">
        <f>VLOOKUP(VLOOKUP(A611,'Личные данные'!A:V,6,0),'Личные данные'!$X$17:$AA$21,2,0)</f>
        <v>440</v>
      </c>
    </row>
    <row r="612" spans="1:6" ht="15.75" customHeight="1" x14ac:dyDescent="0.25">
      <c r="A612" s="62" t="s">
        <v>409</v>
      </c>
      <c r="B612" s="62">
        <v>20</v>
      </c>
      <c r="C612" s="62" t="s">
        <v>1278</v>
      </c>
      <c r="D612" s="82" t="s">
        <v>1256</v>
      </c>
      <c r="E612" s="82" t="s">
        <v>1253</v>
      </c>
      <c r="F612" s="70">
        <f>VLOOKUP(VLOOKUP(A612,'Личные данные'!A:V,6,0),'Личные данные'!$X$17:$AA$21,2,0)</f>
        <v>550</v>
      </c>
    </row>
    <row r="613" spans="1:6" ht="15.75" customHeight="1" x14ac:dyDescent="0.25">
      <c r="A613" s="62" t="s">
        <v>410</v>
      </c>
      <c r="B613" s="62">
        <v>20</v>
      </c>
      <c r="C613" s="62" t="s">
        <v>1278</v>
      </c>
      <c r="D613" s="82" t="s">
        <v>1243</v>
      </c>
      <c r="E613" s="82" t="s">
        <v>1248</v>
      </c>
      <c r="F613" s="70">
        <f>VLOOKUP(VLOOKUP(A613,'Личные данные'!A:V,6,0),'Личные данные'!$X$17:$AA$21,2,0)</f>
        <v>330</v>
      </c>
    </row>
    <row r="614" spans="1:6" ht="15.75" customHeight="1" x14ac:dyDescent="0.25">
      <c r="A614" s="62" t="s">
        <v>411</v>
      </c>
      <c r="B614" s="62">
        <v>20</v>
      </c>
      <c r="C614" s="62" t="s">
        <v>1278</v>
      </c>
      <c r="D614" s="82" t="s">
        <v>1243</v>
      </c>
      <c r="E614" s="82" t="s">
        <v>1244</v>
      </c>
      <c r="F614" s="70">
        <f>VLOOKUP(VLOOKUP(A614,'Личные данные'!A:V,6,0),'Личные данные'!$X$17:$AA$21,2,0)</f>
        <v>550</v>
      </c>
    </row>
    <row r="615" spans="1:6" ht="15.75" customHeight="1" x14ac:dyDescent="0.25">
      <c r="A615" s="62" t="s">
        <v>412</v>
      </c>
      <c r="B615" s="62">
        <v>20</v>
      </c>
      <c r="C615" s="62" t="s">
        <v>1278</v>
      </c>
      <c r="D615" s="82" t="s">
        <v>1257</v>
      </c>
      <c r="E615" s="82" t="s">
        <v>1248</v>
      </c>
      <c r="F615" s="70">
        <f>VLOOKUP(VLOOKUP(A615,'Личные данные'!A:V,6,0),'Личные данные'!$X$17:$AA$21,2,0)</f>
        <v>550</v>
      </c>
    </row>
    <row r="616" spans="1:6" ht="15.75" customHeight="1" x14ac:dyDescent="0.25">
      <c r="A616" s="62" t="s">
        <v>413</v>
      </c>
      <c r="B616" s="62">
        <v>20</v>
      </c>
      <c r="C616" s="62" t="s">
        <v>1278</v>
      </c>
      <c r="D616" s="82" t="s">
        <v>1243</v>
      </c>
      <c r="E616" s="82" t="s">
        <v>1244</v>
      </c>
      <c r="F616" s="70">
        <f>VLOOKUP(VLOOKUP(A616,'Личные данные'!A:V,6,0),'Личные данные'!$X$17:$AA$21,2,0)</f>
        <v>440</v>
      </c>
    </row>
    <row r="617" spans="1:6" ht="15.75" customHeight="1" x14ac:dyDescent="0.25">
      <c r="A617" s="62" t="s">
        <v>414</v>
      </c>
      <c r="B617" s="62">
        <v>20</v>
      </c>
      <c r="C617" s="62" t="s">
        <v>1278</v>
      </c>
      <c r="D617" s="82" t="s">
        <v>1243</v>
      </c>
      <c r="E617" s="82" t="s">
        <v>1253</v>
      </c>
      <c r="F617" s="70">
        <f>VLOOKUP(VLOOKUP(A617,'Личные данные'!A:V,6,0),'Личные данные'!$X$17:$AA$21,2,0)</f>
        <v>330</v>
      </c>
    </row>
    <row r="618" spans="1:6" ht="15.75" customHeight="1" x14ac:dyDescent="0.25">
      <c r="A618" s="62" t="s">
        <v>415</v>
      </c>
      <c r="B618" s="62">
        <v>20</v>
      </c>
      <c r="C618" s="62" t="s">
        <v>1278</v>
      </c>
      <c r="D618" s="82" t="s">
        <v>1257</v>
      </c>
      <c r="E618" s="82" t="s">
        <v>1253</v>
      </c>
      <c r="F618" s="70">
        <f>VLOOKUP(VLOOKUP(A618,'Личные данные'!A:V,6,0),'Личные данные'!$X$17:$AA$21,2,0)</f>
        <v>550</v>
      </c>
    </row>
    <row r="619" spans="1:6" ht="15.75" customHeight="1" x14ac:dyDescent="0.25">
      <c r="A619" s="62" t="s">
        <v>416</v>
      </c>
      <c r="B619" s="62">
        <v>20</v>
      </c>
      <c r="C619" s="62" t="s">
        <v>1278</v>
      </c>
      <c r="D619" s="82" t="s">
        <v>1243</v>
      </c>
      <c r="E619" s="82" t="s">
        <v>1253</v>
      </c>
      <c r="F619" s="70">
        <f>VLOOKUP(VLOOKUP(A619,'Личные данные'!A:V,6,0),'Личные данные'!$X$17:$AA$21,2,0)</f>
        <v>330</v>
      </c>
    </row>
    <row r="620" spans="1:6" ht="15.75" customHeight="1" x14ac:dyDescent="0.25">
      <c r="A620" s="62" t="s">
        <v>417</v>
      </c>
      <c r="B620" s="62">
        <v>20</v>
      </c>
      <c r="C620" s="62" t="s">
        <v>1278</v>
      </c>
      <c r="D620" s="82" t="s">
        <v>1256</v>
      </c>
      <c r="E620" s="82" t="s">
        <v>1248</v>
      </c>
      <c r="F620" s="70">
        <f>VLOOKUP(VLOOKUP(A620,'Личные данные'!A:V,6,0),'Личные данные'!$X$17:$AA$21,2,0)</f>
        <v>550</v>
      </c>
    </row>
    <row r="621" spans="1:6" ht="15.75" customHeight="1" x14ac:dyDescent="0.25">
      <c r="A621" s="62" t="s">
        <v>418</v>
      </c>
      <c r="B621" s="62">
        <v>20</v>
      </c>
      <c r="C621" s="62" t="s">
        <v>1278</v>
      </c>
      <c r="D621" s="82" t="s">
        <v>1260</v>
      </c>
      <c r="E621" s="82" t="s">
        <v>1244</v>
      </c>
      <c r="F621" s="70">
        <f>VLOOKUP(VLOOKUP(A621,'Личные данные'!A:V,6,0),'Личные данные'!$X$17:$AA$21,2,0)</f>
        <v>770</v>
      </c>
    </row>
    <row r="622" spans="1:6" ht="15.75" customHeight="1" x14ac:dyDescent="0.25">
      <c r="A622" s="62" t="s">
        <v>419</v>
      </c>
      <c r="B622" s="62">
        <v>20</v>
      </c>
      <c r="C622" s="62" t="s">
        <v>1278</v>
      </c>
      <c r="D622" s="82" t="s">
        <v>1258</v>
      </c>
      <c r="E622" s="82" t="s">
        <v>1244</v>
      </c>
      <c r="F622" s="70">
        <f>VLOOKUP(VLOOKUP(A622,'Личные данные'!A:V,6,0),'Личные данные'!$X$17:$AA$21,2,0)</f>
        <v>440</v>
      </c>
    </row>
    <row r="623" spans="1:6" ht="15.75" customHeight="1" x14ac:dyDescent="0.25">
      <c r="A623" s="62" t="s">
        <v>420</v>
      </c>
      <c r="B623" s="62">
        <v>20</v>
      </c>
      <c r="C623" s="62" t="s">
        <v>1278</v>
      </c>
      <c r="D623" s="82" t="s">
        <v>1257</v>
      </c>
      <c r="E623" s="82" t="s">
        <v>1248</v>
      </c>
      <c r="F623" s="70">
        <f>VLOOKUP(VLOOKUP(A623,'Личные данные'!A:V,6,0),'Личные данные'!$X$17:$AA$21,2,0)</f>
        <v>440</v>
      </c>
    </row>
    <row r="624" spans="1:6" ht="15.75" customHeight="1" x14ac:dyDescent="0.25">
      <c r="A624" s="62" t="s">
        <v>421</v>
      </c>
      <c r="B624" s="62">
        <v>20</v>
      </c>
      <c r="C624" s="62" t="s">
        <v>1278</v>
      </c>
      <c r="D624" s="82" t="s">
        <v>1243</v>
      </c>
      <c r="E624" s="82" t="s">
        <v>1253</v>
      </c>
      <c r="F624" s="70">
        <f>VLOOKUP(VLOOKUP(A624,'Личные данные'!A:V,6,0),'Личные данные'!$X$17:$AA$21,2,0)</f>
        <v>330</v>
      </c>
    </row>
    <row r="625" spans="1:6" ht="15.75" customHeight="1" x14ac:dyDescent="0.25">
      <c r="A625" s="62" t="s">
        <v>422</v>
      </c>
      <c r="B625" s="62">
        <v>20</v>
      </c>
      <c r="C625" s="62" t="s">
        <v>1278</v>
      </c>
      <c r="D625" s="82" t="s">
        <v>1243</v>
      </c>
      <c r="E625" s="82" t="s">
        <v>1255</v>
      </c>
      <c r="F625" s="70">
        <f>VLOOKUP(VLOOKUP(A625,'Личные данные'!A:V,6,0),'Личные данные'!$X$17:$AA$21,2,0)</f>
        <v>330</v>
      </c>
    </row>
    <row r="626" spans="1:6" ht="15.75" customHeight="1" x14ac:dyDescent="0.25">
      <c r="A626" s="62" t="s">
        <v>423</v>
      </c>
      <c r="B626" s="62">
        <v>20</v>
      </c>
      <c r="C626" s="62" t="s">
        <v>1278</v>
      </c>
      <c r="D626" s="82" t="s">
        <v>1243</v>
      </c>
      <c r="E626" s="82" t="s">
        <v>1253</v>
      </c>
      <c r="F626" s="70">
        <f>VLOOKUP(VLOOKUP(A626,'Личные данные'!A:V,6,0),'Личные данные'!$X$17:$AA$21,2,0)</f>
        <v>330</v>
      </c>
    </row>
    <row r="627" spans="1:6" ht="15.75" customHeight="1" x14ac:dyDescent="0.25">
      <c r="A627" s="62" t="s">
        <v>424</v>
      </c>
      <c r="B627" s="62">
        <v>20</v>
      </c>
      <c r="C627" s="62" t="s">
        <v>1278</v>
      </c>
      <c r="D627" s="82" t="s">
        <v>1243</v>
      </c>
      <c r="E627" s="82" t="s">
        <v>1253</v>
      </c>
      <c r="F627" s="70">
        <f>VLOOKUP(VLOOKUP(A627,'Личные данные'!A:V,6,0),'Личные данные'!$X$17:$AA$21,2,0)</f>
        <v>330</v>
      </c>
    </row>
    <row r="628" spans="1:6" ht="15.75" customHeight="1" x14ac:dyDescent="0.25">
      <c r="A628" s="62" t="s">
        <v>425</v>
      </c>
      <c r="B628" s="62">
        <v>20</v>
      </c>
      <c r="C628" s="62" t="s">
        <v>1278</v>
      </c>
      <c r="D628" s="82" t="s">
        <v>1258</v>
      </c>
      <c r="E628" s="82" t="s">
        <v>1248</v>
      </c>
      <c r="F628" s="70">
        <f>VLOOKUP(VLOOKUP(A628,'Личные данные'!A:V,6,0),'Личные данные'!$X$17:$AA$21,2,0)</f>
        <v>440</v>
      </c>
    </row>
    <row r="629" spans="1:6" ht="15.75" customHeight="1" x14ac:dyDescent="0.25">
      <c r="A629" s="62" t="s">
        <v>426</v>
      </c>
      <c r="B629" s="62">
        <v>20</v>
      </c>
      <c r="C629" s="62" t="s">
        <v>1278</v>
      </c>
      <c r="D629" s="82" t="s">
        <v>1243</v>
      </c>
      <c r="E629" s="82" t="s">
        <v>1248</v>
      </c>
      <c r="F629" s="70">
        <f>VLOOKUP(VLOOKUP(A629,'Личные данные'!A:V,6,0),'Личные данные'!$X$17:$AA$21,2,0)</f>
        <v>440</v>
      </c>
    </row>
    <row r="630" spans="1:6" ht="15.75" customHeight="1" x14ac:dyDescent="0.25">
      <c r="A630" s="62" t="s">
        <v>427</v>
      </c>
      <c r="B630" s="62">
        <v>20</v>
      </c>
      <c r="C630" s="62" t="s">
        <v>1278</v>
      </c>
      <c r="D630" s="82" t="s">
        <v>1243</v>
      </c>
      <c r="E630" s="82" t="s">
        <v>1253</v>
      </c>
      <c r="F630" s="70">
        <f>VLOOKUP(VLOOKUP(A630,'Личные данные'!A:V,6,0),'Личные данные'!$X$17:$AA$21,2,0)</f>
        <v>330</v>
      </c>
    </row>
    <row r="631" spans="1:6" ht="15.75" customHeight="1" x14ac:dyDescent="0.25">
      <c r="A631" s="62" t="s">
        <v>428</v>
      </c>
      <c r="B631" s="62">
        <v>20</v>
      </c>
      <c r="C631" s="62" t="s">
        <v>1278</v>
      </c>
      <c r="D631" s="82" t="s">
        <v>1243</v>
      </c>
      <c r="E631" s="82" t="s">
        <v>1253</v>
      </c>
      <c r="F631" s="70">
        <f>VLOOKUP(VLOOKUP(A631,'Личные данные'!A:V,6,0),'Личные данные'!$X$17:$AA$21,2,0)</f>
        <v>550</v>
      </c>
    </row>
    <row r="632" spans="1:6" ht="15.75" customHeight="1" x14ac:dyDescent="0.25">
      <c r="A632" s="62" t="s">
        <v>429</v>
      </c>
      <c r="B632" s="62">
        <v>20</v>
      </c>
      <c r="C632" s="62" t="s">
        <v>1278</v>
      </c>
      <c r="D632" s="82" t="s">
        <v>1243</v>
      </c>
      <c r="E632" s="82" t="s">
        <v>1248</v>
      </c>
      <c r="F632" s="70">
        <f>VLOOKUP(VLOOKUP(A632,'Личные данные'!A:V,6,0),'Личные данные'!$X$17:$AA$21,2,0)</f>
        <v>330</v>
      </c>
    </row>
    <row r="633" spans="1:6" ht="15.75" customHeight="1" x14ac:dyDescent="0.25">
      <c r="A633" s="62" t="s">
        <v>430</v>
      </c>
      <c r="B633" s="62">
        <v>20</v>
      </c>
      <c r="C633" s="62" t="s">
        <v>1278</v>
      </c>
      <c r="D633" s="82" t="s">
        <v>1243</v>
      </c>
      <c r="E633" s="82" t="s">
        <v>1253</v>
      </c>
      <c r="F633" s="70">
        <f>VLOOKUP(VLOOKUP(A633,'Личные данные'!A:V,6,0),'Личные данные'!$X$17:$AA$21,2,0)</f>
        <v>330</v>
      </c>
    </row>
    <row r="634" spans="1:6" ht="15.75" customHeight="1" x14ac:dyDescent="0.25">
      <c r="A634" s="62" t="s">
        <v>431</v>
      </c>
      <c r="B634" s="62">
        <v>20</v>
      </c>
      <c r="C634" s="62" t="s">
        <v>1278</v>
      </c>
      <c r="D634" s="82" t="s">
        <v>1243</v>
      </c>
      <c r="E634" s="82" t="s">
        <v>1253</v>
      </c>
      <c r="F634" s="70">
        <f>VLOOKUP(VLOOKUP(A634,'Личные данные'!A:V,6,0),'Личные данные'!$X$17:$AA$21,2,0)</f>
        <v>330</v>
      </c>
    </row>
    <row r="635" spans="1:6" ht="15.75" customHeight="1" x14ac:dyDescent="0.25">
      <c r="A635" s="62" t="s">
        <v>432</v>
      </c>
      <c r="B635" s="62">
        <v>20</v>
      </c>
      <c r="C635" s="62" t="s">
        <v>1278</v>
      </c>
      <c r="D635" s="82" t="s">
        <v>1243</v>
      </c>
      <c r="E635" s="82" t="s">
        <v>1253</v>
      </c>
      <c r="F635" s="70">
        <f>VLOOKUP(VLOOKUP(A635,'Личные данные'!A:V,6,0),'Личные данные'!$X$17:$AA$21,2,0)</f>
        <v>330</v>
      </c>
    </row>
    <row r="636" spans="1:6" ht="15.75" customHeight="1" x14ac:dyDescent="0.25">
      <c r="A636" s="62" t="s">
        <v>433</v>
      </c>
      <c r="B636" s="62">
        <v>20</v>
      </c>
      <c r="C636" s="62" t="s">
        <v>1278</v>
      </c>
      <c r="D636" s="82" t="s">
        <v>1258</v>
      </c>
      <c r="E636" s="82" t="s">
        <v>1248</v>
      </c>
      <c r="F636" s="70">
        <f>VLOOKUP(VLOOKUP(A636,'Личные данные'!A:V,6,0),'Личные данные'!$X$17:$AA$21,2,0)</f>
        <v>440</v>
      </c>
    </row>
    <row r="637" spans="1:6" ht="15.75" customHeight="1" x14ac:dyDescent="0.25">
      <c r="A637" s="62" t="s">
        <v>434</v>
      </c>
      <c r="B637" s="62">
        <v>20</v>
      </c>
      <c r="C637" s="62" t="s">
        <v>1278</v>
      </c>
      <c r="D637" s="82" t="s">
        <v>1243</v>
      </c>
      <c r="E637" s="82" t="s">
        <v>1253</v>
      </c>
      <c r="F637" s="70">
        <f>VLOOKUP(VLOOKUP(A637,'Личные данные'!A:V,6,0),'Личные данные'!$X$17:$AA$21,2,0)</f>
        <v>330</v>
      </c>
    </row>
    <row r="638" spans="1:6" ht="15.75" customHeight="1" x14ac:dyDescent="0.25">
      <c r="A638" s="62" t="s">
        <v>435</v>
      </c>
      <c r="B638" s="62">
        <v>20</v>
      </c>
      <c r="C638" s="62" t="s">
        <v>1278</v>
      </c>
      <c r="D638" s="82" t="s">
        <v>1243</v>
      </c>
      <c r="E638" s="82" t="s">
        <v>1253</v>
      </c>
      <c r="F638" s="70">
        <f>VLOOKUP(VLOOKUP(A638,'Личные данные'!A:V,6,0),'Личные данные'!$X$17:$AA$21,2,0)</f>
        <v>330</v>
      </c>
    </row>
    <row r="639" spans="1:6" ht="15.75" customHeight="1" x14ac:dyDescent="0.25">
      <c r="A639" s="62" t="s">
        <v>436</v>
      </c>
      <c r="B639" s="62">
        <v>20</v>
      </c>
      <c r="C639" s="62" t="s">
        <v>1278</v>
      </c>
      <c r="D639" s="82" t="s">
        <v>1243</v>
      </c>
      <c r="E639" s="82" t="s">
        <v>1244</v>
      </c>
      <c r="F639" s="70">
        <f>VLOOKUP(VLOOKUP(A639,'Личные данные'!A:V,6,0),'Личные данные'!$X$17:$AA$21,2,0)</f>
        <v>220</v>
      </c>
    </row>
    <row r="640" spans="1:6" ht="15.75" customHeight="1" x14ac:dyDescent="0.25">
      <c r="A640" s="62" t="s">
        <v>437</v>
      </c>
      <c r="B640" s="62">
        <v>20</v>
      </c>
      <c r="C640" s="62" t="s">
        <v>1278</v>
      </c>
      <c r="D640" s="82" t="s">
        <v>1243</v>
      </c>
      <c r="E640" s="82" t="s">
        <v>1253</v>
      </c>
      <c r="F640" s="70">
        <f>VLOOKUP(VLOOKUP(A640,'Личные данные'!A:V,6,0),'Личные данные'!$X$17:$AA$21,2,0)</f>
        <v>330</v>
      </c>
    </row>
    <row r="641" spans="1:6" ht="15.75" customHeight="1" x14ac:dyDescent="0.25">
      <c r="A641" s="62" t="s">
        <v>438</v>
      </c>
      <c r="B641" s="62">
        <v>20</v>
      </c>
      <c r="C641" s="62" t="s">
        <v>1278</v>
      </c>
      <c r="D641" s="82" t="s">
        <v>1243</v>
      </c>
      <c r="E641" s="82" t="s">
        <v>1255</v>
      </c>
      <c r="F641" s="70">
        <f>VLOOKUP(VLOOKUP(A641,'Личные данные'!A:V,6,0),'Личные данные'!$X$17:$AA$21,2,0)</f>
        <v>440</v>
      </c>
    </row>
    <row r="642" spans="1:6" ht="15.75" customHeight="1" x14ac:dyDescent="0.25">
      <c r="A642" s="62" t="s">
        <v>439</v>
      </c>
      <c r="B642" s="62">
        <v>20</v>
      </c>
      <c r="C642" s="62" t="s">
        <v>1278</v>
      </c>
      <c r="D642" s="82" t="s">
        <v>1243</v>
      </c>
      <c r="E642" s="82" t="s">
        <v>1248</v>
      </c>
      <c r="F642" s="70">
        <f>VLOOKUP(VLOOKUP(A642,'Личные данные'!A:V,6,0),'Личные данные'!$X$17:$AA$21,2,0)</f>
        <v>330</v>
      </c>
    </row>
    <row r="643" spans="1:6" ht="15.75" customHeight="1" x14ac:dyDescent="0.25">
      <c r="A643" s="62" t="s">
        <v>440</v>
      </c>
      <c r="B643" s="62">
        <v>20</v>
      </c>
      <c r="C643" s="62" t="s">
        <v>1278</v>
      </c>
      <c r="D643" s="82" t="s">
        <v>1258</v>
      </c>
      <c r="E643" s="82" t="s">
        <v>1248</v>
      </c>
      <c r="F643" s="70">
        <f>VLOOKUP(VLOOKUP(A643,'Личные данные'!A:V,6,0),'Личные данные'!$X$17:$AA$21,2,0)</f>
        <v>440</v>
      </c>
    </row>
    <row r="644" spans="1:6" ht="15.75" customHeight="1" x14ac:dyDescent="0.25">
      <c r="A644" s="62" t="s">
        <v>441</v>
      </c>
      <c r="B644" s="62">
        <v>20</v>
      </c>
      <c r="C644" s="62" t="s">
        <v>1278</v>
      </c>
      <c r="D644" s="82" t="s">
        <v>1243</v>
      </c>
      <c r="E644" s="82" t="s">
        <v>1253</v>
      </c>
      <c r="F644" s="70">
        <f>VLOOKUP(VLOOKUP(A644,'Личные данные'!A:V,6,0),'Личные данные'!$X$17:$AA$21,2,0)</f>
        <v>330</v>
      </c>
    </row>
    <row r="645" spans="1:6" ht="15.75" customHeight="1" x14ac:dyDescent="0.25">
      <c r="A645" s="62" t="s">
        <v>442</v>
      </c>
      <c r="B645" s="62">
        <v>20</v>
      </c>
      <c r="C645" s="62" t="s">
        <v>1278</v>
      </c>
      <c r="D645" s="82" t="s">
        <v>1243</v>
      </c>
      <c r="E645" s="82" t="s">
        <v>1253</v>
      </c>
      <c r="F645" s="70">
        <f>VLOOKUP(VLOOKUP(A645,'Личные данные'!A:V,6,0),'Личные данные'!$X$17:$AA$21,2,0)</f>
        <v>330</v>
      </c>
    </row>
    <row r="646" spans="1:6" ht="15.75" customHeight="1" x14ac:dyDescent="0.25">
      <c r="A646" s="62" t="s">
        <v>443</v>
      </c>
      <c r="B646" s="62">
        <v>20</v>
      </c>
      <c r="C646" s="62" t="s">
        <v>1278</v>
      </c>
      <c r="D646" s="82" t="s">
        <v>1243</v>
      </c>
      <c r="E646" s="82" t="s">
        <v>1248</v>
      </c>
      <c r="F646" s="70">
        <f>VLOOKUP(VLOOKUP(A646,'Личные данные'!A:V,6,0),'Личные данные'!$X$17:$AA$21,2,0)</f>
        <v>550</v>
      </c>
    </row>
    <row r="647" spans="1:6" ht="15.75" customHeight="1" x14ac:dyDescent="0.25">
      <c r="A647" s="62" t="s">
        <v>444</v>
      </c>
      <c r="B647" s="62">
        <v>20</v>
      </c>
      <c r="C647" s="62" t="s">
        <v>1278</v>
      </c>
      <c r="D647" s="82" t="s">
        <v>1243</v>
      </c>
      <c r="E647" s="82" t="s">
        <v>1255</v>
      </c>
      <c r="F647" s="70">
        <f>VLOOKUP(VLOOKUP(A647,'Личные данные'!A:V,6,0),'Личные данные'!$X$17:$AA$21,2,0)</f>
        <v>330</v>
      </c>
    </row>
    <row r="648" spans="1:6" ht="15.75" customHeight="1" x14ac:dyDescent="0.25">
      <c r="A648" s="62" t="s">
        <v>445</v>
      </c>
      <c r="B648" s="62">
        <v>20</v>
      </c>
      <c r="C648" s="62" t="s">
        <v>1278</v>
      </c>
      <c r="D648" s="82" t="s">
        <v>1257</v>
      </c>
      <c r="E648" s="82" t="s">
        <v>1248</v>
      </c>
      <c r="F648" s="70">
        <f>VLOOKUP(VLOOKUP(A648,'Личные данные'!A:V,6,0),'Личные данные'!$X$17:$AA$21,2,0)</f>
        <v>550</v>
      </c>
    </row>
    <row r="649" spans="1:6" ht="15.75" customHeight="1" x14ac:dyDescent="0.25">
      <c r="A649" s="62" t="s">
        <v>446</v>
      </c>
      <c r="B649" s="62">
        <v>20</v>
      </c>
      <c r="C649" s="62" t="s">
        <v>1278</v>
      </c>
      <c r="D649" s="82" t="s">
        <v>1243</v>
      </c>
      <c r="E649" s="82" t="s">
        <v>1253</v>
      </c>
      <c r="F649" s="70">
        <f>VLOOKUP(VLOOKUP(A649,'Личные данные'!A:V,6,0),'Личные данные'!$X$17:$AA$21,2,0)</f>
        <v>330</v>
      </c>
    </row>
    <row r="650" spans="1:6" ht="15.75" customHeight="1" x14ac:dyDescent="0.25">
      <c r="A650" s="62" t="s">
        <v>447</v>
      </c>
      <c r="B650" s="62">
        <v>20</v>
      </c>
      <c r="C650" s="62" t="s">
        <v>1278</v>
      </c>
      <c r="D650" s="82" t="s">
        <v>1258</v>
      </c>
      <c r="E650" s="82" t="s">
        <v>1255</v>
      </c>
      <c r="F650" s="70">
        <f>VLOOKUP(VLOOKUP(A650,'Личные данные'!A:V,6,0),'Личные данные'!$X$17:$AA$21,2,0)</f>
        <v>440</v>
      </c>
    </row>
    <row r="651" spans="1:6" ht="15.75" customHeight="1" x14ac:dyDescent="0.25">
      <c r="A651" s="62" t="s">
        <v>448</v>
      </c>
      <c r="B651" s="62">
        <v>20</v>
      </c>
      <c r="C651" s="62" t="s">
        <v>1278</v>
      </c>
      <c r="D651" s="82" t="s">
        <v>1258</v>
      </c>
      <c r="E651" s="82" t="s">
        <v>1253</v>
      </c>
      <c r="F651" s="70">
        <f>VLOOKUP(VLOOKUP(A651,'Личные данные'!A:V,6,0),'Личные данные'!$X$17:$AA$21,2,0)</f>
        <v>550</v>
      </c>
    </row>
    <row r="652" spans="1:6" ht="15.75" customHeight="1" x14ac:dyDescent="0.25">
      <c r="A652" s="62" t="s">
        <v>449</v>
      </c>
      <c r="B652" s="62">
        <v>20</v>
      </c>
      <c r="C652" s="62" t="s">
        <v>1278</v>
      </c>
      <c r="D652" s="82" t="s">
        <v>1243</v>
      </c>
      <c r="E652" s="82" t="s">
        <v>1244</v>
      </c>
      <c r="F652" s="70">
        <f>VLOOKUP(VLOOKUP(A652,'Личные данные'!A:V,6,0),'Личные данные'!$X$17:$AA$21,2,0)</f>
        <v>220</v>
      </c>
    </row>
    <row r="653" spans="1:6" ht="15.75" customHeight="1" x14ac:dyDescent="0.25">
      <c r="A653" s="62" t="s">
        <v>450</v>
      </c>
      <c r="B653" s="62">
        <v>20</v>
      </c>
      <c r="C653" s="62" t="s">
        <v>1278</v>
      </c>
      <c r="D653" s="82" t="s">
        <v>1257</v>
      </c>
      <c r="E653" s="82" t="s">
        <v>1244</v>
      </c>
      <c r="F653" s="70">
        <f>VLOOKUP(VLOOKUP(A653,'Личные данные'!A:V,6,0),'Личные данные'!$X$17:$AA$21,2,0)</f>
        <v>550</v>
      </c>
    </row>
    <row r="654" spans="1:6" ht="15.75" customHeight="1" x14ac:dyDescent="0.25">
      <c r="A654" s="62" t="s">
        <v>451</v>
      </c>
      <c r="B654" s="62">
        <v>20</v>
      </c>
      <c r="C654" s="62" t="s">
        <v>1278</v>
      </c>
      <c r="D654" s="82" t="s">
        <v>1243</v>
      </c>
      <c r="E654" s="82" t="s">
        <v>1253</v>
      </c>
      <c r="F654" s="70">
        <f>VLOOKUP(VLOOKUP(A654,'Личные данные'!A:V,6,0),'Личные данные'!$X$17:$AA$21,2,0)</f>
        <v>330</v>
      </c>
    </row>
    <row r="655" spans="1:6" ht="15.75" customHeight="1" x14ac:dyDescent="0.25">
      <c r="A655" s="62" t="s">
        <v>452</v>
      </c>
      <c r="B655" s="62">
        <v>20</v>
      </c>
      <c r="C655" s="62" t="s">
        <v>1278</v>
      </c>
      <c r="D655" s="82" t="s">
        <v>1243</v>
      </c>
      <c r="E655" s="82" t="s">
        <v>1248</v>
      </c>
      <c r="F655" s="70">
        <f>VLOOKUP(VLOOKUP(A655,'Личные данные'!A:V,6,0),'Личные данные'!$X$17:$AA$21,2,0)</f>
        <v>440</v>
      </c>
    </row>
    <row r="656" spans="1:6" ht="15.75" customHeight="1" x14ac:dyDescent="0.25">
      <c r="A656" s="62" t="s">
        <v>453</v>
      </c>
      <c r="B656" s="62">
        <v>20</v>
      </c>
      <c r="C656" s="62" t="s">
        <v>1278</v>
      </c>
      <c r="D656" s="82" t="s">
        <v>1243</v>
      </c>
      <c r="E656" s="82" t="s">
        <v>1248</v>
      </c>
      <c r="F656" s="70">
        <f>VLOOKUP(VLOOKUP(A656,'Личные данные'!A:V,6,0),'Личные данные'!$X$17:$AA$21,2,0)</f>
        <v>330</v>
      </c>
    </row>
    <row r="657" spans="1:6" ht="15.75" customHeight="1" x14ac:dyDescent="0.25">
      <c r="A657" s="62" t="s">
        <v>454</v>
      </c>
      <c r="B657" s="62">
        <v>20</v>
      </c>
      <c r="C657" s="62" t="s">
        <v>1278</v>
      </c>
      <c r="D657" s="82" t="s">
        <v>1243</v>
      </c>
      <c r="E657" s="82" t="s">
        <v>1255</v>
      </c>
      <c r="F657" s="70">
        <f>VLOOKUP(VLOOKUP(A657,'Личные данные'!A:V,6,0),'Личные данные'!$X$17:$AA$21,2,0)</f>
        <v>330</v>
      </c>
    </row>
    <row r="658" spans="1:6" ht="15.75" customHeight="1" x14ac:dyDescent="0.25">
      <c r="A658" s="62" t="s">
        <v>455</v>
      </c>
      <c r="B658" s="62">
        <v>20</v>
      </c>
      <c r="C658" s="62" t="s">
        <v>1278</v>
      </c>
      <c r="D658" s="82" t="s">
        <v>1243</v>
      </c>
      <c r="E658" s="82" t="s">
        <v>1253</v>
      </c>
      <c r="F658" s="70">
        <f>VLOOKUP(VLOOKUP(A658,'Личные данные'!A:V,6,0),'Личные данные'!$X$17:$AA$21,2,0)</f>
        <v>330</v>
      </c>
    </row>
    <row r="659" spans="1:6" ht="15.75" customHeight="1" x14ac:dyDescent="0.25">
      <c r="A659" s="62" t="s">
        <v>456</v>
      </c>
      <c r="B659" s="62">
        <v>20</v>
      </c>
      <c r="C659" s="62" t="s">
        <v>1278</v>
      </c>
      <c r="D659" s="82" t="s">
        <v>1257</v>
      </c>
      <c r="E659" s="82" t="s">
        <v>1244</v>
      </c>
      <c r="F659" s="70">
        <f>VLOOKUP(VLOOKUP(A659,'Личные данные'!A:V,6,0),'Личные данные'!$X$17:$AA$21,2,0)</f>
        <v>440</v>
      </c>
    </row>
    <row r="660" spans="1:6" ht="15.75" customHeight="1" x14ac:dyDescent="0.25">
      <c r="A660" s="62" t="s">
        <v>457</v>
      </c>
      <c r="B660" s="62">
        <v>21</v>
      </c>
      <c r="C660" s="62" t="s">
        <v>1278</v>
      </c>
      <c r="D660" s="82" t="s">
        <v>1257</v>
      </c>
      <c r="E660" s="82" t="s">
        <v>1248</v>
      </c>
      <c r="F660" s="70">
        <f>VLOOKUP(VLOOKUP(A660,'Личные данные'!A:V,6,0),'Личные данные'!$X$17:$AA$21,2,0)</f>
        <v>550</v>
      </c>
    </row>
    <row r="661" spans="1:6" ht="15.75" customHeight="1" x14ac:dyDescent="0.25">
      <c r="A661" s="62" t="s">
        <v>458</v>
      </c>
      <c r="B661" s="62">
        <v>21</v>
      </c>
      <c r="C661" s="62" t="s">
        <v>1278</v>
      </c>
      <c r="D661" s="82" t="s">
        <v>1243</v>
      </c>
      <c r="E661" s="82" t="s">
        <v>1253</v>
      </c>
      <c r="F661" s="70">
        <f>VLOOKUP(VLOOKUP(A661,'Личные данные'!A:V,6,0),'Личные данные'!$X$17:$AA$21,2,0)</f>
        <v>330</v>
      </c>
    </row>
    <row r="662" spans="1:6" ht="15.75" customHeight="1" x14ac:dyDescent="0.25">
      <c r="A662" s="62" t="s">
        <v>459</v>
      </c>
      <c r="B662" s="62">
        <v>21</v>
      </c>
      <c r="C662" s="62" t="s">
        <v>1278</v>
      </c>
      <c r="D662" s="82" t="s">
        <v>1243</v>
      </c>
      <c r="E662" s="82" t="s">
        <v>1253</v>
      </c>
      <c r="F662" s="70">
        <f>VLOOKUP(VLOOKUP(A662,'Личные данные'!A:V,6,0),'Личные данные'!$X$17:$AA$21,2,0)</f>
        <v>330</v>
      </c>
    </row>
    <row r="663" spans="1:6" ht="15.75" customHeight="1" x14ac:dyDescent="0.25">
      <c r="A663" s="62" t="s">
        <v>460</v>
      </c>
      <c r="B663" s="62">
        <v>21</v>
      </c>
      <c r="C663" s="62" t="s">
        <v>1278</v>
      </c>
      <c r="D663" s="82" t="s">
        <v>1243</v>
      </c>
      <c r="E663" s="82" t="s">
        <v>1248</v>
      </c>
      <c r="F663" s="70">
        <f>VLOOKUP(VLOOKUP(A663,'Личные данные'!A:V,6,0),'Личные данные'!$X$17:$AA$21,2,0)</f>
        <v>550</v>
      </c>
    </row>
    <row r="664" spans="1:6" ht="15.75" customHeight="1" x14ac:dyDescent="0.25">
      <c r="A664" s="62" t="s">
        <v>461</v>
      </c>
      <c r="B664" s="62">
        <v>21</v>
      </c>
      <c r="C664" s="62" t="s">
        <v>1278</v>
      </c>
      <c r="D664" s="82" t="s">
        <v>1243</v>
      </c>
      <c r="E664" s="82" t="s">
        <v>1253</v>
      </c>
      <c r="F664" s="70">
        <f>VLOOKUP(VLOOKUP(A664,'Личные данные'!A:V,6,0),'Личные данные'!$X$17:$AA$21,2,0)</f>
        <v>330</v>
      </c>
    </row>
    <row r="665" spans="1:6" ht="15.75" customHeight="1" x14ac:dyDescent="0.25">
      <c r="A665" s="62" t="s">
        <v>462</v>
      </c>
      <c r="B665" s="62">
        <v>21</v>
      </c>
      <c r="C665" s="62" t="s">
        <v>1278</v>
      </c>
      <c r="D665" s="82" t="s">
        <v>1243</v>
      </c>
      <c r="E665" s="82" t="s">
        <v>1244</v>
      </c>
      <c r="F665" s="70">
        <f>VLOOKUP(VLOOKUP(A665,'Личные данные'!A:V,6,0),'Личные данные'!$X$17:$AA$21,2,0)</f>
        <v>220</v>
      </c>
    </row>
    <row r="666" spans="1:6" ht="15.75" customHeight="1" x14ac:dyDescent="0.25">
      <c r="A666" s="62" t="s">
        <v>463</v>
      </c>
      <c r="B666" s="62">
        <v>21</v>
      </c>
      <c r="C666" s="62" t="s">
        <v>1278</v>
      </c>
      <c r="D666" s="82" t="s">
        <v>1243</v>
      </c>
      <c r="E666" s="82" t="s">
        <v>1253</v>
      </c>
      <c r="F666" s="70">
        <f>VLOOKUP(VLOOKUP(A666,'Личные данные'!A:V,6,0),'Личные данные'!$X$17:$AA$21,2,0)</f>
        <v>330</v>
      </c>
    </row>
    <row r="667" spans="1:6" ht="15.75" customHeight="1" x14ac:dyDescent="0.25">
      <c r="A667" s="62" t="s">
        <v>464</v>
      </c>
      <c r="B667" s="62">
        <v>21</v>
      </c>
      <c r="C667" s="62" t="s">
        <v>1278</v>
      </c>
      <c r="D667" s="82" t="s">
        <v>1257</v>
      </c>
      <c r="E667" s="82" t="s">
        <v>1248</v>
      </c>
      <c r="F667" s="70">
        <f>VLOOKUP(VLOOKUP(A667,'Личные данные'!A:V,6,0),'Личные данные'!$X$17:$AA$21,2,0)</f>
        <v>440</v>
      </c>
    </row>
    <row r="668" spans="1:6" ht="15.75" customHeight="1" x14ac:dyDescent="0.25">
      <c r="A668" s="62" t="s">
        <v>465</v>
      </c>
      <c r="B668" s="62">
        <v>21</v>
      </c>
      <c r="C668" s="62" t="s">
        <v>1278</v>
      </c>
      <c r="D668" s="82" t="s">
        <v>1257</v>
      </c>
      <c r="E668" s="82" t="s">
        <v>1255</v>
      </c>
      <c r="F668" s="70">
        <f>VLOOKUP(VLOOKUP(A668,'Личные данные'!A:V,6,0),'Личные данные'!$X$17:$AA$21,2,0)</f>
        <v>440</v>
      </c>
    </row>
    <row r="669" spans="1:6" ht="15.75" customHeight="1" x14ac:dyDescent="0.25">
      <c r="A669" s="62" t="s">
        <v>466</v>
      </c>
      <c r="B669" s="62">
        <v>21</v>
      </c>
      <c r="C669" s="62" t="s">
        <v>1278</v>
      </c>
      <c r="D669" s="82" t="s">
        <v>1256</v>
      </c>
      <c r="E669" s="82" t="s">
        <v>1244</v>
      </c>
      <c r="F669" s="70">
        <f>VLOOKUP(VLOOKUP(A669,'Личные данные'!A:V,6,0),'Личные данные'!$X$17:$AA$21,2,0)</f>
        <v>440</v>
      </c>
    </row>
    <row r="670" spans="1:6" ht="15.75" customHeight="1" x14ac:dyDescent="0.25">
      <c r="A670" s="62" t="s">
        <v>467</v>
      </c>
      <c r="B670" s="62">
        <v>21</v>
      </c>
      <c r="C670" s="62" t="s">
        <v>1278</v>
      </c>
      <c r="D670" s="82" t="s">
        <v>1243</v>
      </c>
      <c r="E670" s="82" t="s">
        <v>1255</v>
      </c>
      <c r="F670" s="70">
        <f>VLOOKUP(VLOOKUP(A670,'Личные данные'!A:V,6,0),'Личные данные'!$X$17:$AA$21,2,0)</f>
        <v>330</v>
      </c>
    </row>
    <row r="671" spans="1:6" ht="15.75" customHeight="1" x14ac:dyDescent="0.25">
      <c r="A671" s="62" t="s">
        <v>468</v>
      </c>
      <c r="B671" s="62">
        <v>21</v>
      </c>
      <c r="C671" s="62" t="s">
        <v>1278</v>
      </c>
      <c r="D671" s="82" t="s">
        <v>1243</v>
      </c>
      <c r="E671" s="82" t="s">
        <v>1248</v>
      </c>
      <c r="F671" s="70">
        <f>VLOOKUP(VLOOKUP(A671,'Личные данные'!A:V,6,0),'Личные данные'!$X$17:$AA$21,2,0)</f>
        <v>330</v>
      </c>
    </row>
    <row r="672" spans="1:6" ht="15.75" customHeight="1" x14ac:dyDescent="0.25">
      <c r="A672" s="62" t="s">
        <v>469</v>
      </c>
      <c r="B672" s="62">
        <v>21</v>
      </c>
      <c r="C672" s="62" t="s">
        <v>1278</v>
      </c>
      <c r="D672" s="82" t="s">
        <v>1243</v>
      </c>
      <c r="E672" s="82" t="s">
        <v>1248</v>
      </c>
      <c r="F672" s="70">
        <f>VLOOKUP(VLOOKUP(A672,'Личные данные'!A:V,6,0),'Личные данные'!$X$17:$AA$21,2,0)</f>
        <v>330</v>
      </c>
    </row>
    <row r="673" spans="1:6" ht="15.75" customHeight="1" x14ac:dyDescent="0.25">
      <c r="A673" s="62" t="s">
        <v>470</v>
      </c>
      <c r="B673" s="62">
        <v>21</v>
      </c>
      <c r="C673" s="62" t="s">
        <v>1278</v>
      </c>
      <c r="D673" s="82" t="s">
        <v>1256</v>
      </c>
      <c r="E673" s="82" t="s">
        <v>1248</v>
      </c>
      <c r="F673" s="70">
        <f>VLOOKUP(VLOOKUP(A673,'Личные данные'!A:V,6,0),'Личные данные'!$X$17:$AA$21,2,0)</f>
        <v>550</v>
      </c>
    </row>
    <row r="674" spans="1:6" ht="15.75" customHeight="1" x14ac:dyDescent="0.25">
      <c r="A674" s="62" t="s">
        <v>471</v>
      </c>
      <c r="B674" s="62">
        <v>21</v>
      </c>
      <c r="C674" s="62" t="s">
        <v>1278</v>
      </c>
      <c r="D674" s="82" t="s">
        <v>1258</v>
      </c>
      <c r="E674" s="82" t="s">
        <v>1255</v>
      </c>
      <c r="F674" s="70">
        <f>VLOOKUP(VLOOKUP(A674,'Личные данные'!A:V,6,0),'Личные данные'!$X$17:$AA$21,2,0)</f>
        <v>440</v>
      </c>
    </row>
    <row r="675" spans="1:6" ht="15.75" customHeight="1" x14ac:dyDescent="0.25">
      <c r="A675" s="62" t="s">
        <v>472</v>
      </c>
      <c r="B675" s="62">
        <v>21</v>
      </c>
      <c r="C675" s="62" t="s">
        <v>1278</v>
      </c>
      <c r="D675" s="82" t="s">
        <v>1243</v>
      </c>
      <c r="E675" s="82" t="s">
        <v>1253</v>
      </c>
      <c r="F675" s="70">
        <f>VLOOKUP(VLOOKUP(A675,'Личные данные'!A:V,6,0),'Личные данные'!$X$17:$AA$21,2,0)</f>
        <v>330</v>
      </c>
    </row>
    <row r="676" spans="1:6" ht="15.75" customHeight="1" x14ac:dyDescent="0.25">
      <c r="A676" s="62" t="s">
        <v>473</v>
      </c>
      <c r="B676" s="62">
        <v>21</v>
      </c>
      <c r="C676" s="62" t="s">
        <v>1278</v>
      </c>
      <c r="D676" s="82" t="s">
        <v>1260</v>
      </c>
      <c r="E676" s="82" t="s">
        <v>1255</v>
      </c>
      <c r="F676" s="70">
        <f>VLOOKUP(VLOOKUP(A676,'Личные данные'!A:V,6,0),'Личные данные'!$X$17:$AA$21,2,0)</f>
        <v>770</v>
      </c>
    </row>
    <row r="677" spans="1:6" ht="15.75" customHeight="1" x14ac:dyDescent="0.25">
      <c r="A677" s="62" t="s">
        <v>474</v>
      </c>
      <c r="B677" s="62">
        <v>21</v>
      </c>
      <c r="C677" s="62" t="s">
        <v>1278</v>
      </c>
      <c r="D677" s="82" t="s">
        <v>1243</v>
      </c>
      <c r="E677" s="82" t="s">
        <v>1253</v>
      </c>
      <c r="F677" s="70">
        <f>VLOOKUP(VLOOKUP(A677,'Личные данные'!A:V,6,0),'Личные данные'!$X$17:$AA$21,2,0)</f>
        <v>330</v>
      </c>
    </row>
    <row r="678" spans="1:6" ht="15.75" customHeight="1" x14ac:dyDescent="0.25">
      <c r="A678" s="62" t="s">
        <v>475</v>
      </c>
      <c r="B678" s="62">
        <v>21</v>
      </c>
      <c r="C678" s="62" t="s">
        <v>1278</v>
      </c>
      <c r="D678" s="82" t="s">
        <v>1243</v>
      </c>
      <c r="E678" s="82" t="s">
        <v>1248</v>
      </c>
      <c r="F678" s="70">
        <f>VLOOKUP(VLOOKUP(A678,'Личные данные'!A:V,6,0),'Личные данные'!$X$17:$AA$21,2,0)</f>
        <v>550</v>
      </c>
    </row>
    <row r="679" spans="1:6" ht="15.75" customHeight="1" x14ac:dyDescent="0.25">
      <c r="A679" s="62" t="s">
        <v>476</v>
      </c>
      <c r="B679" s="62">
        <v>21</v>
      </c>
      <c r="C679" s="62" t="s">
        <v>1278</v>
      </c>
      <c r="D679" s="82" t="s">
        <v>1243</v>
      </c>
      <c r="E679" s="82" t="s">
        <v>1253</v>
      </c>
      <c r="F679" s="70">
        <f>VLOOKUP(VLOOKUP(A679,'Личные данные'!A:V,6,0),'Личные данные'!$X$17:$AA$21,2,0)</f>
        <v>330</v>
      </c>
    </row>
    <row r="680" spans="1:6" ht="15.75" customHeight="1" x14ac:dyDescent="0.25">
      <c r="A680" s="62" t="s">
        <v>477</v>
      </c>
      <c r="B680" s="62">
        <v>21</v>
      </c>
      <c r="C680" s="62" t="s">
        <v>1278</v>
      </c>
      <c r="D680" s="82" t="s">
        <v>1243</v>
      </c>
      <c r="E680" s="82" t="s">
        <v>1248</v>
      </c>
      <c r="F680" s="70">
        <f>VLOOKUP(VLOOKUP(A680,'Личные данные'!A:V,6,0),'Личные данные'!$X$17:$AA$21,2,0)</f>
        <v>440</v>
      </c>
    </row>
    <row r="681" spans="1:6" ht="15.75" customHeight="1" x14ac:dyDescent="0.25">
      <c r="A681" s="62" t="s">
        <v>478</v>
      </c>
      <c r="B681" s="62">
        <v>21</v>
      </c>
      <c r="C681" s="62" t="s">
        <v>1278</v>
      </c>
      <c r="D681" s="82" t="s">
        <v>1243</v>
      </c>
      <c r="E681" s="82" t="s">
        <v>1255</v>
      </c>
      <c r="F681" s="70">
        <f>VLOOKUP(VLOOKUP(A681,'Личные данные'!A:V,6,0),'Личные данные'!$X$17:$AA$21,2,0)</f>
        <v>330</v>
      </c>
    </row>
    <row r="682" spans="1:6" ht="15.75" customHeight="1" x14ac:dyDescent="0.25">
      <c r="A682" s="62" t="s">
        <v>479</v>
      </c>
      <c r="B682" s="62">
        <v>21</v>
      </c>
      <c r="C682" s="62" t="s">
        <v>1278</v>
      </c>
      <c r="D682" s="82" t="s">
        <v>1257</v>
      </c>
      <c r="E682" s="82" t="s">
        <v>1255</v>
      </c>
      <c r="F682" s="70">
        <f>VLOOKUP(VLOOKUP(A682,'Личные данные'!A:V,6,0),'Личные данные'!$X$17:$AA$21,2,0)</f>
        <v>550</v>
      </c>
    </row>
    <row r="683" spans="1:6" ht="15.75" customHeight="1" x14ac:dyDescent="0.25">
      <c r="A683" s="62" t="s">
        <v>480</v>
      </c>
      <c r="B683" s="62">
        <v>21</v>
      </c>
      <c r="C683" s="62" t="s">
        <v>1278</v>
      </c>
      <c r="D683" s="82" t="s">
        <v>1258</v>
      </c>
      <c r="E683" s="82" t="s">
        <v>1248</v>
      </c>
      <c r="F683" s="70">
        <f>VLOOKUP(VLOOKUP(A683,'Личные данные'!A:V,6,0),'Личные данные'!$X$17:$AA$21,2,0)</f>
        <v>550</v>
      </c>
    </row>
    <row r="684" spans="1:6" ht="15.75" customHeight="1" x14ac:dyDescent="0.25">
      <c r="A684" s="62" t="s">
        <v>481</v>
      </c>
      <c r="B684" s="62">
        <v>21</v>
      </c>
      <c r="C684" s="62" t="s">
        <v>1278</v>
      </c>
      <c r="D684" s="82" t="s">
        <v>1243</v>
      </c>
      <c r="E684" s="82" t="s">
        <v>1253</v>
      </c>
      <c r="F684" s="70">
        <f>VLOOKUP(VLOOKUP(A684,'Личные данные'!A:V,6,0),'Личные данные'!$X$17:$AA$21,2,0)</f>
        <v>330</v>
      </c>
    </row>
    <row r="685" spans="1:6" ht="15.75" customHeight="1" x14ac:dyDescent="0.25">
      <c r="A685" s="62" t="s">
        <v>482</v>
      </c>
      <c r="B685" s="62">
        <v>21</v>
      </c>
      <c r="C685" s="62" t="s">
        <v>1278</v>
      </c>
      <c r="D685" s="82" t="s">
        <v>1243</v>
      </c>
      <c r="E685" s="82" t="s">
        <v>1253</v>
      </c>
      <c r="F685" s="70">
        <f>VLOOKUP(VLOOKUP(A685,'Личные данные'!A:V,6,0),'Личные данные'!$X$17:$AA$21,2,0)</f>
        <v>330</v>
      </c>
    </row>
    <row r="686" spans="1:6" ht="15.75" customHeight="1" x14ac:dyDescent="0.25">
      <c r="A686" s="62" t="s">
        <v>483</v>
      </c>
      <c r="B686" s="62">
        <v>21</v>
      </c>
      <c r="C686" s="62" t="s">
        <v>1278</v>
      </c>
      <c r="D686" s="82" t="s">
        <v>1243</v>
      </c>
      <c r="E686" s="82" t="s">
        <v>1244</v>
      </c>
      <c r="F686" s="70">
        <f>VLOOKUP(VLOOKUP(A686,'Личные данные'!A:V,6,0),'Личные данные'!$X$17:$AA$21,2,0)</f>
        <v>220</v>
      </c>
    </row>
    <row r="687" spans="1:6" ht="15.75" customHeight="1" x14ac:dyDescent="0.25">
      <c r="A687" s="62" t="s">
        <v>484</v>
      </c>
      <c r="B687" s="62">
        <v>21</v>
      </c>
      <c r="C687" s="62" t="s">
        <v>1278</v>
      </c>
      <c r="D687" s="82" t="s">
        <v>1243</v>
      </c>
      <c r="E687" s="82" t="s">
        <v>1248</v>
      </c>
      <c r="F687" s="70">
        <f>VLOOKUP(VLOOKUP(A687,'Личные данные'!A:V,6,0),'Личные данные'!$X$17:$AA$21,2,0)</f>
        <v>440</v>
      </c>
    </row>
    <row r="688" spans="1:6" ht="15.75" customHeight="1" x14ac:dyDescent="0.25">
      <c r="A688" s="62" t="s">
        <v>485</v>
      </c>
      <c r="B688" s="62">
        <v>21</v>
      </c>
      <c r="C688" s="62" t="s">
        <v>1278</v>
      </c>
      <c r="D688" s="82" t="s">
        <v>1243</v>
      </c>
      <c r="E688" s="82" t="s">
        <v>1248</v>
      </c>
      <c r="F688" s="70">
        <f>VLOOKUP(VLOOKUP(A688,'Личные данные'!A:V,6,0),'Личные данные'!$X$17:$AA$21,2,0)</f>
        <v>330</v>
      </c>
    </row>
    <row r="689" spans="1:6" ht="15.75" customHeight="1" x14ac:dyDescent="0.25">
      <c r="A689" s="62" t="s">
        <v>486</v>
      </c>
      <c r="B689" s="62">
        <v>21</v>
      </c>
      <c r="C689" s="62" t="s">
        <v>1278</v>
      </c>
      <c r="D689" s="82" t="s">
        <v>1256</v>
      </c>
      <c r="E689" s="82" t="s">
        <v>1248</v>
      </c>
      <c r="F689" s="70">
        <f>VLOOKUP(VLOOKUP(A689,'Личные данные'!A:V,6,0),'Личные данные'!$X$17:$AA$21,2,0)</f>
        <v>550</v>
      </c>
    </row>
    <row r="690" spans="1:6" ht="15.75" customHeight="1" x14ac:dyDescent="0.25">
      <c r="A690" s="62" t="s">
        <v>487</v>
      </c>
      <c r="B690" s="62">
        <v>21</v>
      </c>
      <c r="C690" s="62" t="s">
        <v>1278</v>
      </c>
      <c r="D690" s="82" t="s">
        <v>1260</v>
      </c>
      <c r="E690" s="82" t="s">
        <v>1250</v>
      </c>
      <c r="F690" s="70">
        <f>VLOOKUP(VLOOKUP(A690,'Личные данные'!A:V,6,0),'Личные данные'!$X$17:$AA$21,2,0)</f>
        <v>770</v>
      </c>
    </row>
    <row r="691" spans="1:6" ht="15.75" customHeight="1" x14ac:dyDescent="0.25">
      <c r="A691" s="62" t="s">
        <v>488</v>
      </c>
      <c r="B691" s="62">
        <v>21</v>
      </c>
      <c r="C691" s="62" t="s">
        <v>1278</v>
      </c>
      <c r="D691" s="82" t="s">
        <v>1243</v>
      </c>
      <c r="E691" s="82" t="s">
        <v>1248</v>
      </c>
      <c r="F691" s="70">
        <f>VLOOKUP(VLOOKUP(A691,'Личные данные'!A:V,6,0),'Личные данные'!$X$17:$AA$21,2,0)</f>
        <v>330</v>
      </c>
    </row>
    <row r="692" spans="1:6" ht="15.75" customHeight="1" x14ac:dyDescent="0.25">
      <c r="A692" s="62" t="s">
        <v>489</v>
      </c>
      <c r="B692" s="62">
        <v>21</v>
      </c>
      <c r="C692" s="62" t="s">
        <v>1278</v>
      </c>
      <c r="D692" s="82" t="s">
        <v>1243</v>
      </c>
      <c r="E692" s="82" t="s">
        <v>1253</v>
      </c>
      <c r="F692" s="70">
        <f>VLOOKUP(VLOOKUP(A692,'Личные данные'!A:V,6,0),'Личные данные'!$X$17:$AA$21,2,0)</f>
        <v>330</v>
      </c>
    </row>
    <row r="693" spans="1:6" ht="15.75" customHeight="1" x14ac:dyDescent="0.25">
      <c r="A693" s="62" t="s">
        <v>490</v>
      </c>
      <c r="B693" s="62">
        <v>21</v>
      </c>
      <c r="C693" s="62" t="s">
        <v>1278</v>
      </c>
      <c r="D693" s="82" t="s">
        <v>1256</v>
      </c>
      <c r="E693" s="82" t="s">
        <v>1248</v>
      </c>
      <c r="F693" s="70">
        <f>VLOOKUP(VLOOKUP(A693,'Личные данные'!A:V,6,0),'Личные данные'!$X$17:$AA$21,2,0)</f>
        <v>550</v>
      </c>
    </row>
    <row r="694" spans="1:6" ht="15.75" customHeight="1" x14ac:dyDescent="0.25">
      <c r="A694" s="62" t="s">
        <v>491</v>
      </c>
      <c r="B694" s="62">
        <v>21</v>
      </c>
      <c r="C694" s="62" t="s">
        <v>1278</v>
      </c>
      <c r="D694" s="82" t="s">
        <v>1243</v>
      </c>
      <c r="E694" s="82" t="s">
        <v>1244</v>
      </c>
      <c r="F694" s="70">
        <f>VLOOKUP(VLOOKUP(A694,'Личные данные'!A:V,6,0),'Личные данные'!$X$17:$AA$21,2,0)</f>
        <v>440</v>
      </c>
    </row>
    <row r="695" spans="1:6" ht="15.75" customHeight="1" x14ac:dyDescent="0.25">
      <c r="A695" s="62" t="s">
        <v>492</v>
      </c>
      <c r="B695" s="62">
        <v>21</v>
      </c>
      <c r="C695" s="62" t="s">
        <v>1278</v>
      </c>
      <c r="D695" s="82" t="s">
        <v>1257</v>
      </c>
      <c r="E695" s="82" t="s">
        <v>1248</v>
      </c>
      <c r="F695" s="70">
        <f>VLOOKUP(VLOOKUP(A695,'Личные данные'!A:V,6,0),'Личные данные'!$X$17:$AA$21,2,0)</f>
        <v>440</v>
      </c>
    </row>
    <row r="696" spans="1:6" ht="15.75" customHeight="1" x14ac:dyDescent="0.25">
      <c r="A696" s="62" t="s">
        <v>493</v>
      </c>
      <c r="B696" s="62">
        <v>21</v>
      </c>
      <c r="C696" s="62" t="s">
        <v>1278</v>
      </c>
      <c r="D696" s="82" t="s">
        <v>1243</v>
      </c>
      <c r="E696" s="82" t="s">
        <v>1248</v>
      </c>
      <c r="F696" s="70">
        <f>VLOOKUP(VLOOKUP(A696,'Личные данные'!A:V,6,0),'Личные данные'!$X$17:$AA$21,2,0)</f>
        <v>440</v>
      </c>
    </row>
    <row r="697" spans="1:6" ht="15.75" customHeight="1" x14ac:dyDescent="0.25">
      <c r="A697" s="62" t="s">
        <v>494</v>
      </c>
      <c r="B697" s="62">
        <v>21</v>
      </c>
      <c r="C697" s="62" t="s">
        <v>1278</v>
      </c>
      <c r="D697" s="82" t="s">
        <v>1243</v>
      </c>
      <c r="E697" s="82" t="s">
        <v>1253</v>
      </c>
      <c r="F697" s="70">
        <f>VLOOKUP(VLOOKUP(A697,'Личные данные'!A:V,6,0),'Личные данные'!$X$17:$AA$21,2,0)</f>
        <v>330</v>
      </c>
    </row>
    <row r="698" spans="1:6" ht="15.75" customHeight="1" x14ac:dyDescent="0.25">
      <c r="A698" s="62" t="s">
        <v>495</v>
      </c>
      <c r="B698" s="62">
        <v>21</v>
      </c>
      <c r="C698" s="62" t="s">
        <v>1278</v>
      </c>
      <c r="D698" s="82" t="s">
        <v>1243</v>
      </c>
      <c r="E698" s="82" t="s">
        <v>1255</v>
      </c>
      <c r="F698" s="70">
        <f>VLOOKUP(VLOOKUP(A698,'Личные данные'!A:V,6,0),'Личные данные'!$X$17:$AA$21,2,0)</f>
        <v>440</v>
      </c>
    </row>
    <row r="699" spans="1:6" ht="15.75" customHeight="1" x14ac:dyDescent="0.25">
      <c r="A699" s="62" t="s">
        <v>496</v>
      </c>
      <c r="B699" s="62">
        <v>21</v>
      </c>
      <c r="C699" s="62" t="s">
        <v>1278</v>
      </c>
      <c r="D699" s="82" t="s">
        <v>1258</v>
      </c>
      <c r="E699" s="82" t="s">
        <v>1248</v>
      </c>
      <c r="F699" s="70">
        <f>VLOOKUP(VLOOKUP(A699,'Личные данные'!A:V,6,0),'Личные данные'!$X$17:$AA$21,2,0)</f>
        <v>440</v>
      </c>
    </row>
    <row r="700" spans="1:6" ht="15.75" customHeight="1" x14ac:dyDescent="0.25">
      <c r="A700" s="62" t="s">
        <v>497</v>
      </c>
      <c r="B700" s="62">
        <v>21</v>
      </c>
      <c r="C700" s="62" t="s">
        <v>1278</v>
      </c>
      <c r="D700" s="82" t="s">
        <v>1243</v>
      </c>
      <c r="E700" s="82" t="s">
        <v>1253</v>
      </c>
      <c r="F700" s="70">
        <f>VLOOKUP(VLOOKUP(A700,'Личные данные'!A:V,6,0),'Личные данные'!$X$17:$AA$21,2,0)</f>
        <v>330</v>
      </c>
    </row>
    <row r="701" spans="1:6" ht="15.75" customHeight="1" x14ac:dyDescent="0.25">
      <c r="A701" s="62" t="s">
        <v>498</v>
      </c>
      <c r="B701" s="62">
        <v>21</v>
      </c>
      <c r="C701" s="62" t="s">
        <v>1278</v>
      </c>
      <c r="D701" s="82" t="s">
        <v>1243</v>
      </c>
      <c r="E701" s="82" t="s">
        <v>1248</v>
      </c>
      <c r="F701" s="70">
        <f>VLOOKUP(VLOOKUP(A701,'Личные данные'!A:V,6,0),'Личные данные'!$X$17:$AA$21,2,0)</f>
        <v>330</v>
      </c>
    </row>
    <row r="702" spans="1:6" ht="15.75" customHeight="1" x14ac:dyDescent="0.25">
      <c r="A702" s="62" t="s">
        <v>499</v>
      </c>
      <c r="B702" s="62">
        <v>21</v>
      </c>
      <c r="C702" s="62" t="s">
        <v>1278</v>
      </c>
      <c r="D702" s="82" t="s">
        <v>1243</v>
      </c>
      <c r="E702" s="82" t="s">
        <v>1255</v>
      </c>
      <c r="F702" s="70">
        <f>VLOOKUP(VLOOKUP(A702,'Личные данные'!A:V,6,0),'Личные данные'!$X$17:$AA$21,2,0)</f>
        <v>550</v>
      </c>
    </row>
    <row r="703" spans="1:6" ht="15.75" customHeight="1" x14ac:dyDescent="0.25">
      <c r="A703" s="62" t="s">
        <v>500</v>
      </c>
      <c r="B703" s="62">
        <v>21</v>
      </c>
      <c r="C703" s="62" t="s">
        <v>1278</v>
      </c>
      <c r="D703" s="82" t="s">
        <v>1243</v>
      </c>
      <c r="E703" s="82" t="s">
        <v>1253</v>
      </c>
      <c r="F703" s="70">
        <f>VLOOKUP(VLOOKUP(A703,'Личные данные'!A:V,6,0),'Личные данные'!$X$17:$AA$21,2,0)</f>
        <v>330</v>
      </c>
    </row>
    <row r="704" spans="1:6" ht="15.75" customHeight="1" x14ac:dyDescent="0.25">
      <c r="A704" s="62" t="s">
        <v>501</v>
      </c>
      <c r="B704" s="62">
        <v>21</v>
      </c>
      <c r="C704" s="62" t="s">
        <v>1278</v>
      </c>
      <c r="D704" s="82" t="s">
        <v>1256</v>
      </c>
      <c r="E704" s="82" t="s">
        <v>1248</v>
      </c>
      <c r="F704" s="70">
        <f>VLOOKUP(VLOOKUP(A704,'Личные данные'!A:V,6,0),'Личные данные'!$X$17:$AA$21,2,0)</f>
        <v>550</v>
      </c>
    </row>
    <row r="705" spans="1:6" ht="15.75" customHeight="1" x14ac:dyDescent="0.25">
      <c r="A705" s="62" t="s">
        <v>502</v>
      </c>
      <c r="B705" s="62">
        <v>21</v>
      </c>
      <c r="C705" s="62" t="s">
        <v>1278</v>
      </c>
      <c r="D705" s="82" t="s">
        <v>1257</v>
      </c>
      <c r="E705" s="82" t="s">
        <v>1248</v>
      </c>
      <c r="F705" s="70">
        <f>VLOOKUP(VLOOKUP(A705,'Личные данные'!A:V,6,0),'Личные данные'!$X$17:$AA$21,2,0)</f>
        <v>440</v>
      </c>
    </row>
    <row r="706" spans="1:6" ht="15.75" customHeight="1" x14ac:dyDescent="0.25">
      <c r="A706" s="62" t="s">
        <v>503</v>
      </c>
      <c r="B706" s="62">
        <v>21</v>
      </c>
      <c r="C706" s="62" t="s">
        <v>1278</v>
      </c>
      <c r="D706" s="82" t="s">
        <v>1257</v>
      </c>
      <c r="E706" s="82" t="s">
        <v>1248</v>
      </c>
      <c r="F706" s="70">
        <f>VLOOKUP(VLOOKUP(A706,'Личные данные'!A:V,6,0),'Личные данные'!$X$17:$AA$21,2,0)</f>
        <v>440</v>
      </c>
    </row>
    <row r="707" spans="1:6" ht="15.75" customHeight="1" x14ac:dyDescent="0.25">
      <c r="A707" s="62" t="s">
        <v>504</v>
      </c>
      <c r="B707" s="62">
        <v>21</v>
      </c>
      <c r="C707" s="62" t="s">
        <v>1278</v>
      </c>
      <c r="D707" s="82" t="s">
        <v>1243</v>
      </c>
      <c r="E707" s="82" t="s">
        <v>1248</v>
      </c>
      <c r="F707" s="70">
        <f>VLOOKUP(VLOOKUP(A707,'Личные данные'!A:V,6,0),'Личные данные'!$X$17:$AA$21,2,0)</f>
        <v>330</v>
      </c>
    </row>
    <row r="708" spans="1:6" ht="15.75" customHeight="1" x14ac:dyDescent="0.25">
      <c r="A708" s="62" t="s">
        <v>505</v>
      </c>
      <c r="B708" s="62">
        <v>21</v>
      </c>
      <c r="C708" s="62" t="s">
        <v>1278</v>
      </c>
      <c r="D708" s="82" t="s">
        <v>1257</v>
      </c>
      <c r="E708" s="82" t="s">
        <v>1248</v>
      </c>
      <c r="F708" s="70">
        <f>VLOOKUP(VLOOKUP(A708,'Личные данные'!A:V,6,0),'Личные данные'!$X$17:$AA$21,2,0)</f>
        <v>550</v>
      </c>
    </row>
    <row r="709" spans="1:6" ht="15.75" customHeight="1" x14ac:dyDescent="0.25">
      <c r="A709" s="62" t="s">
        <v>506</v>
      </c>
      <c r="B709" s="62">
        <v>21</v>
      </c>
      <c r="C709" s="62" t="s">
        <v>1278</v>
      </c>
      <c r="D709" s="82" t="s">
        <v>1258</v>
      </c>
      <c r="E709" s="82" t="s">
        <v>1255</v>
      </c>
      <c r="F709" s="70">
        <f>VLOOKUP(VLOOKUP(A709,'Личные данные'!A:V,6,0),'Личные данные'!$X$17:$AA$21,2,0)</f>
        <v>440</v>
      </c>
    </row>
    <row r="710" spans="1:6" ht="15.75" customHeight="1" x14ac:dyDescent="0.25">
      <c r="A710" s="62" t="s">
        <v>507</v>
      </c>
      <c r="B710" s="62">
        <v>21</v>
      </c>
      <c r="C710" s="62" t="s">
        <v>1278</v>
      </c>
      <c r="D710" s="82" t="s">
        <v>1258</v>
      </c>
      <c r="E710" s="82" t="s">
        <v>1248</v>
      </c>
      <c r="F710" s="70">
        <f>VLOOKUP(VLOOKUP(A710,'Личные данные'!A:V,6,0),'Личные данные'!$X$17:$AA$21,2,0)</f>
        <v>550</v>
      </c>
    </row>
    <row r="711" spans="1:6" ht="15.75" customHeight="1" x14ac:dyDescent="0.25">
      <c r="A711" s="62" t="s">
        <v>508</v>
      </c>
      <c r="B711" s="62">
        <v>21</v>
      </c>
      <c r="C711" s="62" t="s">
        <v>1278</v>
      </c>
      <c r="D711" s="82" t="s">
        <v>1256</v>
      </c>
      <c r="E711" s="82" t="s">
        <v>1248</v>
      </c>
      <c r="F711" s="70">
        <f>VLOOKUP(VLOOKUP(A711,'Личные данные'!A:V,6,0),'Личные данные'!$X$17:$AA$21,2,0)</f>
        <v>550</v>
      </c>
    </row>
    <row r="712" spans="1:6" ht="15.75" customHeight="1" x14ac:dyDescent="0.25">
      <c r="A712" s="62" t="s">
        <v>509</v>
      </c>
      <c r="B712" s="62">
        <v>21</v>
      </c>
      <c r="C712" s="62" t="s">
        <v>1278</v>
      </c>
      <c r="D712" s="82" t="s">
        <v>1256</v>
      </c>
      <c r="E712" s="82" t="s">
        <v>1255</v>
      </c>
      <c r="F712" s="70">
        <f>VLOOKUP(VLOOKUP(A712,'Личные данные'!A:V,6,0),'Личные данные'!$X$17:$AA$21,2,0)</f>
        <v>550</v>
      </c>
    </row>
    <row r="713" spans="1:6" ht="15.75" customHeight="1" x14ac:dyDescent="0.25">
      <c r="A713" s="62" t="s">
        <v>510</v>
      </c>
      <c r="B713" s="62">
        <v>21</v>
      </c>
      <c r="C713" s="62" t="s">
        <v>1278</v>
      </c>
      <c r="D713" s="82" t="s">
        <v>1243</v>
      </c>
      <c r="E713" s="82" t="s">
        <v>1253</v>
      </c>
      <c r="F713" s="70">
        <f>VLOOKUP(VLOOKUP(A713,'Личные данные'!A:V,6,0),'Личные данные'!$X$17:$AA$21,2,0)</f>
        <v>330</v>
      </c>
    </row>
    <row r="714" spans="1:6" ht="15.75" customHeight="1" x14ac:dyDescent="0.25">
      <c r="A714" s="62" t="s">
        <v>511</v>
      </c>
      <c r="B714" s="62">
        <v>21</v>
      </c>
      <c r="C714" s="62" t="s">
        <v>1278</v>
      </c>
      <c r="D714" s="82" t="s">
        <v>1243</v>
      </c>
      <c r="E714" s="82" t="s">
        <v>1255</v>
      </c>
      <c r="F714" s="70">
        <f>VLOOKUP(VLOOKUP(A714,'Личные данные'!A:V,6,0),'Личные данные'!$X$17:$AA$21,2,0)</f>
        <v>330</v>
      </c>
    </row>
    <row r="715" spans="1:6" ht="15.75" customHeight="1" x14ac:dyDescent="0.25">
      <c r="A715" s="62" t="s">
        <v>512</v>
      </c>
      <c r="B715" s="62">
        <v>21</v>
      </c>
      <c r="C715" s="62" t="s">
        <v>1278</v>
      </c>
      <c r="D715" s="82" t="s">
        <v>1243</v>
      </c>
      <c r="E715" s="82" t="s">
        <v>1253</v>
      </c>
      <c r="F715" s="70">
        <f>VLOOKUP(VLOOKUP(A715,'Личные данные'!A:V,6,0),'Личные данные'!$X$17:$AA$21,2,0)</f>
        <v>330</v>
      </c>
    </row>
    <row r="716" spans="1:6" ht="15.75" customHeight="1" x14ac:dyDescent="0.25">
      <c r="A716" s="62" t="s">
        <v>513</v>
      </c>
      <c r="B716" s="62">
        <v>21</v>
      </c>
      <c r="C716" s="62" t="s">
        <v>1278</v>
      </c>
      <c r="D716" s="82" t="s">
        <v>1243</v>
      </c>
      <c r="E716" s="82" t="s">
        <v>1253</v>
      </c>
      <c r="F716" s="70">
        <f>VLOOKUP(VLOOKUP(A716,'Личные данные'!A:V,6,0),'Личные данные'!$X$17:$AA$21,2,0)</f>
        <v>330</v>
      </c>
    </row>
    <row r="717" spans="1:6" ht="15.75" customHeight="1" x14ac:dyDescent="0.25">
      <c r="A717" s="62" t="s">
        <v>514</v>
      </c>
      <c r="B717" s="62">
        <v>21</v>
      </c>
      <c r="C717" s="62" t="s">
        <v>1278</v>
      </c>
      <c r="D717" s="82" t="s">
        <v>1243</v>
      </c>
      <c r="E717" s="82" t="s">
        <v>1244</v>
      </c>
      <c r="F717" s="70">
        <f>VLOOKUP(VLOOKUP(A717,'Личные данные'!A:V,6,0),'Личные данные'!$X$17:$AA$21,2,0)</f>
        <v>220</v>
      </c>
    </row>
    <row r="718" spans="1:6" ht="15.75" customHeight="1" x14ac:dyDescent="0.25">
      <c r="A718" s="62" t="s">
        <v>515</v>
      </c>
      <c r="B718" s="62">
        <v>21</v>
      </c>
      <c r="C718" s="62" t="s">
        <v>1278</v>
      </c>
      <c r="D718" s="82" t="s">
        <v>1243</v>
      </c>
      <c r="E718" s="82" t="s">
        <v>1244</v>
      </c>
      <c r="F718" s="70">
        <f>VLOOKUP(VLOOKUP(A718,'Личные данные'!A:V,6,0),'Личные данные'!$X$17:$AA$21,2,0)</f>
        <v>440</v>
      </c>
    </row>
    <row r="719" spans="1:6" ht="15.75" customHeight="1" x14ac:dyDescent="0.25">
      <c r="A719" s="62" t="s">
        <v>516</v>
      </c>
      <c r="B719" s="62">
        <v>21</v>
      </c>
      <c r="C719" s="62" t="s">
        <v>1278</v>
      </c>
      <c r="D719" s="82" t="s">
        <v>1256</v>
      </c>
      <c r="E719" s="82" t="s">
        <v>1255</v>
      </c>
      <c r="F719" s="70">
        <f>VLOOKUP(VLOOKUP(A719,'Личные данные'!A:V,6,0),'Личные данные'!$X$17:$AA$21,2,0)</f>
        <v>770</v>
      </c>
    </row>
    <row r="720" spans="1:6" ht="15.75" customHeight="1" x14ac:dyDescent="0.25">
      <c r="A720" s="62" t="s">
        <v>517</v>
      </c>
      <c r="B720" s="62">
        <v>21</v>
      </c>
      <c r="C720" s="62" t="s">
        <v>1278</v>
      </c>
      <c r="D720" s="82" t="s">
        <v>1243</v>
      </c>
      <c r="E720" s="82" t="s">
        <v>1253</v>
      </c>
      <c r="F720" s="70">
        <f>VLOOKUP(VLOOKUP(A720,'Личные данные'!A:V,6,0),'Личные данные'!$X$17:$AA$21,2,0)</f>
        <v>330</v>
      </c>
    </row>
    <row r="721" spans="1:6" ht="15.75" customHeight="1" x14ac:dyDescent="0.25">
      <c r="A721" s="62" t="s">
        <v>518</v>
      </c>
      <c r="B721" s="62">
        <v>21</v>
      </c>
      <c r="C721" s="62" t="s">
        <v>1278</v>
      </c>
      <c r="D721" s="82" t="s">
        <v>1257</v>
      </c>
      <c r="E721" s="82" t="s">
        <v>1255</v>
      </c>
      <c r="F721" s="70">
        <f>VLOOKUP(VLOOKUP(A721,'Личные данные'!A:V,6,0),'Личные данные'!$X$17:$AA$21,2,0)</f>
        <v>440</v>
      </c>
    </row>
    <row r="722" spans="1:6" ht="15.75" customHeight="1" x14ac:dyDescent="0.25">
      <c r="A722" s="62" t="s">
        <v>519</v>
      </c>
      <c r="B722" s="62">
        <v>21</v>
      </c>
      <c r="C722" s="62" t="s">
        <v>1278</v>
      </c>
      <c r="D722" s="82" t="s">
        <v>1243</v>
      </c>
      <c r="E722" s="82" t="s">
        <v>1253</v>
      </c>
      <c r="F722" s="70">
        <f>VLOOKUP(VLOOKUP(A722,'Личные данные'!A:V,6,0),'Личные данные'!$X$17:$AA$21,2,0)</f>
        <v>330</v>
      </c>
    </row>
    <row r="723" spans="1:6" ht="15.75" customHeight="1" x14ac:dyDescent="0.25">
      <c r="A723" s="62" t="s">
        <v>520</v>
      </c>
      <c r="B723" s="62">
        <v>21</v>
      </c>
      <c r="C723" s="62" t="s">
        <v>1278</v>
      </c>
      <c r="D723" s="82" t="s">
        <v>1257</v>
      </c>
      <c r="E723" s="82" t="s">
        <v>1248</v>
      </c>
      <c r="F723" s="70">
        <f>VLOOKUP(VLOOKUP(A723,'Личные данные'!A:V,6,0),'Личные данные'!$X$17:$AA$21,2,0)</f>
        <v>440</v>
      </c>
    </row>
    <row r="724" spans="1:6" ht="15.75" customHeight="1" x14ac:dyDescent="0.25">
      <c r="A724" s="62" t="s">
        <v>521</v>
      </c>
      <c r="B724" s="62">
        <v>21</v>
      </c>
      <c r="C724" s="62" t="s">
        <v>1278</v>
      </c>
      <c r="D724" s="82" t="s">
        <v>1243</v>
      </c>
      <c r="E724" s="82" t="s">
        <v>1244</v>
      </c>
      <c r="F724" s="70">
        <f>VLOOKUP(VLOOKUP(A724,'Личные данные'!A:V,6,0),'Личные данные'!$X$17:$AA$21,2,0)</f>
        <v>440</v>
      </c>
    </row>
    <row r="725" spans="1:6" ht="15.75" customHeight="1" x14ac:dyDescent="0.25">
      <c r="A725" s="62" t="s">
        <v>522</v>
      </c>
      <c r="B725" s="62">
        <v>21</v>
      </c>
      <c r="C725" s="62" t="s">
        <v>1278</v>
      </c>
      <c r="D725" s="82" t="s">
        <v>1243</v>
      </c>
      <c r="E725" s="82" t="s">
        <v>1253</v>
      </c>
      <c r="F725" s="70">
        <f>VLOOKUP(VLOOKUP(A725,'Личные данные'!A:V,6,0),'Личные данные'!$X$17:$AA$21,2,0)</f>
        <v>330</v>
      </c>
    </row>
    <row r="726" spans="1:6" ht="15.75" customHeight="1" x14ac:dyDescent="0.25">
      <c r="A726" s="62" t="s">
        <v>523</v>
      </c>
      <c r="B726" s="62">
        <v>21</v>
      </c>
      <c r="C726" s="62" t="s">
        <v>1278</v>
      </c>
      <c r="D726" s="82" t="s">
        <v>1243</v>
      </c>
      <c r="E726" s="82" t="s">
        <v>1248</v>
      </c>
      <c r="F726" s="70">
        <f>VLOOKUP(VLOOKUP(A726,'Личные данные'!A:V,6,0),'Личные данные'!$X$17:$AA$21,2,0)</f>
        <v>330</v>
      </c>
    </row>
    <row r="727" spans="1:6" ht="15.75" customHeight="1" x14ac:dyDescent="0.25">
      <c r="A727" s="62" t="s">
        <v>524</v>
      </c>
      <c r="B727" s="62">
        <v>21</v>
      </c>
      <c r="C727" s="62" t="s">
        <v>1278</v>
      </c>
      <c r="D727" s="82" t="s">
        <v>1243</v>
      </c>
      <c r="E727" s="82" t="s">
        <v>1248</v>
      </c>
      <c r="F727" s="70">
        <f>VLOOKUP(VLOOKUP(A727,'Личные данные'!A:V,6,0),'Личные данные'!$X$17:$AA$21,2,0)</f>
        <v>330</v>
      </c>
    </row>
    <row r="728" spans="1:6" ht="15.75" customHeight="1" x14ac:dyDescent="0.25">
      <c r="A728" s="62" t="s">
        <v>525</v>
      </c>
      <c r="B728" s="62">
        <v>21</v>
      </c>
      <c r="C728" s="62" t="s">
        <v>1278</v>
      </c>
      <c r="D728" s="82" t="s">
        <v>1243</v>
      </c>
      <c r="E728" s="82" t="s">
        <v>1253</v>
      </c>
      <c r="F728" s="70">
        <f>VLOOKUP(VLOOKUP(A728,'Личные данные'!A:V,6,0),'Личные данные'!$X$17:$AA$21,2,0)</f>
        <v>330</v>
      </c>
    </row>
    <row r="729" spans="1:6" ht="15.75" customHeight="1" x14ac:dyDescent="0.25">
      <c r="A729" s="62" t="s">
        <v>526</v>
      </c>
      <c r="B729" s="62">
        <v>21</v>
      </c>
      <c r="C729" s="62" t="s">
        <v>1278</v>
      </c>
      <c r="D729" s="82" t="s">
        <v>1256</v>
      </c>
      <c r="E729" s="82" t="s">
        <v>1248</v>
      </c>
      <c r="F729" s="70">
        <f>VLOOKUP(VLOOKUP(A729,'Личные данные'!A:V,6,0),'Личные данные'!$X$17:$AA$21,2,0)</f>
        <v>550</v>
      </c>
    </row>
    <row r="730" spans="1:6" ht="15.75" customHeight="1" x14ac:dyDescent="0.25">
      <c r="A730" s="62" t="s">
        <v>527</v>
      </c>
      <c r="B730" s="62">
        <v>21</v>
      </c>
      <c r="C730" s="62" t="s">
        <v>1278</v>
      </c>
      <c r="D730" s="82" t="s">
        <v>1243</v>
      </c>
      <c r="E730" s="82" t="s">
        <v>1248</v>
      </c>
      <c r="F730" s="70">
        <f>VLOOKUP(VLOOKUP(A730,'Личные данные'!A:V,6,0),'Личные данные'!$X$17:$AA$21,2,0)</f>
        <v>330</v>
      </c>
    </row>
    <row r="731" spans="1:6" ht="15.75" customHeight="1" x14ac:dyDescent="0.25">
      <c r="A731" s="62" t="s">
        <v>528</v>
      </c>
      <c r="B731" s="62">
        <v>21</v>
      </c>
      <c r="C731" s="62" t="s">
        <v>1278</v>
      </c>
      <c r="D731" s="82" t="s">
        <v>1243</v>
      </c>
      <c r="E731" s="82" t="s">
        <v>1248</v>
      </c>
      <c r="F731" s="70">
        <f>VLOOKUP(VLOOKUP(A731,'Личные данные'!A:V,6,0),'Личные данные'!$X$17:$AA$21,2,0)</f>
        <v>330</v>
      </c>
    </row>
    <row r="732" spans="1:6" ht="15.75" customHeight="1" x14ac:dyDescent="0.25">
      <c r="A732" s="62" t="s">
        <v>529</v>
      </c>
      <c r="B732" s="62">
        <v>21</v>
      </c>
      <c r="C732" s="62" t="s">
        <v>1278</v>
      </c>
      <c r="D732" s="82" t="s">
        <v>1256</v>
      </c>
      <c r="E732" s="82" t="s">
        <v>1244</v>
      </c>
      <c r="F732" s="70">
        <f>VLOOKUP(VLOOKUP(A732,'Личные данные'!A:V,6,0),'Личные данные'!$X$17:$AA$21,2,0)</f>
        <v>440</v>
      </c>
    </row>
    <row r="733" spans="1:6" ht="15.75" customHeight="1" x14ac:dyDescent="0.25">
      <c r="A733" s="62" t="s">
        <v>530</v>
      </c>
      <c r="B733" s="62">
        <v>21</v>
      </c>
      <c r="C733" s="62" t="s">
        <v>1278</v>
      </c>
      <c r="D733" s="82" t="s">
        <v>1243</v>
      </c>
      <c r="E733" s="82" t="s">
        <v>1248</v>
      </c>
      <c r="F733" s="70">
        <f>VLOOKUP(VLOOKUP(A733,'Личные данные'!A:V,6,0),'Личные данные'!$X$17:$AA$21,2,0)</f>
        <v>440</v>
      </c>
    </row>
    <row r="734" spans="1:6" ht="15.75" customHeight="1" x14ac:dyDescent="0.25">
      <c r="A734" s="62" t="s">
        <v>531</v>
      </c>
      <c r="B734" s="62">
        <v>21</v>
      </c>
      <c r="C734" s="62" t="s">
        <v>1278</v>
      </c>
      <c r="D734" s="82" t="s">
        <v>1243</v>
      </c>
      <c r="E734" s="82" t="s">
        <v>1248</v>
      </c>
      <c r="F734" s="70">
        <f>VLOOKUP(VLOOKUP(A734,'Личные данные'!A:V,6,0),'Личные данные'!$X$17:$AA$21,2,0)</f>
        <v>440</v>
      </c>
    </row>
    <row r="735" spans="1:6" ht="15.75" customHeight="1" x14ac:dyDescent="0.25">
      <c r="A735" s="62" t="s">
        <v>532</v>
      </c>
      <c r="B735" s="62">
        <v>21</v>
      </c>
      <c r="C735" s="62" t="s">
        <v>1278</v>
      </c>
      <c r="D735" s="82" t="s">
        <v>1258</v>
      </c>
      <c r="E735" s="82" t="s">
        <v>1248</v>
      </c>
      <c r="F735" s="70">
        <f>VLOOKUP(VLOOKUP(A735,'Личные данные'!A:V,6,0),'Личные данные'!$X$17:$AA$21,2,0)</f>
        <v>550</v>
      </c>
    </row>
    <row r="736" spans="1:6" ht="15.75" customHeight="1" x14ac:dyDescent="0.25">
      <c r="A736" s="62" t="s">
        <v>533</v>
      </c>
      <c r="B736" s="62">
        <v>21</v>
      </c>
      <c r="C736" s="62" t="s">
        <v>1278</v>
      </c>
      <c r="D736" s="82" t="s">
        <v>1243</v>
      </c>
      <c r="E736" s="82" t="s">
        <v>1253</v>
      </c>
      <c r="F736" s="70">
        <f>VLOOKUP(VLOOKUP(A736,'Личные данные'!A:V,6,0),'Личные данные'!$X$17:$AA$21,2,0)</f>
        <v>330</v>
      </c>
    </row>
    <row r="737" spans="1:6" ht="15.75" customHeight="1" x14ac:dyDescent="0.25">
      <c r="A737" s="62" t="s">
        <v>534</v>
      </c>
      <c r="B737" s="62">
        <v>21</v>
      </c>
      <c r="C737" s="62" t="s">
        <v>1278</v>
      </c>
      <c r="D737" s="82" t="s">
        <v>1256</v>
      </c>
      <c r="E737" s="82" t="s">
        <v>1253</v>
      </c>
      <c r="F737" s="70">
        <f>VLOOKUP(VLOOKUP(A737,'Личные данные'!A:V,6,0),'Личные данные'!$X$17:$AA$21,2,0)</f>
        <v>550</v>
      </c>
    </row>
    <row r="738" spans="1:6" ht="15.75" customHeight="1" x14ac:dyDescent="0.25">
      <c r="A738" s="62" t="s">
        <v>535</v>
      </c>
      <c r="B738" s="62">
        <v>21</v>
      </c>
      <c r="C738" s="62" t="s">
        <v>1278</v>
      </c>
      <c r="D738" s="82" t="s">
        <v>1243</v>
      </c>
      <c r="E738" s="82" t="s">
        <v>1253</v>
      </c>
      <c r="F738" s="70">
        <f>VLOOKUP(VLOOKUP(A738,'Личные данные'!A:V,6,0),'Личные данные'!$X$17:$AA$21,2,0)</f>
        <v>330</v>
      </c>
    </row>
    <row r="739" spans="1:6" ht="15.75" customHeight="1" x14ac:dyDescent="0.25">
      <c r="A739" s="62" t="s">
        <v>536</v>
      </c>
      <c r="B739" s="62">
        <v>21</v>
      </c>
      <c r="C739" s="62" t="s">
        <v>1278</v>
      </c>
      <c r="D739" s="82" t="s">
        <v>1243</v>
      </c>
      <c r="E739" s="82" t="s">
        <v>1253</v>
      </c>
      <c r="F739" s="70">
        <f>VLOOKUP(VLOOKUP(A739,'Личные данные'!A:V,6,0),'Личные данные'!$X$17:$AA$21,2,0)</f>
        <v>330</v>
      </c>
    </row>
    <row r="740" spans="1:6" ht="15.75" customHeight="1" x14ac:dyDescent="0.25">
      <c r="A740" s="62" t="s">
        <v>537</v>
      </c>
      <c r="B740" s="62">
        <v>21</v>
      </c>
      <c r="C740" s="62" t="s">
        <v>1278</v>
      </c>
      <c r="D740" s="82" t="s">
        <v>1243</v>
      </c>
      <c r="E740" s="82" t="s">
        <v>1255</v>
      </c>
      <c r="F740" s="70">
        <f>VLOOKUP(VLOOKUP(A740,'Личные данные'!A:V,6,0),'Личные данные'!$X$17:$AA$21,2,0)</f>
        <v>330</v>
      </c>
    </row>
    <row r="741" spans="1:6" ht="15.75" customHeight="1" x14ac:dyDescent="0.25">
      <c r="A741" s="62" t="s">
        <v>538</v>
      </c>
      <c r="B741" s="62">
        <v>21</v>
      </c>
      <c r="C741" s="62" t="s">
        <v>1278</v>
      </c>
      <c r="D741" s="82" t="s">
        <v>1243</v>
      </c>
      <c r="E741" s="82" t="s">
        <v>1253</v>
      </c>
      <c r="F741" s="70">
        <f>VLOOKUP(VLOOKUP(A741,'Личные данные'!A:V,6,0),'Личные данные'!$X$17:$AA$21,2,0)</f>
        <v>330</v>
      </c>
    </row>
    <row r="742" spans="1:6" ht="15.75" customHeight="1" x14ac:dyDescent="0.25">
      <c r="A742" s="62" t="s">
        <v>539</v>
      </c>
      <c r="B742" s="62">
        <v>21</v>
      </c>
      <c r="C742" s="62" t="s">
        <v>1278</v>
      </c>
      <c r="D742" s="82" t="s">
        <v>1258</v>
      </c>
      <c r="E742" s="82" t="s">
        <v>1248</v>
      </c>
      <c r="F742" s="70">
        <f>VLOOKUP(VLOOKUP(A742,'Личные данные'!A:V,6,0),'Личные данные'!$X$17:$AA$21,2,0)</f>
        <v>550</v>
      </c>
    </row>
    <row r="743" spans="1:6" ht="15.75" customHeight="1" x14ac:dyDescent="0.25">
      <c r="A743" s="62" t="s">
        <v>540</v>
      </c>
      <c r="B743" s="62">
        <v>21</v>
      </c>
      <c r="C743" s="62" t="s">
        <v>1278</v>
      </c>
      <c r="D743" s="82" t="s">
        <v>1243</v>
      </c>
      <c r="E743" s="82" t="s">
        <v>1248</v>
      </c>
      <c r="F743" s="70">
        <f>VLOOKUP(VLOOKUP(A743,'Личные данные'!A:V,6,0),'Личные данные'!$X$17:$AA$21,2,0)</f>
        <v>550</v>
      </c>
    </row>
    <row r="744" spans="1:6" ht="15.75" customHeight="1" x14ac:dyDescent="0.25">
      <c r="A744" s="62" t="s">
        <v>541</v>
      </c>
      <c r="B744" s="62">
        <v>21</v>
      </c>
      <c r="C744" s="62" t="s">
        <v>1278</v>
      </c>
      <c r="D744" s="82" t="s">
        <v>1243</v>
      </c>
      <c r="E744" s="82" t="s">
        <v>1255</v>
      </c>
      <c r="F744" s="70">
        <f>VLOOKUP(VLOOKUP(A744,'Личные данные'!A:V,6,0),'Личные данные'!$X$17:$AA$21,2,0)</f>
        <v>330</v>
      </c>
    </row>
    <row r="745" spans="1:6" ht="15.75" customHeight="1" x14ac:dyDescent="0.25">
      <c r="A745" s="62" t="s">
        <v>542</v>
      </c>
      <c r="B745" s="62">
        <v>21</v>
      </c>
      <c r="C745" s="62" t="s">
        <v>1278</v>
      </c>
      <c r="D745" s="82" t="s">
        <v>1243</v>
      </c>
      <c r="E745" s="82" t="s">
        <v>1244</v>
      </c>
      <c r="F745" s="70">
        <f>VLOOKUP(VLOOKUP(A745,'Личные данные'!A:V,6,0),'Личные данные'!$X$17:$AA$21,2,0)</f>
        <v>440</v>
      </c>
    </row>
    <row r="746" spans="1:6" ht="15.75" customHeight="1" x14ac:dyDescent="0.25">
      <c r="A746" s="62" t="s">
        <v>543</v>
      </c>
      <c r="B746" s="62">
        <v>21</v>
      </c>
      <c r="C746" s="62" t="s">
        <v>1278</v>
      </c>
      <c r="D746" s="82" t="s">
        <v>1258</v>
      </c>
      <c r="E746" s="82" t="s">
        <v>1255</v>
      </c>
      <c r="F746" s="70">
        <f>VLOOKUP(VLOOKUP(A746,'Личные данные'!A:V,6,0),'Личные данные'!$X$17:$AA$21,2,0)</f>
        <v>440</v>
      </c>
    </row>
    <row r="747" spans="1:6" ht="15.75" customHeight="1" x14ac:dyDescent="0.25">
      <c r="A747" s="62" t="s">
        <v>544</v>
      </c>
      <c r="B747" s="62">
        <v>21</v>
      </c>
      <c r="C747" s="62" t="s">
        <v>1278</v>
      </c>
      <c r="D747" s="82" t="s">
        <v>1258</v>
      </c>
      <c r="E747" s="82" t="s">
        <v>1253</v>
      </c>
      <c r="F747" s="70">
        <f>VLOOKUP(VLOOKUP(A747,'Личные данные'!A:V,6,0),'Личные данные'!$X$17:$AA$21,2,0)</f>
        <v>550</v>
      </c>
    </row>
    <row r="748" spans="1:6" ht="15.75" customHeight="1" x14ac:dyDescent="0.25">
      <c r="A748" s="62" t="s">
        <v>545</v>
      </c>
      <c r="B748" s="62">
        <v>21</v>
      </c>
      <c r="C748" s="62" t="s">
        <v>1278</v>
      </c>
      <c r="D748" s="82" t="s">
        <v>1258</v>
      </c>
      <c r="E748" s="82" t="s">
        <v>1248</v>
      </c>
      <c r="F748" s="70">
        <f>VLOOKUP(VLOOKUP(A748,'Личные данные'!A:V,6,0),'Личные данные'!$X$17:$AA$21,2,0)</f>
        <v>440</v>
      </c>
    </row>
    <row r="749" spans="1:6" ht="15.75" customHeight="1" x14ac:dyDescent="0.25">
      <c r="A749" s="62" t="s">
        <v>546</v>
      </c>
      <c r="B749" s="62">
        <v>21</v>
      </c>
      <c r="C749" s="62" t="s">
        <v>1278</v>
      </c>
      <c r="D749" s="82" t="s">
        <v>1243</v>
      </c>
      <c r="E749" s="82" t="s">
        <v>1253</v>
      </c>
      <c r="F749" s="70">
        <f>VLOOKUP(VLOOKUP(A749,'Личные данные'!A:V,6,0),'Личные данные'!$X$17:$AA$21,2,0)</f>
        <v>330</v>
      </c>
    </row>
    <row r="750" spans="1:6" ht="15.75" customHeight="1" x14ac:dyDescent="0.25">
      <c r="A750" s="62" t="s">
        <v>547</v>
      </c>
      <c r="B750" s="62">
        <v>21</v>
      </c>
      <c r="C750" s="62" t="s">
        <v>1278</v>
      </c>
      <c r="D750" s="82" t="s">
        <v>1243</v>
      </c>
      <c r="E750" s="82" t="s">
        <v>1248</v>
      </c>
      <c r="F750" s="70">
        <f>VLOOKUP(VLOOKUP(A750,'Личные данные'!A:V,6,0),'Личные данные'!$X$17:$AA$21,2,0)</f>
        <v>440</v>
      </c>
    </row>
    <row r="751" spans="1:6" ht="15.75" customHeight="1" x14ac:dyDescent="0.25">
      <c r="A751" s="62" t="s">
        <v>548</v>
      </c>
      <c r="B751" s="62">
        <v>21</v>
      </c>
      <c r="C751" s="62" t="s">
        <v>1278</v>
      </c>
      <c r="D751" s="82" t="s">
        <v>1243</v>
      </c>
      <c r="E751" s="82" t="s">
        <v>1248</v>
      </c>
      <c r="F751" s="70">
        <f>VLOOKUP(VLOOKUP(A751,'Личные данные'!A:V,6,0),'Личные данные'!$X$17:$AA$21,2,0)</f>
        <v>440</v>
      </c>
    </row>
    <row r="752" spans="1:6" ht="15.75" customHeight="1" x14ac:dyDescent="0.25">
      <c r="A752" s="62" t="s">
        <v>549</v>
      </c>
      <c r="B752" s="62">
        <v>21</v>
      </c>
      <c r="C752" s="62" t="s">
        <v>1278</v>
      </c>
      <c r="D752" s="82" t="s">
        <v>1243</v>
      </c>
      <c r="E752" s="82" t="s">
        <v>1248</v>
      </c>
      <c r="F752" s="70">
        <f>VLOOKUP(VLOOKUP(A752,'Личные данные'!A:V,6,0),'Личные данные'!$X$17:$AA$21,2,0)</f>
        <v>330</v>
      </c>
    </row>
    <row r="753" spans="1:6" ht="15.75" customHeight="1" x14ac:dyDescent="0.25">
      <c r="A753" s="62" t="s">
        <v>550</v>
      </c>
      <c r="B753" s="62">
        <v>21</v>
      </c>
      <c r="C753" s="62" t="s">
        <v>1278</v>
      </c>
      <c r="D753" s="82" t="s">
        <v>1243</v>
      </c>
      <c r="E753" s="82" t="s">
        <v>1253</v>
      </c>
      <c r="F753" s="70">
        <f>VLOOKUP(VLOOKUP(A753,'Личные данные'!A:V,6,0),'Личные данные'!$X$17:$AA$21,2,0)</f>
        <v>330</v>
      </c>
    </row>
    <row r="754" spans="1:6" ht="15.75" customHeight="1" x14ac:dyDescent="0.25">
      <c r="A754" s="62" t="s">
        <v>551</v>
      </c>
      <c r="B754" s="62">
        <v>21</v>
      </c>
      <c r="C754" s="62" t="s">
        <v>1278</v>
      </c>
      <c r="D754" s="82" t="s">
        <v>1243</v>
      </c>
      <c r="E754" s="82" t="s">
        <v>1253</v>
      </c>
      <c r="F754" s="70">
        <f>VLOOKUP(VLOOKUP(A754,'Личные данные'!A:V,6,0),'Личные данные'!$X$17:$AA$21,2,0)</f>
        <v>550</v>
      </c>
    </row>
    <row r="755" spans="1:6" ht="15.75" customHeight="1" x14ac:dyDescent="0.25">
      <c r="A755" s="62" t="s">
        <v>552</v>
      </c>
      <c r="B755" s="62">
        <v>21</v>
      </c>
      <c r="C755" s="62" t="s">
        <v>1278</v>
      </c>
      <c r="D755" s="82" t="s">
        <v>1243</v>
      </c>
      <c r="E755" s="82" t="s">
        <v>1253</v>
      </c>
      <c r="F755" s="70">
        <f>VLOOKUP(VLOOKUP(A755,'Личные данные'!A:V,6,0),'Личные данные'!$X$17:$AA$21,2,0)</f>
        <v>330</v>
      </c>
    </row>
    <row r="756" spans="1:6" ht="15.75" customHeight="1" x14ac:dyDescent="0.25">
      <c r="A756" s="62" t="s">
        <v>553</v>
      </c>
      <c r="B756" s="62">
        <v>21</v>
      </c>
      <c r="C756" s="62" t="s">
        <v>1278</v>
      </c>
      <c r="D756" s="82" t="s">
        <v>1243</v>
      </c>
      <c r="E756" s="82" t="s">
        <v>1253</v>
      </c>
      <c r="F756" s="70">
        <f>VLOOKUP(VLOOKUP(A756,'Личные данные'!A:V,6,0),'Личные данные'!$X$17:$AA$21,2,0)</f>
        <v>330</v>
      </c>
    </row>
    <row r="757" spans="1:6" ht="15.75" customHeight="1" x14ac:dyDescent="0.25">
      <c r="A757" s="62" t="s">
        <v>554</v>
      </c>
      <c r="B757" s="62">
        <v>21</v>
      </c>
      <c r="C757" s="62" t="s">
        <v>1278</v>
      </c>
      <c r="D757" s="82" t="s">
        <v>1243</v>
      </c>
      <c r="E757" s="82" t="s">
        <v>1253</v>
      </c>
      <c r="F757" s="70">
        <f>VLOOKUP(VLOOKUP(A757,'Личные данные'!A:V,6,0),'Личные данные'!$X$17:$AA$21,2,0)</f>
        <v>330</v>
      </c>
    </row>
    <row r="758" spans="1:6" ht="15.75" customHeight="1" x14ac:dyDescent="0.25">
      <c r="A758" s="62" t="s">
        <v>555</v>
      </c>
      <c r="B758" s="62">
        <v>21</v>
      </c>
      <c r="C758" s="62" t="s">
        <v>1278</v>
      </c>
      <c r="D758" s="82" t="s">
        <v>1258</v>
      </c>
      <c r="E758" s="82" t="s">
        <v>1244</v>
      </c>
      <c r="F758" s="70">
        <f>VLOOKUP(VLOOKUP(A758,'Личные данные'!A:V,6,0),'Личные данные'!$X$17:$AA$21,2,0)</f>
        <v>440</v>
      </c>
    </row>
    <row r="759" spans="1:6" ht="15.75" customHeight="1" x14ac:dyDescent="0.25">
      <c r="A759" s="62" t="s">
        <v>556</v>
      </c>
      <c r="B759" s="62">
        <v>21</v>
      </c>
      <c r="C759" s="62" t="s">
        <v>1278</v>
      </c>
      <c r="D759" s="82" t="s">
        <v>1257</v>
      </c>
      <c r="E759" s="82" t="s">
        <v>1253</v>
      </c>
      <c r="F759" s="70">
        <f>VLOOKUP(VLOOKUP(A759,'Личные данные'!A:V,6,0),'Личные данные'!$X$17:$AA$21,2,0)</f>
        <v>550</v>
      </c>
    </row>
    <row r="760" spans="1:6" ht="15.75" customHeight="1" x14ac:dyDescent="0.25">
      <c r="A760" s="62" t="s">
        <v>557</v>
      </c>
      <c r="B760" s="62">
        <v>21</v>
      </c>
      <c r="C760" s="62" t="s">
        <v>1278</v>
      </c>
      <c r="D760" s="82" t="s">
        <v>1243</v>
      </c>
      <c r="E760" s="82" t="s">
        <v>1244</v>
      </c>
      <c r="F760" s="70">
        <f>VLOOKUP(VLOOKUP(A760,'Личные данные'!A:V,6,0),'Личные данные'!$X$17:$AA$21,2,0)</f>
        <v>220</v>
      </c>
    </row>
    <row r="761" spans="1:6" ht="15.75" customHeight="1" x14ac:dyDescent="0.25">
      <c r="A761" s="62" t="s">
        <v>558</v>
      </c>
      <c r="B761" s="62">
        <v>21</v>
      </c>
      <c r="C761" s="62" t="s">
        <v>1278</v>
      </c>
      <c r="D761" s="82" t="s">
        <v>1243</v>
      </c>
      <c r="E761" s="82" t="s">
        <v>1253</v>
      </c>
      <c r="F761" s="70">
        <f>VLOOKUP(VLOOKUP(A761,'Личные данные'!A:V,6,0),'Личные данные'!$X$17:$AA$21,2,0)</f>
        <v>330</v>
      </c>
    </row>
    <row r="762" spans="1:6" ht="15.75" customHeight="1" x14ac:dyDescent="0.25">
      <c r="A762" s="62" t="s">
        <v>559</v>
      </c>
      <c r="B762" s="62">
        <v>21</v>
      </c>
      <c r="C762" s="62" t="s">
        <v>1278</v>
      </c>
      <c r="D762" s="82" t="s">
        <v>1243</v>
      </c>
      <c r="E762" s="82" t="s">
        <v>1244</v>
      </c>
      <c r="F762" s="70">
        <f>VLOOKUP(VLOOKUP(A762,'Личные данные'!A:V,6,0),'Личные данные'!$X$17:$AA$21,2,0)</f>
        <v>220</v>
      </c>
    </row>
    <row r="763" spans="1:6" ht="15.75" customHeight="1" x14ac:dyDescent="0.25">
      <c r="A763" s="62" t="s">
        <v>560</v>
      </c>
      <c r="B763" s="62">
        <v>21</v>
      </c>
      <c r="C763" s="62" t="s">
        <v>1278</v>
      </c>
      <c r="D763" s="82" t="s">
        <v>1243</v>
      </c>
      <c r="E763" s="82" t="s">
        <v>1253</v>
      </c>
      <c r="F763" s="70">
        <f>VLOOKUP(VLOOKUP(A763,'Личные данные'!A:V,6,0),'Личные данные'!$X$17:$AA$21,2,0)</f>
        <v>330</v>
      </c>
    </row>
    <row r="764" spans="1:6" ht="15.75" customHeight="1" x14ac:dyDescent="0.25">
      <c r="A764" s="62" t="s">
        <v>561</v>
      </c>
      <c r="B764" s="62">
        <v>21</v>
      </c>
      <c r="C764" s="62" t="s">
        <v>1278</v>
      </c>
      <c r="D764" s="82" t="s">
        <v>1257</v>
      </c>
      <c r="E764" s="82" t="s">
        <v>1248</v>
      </c>
      <c r="F764" s="70">
        <f>VLOOKUP(VLOOKUP(A764,'Личные данные'!A:V,6,0),'Личные данные'!$X$17:$AA$21,2,0)</f>
        <v>440</v>
      </c>
    </row>
    <row r="765" spans="1:6" ht="15.75" customHeight="1" x14ac:dyDescent="0.25">
      <c r="A765" s="62" t="s">
        <v>562</v>
      </c>
      <c r="B765" s="62">
        <v>21</v>
      </c>
      <c r="C765" s="62" t="s">
        <v>1278</v>
      </c>
      <c r="D765" s="82" t="s">
        <v>1243</v>
      </c>
      <c r="E765" s="82" t="s">
        <v>1253</v>
      </c>
      <c r="F765" s="70">
        <f>VLOOKUP(VLOOKUP(A765,'Личные данные'!A:V,6,0),'Личные данные'!$X$17:$AA$21,2,0)</f>
        <v>330</v>
      </c>
    </row>
    <row r="766" spans="1:6" ht="15.75" customHeight="1" x14ac:dyDescent="0.25">
      <c r="A766" s="62" t="s">
        <v>563</v>
      </c>
      <c r="B766" s="62">
        <v>21</v>
      </c>
      <c r="C766" s="62" t="s">
        <v>1278</v>
      </c>
      <c r="D766" s="82" t="s">
        <v>1243</v>
      </c>
      <c r="E766" s="82" t="s">
        <v>1253</v>
      </c>
      <c r="F766" s="70">
        <f>VLOOKUP(VLOOKUP(A766,'Личные данные'!A:V,6,0),'Личные данные'!$X$17:$AA$21,2,0)</f>
        <v>330</v>
      </c>
    </row>
    <row r="767" spans="1:6" ht="15.75" customHeight="1" x14ac:dyDescent="0.25">
      <c r="A767" s="62" t="s">
        <v>564</v>
      </c>
      <c r="B767" s="62">
        <v>21</v>
      </c>
      <c r="C767" s="62" t="s">
        <v>1278</v>
      </c>
      <c r="D767" s="82" t="s">
        <v>1243</v>
      </c>
      <c r="E767" s="82" t="s">
        <v>1255</v>
      </c>
      <c r="F767" s="70">
        <f>VLOOKUP(VLOOKUP(A767,'Личные данные'!A:V,6,0),'Личные данные'!$X$17:$AA$21,2,0)</f>
        <v>440</v>
      </c>
    </row>
    <row r="768" spans="1:6" ht="15.75" customHeight="1" x14ac:dyDescent="0.25">
      <c r="A768" s="62" t="s">
        <v>565</v>
      </c>
      <c r="B768" s="62">
        <v>21</v>
      </c>
      <c r="C768" s="62" t="s">
        <v>1278</v>
      </c>
      <c r="D768" s="82" t="s">
        <v>1243</v>
      </c>
      <c r="E768" s="82" t="s">
        <v>1244</v>
      </c>
      <c r="F768" s="70">
        <f>VLOOKUP(VLOOKUP(A768,'Личные данные'!A:V,6,0),'Личные данные'!$X$17:$AA$21,2,0)</f>
        <v>440</v>
      </c>
    </row>
    <row r="769" spans="1:6" ht="15.75" customHeight="1" x14ac:dyDescent="0.25">
      <c r="A769" s="62" t="s">
        <v>566</v>
      </c>
      <c r="B769" s="62">
        <v>21</v>
      </c>
      <c r="C769" s="62" t="s">
        <v>1278</v>
      </c>
      <c r="D769" s="82" t="s">
        <v>1258</v>
      </c>
      <c r="E769" s="82" t="s">
        <v>1253</v>
      </c>
      <c r="F769" s="70">
        <f>VLOOKUP(VLOOKUP(A769,'Личные данные'!A:V,6,0),'Личные данные'!$X$17:$AA$21,2,0)</f>
        <v>550</v>
      </c>
    </row>
    <row r="770" spans="1:6" ht="15.75" customHeight="1" x14ac:dyDescent="0.25">
      <c r="A770" s="62" t="s">
        <v>567</v>
      </c>
      <c r="B770" s="62">
        <v>21</v>
      </c>
      <c r="C770" s="62" t="s">
        <v>1278</v>
      </c>
      <c r="D770" s="82" t="s">
        <v>1243</v>
      </c>
      <c r="E770" s="82" t="s">
        <v>1253</v>
      </c>
      <c r="F770" s="70">
        <f>VLOOKUP(VLOOKUP(A770,'Личные данные'!A:V,6,0),'Личные данные'!$X$17:$AA$21,2,0)</f>
        <v>330</v>
      </c>
    </row>
    <row r="771" spans="1:6" ht="15.75" customHeight="1" x14ac:dyDescent="0.25">
      <c r="A771" s="62" t="s">
        <v>568</v>
      </c>
      <c r="B771" s="62">
        <v>21</v>
      </c>
      <c r="C771" s="62" t="s">
        <v>1278</v>
      </c>
      <c r="D771" s="82" t="s">
        <v>1243</v>
      </c>
      <c r="E771" s="82" t="s">
        <v>1253</v>
      </c>
      <c r="F771" s="70">
        <f>VLOOKUP(VLOOKUP(A771,'Личные данные'!A:V,6,0),'Личные данные'!$X$17:$AA$21,2,0)</f>
        <v>330</v>
      </c>
    </row>
    <row r="772" spans="1:6" ht="15.75" customHeight="1" x14ac:dyDescent="0.25">
      <c r="A772" s="62" t="s">
        <v>569</v>
      </c>
      <c r="B772" s="62">
        <v>21</v>
      </c>
      <c r="C772" s="62" t="s">
        <v>1278</v>
      </c>
      <c r="D772" s="82" t="s">
        <v>1243</v>
      </c>
      <c r="E772" s="82" t="s">
        <v>1248</v>
      </c>
      <c r="F772" s="70">
        <f>VLOOKUP(VLOOKUP(A772,'Личные данные'!A:V,6,0),'Личные данные'!$X$17:$AA$21,2,0)</f>
        <v>330</v>
      </c>
    </row>
    <row r="773" spans="1:6" ht="15.75" customHeight="1" x14ac:dyDescent="0.25">
      <c r="A773" s="62" t="s">
        <v>570</v>
      </c>
      <c r="B773" s="62">
        <v>21</v>
      </c>
      <c r="C773" s="62" t="s">
        <v>1278</v>
      </c>
      <c r="D773" s="82" t="s">
        <v>1243</v>
      </c>
      <c r="E773" s="82" t="s">
        <v>1253</v>
      </c>
      <c r="F773" s="70">
        <f>VLOOKUP(VLOOKUP(A773,'Личные данные'!A:V,6,0),'Личные данные'!$X$17:$AA$21,2,0)</f>
        <v>330</v>
      </c>
    </row>
    <row r="774" spans="1:6" ht="15.75" customHeight="1" x14ac:dyDescent="0.25">
      <c r="A774" s="62" t="s">
        <v>571</v>
      </c>
      <c r="B774" s="62">
        <v>21</v>
      </c>
      <c r="C774" s="62" t="s">
        <v>1278</v>
      </c>
      <c r="D774" s="82" t="s">
        <v>1243</v>
      </c>
      <c r="E774" s="82" t="s">
        <v>1253</v>
      </c>
      <c r="F774" s="70">
        <f>VLOOKUP(VLOOKUP(A774,'Личные данные'!A:V,6,0),'Личные данные'!$X$17:$AA$21,2,0)</f>
        <v>330</v>
      </c>
    </row>
    <row r="775" spans="1:6" ht="15.75" customHeight="1" x14ac:dyDescent="0.25">
      <c r="A775" s="62" t="s">
        <v>572</v>
      </c>
      <c r="B775" s="62">
        <v>21</v>
      </c>
      <c r="C775" s="62" t="s">
        <v>1278</v>
      </c>
      <c r="D775" s="82" t="s">
        <v>1243</v>
      </c>
      <c r="E775" s="82" t="s">
        <v>1244</v>
      </c>
      <c r="F775" s="70">
        <f>VLOOKUP(VLOOKUP(A775,'Личные данные'!A:V,6,0),'Личные данные'!$X$17:$AA$21,2,0)</f>
        <v>220</v>
      </c>
    </row>
    <row r="776" spans="1:6" ht="15.75" customHeight="1" x14ac:dyDescent="0.25">
      <c r="A776" s="62" t="s">
        <v>573</v>
      </c>
      <c r="B776" s="62">
        <v>21</v>
      </c>
      <c r="C776" s="62" t="s">
        <v>1278</v>
      </c>
      <c r="D776" s="82" t="s">
        <v>1258</v>
      </c>
      <c r="E776" s="82" t="s">
        <v>1253</v>
      </c>
      <c r="F776" s="70">
        <f>VLOOKUP(VLOOKUP(A776,'Личные данные'!A:V,6,0),'Личные данные'!$X$17:$AA$21,2,0)</f>
        <v>550</v>
      </c>
    </row>
    <row r="777" spans="1:6" ht="15.75" customHeight="1" x14ac:dyDescent="0.25">
      <c r="A777" s="62" t="s">
        <v>574</v>
      </c>
      <c r="B777" s="62">
        <v>21</v>
      </c>
      <c r="C777" s="62" t="s">
        <v>1278</v>
      </c>
      <c r="D777" s="82" t="s">
        <v>1243</v>
      </c>
      <c r="E777" s="82" t="s">
        <v>1244</v>
      </c>
      <c r="F777" s="70">
        <f>VLOOKUP(VLOOKUP(A777,'Личные данные'!A:V,6,0),'Личные данные'!$X$17:$AA$21,2,0)</f>
        <v>220</v>
      </c>
    </row>
    <row r="778" spans="1:6" ht="15.75" customHeight="1" x14ac:dyDescent="0.25">
      <c r="A778" s="62" t="s">
        <v>575</v>
      </c>
      <c r="B778" s="62">
        <v>21</v>
      </c>
      <c r="C778" s="62" t="s">
        <v>1278</v>
      </c>
      <c r="D778" s="82" t="s">
        <v>1258</v>
      </c>
      <c r="E778" s="82" t="s">
        <v>1248</v>
      </c>
      <c r="F778" s="70">
        <f>VLOOKUP(VLOOKUP(A778,'Личные данные'!A:V,6,0),'Личные данные'!$X$17:$AA$21,2,0)</f>
        <v>440</v>
      </c>
    </row>
    <row r="779" spans="1:6" ht="15.75" customHeight="1" x14ac:dyDescent="0.25">
      <c r="A779" s="62" t="s">
        <v>576</v>
      </c>
      <c r="B779" s="62">
        <v>21</v>
      </c>
      <c r="C779" s="62" t="s">
        <v>1278</v>
      </c>
      <c r="D779" s="82" t="s">
        <v>1243</v>
      </c>
      <c r="E779" s="82" t="s">
        <v>1253</v>
      </c>
      <c r="F779" s="70">
        <f>VLOOKUP(VLOOKUP(A779,'Личные данные'!A:V,6,0),'Личные данные'!$X$17:$AA$21,2,0)</f>
        <v>330</v>
      </c>
    </row>
    <row r="780" spans="1:6" ht="15.75" customHeight="1" x14ac:dyDescent="0.25">
      <c r="A780" s="62" t="s">
        <v>577</v>
      </c>
      <c r="B780" s="62">
        <v>21</v>
      </c>
      <c r="C780" s="62" t="s">
        <v>1278</v>
      </c>
      <c r="D780" s="82" t="s">
        <v>1243</v>
      </c>
      <c r="E780" s="82" t="s">
        <v>1244</v>
      </c>
      <c r="F780" s="70">
        <f>VLOOKUP(VLOOKUP(A780,'Личные данные'!A:V,6,0),'Личные данные'!$X$17:$AA$21,2,0)</f>
        <v>330</v>
      </c>
    </row>
    <row r="781" spans="1:6" ht="15.75" customHeight="1" x14ac:dyDescent="0.25">
      <c r="A781" s="62" t="s">
        <v>578</v>
      </c>
      <c r="B781" s="62">
        <v>21</v>
      </c>
      <c r="C781" s="62" t="s">
        <v>1278</v>
      </c>
      <c r="D781" s="82" t="s">
        <v>1258</v>
      </c>
      <c r="E781" s="82" t="s">
        <v>1255</v>
      </c>
      <c r="F781" s="70">
        <f>VLOOKUP(VLOOKUP(A781,'Личные данные'!A:V,6,0),'Личные данные'!$X$17:$AA$21,2,0)</f>
        <v>440</v>
      </c>
    </row>
    <row r="782" spans="1:6" ht="15.75" customHeight="1" x14ac:dyDescent="0.25">
      <c r="A782" s="62" t="s">
        <v>579</v>
      </c>
      <c r="B782" s="62">
        <v>21</v>
      </c>
      <c r="C782" s="62" t="s">
        <v>1278</v>
      </c>
      <c r="D782" s="82" t="s">
        <v>1256</v>
      </c>
      <c r="E782" s="82" t="s">
        <v>1248</v>
      </c>
      <c r="F782" s="70">
        <f>VLOOKUP(VLOOKUP(A782,'Личные данные'!A:V,6,0),'Личные данные'!$X$17:$AA$21,2,0)</f>
        <v>550</v>
      </c>
    </row>
    <row r="783" spans="1:6" ht="15.75" customHeight="1" x14ac:dyDescent="0.25">
      <c r="A783" s="62" t="s">
        <v>580</v>
      </c>
      <c r="B783" s="62">
        <v>21</v>
      </c>
      <c r="C783" s="62" t="s">
        <v>1278</v>
      </c>
      <c r="D783" s="82" t="s">
        <v>1256</v>
      </c>
      <c r="E783" s="82" t="s">
        <v>1253</v>
      </c>
      <c r="F783" s="70">
        <f>VLOOKUP(VLOOKUP(A783,'Личные данные'!A:V,6,0),'Личные данные'!$X$17:$AA$21,2,0)</f>
        <v>550</v>
      </c>
    </row>
    <row r="784" spans="1:6" ht="15.75" customHeight="1" x14ac:dyDescent="0.25">
      <c r="A784" s="62" t="s">
        <v>581</v>
      </c>
      <c r="B784" s="62">
        <v>21</v>
      </c>
      <c r="C784" s="62" t="s">
        <v>1278</v>
      </c>
      <c r="D784" s="82" t="s">
        <v>1258</v>
      </c>
      <c r="E784" s="82" t="s">
        <v>1248</v>
      </c>
      <c r="F784" s="70">
        <f>VLOOKUP(VLOOKUP(A784,'Личные данные'!A:V,6,0),'Личные данные'!$X$17:$AA$21,2,0)</f>
        <v>440</v>
      </c>
    </row>
    <row r="785" spans="1:6" ht="15.75" customHeight="1" x14ac:dyDescent="0.25">
      <c r="A785" s="62" t="s">
        <v>582</v>
      </c>
      <c r="B785" s="62">
        <v>21</v>
      </c>
      <c r="C785" s="62" t="s">
        <v>1278</v>
      </c>
      <c r="D785" s="82" t="s">
        <v>1243</v>
      </c>
      <c r="E785" s="82" t="s">
        <v>1255</v>
      </c>
      <c r="F785" s="70">
        <f>VLOOKUP(VLOOKUP(A785,'Личные данные'!A:V,6,0),'Личные данные'!$X$17:$AA$21,2,0)</f>
        <v>440</v>
      </c>
    </row>
    <row r="786" spans="1:6" ht="15.75" customHeight="1" x14ac:dyDescent="0.25">
      <c r="A786" s="62" t="s">
        <v>583</v>
      </c>
      <c r="B786" s="62">
        <v>21</v>
      </c>
      <c r="C786" s="62" t="s">
        <v>1278</v>
      </c>
      <c r="D786" s="82" t="s">
        <v>1257</v>
      </c>
      <c r="E786" s="82" t="s">
        <v>1253</v>
      </c>
      <c r="F786" s="70">
        <f>VLOOKUP(VLOOKUP(A786,'Личные данные'!A:V,6,0),'Личные данные'!$X$17:$AA$21,2,0)</f>
        <v>550</v>
      </c>
    </row>
    <row r="787" spans="1:6" ht="15.75" customHeight="1" x14ac:dyDescent="0.25">
      <c r="A787" s="62" t="s">
        <v>584</v>
      </c>
      <c r="B787" s="62">
        <v>21</v>
      </c>
      <c r="C787" s="62" t="s">
        <v>1278</v>
      </c>
      <c r="D787" s="82" t="s">
        <v>1258</v>
      </c>
      <c r="E787" s="82" t="s">
        <v>1248</v>
      </c>
      <c r="F787" s="70">
        <f>VLOOKUP(VLOOKUP(A787,'Личные данные'!A:V,6,0),'Личные данные'!$X$17:$AA$21,2,0)</f>
        <v>440</v>
      </c>
    </row>
    <row r="788" spans="1:6" ht="15.75" customHeight="1" x14ac:dyDescent="0.25">
      <c r="A788" s="62" t="s">
        <v>585</v>
      </c>
      <c r="B788" s="62">
        <v>21</v>
      </c>
      <c r="C788" s="62" t="s">
        <v>1278</v>
      </c>
      <c r="D788" s="82" t="s">
        <v>1257</v>
      </c>
      <c r="E788" s="82" t="s">
        <v>1253</v>
      </c>
      <c r="F788" s="70">
        <f>VLOOKUP(VLOOKUP(A788,'Личные данные'!A:V,6,0),'Личные данные'!$X$17:$AA$21,2,0)</f>
        <v>550</v>
      </c>
    </row>
    <row r="789" spans="1:6" ht="15.75" customHeight="1" x14ac:dyDescent="0.25">
      <c r="A789" s="62" t="s">
        <v>586</v>
      </c>
      <c r="B789" s="62">
        <v>21</v>
      </c>
      <c r="C789" s="62" t="s">
        <v>1278</v>
      </c>
      <c r="D789" s="82" t="s">
        <v>1258</v>
      </c>
      <c r="E789" s="82" t="s">
        <v>1248</v>
      </c>
      <c r="F789" s="70">
        <f>VLOOKUP(VLOOKUP(A789,'Личные данные'!A:V,6,0),'Личные данные'!$X$17:$AA$21,2,0)</f>
        <v>440</v>
      </c>
    </row>
    <row r="790" spans="1:6" ht="15.75" customHeight="1" x14ac:dyDescent="0.25">
      <c r="A790" s="62" t="s">
        <v>587</v>
      </c>
      <c r="B790" s="62">
        <v>21</v>
      </c>
      <c r="C790" s="62" t="s">
        <v>1278</v>
      </c>
      <c r="D790" s="82" t="s">
        <v>1243</v>
      </c>
      <c r="E790" s="82" t="s">
        <v>1253</v>
      </c>
      <c r="F790" s="70">
        <f>VLOOKUP(VLOOKUP(A790,'Личные данные'!A:V,6,0),'Личные данные'!$X$17:$AA$21,2,0)</f>
        <v>330</v>
      </c>
    </row>
    <row r="791" spans="1:6" ht="15.75" customHeight="1" x14ac:dyDescent="0.25">
      <c r="A791" s="62" t="s">
        <v>588</v>
      </c>
      <c r="B791" s="62">
        <v>21</v>
      </c>
      <c r="C791" s="62" t="s">
        <v>1278</v>
      </c>
      <c r="D791" s="82" t="s">
        <v>1243</v>
      </c>
      <c r="E791" s="82" t="s">
        <v>1253</v>
      </c>
      <c r="F791" s="70">
        <f>VLOOKUP(VLOOKUP(A791,'Личные данные'!A:V,6,0),'Личные данные'!$X$17:$AA$21,2,0)</f>
        <v>330</v>
      </c>
    </row>
    <row r="792" spans="1:6" ht="15.75" customHeight="1" x14ac:dyDescent="0.25">
      <c r="A792" s="62" t="s">
        <v>589</v>
      </c>
      <c r="B792" s="62">
        <v>21</v>
      </c>
      <c r="C792" s="62" t="s">
        <v>1278</v>
      </c>
      <c r="D792" s="82" t="s">
        <v>1243</v>
      </c>
      <c r="E792" s="82" t="s">
        <v>1244</v>
      </c>
      <c r="F792" s="70">
        <f>VLOOKUP(VLOOKUP(A792,'Личные данные'!A:V,6,0),'Личные данные'!$X$17:$AA$21,2,0)</f>
        <v>440</v>
      </c>
    </row>
    <row r="793" spans="1:6" ht="15.75" customHeight="1" x14ac:dyDescent="0.25">
      <c r="A793" s="62" t="s">
        <v>590</v>
      </c>
      <c r="B793" s="62">
        <v>21</v>
      </c>
      <c r="C793" s="62" t="s">
        <v>1278</v>
      </c>
      <c r="D793" s="82" t="s">
        <v>1243</v>
      </c>
      <c r="E793" s="82" t="s">
        <v>1253</v>
      </c>
      <c r="F793" s="70">
        <f>VLOOKUP(VLOOKUP(A793,'Личные данные'!A:V,6,0),'Личные данные'!$X$17:$AA$21,2,0)</f>
        <v>330</v>
      </c>
    </row>
    <row r="794" spans="1:6" ht="15.75" customHeight="1" x14ac:dyDescent="0.25">
      <c r="A794" s="62" t="s">
        <v>591</v>
      </c>
      <c r="B794" s="62">
        <v>21</v>
      </c>
      <c r="C794" s="62" t="s">
        <v>1278</v>
      </c>
      <c r="D794" s="82" t="s">
        <v>1243</v>
      </c>
      <c r="E794" s="82" t="s">
        <v>1248</v>
      </c>
      <c r="F794" s="70">
        <f>VLOOKUP(VLOOKUP(A794,'Личные данные'!A:V,6,0),'Личные данные'!$X$17:$AA$21,2,0)</f>
        <v>550</v>
      </c>
    </row>
    <row r="795" spans="1:6" ht="15.75" customHeight="1" x14ac:dyDescent="0.25">
      <c r="A795" s="62" t="s">
        <v>592</v>
      </c>
      <c r="B795" s="62">
        <v>21</v>
      </c>
      <c r="C795" s="62" t="s">
        <v>1278</v>
      </c>
      <c r="D795" s="82" t="s">
        <v>1256</v>
      </c>
      <c r="E795" s="82" t="s">
        <v>1253</v>
      </c>
      <c r="F795" s="70">
        <f>VLOOKUP(VLOOKUP(A795,'Личные данные'!A:V,6,0),'Личные данные'!$X$17:$AA$21,2,0)</f>
        <v>550</v>
      </c>
    </row>
    <row r="796" spans="1:6" ht="15.75" customHeight="1" x14ac:dyDescent="0.25">
      <c r="A796" s="62" t="s">
        <v>593</v>
      </c>
      <c r="B796" s="62">
        <v>21</v>
      </c>
      <c r="C796" s="62" t="s">
        <v>1278</v>
      </c>
      <c r="D796" s="82" t="s">
        <v>1243</v>
      </c>
      <c r="E796" s="82" t="s">
        <v>1244</v>
      </c>
      <c r="F796" s="70">
        <f>VLOOKUP(VLOOKUP(A796,'Личные данные'!A:V,6,0),'Личные данные'!$X$17:$AA$21,2,0)</f>
        <v>440</v>
      </c>
    </row>
    <row r="797" spans="1:6" ht="15.75" customHeight="1" x14ac:dyDescent="0.25">
      <c r="A797" s="62" t="s">
        <v>594</v>
      </c>
      <c r="B797" s="62">
        <v>21</v>
      </c>
      <c r="C797" s="62" t="s">
        <v>1278</v>
      </c>
      <c r="D797" s="82" t="s">
        <v>1243</v>
      </c>
      <c r="E797" s="82" t="s">
        <v>1248</v>
      </c>
      <c r="F797" s="70">
        <f>VLOOKUP(VLOOKUP(A797,'Личные данные'!A:V,6,0),'Личные данные'!$X$17:$AA$21,2,0)</f>
        <v>330</v>
      </c>
    </row>
    <row r="798" spans="1:6" ht="15.75" customHeight="1" x14ac:dyDescent="0.25">
      <c r="A798" s="62" t="s">
        <v>595</v>
      </c>
      <c r="B798" s="62">
        <v>21</v>
      </c>
      <c r="C798" s="62" t="s">
        <v>1278</v>
      </c>
      <c r="D798" s="82" t="s">
        <v>1258</v>
      </c>
      <c r="E798" s="82" t="s">
        <v>1253</v>
      </c>
      <c r="F798" s="70">
        <f>VLOOKUP(VLOOKUP(A798,'Личные данные'!A:V,6,0),'Личные данные'!$X$17:$AA$21,2,0)</f>
        <v>550</v>
      </c>
    </row>
    <row r="799" spans="1:6" ht="15.75" customHeight="1" x14ac:dyDescent="0.25">
      <c r="A799" s="62" t="s">
        <v>596</v>
      </c>
      <c r="B799" s="62">
        <v>21</v>
      </c>
      <c r="C799" s="62" t="s">
        <v>1278</v>
      </c>
      <c r="D799" s="82" t="s">
        <v>1257</v>
      </c>
      <c r="E799" s="82" t="s">
        <v>1255</v>
      </c>
      <c r="F799" s="70">
        <f>VLOOKUP(VLOOKUP(A799,'Личные данные'!A:V,6,0),'Личные данные'!$X$17:$AA$21,2,0)</f>
        <v>440</v>
      </c>
    </row>
    <row r="800" spans="1:6" ht="15.75" customHeight="1" x14ac:dyDescent="0.25">
      <c r="A800" s="62" t="s">
        <v>597</v>
      </c>
      <c r="B800" s="62">
        <v>21</v>
      </c>
      <c r="C800" s="62" t="s">
        <v>1278</v>
      </c>
      <c r="D800" s="82" t="s">
        <v>1243</v>
      </c>
      <c r="E800" s="82" t="s">
        <v>1244</v>
      </c>
      <c r="F800" s="70">
        <f>VLOOKUP(VLOOKUP(A800,'Личные данные'!A:V,6,0),'Личные данные'!$X$17:$AA$21,2,0)</f>
        <v>440</v>
      </c>
    </row>
    <row r="801" spans="1:6" ht="15.75" customHeight="1" x14ac:dyDescent="0.25">
      <c r="A801" s="62" t="s">
        <v>598</v>
      </c>
      <c r="B801" s="62">
        <v>21</v>
      </c>
      <c r="C801" s="62" t="s">
        <v>1278</v>
      </c>
      <c r="D801" s="82" t="s">
        <v>1256</v>
      </c>
      <c r="E801" s="82" t="s">
        <v>1253</v>
      </c>
      <c r="F801" s="70">
        <f>VLOOKUP(VLOOKUP(A801,'Личные данные'!A:V,6,0),'Личные данные'!$X$17:$AA$21,2,0)</f>
        <v>550</v>
      </c>
    </row>
    <row r="802" spans="1:6" ht="15.75" customHeight="1" x14ac:dyDescent="0.25">
      <c r="A802" s="62" t="s">
        <v>599</v>
      </c>
      <c r="B802" s="62">
        <v>21</v>
      </c>
      <c r="C802" s="62" t="s">
        <v>1278</v>
      </c>
      <c r="D802" s="82" t="s">
        <v>1257</v>
      </c>
      <c r="E802" s="82" t="s">
        <v>1248</v>
      </c>
      <c r="F802" s="70">
        <f>VLOOKUP(VLOOKUP(A802,'Личные данные'!A:V,6,0),'Личные данные'!$X$17:$AA$21,2,0)</f>
        <v>440</v>
      </c>
    </row>
    <row r="803" spans="1:6" ht="15.75" customHeight="1" x14ac:dyDescent="0.25">
      <c r="A803" s="62" t="s">
        <v>600</v>
      </c>
      <c r="B803" s="62">
        <v>21</v>
      </c>
      <c r="C803" s="62" t="s">
        <v>1278</v>
      </c>
      <c r="D803" s="82" t="s">
        <v>1243</v>
      </c>
      <c r="E803" s="82" t="s">
        <v>1253</v>
      </c>
      <c r="F803" s="70">
        <f>VLOOKUP(VLOOKUP(A803,'Личные данные'!A:V,6,0),'Личные данные'!$X$17:$AA$21,2,0)</f>
        <v>330</v>
      </c>
    </row>
    <row r="804" spans="1:6" ht="15.75" customHeight="1" x14ac:dyDescent="0.25">
      <c r="A804" s="62" t="s">
        <v>601</v>
      </c>
      <c r="B804" s="62">
        <v>21</v>
      </c>
      <c r="C804" s="62" t="s">
        <v>1278</v>
      </c>
      <c r="D804" s="82" t="s">
        <v>1257</v>
      </c>
      <c r="E804" s="82" t="s">
        <v>1255</v>
      </c>
      <c r="F804" s="70">
        <f>VLOOKUP(VLOOKUP(A804,'Личные данные'!A:V,6,0),'Личные данные'!$X$17:$AA$21,2,0)</f>
        <v>440</v>
      </c>
    </row>
    <row r="805" spans="1:6" ht="15.75" customHeight="1" x14ac:dyDescent="0.25">
      <c r="A805" s="62" t="s">
        <v>602</v>
      </c>
      <c r="B805" s="62">
        <v>21</v>
      </c>
      <c r="C805" s="62" t="s">
        <v>1278</v>
      </c>
      <c r="D805" s="82" t="s">
        <v>1258</v>
      </c>
      <c r="E805" s="82" t="s">
        <v>1255</v>
      </c>
      <c r="F805" s="70">
        <f>VLOOKUP(VLOOKUP(A805,'Личные данные'!A:V,6,0),'Личные данные'!$X$17:$AA$21,2,0)</f>
        <v>440</v>
      </c>
    </row>
    <row r="806" spans="1:6" ht="15.75" customHeight="1" x14ac:dyDescent="0.25">
      <c r="A806" s="62" t="s">
        <v>603</v>
      </c>
      <c r="B806" s="62">
        <v>21</v>
      </c>
      <c r="C806" s="62" t="s">
        <v>1278</v>
      </c>
      <c r="D806" s="82" t="s">
        <v>1243</v>
      </c>
      <c r="E806" s="82" t="s">
        <v>1253</v>
      </c>
      <c r="F806" s="70">
        <f>VLOOKUP(VLOOKUP(A806,'Личные данные'!A:V,6,0),'Личные данные'!$X$17:$AA$21,2,0)</f>
        <v>330</v>
      </c>
    </row>
    <row r="807" spans="1:6" ht="15.75" customHeight="1" x14ac:dyDescent="0.25">
      <c r="A807" s="62" t="s">
        <v>604</v>
      </c>
      <c r="B807" s="62">
        <v>21</v>
      </c>
      <c r="C807" s="62" t="s">
        <v>1278</v>
      </c>
      <c r="D807" s="82" t="s">
        <v>1243</v>
      </c>
      <c r="E807" s="82" t="s">
        <v>1253</v>
      </c>
      <c r="F807" s="70">
        <f>VLOOKUP(VLOOKUP(A807,'Личные данные'!A:V,6,0),'Личные данные'!$X$17:$AA$21,2,0)</f>
        <v>330</v>
      </c>
    </row>
    <row r="808" spans="1:6" ht="15.75" customHeight="1" x14ac:dyDescent="0.25">
      <c r="A808" s="62" t="s">
        <v>605</v>
      </c>
      <c r="B808" s="62">
        <v>21</v>
      </c>
      <c r="C808" s="62" t="s">
        <v>1278</v>
      </c>
      <c r="D808" s="82" t="s">
        <v>1256</v>
      </c>
      <c r="E808" s="82" t="s">
        <v>1248</v>
      </c>
      <c r="F808" s="70">
        <f>VLOOKUP(VLOOKUP(A808,'Личные данные'!A:V,6,0),'Личные данные'!$X$17:$AA$21,2,0)</f>
        <v>440</v>
      </c>
    </row>
    <row r="809" spans="1:6" ht="15.75" customHeight="1" x14ac:dyDescent="0.25">
      <c r="A809" s="62" t="s">
        <v>606</v>
      </c>
      <c r="B809" s="62">
        <v>21</v>
      </c>
      <c r="C809" s="62" t="s">
        <v>1278</v>
      </c>
      <c r="D809" s="82" t="s">
        <v>1243</v>
      </c>
      <c r="E809" s="82" t="s">
        <v>1253</v>
      </c>
      <c r="F809" s="70">
        <f>VLOOKUP(VLOOKUP(A809,'Личные данные'!A:V,6,0),'Личные данные'!$X$17:$AA$21,2,0)</f>
        <v>330</v>
      </c>
    </row>
    <row r="810" spans="1:6" ht="15.75" customHeight="1" x14ac:dyDescent="0.25">
      <c r="A810" s="62" t="s">
        <v>607</v>
      </c>
      <c r="B810" s="62">
        <v>21</v>
      </c>
      <c r="C810" s="62" t="s">
        <v>1278</v>
      </c>
      <c r="D810" s="82" t="s">
        <v>1257</v>
      </c>
      <c r="E810" s="82" t="s">
        <v>1248</v>
      </c>
      <c r="F810" s="70">
        <f>VLOOKUP(VLOOKUP(A810,'Личные данные'!A:V,6,0),'Личные данные'!$X$17:$AA$21,2,0)</f>
        <v>440</v>
      </c>
    </row>
    <row r="811" spans="1:6" ht="15.75" customHeight="1" x14ac:dyDescent="0.25">
      <c r="A811" s="62" t="s">
        <v>608</v>
      </c>
      <c r="B811" s="62">
        <v>21</v>
      </c>
      <c r="C811" s="62" t="s">
        <v>1278</v>
      </c>
      <c r="D811" s="82" t="s">
        <v>1243</v>
      </c>
      <c r="E811" s="82" t="s">
        <v>1253</v>
      </c>
      <c r="F811" s="70">
        <f>VLOOKUP(VLOOKUP(A811,'Личные данные'!A:V,6,0),'Личные данные'!$X$17:$AA$21,2,0)</f>
        <v>330</v>
      </c>
    </row>
    <row r="812" spans="1:6" ht="15.75" customHeight="1" x14ac:dyDescent="0.25">
      <c r="A812" s="62" t="s">
        <v>609</v>
      </c>
      <c r="B812" s="62">
        <v>21</v>
      </c>
      <c r="C812" s="62" t="s">
        <v>1278</v>
      </c>
      <c r="D812" s="82" t="s">
        <v>1243</v>
      </c>
      <c r="E812" s="82" t="s">
        <v>1244</v>
      </c>
      <c r="F812" s="70">
        <f>VLOOKUP(VLOOKUP(A812,'Личные данные'!A:V,6,0),'Личные данные'!$X$17:$AA$21,2,0)</f>
        <v>440</v>
      </c>
    </row>
    <row r="813" spans="1:6" ht="15.75" customHeight="1" x14ac:dyDescent="0.25">
      <c r="A813" s="62" t="s">
        <v>610</v>
      </c>
      <c r="B813" s="62">
        <v>21</v>
      </c>
      <c r="C813" s="62" t="s">
        <v>1278</v>
      </c>
      <c r="D813" s="82" t="s">
        <v>1258</v>
      </c>
      <c r="E813" s="82" t="s">
        <v>1248</v>
      </c>
      <c r="F813" s="70">
        <f>VLOOKUP(VLOOKUP(A813,'Личные данные'!A:V,6,0),'Личные данные'!$X$17:$AA$21,2,0)</f>
        <v>440</v>
      </c>
    </row>
    <row r="814" spans="1:6" ht="15.75" customHeight="1" x14ac:dyDescent="0.25">
      <c r="A814" s="62" t="s">
        <v>611</v>
      </c>
      <c r="B814" s="62">
        <v>21</v>
      </c>
      <c r="C814" s="62" t="s">
        <v>1278</v>
      </c>
      <c r="D814" s="82" t="s">
        <v>1243</v>
      </c>
      <c r="E814" s="82" t="s">
        <v>1244</v>
      </c>
      <c r="F814" s="70">
        <f>VLOOKUP(VLOOKUP(A814,'Личные данные'!A:V,6,0),'Личные данные'!$X$17:$AA$21,2,0)</f>
        <v>550</v>
      </c>
    </row>
    <row r="815" spans="1:6" ht="15.75" customHeight="1" x14ac:dyDescent="0.25">
      <c r="A815" s="62" t="s">
        <v>612</v>
      </c>
      <c r="B815" s="62">
        <v>21</v>
      </c>
      <c r="C815" s="62" t="s">
        <v>1278</v>
      </c>
      <c r="D815" s="82" t="s">
        <v>1243</v>
      </c>
      <c r="E815" s="82" t="s">
        <v>1244</v>
      </c>
      <c r="F815" s="70">
        <f>VLOOKUP(VLOOKUP(A815,'Личные данные'!A:V,6,0),'Личные данные'!$X$17:$AA$21,2,0)</f>
        <v>330</v>
      </c>
    </row>
    <row r="816" spans="1:6" ht="15.75" customHeight="1" x14ac:dyDescent="0.25">
      <c r="A816" s="62" t="s">
        <v>613</v>
      </c>
      <c r="B816" s="62">
        <v>21</v>
      </c>
      <c r="C816" s="62" t="s">
        <v>1278</v>
      </c>
      <c r="D816" s="82" t="s">
        <v>1257</v>
      </c>
      <c r="E816" s="82" t="s">
        <v>1248</v>
      </c>
      <c r="F816" s="70">
        <f>VLOOKUP(VLOOKUP(A816,'Личные данные'!A:V,6,0),'Личные данные'!$X$17:$AA$21,2,0)</f>
        <v>440</v>
      </c>
    </row>
    <row r="817" spans="1:6" ht="15.75" customHeight="1" x14ac:dyDescent="0.25">
      <c r="A817" s="62" t="s">
        <v>614</v>
      </c>
      <c r="B817" s="62">
        <v>21</v>
      </c>
      <c r="C817" s="62" t="s">
        <v>1278</v>
      </c>
      <c r="D817" s="82" t="s">
        <v>1243</v>
      </c>
      <c r="E817" s="82" t="s">
        <v>1244</v>
      </c>
      <c r="F817" s="70">
        <f>VLOOKUP(VLOOKUP(A817,'Личные данные'!A:V,6,0),'Личные данные'!$X$17:$AA$21,2,0)</f>
        <v>220</v>
      </c>
    </row>
    <row r="818" spans="1:6" ht="15.75" customHeight="1" x14ac:dyDescent="0.25">
      <c r="A818" s="62" t="s">
        <v>615</v>
      </c>
      <c r="B818" s="62">
        <v>21</v>
      </c>
      <c r="C818" s="62" t="s">
        <v>1278</v>
      </c>
      <c r="D818" s="82" t="s">
        <v>1243</v>
      </c>
      <c r="E818" s="82" t="s">
        <v>1253</v>
      </c>
      <c r="F818" s="70">
        <f>VLOOKUP(VLOOKUP(A818,'Личные данные'!A:V,6,0),'Личные данные'!$X$17:$AA$21,2,0)</f>
        <v>330</v>
      </c>
    </row>
    <row r="819" spans="1:6" ht="15.75" customHeight="1" x14ac:dyDescent="0.25">
      <c r="A819" s="62" t="s">
        <v>616</v>
      </c>
      <c r="B819" s="62">
        <v>21</v>
      </c>
      <c r="C819" s="62" t="s">
        <v>1278</v>
      </c>
      <c r="D819" s="82" t="s">
        <v>1257</v>
      </c>
      <c r="E819" s="82" t="s">
        <v>1248</v>
      </c>
      <c r="F819" s="70">
        <f>VLOOKUP(VLOOKUP(A819,'Личные данные'!A:V,6,0),'Личные данные'!$X$17:$AA$21,2,0)</f>
        <v>440</v>
      </c>
    </row>
    <row r="820" spans="1:6" ht="15.75" customHeight="1" x14ac:dyDescent="0.25">
      <c r="A820" s="62" t="s">
        <v>617</v>
      </c>
      <c r="B820" s="62">
        <v>21</v>
      </c>
      <c r="C820" s="62" t="s">
        <v>1278</v>
      </c>
      <c r="D820" s="82" t="s">
        <v>1257</v>
      </c>
      <c r="E820" s="82" t="s">
        <v>1248</v>
      </c>
      <c r="F820" s="70">
        <f>VLOOKUP(VLOOKUP(A820,'Личные данные'!A:V,6,0),'Личные данные'!$X$17:$AA$21,2,0)</f>
        <v>440</v>
      </c>
    </row>
    <row r="821" spans="1:6" ht="15.75" customHeight="1" x14ac:dyDescent="0.25">
      <c r="A821" s="62" t="s">
        <v>618</v>
      </c>
      <c r="B821" s="62">
        <v>22</v>
      </c>
      <c r="C821" s="62" t="s">
        <v>1278</v>
      </c>
      <c r="D821" s="82" t="s">
        <v>1256</v>
      </c>
      <c r="E821" s="82" t="s">
        <v>1244</v>
      </c>
      <c r="F821" s="70">
        <f>VLOOKUP(VLOOKUP(A821,'Личные данные'!A:V,6,0),'Личные данные'!$X$17:$AA$21,2,0)</f>
        <v>550</v>
      </c>
    </row>
    <row r="822" spans="1:6" ht="15.75" customHeight="1" x14ac:dyDescent="0.25">
      <c r="A822" s="62" t="s">
        <v>619</v>
      </c>
      <c r="B822" s="62">
        <v>22</v>
      </c>
      <c r="C822" s="62" t="s">
        <v>1278</v>
      </c>
      <c r="D822" s="82" t="s">
        <v>1243</v>
      </c>
      <c r="E822" s="82" t="s">
        <v>1253</v>
      </c>
      <c r="F822" s="70">
        <f>VLOOKUP(VLOOKUP(A822,'Личные данные'!A:V,6,0),'Личные данные'!$X$17:$AA$21,2,0)</f>
        <v>330</v>
      </c>
    </row>
    <row r="823" spans="1:6" ht="15.75" customHeight="1" x14ac:dyDescent="0.25">
      <c r="A823" s="62" t="s">
        <v>620</v>
      </c>
      <c r="B823" s="62">
        <v>22</v>
      </c>
      <c r="C823" s="62" t="s">
        <v>1278</v>
      </c>
      <c r="D823" s="82" t="s">
        <v>1243</v>
      </c>
      <c r="E823" s="82" t="s">
        <v>1248</v>
      </c>
      <c r="F823" s="70">
        <f>VLOOKUP(VLOOKUP(A823,'Личные данные'!A:V,6,0),'Личные данные'!$X$17:$AA$21,2,0)</f>
        <v>330</v>
      </c>
    </row>
    <row r="824" spans="1:6" ht="15.75" customHeight="1" x14ac:dyDescent="0.25">
      <c r="A824" s="62" t="s">
        <v>621</v>
      </c>
      <c r="B824" s="62">
        <v>22</v>
      </c>
      <c r="C824" s="62" t="s">
        <v>1278</v>
      </c>
      <c r="D824" s="82" t="s">
        <v>1243</v>
      </c>
      <c r="E824" s="82" t="s">
        <v>1253</v>
      </c>
      <c r="F824" s="70">
        <f>VLOOKUP(VLOOKUP(A824,'Личные данные'!A:V,6,0),'Личные данные'!$X$17:$AA$21,2,0)</f>
        <v>330</v>
      </c>
    </row>
    <row r="825" spans="1:6" ht="15.75" customHeight="1" x14ac:dyDescent="0.25">
      <c r="A825" s="62" t="s">
        <v>622</v>
      </c>
      <c r="B825" s="62">
        <v>22</v>
      </c>
      <c r="C825" s="62" t="s">
        <v>1278</v>
      </c>
      <c r="D825" s="82" t="s">
        <v>1258</v>
      </c>
      <c r="E825" s="82" t="s">
        <v>1244</v>
      </c>
      <c r="F825" s="70">
        <f>VLOOKUP(VLOOKUP(A825,'Личные данные'!A:V,6,0),'Личные данные'!$X$17:$AA$21,2,0)</f>
        <v>550</v>
      </c>
    </row>
    <row r="826" spans="1:6" ht="15.75" customHeight="1" x14ac:dyDescent="0.25">
      <c r="A826" s="62" t="s">
        <v>623</v>
      </c>
      <c r="B826" s="62">
        <v>22</v>
      </c>
      <c r="C826" s="62" t="s">
        <v>1278</v>
      </c>
      <c r="D826" s="82" t="s">
        <v>1256</v>
      </c>
      <c r="E826" s="82" t="s">
        <v>1255</v>
      </c>
      <c r="F826" s="70">
        <f>VLOOKUP(VLOOKUP(A826,'Личные данные'!A:V,6,0),'Личные данные'!$X$17:$AA$21,2,0)</f>
        <v>550</v>
      </c>
    </row>
    <row r="827" spans="1:6" ht="15.75" customHeight="1" x14ac:dyDescent="0.25">
      <c r="A827" s="62" t="s">
        <v>624</v>
      </c>
      <c r="B827" s="62">
        <v>22</v>
      </c>
      <c r="C827" s="62" t="s">
        <v>1278</v>
      </c>
      <c r="D827" s="82" t="s">
        <v>1258</v>
      </c>
      <c r="E827" s="82" t="s">
        <v>1248</v>
      </c>
      <c r="F827" s="70">
        <f>VLOOKUP(VLOOKUP(A827,'Личные данные'!A:V,6,0),'Личные данные'!$X$17:$AA$21,2,0)</f>
        <v>440</v>
      </c>
    </row>
    <row r="828" spans="1:6" ht="15.75" customHeight="1" x14ac:dyDescent="0.25">
      <c r="A828" s="62" t="s">
        <v>625</v>
      </c>
      <c r="B828" s="62">
        <v>22</v>
      </c>
      <c r="C828" s="62" t="s">
        <v>1278</v>
      </c>
      <c r="D828" s="82" t="s">
        <v>1243</v>
      </c>
      <c r="E828" s="82" t="s">
        <v>1253</v>
      </c>
      <c r="F828" s="70">
        <f>VLOOKUP(VLOOKUP(A828,'Личные данные'!A:V,6,0),'Личные данные'!$X$17:$AA$21,2,0)</f>
        <v>330</v>
      </c>
    </row>
    <row r="829" spans="1:6" ht="15.75" customHeight="1" x14ac:dyDescent="0.25">
      <c r="A829" s="62" t="s">
        <v>626</v>
      </c>
      <c r="B829" s="62">
        <v>22</v>
      </c>
      <c r="C829" s="62" t="s">
        <v>1278</v>
      </c>
      <c r="D829" s="82" t="s">
        <v>1257</v>
      </c>
      <c r="E829" s="82" t="s">
        <v>1248</v>
      </c>
      <c r="F829" s="70">
        <f>VLOOKUP(VLOOKUP(A829,'Личные данные'!A:V,6,0),'Личные данные'!$X$17:$AA$21,2,0)</f>
        <v>440</v>
      </c>
    </row>
    <row r="830" spans="1:6" ht="15.75" customHeight="1" x14ac:dyDescent="0.25">
      <c r="A830" s="62" t="s">
        <v>627</v>
      </c>
      <c r="B830" s="62">
        <v>22</v>
      </c>
      <c r="C830" s="62" t="s">
        <v>1278</v>
      </c>
      <c r="D830" s="82" t="s">
        <v>1260</v>
      </c>
      <c r="E830" s="82" t="s">
        <v>1255</v>
      </c>
      <c r="F830" s="70">
        <f>VLOOKUP(VLOOKUP(A830,'Личные данные'!A:V,6,0),'Личные данные'!$X$17:$AA$21,2,0)</f>
        <v>770</v>
      </c>
    </row>
    <row r="831" spans="1:6" ht="15.75" customHeight="1" x14ac:dyDescent="0.25">
      <c r="A831" s="62" t="s">
        <v>628</v>
      </c>
      <c r="B831" s="62">
        <v>22</v>
      </c>
      <c r="C831" s="62" t="s">
        <v>1278</v>
      </c>
      <c r="D831" s="82" t="s">
        <v>1257</v>
      </c>
      <c r="E831" s="82" t="s">
        <v>1248</v>
      </c>
      <c r="F831" s="70">
        <f>VLOOKUP(VLOOKUP(A831,'Личные данные'!A:V,6,0),'Личные данные'!$X$17:$AA$21,2,0)</f>
        <v>440</v>
      </c>
    </row>
    <row r="832" spans="1:6" ht="15.75" customHeight="1" x14ac:dyDescent="0.25">
      <c r="A832" s="62" t="s">
        <v>629</v>
      </c>
      <c r="B832" s="62">
        <v>22</v>
      </c>
      <c r="C832" s="62" t="s">
        <v>1278</v>
      </c>
      <c r="D832" s="82" t="s">
        <v>1257</v>
      </c>
      <c r="E832" s="82" t="s">
        <v>1253</v>
      </c>
      <c r="F832" s="70">
        <f>VLOOKUP(VLOOKUP(A832,'Личные данные'!A:V,6,0),'Личные данные'!$X$17:$AA$21,2,0)</f>
        <v>550</v>
      </c>
    </row>
    <row r="833" spans="1:6" ht="15.75" customHeight="1" x14ac:dyDescent="0.25">
      <c r="A833" s="62" t="s">
        <v>630</v>
      </c>
      <c r="B833" s="62">
        <v>22</v>
      </c>
      <c r="C833" s="62" t="s">
        <v>1278</v>
      </c>
      <c r="D833" s="82" t="s">
        <v>1257</v>
      </c>
      <c r="E833" s="82" t="s">
        <v>1248</v>
      </c>
      <c r="F833" s="70">
        <f>VLOOKUP(VLOOKUP(A833,'Личные данные'!A:V,6,0),'Личные данные'!$X$17:$AA$21,2,0)</f>
        <v>440</v>
      </c>
    </row>
    <row r="834" spans="1:6" ht="15.75" customHeight="1" x14ac:dyDescent="0.25">
      <c r="A834" s="62" t="s">
        <v>631</v>
      </c>
      <c r="B834" s="62">
        <v>22</v>
      </c>
      <c r="C834" s="62" t="s">
        <v>1278</v>
      </c>
      <c r="D834" s="82" t="s">
        <v>1243</v>
      </c>
      <c r="E834" s="82" t="s">
        <v>1244</v>
      </c>
      <c r="F834" s="70">
        <f>VLOOKUP(VLOOKUP(A834,'Личные данные'!A:V,6,0),'Личные данные'!$X$17:$AA$21,2,0)</f>
        <v>220</v>
      </c>
    </row>
    <row r="835" spans="1:6" ht="15.75" customHeight="1" x14ac:dyDescent="0.25">
      <c r="A835" s="62" t="s">
        <v>632</v>
      </c>
      <c r="B835" s="62">
        <v>22</v>
      </c>
      <c r="C835" s="62" t="s">
        <v>1278</v>
      </c>
      <c r="D835" s="82" t="s">
        <v>1257</v>
      </c>
      <c r="E835" s="82" t="s">
        <v>1248</v>
      </c>
      <c r="F835" s="70">
        <f>VLOOKUP(VLOOKUP(A835,'Личные данные'!A:V,6,0),'Личные данные'!$X$17:$AA$21,2,0)</f>
        <v>550</v>
      </c>
    </row>
    <row r="836" spans="1:6" ht="15.75" customHeight="1" x14ac:dyDescent="0.25">
      <c r="A836" s="62" t="s">
        <v>633</v>
      </c>
      <c r="B836" s="62">
        <v>22</v>
      </c>
      <c r="C836" s="62" t="s">
        <v>1278</v>
      </c>
      <c r="D836" s="82" t="s">
        <v>1243</v>
      </c>
      <c r="E836" s="82" t="s">
        <v>1253</v>
      </c>
      <c r="F836" s="70">
        <f>VLOOKUP(VLOOKUP(A836,'Личные данные'!A:V,6,0),'Личные данные'!$X$17:$AA$21,2,0)</f>
        <v>330</v>
      </c>
    </row>
    <row r="837" spans="1:6" ht="15.75" customHeight="1" x14ac:dyDescent="0.25">
      <c r="A837" s="62" t="s">
        <v>634</v>
      </c>
      <c r="B837" s="62">
        <v>22</v>
      </c>
      <c r="C837" s="62" t="s">
        <v>1278</v>
      </c>
      <c r="D837" s="82" t="s">
        <v>1243</v>
      </c>
      <c r="E837" s="82" t="s">
        <v>1253</v>
      </c>
      <c r="F837" s="70">
        <f>VLOOKUP(VLOOKUP(A837,'Личные данные'!A:V,6,0),'Личные данные'!$X$17:$AA$21,2,0)</f>
        <v>330</v>
      </c>
    </row>
    <row r="838" spans="1:6" ht="15.75" customHeight="1" x14ac:dyDescent="0.25">
      <c r="A838" s="62" t="s">
        <v>635</v>
      </c>
      <c r="B838" s="62">
        <v>22</v>
      </c>
      <c r="C838" s="62" t="s">
        <v>1278</v>
      </c>
      <c r="D838" s="82" t="s">
        <v>1243</v>
      </c>
      <c r="E838" s="82" t="s">
        <v>1253</v>
      </c>
      <c r="F838" s="70">
        <f>VLOOKUP(VLOOKUP(A838,'Личные данные'!A:V,6,0),'Личные данные'!$X$17:$AA$21,2,0)</f>
        <v>330</v>
      </c>
    </row>
    <row r="839" spans="1:6" ht="15.75" customHeight="1" x14ac:dyDescent="0.25">
      <c r="A839" s="62" t="s">
        <v>636</v>
      </c>
      <c r="B839" s="62">
        <v>22</v>
      </c>
      <c r="C839" s="62" t="s">
        <v>1278</v>
      </c>
      <c r="D839" s="82" t="s">
        <v>1243</v>
      </c>
      <c r="E839" s="82" t="s">
        <v>1253</v>
      </c>
      <c r="F839" s="70">
        <f>VLOOKUP(VLOOKUP(A839,'Личные данные'!A:V,6,0),'Личные данные'!$X$17:$AA$21,2,0)</f>
        <v>330</v>
      </c>
    </row>
    <row r="840" spans="1:6" ht="15.75" customHeight="1" x14ac:dyDescent="0.25">
      <c r="A840" s="62" t="s">
        <v>637</v>
      </c>
      <c r="B840" s="62">
        <v>22</v>
      </c>
      <c r="C840" s="62" t="s">
        <v>1278</v>
      </c>
      <c r="D840" s="82" t="s">
        <v>1243</v>
      </c>
      <c r="E840" s="82" t="s">
        <v>1255</v>
      </c>
      <c r="F840" s="70">
        <f>VLOOKUP(VLOOKUP(A840,'Личные данные'!A:V,6,0),'Личные данные'!$X$17:$AA$21,2,0)</f>
        <v>330</v>
      </c>
    </row>
    <row r="841" spans="1:6" ht="15.75" customHeight="1" x14ac:dyDescent="0.25">
      <c r="A841" s="62" t="s">
        <v>638</v>
      </c>
      <c r="B841" s="62">
        <v>22</v>
      </c>
      <c r="C841" s="62" t="s">
        <v>1278</v>
      </c>
      <c r="D841" s="82" t="s">
        <v>1243</v>
      </c>
      <c r="E841" s="82" t="s">
        <v>1253</v>
      </c>
      <c r="F841" s="70">
        <f>VLOOKUP(VLOOKUP(A841,'Личные данные'!A:V,6,0),'Личные данные'!$X$17:$AA$21,2,0)</f>
        <v>330</v>
      </c>
    </row>
    <row r="842" spans="1:6" ht="15.75" customHeight="1" x14ac:dyDescent="0.25">
      <c r="A842" s="62" t="s">
        <v>639</v>
      </c>
      <c r="B842" s="62">
        <v>22</v>
      </c>
      <c r="C842" s="62" t="s">
        <v>1278</v>
      </c>
      <c r="D842" s="82" t="s">
        <v>1243</v>
      </c>
      <c r="E842" s="82" t="s">
        <v>1244</v>
      </c>
      <c r="F842" s="70">
        <f>VLOOKUP(VLOOKUP(A842,'Личные данные'!A:V,6,0),'Личные данные'!$X$17:$AA$21,2,0)</f>
        <v>440</v>
      </c>
    </row>
    <row r="843" spans="1:6" ht="15.75" customHeight="1" x14ac:dyDescent="0.25">
      <c r="A843" s="62" t="s">
        <v>640</v>
      </c>
      <c r="B843" s="62">
        <v>22</v>
      </c>
      <c r="C843" s="62" t="s">
        <v>1278</v>
      </c>
      <c r="D843" s="82" t="s">
        <v>1256</v>
      </c>
      <c r="E843" s="82" t="s">
        <v>1248</v>
      </c>
      <c r="F843" s="70">
        <f>VLOOKUP(VLOOKUP(A843,'Личные данные'!A:V,6,0),'Личные данные'!$X$17:$AA$21,2,0)</f>
        <v>550</v>
      </c>
    </row>
    <row r="844" spans="1:6" ht="15.75" customHeight="1" x14ac:dyDescent="0.25">
      <c r="A844" s="62" t="s">
        <v>641</v>
      </c>
      <c r="B844" s="62">
        <v>22</v>
      </c>
      <c r="C844" s="62" t="s">
        <v>1278</v>
      </c>
      <c r="D844" s="82" t="s">
        <v>1256</v>
      </c>
      <c r="E844" s="82" t="s">
        <v>1248</v>
      </c>
      <c r="F844" s="70">
        <f>VLOOKUP(VLOOKUP(A844,'Личные данные'!A:V,6,0),'Личные данные'!$X$17:$AA$21,2,0)</f>
        <v>440</v>
      </c>
    </row>
    <row r="845" spans="1:6" ht="15.75" customHeight="1" x14ac:dyDescent="0.25">
      <c r="A845" s="62" t="s">
        <v>642</v>
      </c>
      <c r="B845" s="62">
        <v>22</v>
      </c>
      <c r="C845" s="62" t="s">
        <v>1278</v>
      </c>
      <c r="D845" s="82" t="s">
        <v>1258</v>
      </c>
      <c r="E845" s="82" t="s">
        <v>1248</v>
      </c>
      <c r="F845" s="70">
        <f>VLOOKUP(VLOOKUP(A845,'Личные данные'!A:V,6,0),'Личные данные'!$X$17:$AA$21,2,0)</f>
        <v>440</v>
      </c>
    </row>
    <row r="846" spans="1:6" ht="15.75" customHeight="1" x14ac:dyDescent="0.25">
      <c r="A846" s="62" t="s">
        <v>643</v>
      </c>
      <c r="B846" s="62">
        <v>22</v>
      </c>
      <c r="C846" s="62" t="s">
        <v>1278</v>
      </c>
      <c r="D846" s="82" t="s">
        <v>1243</v>
      </c>
      <c r="E846" s="82" t="s">
        <v>1248</v>
      </c>
      <c r="F846" s="70">
        <f>VLOOKUP(VLOOKUP(A846,'Личные данные'!A:V,6,0),'Личные данные'!$X$17:$AA$21,2,0)</f>
        <v>330</v>
      </c>
    </row>
    <row r="847" spans="1:6" ht="15.75" customHeight="1" x14ac:dyDescent="0.25">
      <c r="A847" s="62" t="s">
        <v>644</v>
      </c>
      <c r="B847" s="62">
        <v>22</v>
      </c>
      <c r="C847" s="62" t="s">
        <v>1278</v>
      </c>
      <c r="D847" s="82" t="s">
        <v>1257</v>
      </c>
      <c r="E847" s="82" t="s">
        <v>1248</v>
      </c>
      <c r="F847" s="70">
        <f>VLOOKUP(VLOOKUP(A847,'Личные данные'!A:V,6,0),'Личные данные'!$X$17:$AA$21,2,0)</f>
        <v>440</v>
      </c>
    </row>
    <row r="848" spans="1:6" ht="15.75" customHeight="1" x14ac:dyDescent="0.25">
      <c r="A848" s="62" t="s">
        <v>645</v>
      </c>
      <c r="B848" s="62">
        <v>22</v>
      </c>
      <c r="C848" s="62" t="s">
        <v>1278</v>
      </c>
      <c r="D848" s="82" t="s">
        <v>1243</v>
      </c>
      <c r="E848" s="82" t="s">
        <v>1253</v>
      </c>
      <c r="F848" s="70">
        <f>VLOOKUP(VLOOKUP(A848,'Личные данные'!A:V,6,0),'Личные данные'!$X$17:$AA$21,2,0)</f>
        <v>330</v>
      </c>
    </row>
    <row r="849" spans="1:6" ht="15.75" customHeight="1" x14ac:dyDescent="0.25">
      <c r="A849" s="62" t="s">
        <v>646</v>
      </c>
      <c r="B849" s="62">
        <v>22</v>
      </c>
      <c r="C849" s="62" t="s">
        <v>1278</v>
      </c>
      <c r="D849" s="82" t="s">
        <v>1243</v>
      </c>
      <c r="E849" s="82" t="s">
        <v>1253</v>
      </c>
      <c r="F849" s="70">
        <f>VLOOKUP(VLOOKUP(A849,'Личные данные'!A:V,6,0),'Личные данные'!$X$17:$AA$21,2,0)</f>
        <v>330</v>
      </c>
    </row>
    <row r="850" spans="1:6" ht="15.75" customHeight="1" x14ac:dyDescent="0.25">
      <c r="A850" s="62" t="s">
        <v>647</v>
      </c>
      <c r="B850" s="62">
        <v>22</v>
      </c>
      <c r="C850" s="62" t="s">
        <v>1278</v>
      </c>
      <c r="D850" s="82" t="s">
        <v>1243</v>
      </c>
      <c r="E850" s="82" t="s">
        <v>1244</v>
      </c>
      <c r="F850" s="70">
        <f>VLOOKUP(VLOOKUP(A850,'Личные данные'!A:V,6,0),'Личные данные'!$X$17:$AA$21,2,0)</f>
        <v>330</v>
      </c>
    </row>
    <row r="851" spans="1:6" ht="15.75" customHeight="1" x14ac:dyDescent="0.25">
      <c r="A851" s="62" t="s">
        <v>648</v>
      </c>
      <c r="B851" s="62">
        <v>22</v>
      </c>
      <c r="C851" s="62" t="s">
        <v>1278</v>
      </c>
      <c r="D851" s="82" t="s">
        <v>1243</v>
      </c>
      <c r="E851" s="82" t="s">
        <v>1253</v>
      </c>
      <c r="F851" s="70">
        <f>VLOOKUP(VLOOKUP(A851,'Личные данные'!A:V,6,0),'Личные данные'!$X$17:$AA$21,2,0)</f>
        <v>330</v>
      </c>
    </row>
    <row r="852" spans="1:6" ht="15.75" customHeight="1" x14ac:dyDescent="0.25">
      <c r="A852" s="62" t="s">
        <v>649</v>
      </c>
      <c r="B852" s="62">
        <v>22</v>
      </c>
      <c r="C852" s="62" t="s">
        <v>1278</v>
      </c>
      <c r="D852" s="82" t="s">
        <v>1243</v>
      </c>
      <c r="E852" s="82" t="s">
        <v>1253</v>
      </c>
      <c r="F852" s="70">
        <f>VLOOKUP(VLOOKUP(A852,'Личные данные'!A:V,6,0),'Личные данные'!$X$17:$AA$21,2,0)</f>
        <v>330</v>
      </c>
    </row>
    <row r="853" spans="1:6" ht="15.75" customHeight="1" x14ac:dyDescent="0.25">
      <c r="A853" s="62" t="s">
        <v>650</v>
      </c>
      <c r="B853" s="62">
        <v>22</v>
      </c>
      <c r="C853" s="62" t="s">
        <v>1278</v>
      </c>
      <c r="D853" s="82" t="s">
        <v>1243</v>
      </c>
      <c r="E853" s="82" t="s">
        <v>1244</v>
      </c>
      <c r="F853" s="70">
        <f>VLOOKUP(VLOOKUP(A853,'Личные данные'!A:V,6,0),'Личные данные'!$X$17:$AA$21,2,0)</f>
        <v>220</v>
      </c>
    </row>
    <row r="854" spans="1:6" ht="15.75" customHeight="1" x14ac:dyDescent="0.25">
      <c r="A854" s="62" t="s">
        <v>651</v>
      </c>
      <c r="B854" s="62">
        <v>22</v>
      </c>
      <c r="C854" s="62" t="s">
        <v>1278</v>
      </c>
      <c r="D854" s="82" t="s">
        <v>1243</v>
      </c>
      <c r="E854" s="82" t="s">
        <v>1253</v>
      </c>
      <c r="F854" s="70">
        <f>VLOOKUP(VLOOKUP(A854,'Личные данные'!A:V,6,0),'Личные данные'!$X$17:$AA$21,2,0)</f>
        <v>330</v>
      </c>
    </row>
    <row r="855" spans="1:6" ht="15.75" customHeight="1" x14ac:dyDescent="0.25">
      <c r="A855" s="62" t="s">
        <v>652</v>
      </c>
      <c r="B855" s="62">
        <v>22</v>
      </c>
      <c r="C855" s="62" t="s">
        <v>1278</v>
      </c>
      <c r="D855" s="82" t="s">
        <v>1256</v>
      </c>
      <c r="E855" s="82" t="s">
        <v>1253</v>
      </c>
      <c r="F855" s="70">
        <f>VLOOKUP(VLOOKUP(A855,'Личные данные'!A:V,6,0),'Личные данные'!$X$17:$AA$21,2,0)</f>
        <v>550</v>
      </c>
    </row>
    <row r="856" spans="1:6" ht="15.75" customHeight="1" x14ac:dyDescent="0.25">
      <c r="A856" s="62" t="s">
        <v>653</v>
      </c>
      <c r="B856" s="62">
        <v>22</v>
      </c>
      <c r="C856" s="62" t="s">
        <v>1278</v>
      </c>
      <c r="D856" s="82" t="s">
        <v>1243</v>
      </c>
      <c r="E856" s="82" t="s">
        <v>1253</v>
      </c>
      <c r="F856" s="70">
        <f>VLOOKUP(VLOOKUP(A856,'Личные данные'!A:V,6,0),'Личные данные'!$X$17:$AA$21,2,0)</f>
        <v>330</v>
      </c>
    </row>
    <row r="857" spans="1:6" ht="15.75" customHeight="1" x14ac:dyDescent="0.25">
      <c r="A857" s="62" t="s">
        <v>654</v>
      </c>
      <c r="B857" s="62">
        <v>22</v>
      </c>
      <c r="C857" s="62" t="s">
        <v>1278</v>
      </c>
      <c r="D857" s="82" t="s">
        <v>1258</v>
      </c>
      <c r="E857" s="82" t="s">
        <v>1244</v>
      </c>
      <c r="F857" s="70">
        <f>VLOOKUP(VLOOKUP(A857,'Личные данные'!A:V,6,0),'Личные данные'!$X$17:$AA$21,2,0)</f>
        <v>220</v>
      </c>
    </row>
    <row r="858" spans="1:6" ht="15.75" customHeight="1" x14ac:dyDescent="0.25">
      <c r="A858" s="62" t="s">
        <v>655</v>
      </c>
      <c r="B858" s="62">
        <v>22</v>
      </c>
      <c r="C858" s="62" t="s">
        <v>1278</v>
      </c>
      <c r="D858" s="82" t="s">
        <v>1257</v>
      </c>
      <c r="E858" s="82" t="s">
        <v>1255</v>
      </c>
      <c r="F858" s="70">
        <f>VLOOKUP(VLOOKUP(A858,'Личные данные'!A:V,6,0),'Личные данные'!$X$17:$AA$21,2,0)</f>
        <v>440</v>
      </c>
    </row>
    <row r="859" spans="1:6" ht="15.75" customHeight="1" x14ac:dyDescent="0.25">
      <c r="A859" s="62" t="s">
        <v>656</v>
      </c>
      <c r="B859" s="62">
        <v>22</v>
      </c>
      <c r="C859" s="62" t="s">
        <v>1278</v>
      </c>
      <c r="D859" s="82" t="s">
        <v>1243</v>
      </c>
      <c r="E859" s="82" t="s">
        <v>1253</v>
      </c>
      <c r="F859" s="70">
        <f>VLOOKUP(VLOOKUP(A859,'Личные данные'!A:V,6,0),'Личные данные'!$X$17:$AA$21,2,0)</f>
        <v>330</v>
      </c>
    </row>
    <row r="860" spans="1:6" ht="15.75" customHeight="1" x14ac:dyDescent="0.25">
      <c r="A860" s="62" t="s">
        <v>657</v>
      </c>
      <c r="B860" s="62">
        <v>22</v>
      </c>
      <c r="C860" s="62" t="s">
        <v>1278</v>
      </c>
      <c r="D860" s="82" t="s">
        <v>1243</v>
      </c>
      <c r="E860" s="82" t="s">
        <v>1244</v>
      </c>
      <c r="F860" s="70">
        <f>VLOOKUP(VLOOKUP(A860,'Личные данные'!A:V,6,0),'Личные данные'!$X$17:$AA$21,2,0)</f>
        <v>440</v>
      </c>
    </row>
    <row r="861" spans="1:6" ht="15.75" customHeight="1" x14ac:dyDescent="0.25">
      <c r="A861" s="62" t="s">
        <v>658</v>
      </c>
      <c r="B861" s="62">
        <v>22</v>
      </c>
      <c r="C861" s="62" t="s">
        <v>1278</v>
      </c>
      <c r="D861" s="82" t="s">
        <v>1257</v>
      </c>
      <c r="E861" s="82" t="s">
        <v>1244</v>
      </c>
      <c r="F861" s="70">
        <f>VLOOKUP(VLOOKUP(A861,'Личные данные'!A:V,6,0),'Личные данные'!$X$17:$AA$21,2,0)</f>
        <v>550</v>
      </c>
    </row>
    <row r="862" spans="1:6" ht="15.75" customHeight="1" x14ac:dyDescent="0.25">
      <c r="A862" s="62" t="s">
        <v>659</v>
      </c>
      <c r="B862" s="62">
        <v>22</v>
      </c>
      <c r="C862" s="62" t="s">
        <v>1278</v>
      </c>
      <c r="D862" s="82" t="s">
        <v>1243</v>
      </c>
      <c r="E862" s="82" t="s">
        <v>1244</v>
      </c>
      <c r="F862" s="70">
        <f>VLOOKUP(VLOOKUP(A862,'Личные данные'!A:V,6,0),'Личные данные'!$X$17:$AA$21,2,0)</f>
        <v>220</v>
      </c>
    </row>
    <row r="863" spans="1:6" ht="15.75" customHeight="1" x14ac:dyDescent="0.25">
      <c r="A863" s="62" t="s">
        <v>660</v>
      </c>
      <c r="B863" s="62">
        <v>22</v>
      </c>
      <c r="C863" s="62" t="s">
        <v>1278</v>
      </c>
      <c r="D863" s="82" t="s">
        <v>1260</v>
      </c>
      <c r="E863" s="82" t="s">
        <v>1253</v>
      </c>
      <c r="F863" s="70">
        <f>VLOOKUP(VLOOKUP(A863,'Личные данные'!A:V,6,0),'Личные данные'!$X$17:$AA$21,2,0)</f>
        <v>770</v>
      </c>
    </row>
    <row r="864" spans="1:6" ht="15.75" customHeight="1" x14ac:dyDescent="0.25">
      <c r="A864" s="62" t="s">
        <v>661</v>
      </c>
      <c r="B864" s="62">
        <v>22</v>
      </c>
      <c r="C864" s="62" t="s">
        <v>1278</v>
      </c>
      <c r="D864" s="82" t="s">
        <v>1256</v>
      </c>
      <c r="E864" s="82" t="s">
        <v>1248</v>
      </c>
      <c r="F864" s="70">
        <f>VLOOKUP(VLOOKUP(A864,'Личные данные'!A:V,6,0),'Личные данные'!$X$17:$AA$21,2,0)</f>
        <v>550</v>
      </c>
    </row>
    <row r="865" spans="1:6" ht="15.75" customHeight="1" x14ac:dyDescent="0.25">
      <c r="A865" s="62" t="s">
        <v>662</v>
      </c>
      <c r="B865" s="62">
        <v>22</v>
      </c>
      <c r="C865" s="62" t="s">
        <v>1278</v>
      </c>
      <c r="D865" s="82" t="s">
        <v>1243</v>
      </c>
      <c r="E865" s="82" t="s">
        <v>1253</v>
      </c>
      <c r="F865" s="70">
        <f>VLOOKUP(VLOOKUP(A865,'Личные данные'!A:V,6,0),'Личные данные'!$X$17:$AA$21,2,0)</f>
        <v>330</v>
      </c>
    </row>
    <row r="866" spans="1:6" ht="15.75" customHeight="1" x14ac:dyDescent="0.25">
      <c r="A866" s="62" t="s">
        <v>663</v>
      </c>
      <c r="B866" s="62">
        <v>22</v>
      </c>
      <c r="C866" s="62" t="s">
        <v>1278</v>
      </c>
      <c r="D866" s="82" t="s">
        <v>1257</v>
      </c>
      <c r="E866" s="82" t="s">
        <v>1255</v>
      </c>
      <c r="F866" s="70">
        <f>VLOOKUP(VLOOKUP(A866,'Личные данные'!A:V,6,0),'Личные данные'!$X$17:$AA$21,2,0)</f>
        <v>550</v>
      </c>
    </row>
    <row r="867" spans="1:6" ht="15.75" customHeight="1" x14ac:dyDescent="0.25">
      <c r="A867" s="62" t="s">
        <v>664</v>
      </c>
      <c r="B867" s="62">
        <v>22</v>
      </c>
      <c r="C867" s="62" t="s">
        <v>1278</v>
      </c>
      <c r="D867" s="82" t="s">
        <v>1243</v>
      </c>
      <c r="E867" s="82" t="s">
        <v>1248</v>
      </c>
      <c r="F867" s="70">
        <f>VLOOKUP(VLOOKUP(A867,'Личные данные'!A:V,6,0),'Личные данные'!$X$17:$AA$21,2,0)</f>
        <v>440</v>
      </c>
    </row>
    <row r="868" spans="1:6" ht="15.75" customHeight="1" x14ac:dyDescent="0.25">
      <c r="A868" s="62" t="s">
        <v>665</v>
      </c>
      <c r="B868" s="62">
        <v>22</v>
      </c>
      <c r="C868" s="62" t="s">
        <v>1278</v>
      </c>
      <c r="D868" s="82" t="s">
        <v>1256</v>
      </c>
      <c r="E868" s="82" t="s">
        <v>1248</v>
      </c>
      <c r="F868" s="70">
        <f>VLOOKUP(VLOOKUP(A868,'Личные данные'!A:V,6,0),'Личные данные'!$X$17:$AA$21,2,0)</f>
        <v>550</v>
      </c>
    </row>
    <row r="869" spans="1:6" ht="15.75" customHeight="1" x14ac:dyDescent="0.25">
      <c r="A869" s="62" t="s">
        <v>666</v>
      </c>
      <c r="B869" s="62">
        <v>22</v>
      </c>
      <c r="C869" s="62" t="s">
        <v>1278</v>
      </c>
      <c r="D869" s="82" t="s">
        <v>1243</v>
      </c>
      <c r="E869" s="82" t="s">
        <v>1253</v>
      </c>
      <c r="F869" s="70">
        <f>VLOOKUP(VLOOKUP(A869,'Личные данные'!A:V,6,0),'Личные данные'!$X$17:$AA$21,2,0)</f>
        <v>330</v>
      </c>
    </row>
    <row r="870" spans="1:6" ht="15.75" customHeight="1" x14ac:dyDescent="0.25">
      <c r="A870" s="62" t="s">
        <v>667</v>
      </c>
      <c r="B870" s="62">
        <v>22</v>
      </c>
      <c r="C870" s="62" t="s">
        <v>1278</v>
      </c>
      <c r="D870" s="82" t="s">
        <v>1243</v>
      </c>
      <c r="E870" s="82" t="s">
        <v>1244</v>
      </c>
      <c r="F870" s="70">
        <f>VLOOKUP(VLOOKUP(A870,'Личные данные'!A:V,6,0),'Личные данные'!$X$17:$AA$21,2,0)</f>
        <v>220</v>
      </c>
    </row>
    <row r="871" spans="1:6" ht="15.75" customHeight="1" x14ac:dyDescent="0.25">
      <c r="A871" s="62" t="s">
        <v>668</v>
      </c>
      <c r="B871" s="62">
        <v>22</v>
      </c>
      <c r="C871" s="62" t="s">
        <v>1278</v>
      </c>
      <c r="D871" s="82" t="s">
        <v>1243</v>
      </c>
      <c r="E871" s="82" t="s">
        <v>1244</v>
      </c>
      <c r="F871" s="70">
        <f>VLOOKUP(VLOOKUP(A871,'Личные данные'!A:V,6,0),'Личные данные'!$X$17:$AA$21,2,0)</f>
        <v>330</v>
      </c>
    </row>
    <row r="872" spans="1:6" ht="15.75" customHeight="1" x14ac:dyDescent="0.25">
      <c r="A872" s="62" t="s">
        <v>669</v>
      </c>
      <c r="B872" s="62">
        <v>22</v>
      </c>
      <c r="C872" s="62" t="s">
        <v>1278</v>
      </c>
      <c r="D872" s="82" t="s">
        <v>1256</v>
      </c>
      <c r="E872" s="82" t="s">
        <v>1248</v>
      </c>
      <c r="F872" s="70">
        <f>VLOOKUP(VLOOKUP(A872,'Личные данные'!A:V,6,0),'Личные данные'!$X$17:$AA$21,2,0)</f>
        <v>550</v>
      </c>
    </row>
    <row r="873" spans="1:6" ht="15.75" customHeight="1" x14ac:dyDescent="0.25">
      <c r="A873" s="62" t="s">
        <v>670</v>
      </c>
      <c r="B873" s="62">
        <v>22</v>
      </c>
      <c r="C873" s="62" t="s">
        <v>1278</v>
      </c>
      <c r="D873" s="82" t="s">
        <v>1258</v>
      </c>
      <c r="E873" s="82" t="s">
        <v>1248</v>
      </c>
      <c r="F873" s="70">
        <f>VLOOKUP(VLOOKUP(A873,'Личные данные'!A:V,6,0),'Личные данные'!$X$17:$AA$21,2,0)</f>
        <v>440</v>
      </c>
    </row>
    <row r="874" spans="1:6" ht="15.75" customHeight="1" x14ac:dyDescent="0.25">
      <c r="A874" s="62" t="s">
        <v>671</v>
      </c>
      <c r="B874" s="62">
        <v>22</v>
      </c>
      <c r="C874" s="62" t="s">
        <v>1278</v>
      </c>
      <c r="D874" s="82" t="s">
        <v>1258</v>
      </c>
      <c r="E874" s="82" t="s">
        <v>1244</v>
      </c>
      <c r="F874" s="70">
        <f>VLOOKUP(VLOOKUP(A874,'Личные данные'!A:V,6,0),'Личные данные'!$X$17:$AA$21,2,0)</f>
        <v>220</v>
      </c>
    </row>
    <row r="875" spans="1:6" ht="15.75" customHeight="1" x14ac:dyDescent="0.25">
      <c r="A875" s="62" t="s">
        <v>672</v>
      </c>
      <c r="B875" s="62">
        <v>22</v>
      </c>
      <c r="C875" s="62" t="s">
        <v>1278</v>
      </c>
      <c r="D875" s="82" t="s">
        <v>1260</v>
      </c>
      <c r="E875" s="82" t="s">
        <v>1250</v>
      </c>
      <c r="F875" s="70">
        <f>VLOOKUP(VLOOKUP(A875,'Личные данные'!A:V,6,0),'Личные данные'!$X$17:$AA$21,2,0)</f>
        <v>770</v>
      </c>
    </row>
    <row r="876" spans="1:6" ht="15.75" customHeight="1" x14ac:dyDescent="0.25">
      <c r="A876" s="62" t="s">
        <v>673</v>
      </c>
      <c r="B876" s="62">
        <v>22</v>
      </c>
      <c r="C876" s="62" t="s">
        <v>1278</v>
      </c>
      <c r="D876" s="82" t="s">
        <v>1258</v>
      </c>
      <c r="E876" s="82" t="s">
        <v>1244</v>
      </c>
      <c r="F876" s="70">
        <f>VLOOKUP(VLOOKUP(A876,'Личные данные'!A:V,6,0),'Личные данные'!$X$17:$AA$21,2,0)</f>
        <v>220</v>
      </c>
    </row>
    <row r="877" spans="1:6" ht="15.75" customHeight="1" x14ac:dyDescent="0.25">
      <c r="A877" s="62" t="s">
        <v>674</v>
      </c>
      <c r="B877" s="62">
        <v>22</v>
      </c>
      <c r="C877" s="62" t="s">
        <v>1278</v>
      </c>
      <c r="D877" s="82" t="s">
        <v>1243</v>
      </c>
      <c r="E877" s="82" t="s">
        <v>1248</v>
      </c>
      <c r="F877" s="70">
        <f>VLOOKUP(VLOOKUP(A877,'Личные данные'!A:V,6,0),'Личные данные'!$X$17:$AA$21,2,0)</f>
        <v>330</v>
      </c>
    </row>
    <row r="878" spans="1:6" ht="15.75" customHeight="1" x14ac:dyDescent="0.25">
      <c r="A878" s="62" t="s">
        <v>675</v>
      </c>
      <c r="B878" s="62">
        <v>22</v>
      </c>
      <c r="C878" s="62" t="s">
        <v>1278</v>
      </c>
      <c r="D878" s="82" t="s">
        <v>1243</v>
      </c>
      <c r="E878" s="82" t="s">
        <v>1248</v>
      </c>
      <c r="F878" s="70">
        <f>VLOOKUP(VLOOKUP(A878,'Личные данные'!A:V,6,0),'Личные данные'!$X$17:$AA$21,2,0)</f>
        <v>330</v>
      </c>
    </row>
    <row r="879" spans="1:6" ht="15.75" customHeight="1" x14ac:dyDescent="0.25">
      <c r="A879" s="62" t="s">
        <v>676</v>
      </c>
      <c r="B879" s="62">
        <v>22</v>
      </c>
      <c r="C879" s="62" t="s">
        <v>1278</v>
      </c>
      <c r="D879" s="82" t="s">
        <v>1257</v>
      </c>
      <c r="E879" s="82" t="s">
        <v>1255</v>
      </c>
      <c r="F879" s="70">
        <f>VLOOKUP(VLOOKUP(A879,'Личные данные'!A:V,6,0),'Личные данные'!$X$17:$AA$21,2,0)</f>
        <v>550</v>
      </c>
    </row>
    <row r="880" spans="1:6" ht="15.75" customHeight="1" x14ac:dyDescent="0.25">
      <c r="A880" s="62" t="s">
        <v>677</v>
      </c>
      <c r="B880" s="62">
        <v>22</v>
      </c>
      <c r="C880" s="62" t="s">
        <v>1278</v>
      </c>
      <c r="D880" s="82" t="s">
        <v>1243</v>
      </c>
      <c r="E880" s="82" t="s">
        <v>1253</v>
      </c>
      <c r="F880" s="70">
        <f>VLOOKUP(VLOOKUP(A880,'Личные данные'!A:V,6,0),'Личные данные'!$X$17:$AA$21,2,0)</f>
        <v>330</v>
      </c>
    </row>
    <row r="881" spans="1:6" ht="15.75" customHeight="1" x14ac:dyDescent="0.25">
      <c r="A881" s="62" t="s">
        <v>678</v>
      </c>
      <c r="B881" s="62">
        <v>22</v>
      </c>
      <c r="C881" s="62" t="s">
        <v>1278</v>
      </c>
      <c r="D881" s="82" t="s">
        <v>1256</v>
      </c>
      <c r="E881" s="82" t="s">
        <v>1248</v>
      </c>
      <c r="F881" s="70">
        <f>VLOOKUP(VLOOKUP(A881,'Личные данные'!A:V,6,0),'Личные данные'!$X$17:$AA$21,2,0)</f>
        <v>440</v>
      </c>
    </row>
    <row r="882" spans="1:6" ht="15.75" customHeight="1" x14ac:dyDescent="0.25">
      <c r="A882" s="62" t="s">
        <v>679</v>
      </c>
      <c r="B882" s="62">
        <v>22</v>
      </c>
      <c r="C882" s="62" t="s">
        <v>1278</v>
      </c>
      <c r="D882" s="82" t="s">
        <v>1243</v>
      </c>
      <c r="E882" s="82" t="s">
        <v>1253</v>
      </c>
      <c r="F882" s="70">
        <f>VLOOKUP(VLOOKUP(A882,'Личные данные'!A:V,6,0),'Личные данные'!$X$17:$AA$21,2,0)</f>
        <v>330</v>
      </c>
    </row>
    <row r="883" spans="1:6" ht="15.75" customHeight="1" x14ac:dyDescent="0.25">
      <c r="A883" s="62" t="s">
        <v>680</v>
      </c>
      <c r="B883" s="62">
        <v>22</v>
      </c>
      <c r="C883" s="62" t="s">
        <v>1278</v>
      </c>
      <c r="D883" s="82" t="s">
        <v>1243</v>
      </c>
      <c r="E883" s="82" t="s">
        <v>1253</v>
      </c>
      <c r="F883" s="70">
        <f>VLOOKUP(VLOOKUP(A883,'Личные данные'!A:V,6,0),'Личные данные'!$X$17:$AA$21,2,0)</f>
        <v>330</v>
      </c>
    </row>
    <row r="884" spans="1:6" ht="15.75" customHeight="1" x14ac:dyDescent="0.25">
      <c r="A884" s="62" t="s">
        <v>681</v>
      </c>
      <c r="B884" s="62">
        <v>22</v>
      </c>
      <c r="C884" s="62" t="s">
        <v>1278</v>
      </c>
      <c r="D884" s="82" t="s">
        <v>1243</v>
      </c>
      <c r="E884" s="82" t="s">
        <v>1255</v>
      </c>
      <c r="F884" s="70">
        <f>VLOOKUP(VLOOKUP(A884,'Личные данные'!A:V,6,0),'Личные данные'!$X$17:$AA$21,2,0)</f>
        <v>330</v>
      </c>
    </row>
    <row r="885" spans="1:6" ht="15.75" customHeight="1" x14ac:dyDescent="0.25">
      <c r="A885" s="62" t="s">
        <v>682</v>
      </c>
      <c r="B885" s="62">
        <v>22</v>
      </c>
      <c r="C885" s="62" t="s">
        <v>1278</v>
      </c>
      <c r="D885" s="82" t="s">
        <v>1257</v>
      </c>
      <c r="E885" s="82" t="s">
        <v>1255</v>
      </c>
      <c r="F885" s="70">
        <f>VLOOKUP(VLOOKUP(A885,'Личные данные'!A:V,6,0),'Личные данные'!$X$17:$AA$21,2,0)</f>
        <v>550</v>
      </c>
    </row>
    <row r="886" spans="1:6" ht="15.75" customHeight="1" x14ac:dyDescent="0.25">
      <c r="A886" s="62" t="s">
        <v>683</v>
      </c>
      <c r="B886" s="62">
        <v>22</v>
      </c>
      <c r="C886" s="62" t="s">
        <v>1278</v>
      </c>
      <c r="D886" s="82" t="s">
        <v>1243</v>
      </c>
      <c r="E886" s="82" t="s">
        <v>1253</v>
      </c>
      <c r="F886" s="70">
        <f>VLOOKUP(VLOOKUP(A886,'Личные данные'!A:V,6,0),'Личные данные'!$X$17:$AA$21,2,0)</f>
        <v>330</v>
      </c>
    </row>
    <row r="887" spans="1:6" ht="15.75" customHeight="1" x14ac:dyDescent="0.25">
      <c r="A887" s="62" t="s">
        <v>684</v>
      </c>
      <c r="B887" s="62">
        <v>22</v>
      </c>
      <c r="C887" s="62" t="s">
        <v>1278</v>
      </c>
      <c r="D887" s="82" t="s">
        <v>1243</v>
      </c>
      <c r="E887" s="82" t="s">
        <v>1253</v>
      </c>
      <c r="F887" s="70">
        <f>VLOOKUP(VLOOKUP(A887,'Личные данные'!A:V,6,0),'Личные данные'!$X$17:$AA$21,2,0)</f>
        <v>330</v>
      </c>
    </row>
    <row r="888" spans="1:6" ht="15.75" customHeight="1" x14ac:dyDescent="0.25">
      <c r="A888" s="62" t="s">
        <v>685</v>
      </c>
      <c r="B888" s="62">
        <v>22</v>
      </c>
      <c r="C888" s="62" t="s">
        <v>1278</v>
      </c>
      <c r="D888" s="82" t="s">
        <v>1257</v>
      </c>
      <c r="E888" s="82" t="s">
        <v>1248</v>
      </c>
      <c r="F888" s="70">
        <f>VLOOKUP(VLOOKUP(A888,'Личные данные'!A:V,6,0),'Личные данные'!$X$17:$AA$21,2,0)</f>
        <v>440</v>
      </c>
    </row>
    <row r="889" spans="1:6" ht="15.75" customHeight="1" x14ac:dyDescent="0.25">
      <c r="A889" s="62" t="s">
        <v>686</v>
      </c>
      <c r="B889" s="62">
        <v>22</v>
      </c>
      <c r="C889" s="62" t="s">
        <v>1278</v>
      </c>
      <c r="D889" s="82" t="s">
        <v>1243</v>
      </c>
      <c r="E889" s="82" t="s">
        <v>1248</v>
      </c>
      <c r="F889" s="70">
        <f>VLOOKUP(VLOOKUP(A889,'Личные данные'!A:V,6,0),'Личные данные'!$X$17:$AA$21,2,0)</f>
        <v>440</v>
      </c>
    </row>
    <row r="890" spans="1:6" ht="15.75" customHeight="1" x14ac:dyDescent="0.25">
      <c r="A890" s="62" t="s">
        <v>687</v>
      </c>
      <c r="B890" s="62">
        <v>22</v>
      </c>
      <c r="C890" s="62" t="s">
        <v>1278</v>
      </c>
      <c r="D890" s="82" t="s">
        <v>1257</v>
      </c>
      <c r="E890" s="82" t="s">
        <v>1255</v>
      </c>
      <c r="F890" s="70">
        <f>VLOOKUP(VLOOKUP(A890,'Личные данные'!A:V,6,0),'Личные данные'!$X$17:$AA$21,2,0)</f>
        <v>440</v>
      </c>
    </row>
    <row r="891" spans="1:6" ht="15.75" customHeight="1" x14ac:dyDescent="0.25">
      <c r="A891" s="62" t="s">
        <v>688</v>
      </c>
      <c r="B891" s="62">
        <v>22</v>
      </c>
      <c r="C891" s="62" t="s">
        <v>1278</v>
      </c>
      <c r="D891" s="82" t="s">
        <v>1243</v>
      </c>
      <c r="E891" s="82" t="s">
        <v>1244</v>
      </c>
      <c r="F891" s="70">
        <f>VLOOKUP(VLOOKUP(A891,'Личные данные'!A:V,6,0),'Личные данные'!$X$17:$AA$21,2,0)</f>
        <v>220</v>
      </c>
    </row>
    <row r="892" spans="1:6" ht="15.75" customHeight="1" x14ac:dyDescent="0.25">
      <c r="A892" s="62" t="s">
        <v>689</v>
      </c>
      <c r="B892" s="62">
        <v>22</v>
      </c>
      <c r="C892" s="62" t="s">
        <v>1278</v>
      </c>
      <c r="D892" s="82" t="s">
        <v>1260</v>
      </c>
      <c r="E892" s="82" t="s">
        <v>1250</v>
      </c>
      <c r="F892" s="70">
        <f>VLOOKUP(VLOOKUP(A892,'Личные данные'!A:V,6,0),'Личные данные'!$X$17:$AA$21,2,0)</f>
        <v>770</v>
      </c>
    </row>
    <row r="893" spans="1:6" ht="15.75" customHeight="1" x14ac:dyDescent="0.25">
      <c r="A893" s="62" t="s">
        <v>690</v>
      </c>
      <c r="B893" s="62">
        <v>22</v>
      </c>
      <c r="C893" s="62" t="s">
        <v>1278</v>
      </c>
      <c r="D893" s="82" t="s">
        <v>1243</v>
      </c>
      <c r="E893" s="82" t="s">
        <v>1253</v>
      </c>
      <c r="F893" s="70">
        <f>VLOOKUP(VLOOKUP(A893,'Личные данные'!A:V,6,0),'Личные данные'!$X$17:$AA$21,2,0)</f>
        <v>330</v>
      </c>
    </row>
    <row r="894" spans="1:6" ht="15.75" customHeight="1" x14ac:dyDescent="0.25">
      <c r="A894" s="62" t="s">
        <v>691</v>
      </c>
      <c r="B894" s="62">
        <v>22</v>
      </c>
      <c r="C894" s="62" t="s">
        <v>1278</v>
      </c>
      <c r="D894" s="82" t="s">
        <v>1256</v>
      </c>
      <c r="E894" s="82" t="s">
        <v>1248</v>
      </c>
      <c r="F894" s="70">
        <f>VLOOKUP(VLOOKUP(A894,'Личные данные'!A:V,6,0),'Личные данные'!$X$17:$AA$21,2,0)</f>
        <v>550</v>
      </c>
    </row>
    <row r="895" spans="1:6" ht="15.75" customHeight="1" x14ac:dyDescent="0.25">
      <c r="A895" s="62" t="s">
        <v>692</v>
      </c>
      <c r="B895" s="62">
        <v>22</v>
      </c>
      <c r="C895" s="62" t="s">
        <v>1278</v>
      </c>
      <c r="D895" s="82" t="s">
        <v>1243</v>
      </c>
      <c r="E895" s="82" t="s">
        <v>1244</v>
      </c>
      <c r="F895" s="70">
        <f>VLOOKUP(VLOOKUP(A895,'Личные данные'!A:V,6,0),'Личные данные'!$X$17:$AA$21,2,0)</f>
        <v>220</v>
      </c>
    </row>
    <row r="896" spans="1:6" ht="15.75" customHeight="1" x14ac:dyDescent="0.25">
      <c r="A896" s="62" t="s">
        <v>693</v>
      </c>
      <c r="B896" s="62">
        <v>22</v>
      </c>
      <c r="C896" s="62" t="s">
        <v>1278</v>
      </c>
      <c r="D896" s="82" t="s">
        <v>1257</v>
      </c>
      <c r="E896" s="82" t="s">
        <v>1248</v>
      </c>
      <c r="F896" s="70">
        <f>VLOOKUP(VLOOKUP(A896,'Личные данные'!A:V,6,0),'Личные данные'!$X$17:$AA$21,2,0)</f>
        <v>440</v>
      </c>
    </row>
    <row r="897" spans="1:6" ht="15.75" customHeight="1" x14ac:dyDescent="0.25">
      <c r="A897" s="62" t="s">
        <v>694</v>
      </c>
      <c r="B897" s="62">
        <v>22</v>
      </c>
      <c r="C897" s="62" t="s">
        <v>1278</v>
      </c>
      <c r="D897" s="82" t="s">
        <v>1243</v>
      </c>
      <c r="E897" s="82" t="s">
        <v>1248</v>
      </c>
      <c r="F897" s="70">
        <f>VLOOKUP(VLOOKUP(A897,'Личные данные'!A:V,6,0),'Личные данные'!$X$17:$AA$21,2,0)</f>
        <v>440</v>
      </c>
    </row>
    <row r="898" spans="1:6" ht="15.75" customHeight="1" x14ac:dyDescent="0.25">
      <c r="A898" s="62" t="s">
        <v>695</v>
      </c>
      <c r="B898" s="62">
        <v>22</v>
      </c>
      <c r="C898" s="62" t="s">
        <v>1278</v>
      </c>
      <c r="D898" s="82" t="s">
        <v>1260</v>
      </c>
      <c r="E898" s="82" t="s">
        <v>1250</v>
      </c>
      <c r="F898" s="70">
        <f>VLOOKUP(VLOOKUP(A898,'Личные данные'!A:V,6,0),'Личные данные'!$X$17:$AA$21,2,0)</f>
        <v>770</v>
      </c>
    </row>
    <row r="899" spans="1:6" ht="15.75" customHeight="1" x14ac:dyDescent="0.25">
      <c r="A899" s="62" t="s">
        <v>696</v>
      </c>
      <c r="B899" s="62">
        <v>22</v>
      </c>
      <c r="C899" s="62" t="s">
        <v>1278</v>
      </c>
      <c r="D899" s="82" t="s">
        <v>1243</v>
      </c>
      <c r="E899" s="82" t="s">
        <v>1244</v>
      </c>
      <c r="F899" s="70">
        <f>VLOOKUP(VLOOKUP(A899,'Личные данные'!A:V,6,0),'Личные данные'!$X$17:$AA$21,2,0)</f>
        <v>330</v>
      </c>
    </row>
    <row r="900" spans="1:6" ht="15.75" customHeight="1" x14ac:dyDescent="0.25">
      <c r="A900" s="62" t="s">
        <v>697</v>
      </c>
      <c r="B900" s="62">
        <v>22</v>
      </c>
      <c r="C900" s="62" t="s">
        <v>1278</v>
      </c>
      <c r="D900" s="82" t="s">
        <v>1258</v>
      </c>
      <c r="E900" s="82" t="s">
        <v>1248</v>
      </c>
      <c r="F900" s="70">
        <f>VLOOKUP(VLOOKUP(A900,'Личные данные'!A:V,6,0),'Личные данные'!$X$17:$AA$21,2,0)</f>
        <v>440</v>
      </c>
    </row>
    <row r="901" spans="1:6" ht="15.75" customHeight="1" x14ac:dyDescent="0.25">
      <c r="A901" s="62" t="s">
        <v>698</v>
      </c>
      <c r="B901" s="62">
        <v>22</v>
      </c>
      <c r="C901" s="62" t="s">
        <v>1278</v>
      </c>
      <c r="D901" s="82" t="s">
        <v>1258</v>
      </c>
      <c r="E901" s="82" t="s">
        <v>1255</v>
      </c>
      <c r="F901" s="70">
        <f>VLOOKUP(VLOOKUP(A901,'Личные данные'!A:V,6,0),'Личные данные'!$X$17:$AA$21,2,0)</f>
        <v>550</v>
      </c>
    </row>
    <row r="902" spans="1:6" ht="15.75" customHeight="1" x14ac:dyDescent="0.25">
      <c r="A902" s="62" t="s">
        <v>699</v>
      </c>
      <c r="B902" s="62">
        <v>22</v>
      </c>
      <c r="C902" s="62" t="s">
        <v>1278</v>
      </c>
      <c r="D902" s="82" t="s">
        <v>1243</v>
      </c>
      <c r="E902" s="82" t="s">
        <v>1244</v>
      </c>
      <c r="F902" s="70">
        <f>VLOOKUP(VLOOKUP(A902,'Личные данные'!A:V,6,0),'Личные данные'!$X$17:$AA$21,2,0)</f>
        <v>220</v>
      </c>
    </row>
    <row r="903" spans="1:6" ht="15.75" customHeight="1" x14ac:dyDescent="0.25">
      <c r="A903" s="62" t="s">
        <v>700</v>
      </c>
      <c r="B903" s="62">
        <v>22</v>
      </c>
      <c r="C903" s="62" t="s">
        <v>1278</v>
      </c>
      <c r="D903" s="82" t="s">
        <v>1243</v>
      </c>
      <c r="E903" s="82" t="s">
        <v>1253</v>
      </c>
      <c r="F903" s="70">
        <f>VLOOKUP(VLOOKUP(A903,'Личные данные'!A:V,6,0),'Личные данные'!$X$17:$AA$21,2,0)</f>
        <v>330</v>
      </c>
    </row>
    <row r="904" spans="1:6" ht="15.75" customHeight="1" x14ac:dyDescent="0.25">
      <c r="A904" s="62" t="s">
        <v>701</v>
      </c>
      <c r="B904" s="62">
        <v>22</v>
      </c>
      <c r="C904" s="62" t="s">
        <v>1278</v>
      </c>
      <c r="D904" s="82" t="s">
        <v>1257</v>
      </c>
      <c r="E904" s="82" t="s">
        <v>1248</v>
      </c>
      <c r="F904" s="70">
        <f>VLOOKUP(VLOOKUP(A904,'Личные данные'!A:V,6,0),'Личные данные'!$X$17:$AA$21,2,0)</f>
        <v>440</v>
      </c>
    </row>
    <row r="905" spans="1:6" ht="15.75" customHeight="1" x14ac:dyDescent="0.25">
      <c r="A905" s="62" t="s">
        <v>702</v>
      </c>
      <c r="B905" s="62">
        <v>22</v>
      </c>
      <c r="C905" s="62" t="s">
        <v>1278</v>
      </c>
      <c r="D905" s="82" t="s">
        <v>1243</v>
      </c>
      <c r="E905" s="82" t="s">
        <v>1244</v>
      </c>
      <c r="F905" s="70">
        <f>VLOOKUP(VLOOKUP(A905,'Личные данные'!A:V,6,0),'Личные данные'!$X$17:$AA$21,2,0)</f>
        <v>220</v>
      </c>
    </row>
    <row r="906" spans="1:6" ht="15.75" customHeight="1" x14ac:dyDescent="0.25">
      <c r="A906" s="62" t="s">
        <v>703</v>
      </c>
      <c r="B906" s="62">
        <v>22</v>
      </c>
      <c r="C906" s="62" t="s">
        <v>1278</v>
      </c>
      <c r="D906" s="82" t="s">
        <v>1256</v>
      </c>
      <c r="E906" s="82" t="s">
        <v>1244</v>
      </c>
      <c r="F906" s="70">
        <f>VLOOKUP(VLOOKUP(A906,'Личные данные'!A:V,6,0),'Личные данные'!$X$17:$AA$21,2,0)</f>
        <v>440</v>
      </c>
    </row>
    <row r="907" spans="1:6" ht="15.75" customHeight="1" x14ac:dyDescent="0.25">
      <c r="A907" s="62" t="s">
        <v>704</v>
      </c>
      <c r="B907" s="62">
        <v>22</v>
      </c>
      <c r="C907" s="62" t="s">
        <v>1278</v>
      </c>
      <c r="D907" s="82" t="s">
        <v>1243</v>
      </c>
      <c r="E907" s="82" t="s">
        <v>1253</v>
      </c>
      <c r="F907" s="70">
        <f>VLOOKUP(VLOOKUP(A907,'Личные данные'!A:V,6,0),'Личные данные'!$X$17:$AA$21,2,0)</f>
        <v>330</v>
      </c>
    </row>
    <row r="908" spans="1:6" ht="15.75" customHeight="1" x14ac:dyDescent="0.25">
      <c r="A908" s="62" t="s">
        <v>705</v>
      </c>
      <c r="B908" s="62">
        <v>22</v>
      </c>
      <c r="C908" s="62" t="s">
        <v>1278</v>
      </c>
      <c r="D908" s="82" t="s">
        <v>1256</v>
      </c>
      <c r="E908" s="82" t="s">
        <v>1244</v>
      </c>
      <c r="F908" s="70">
        <f>VLOOKUP(VLOOKUP(A908,'Личные данные'!A:V,6,0),'Личные данные'!$X$17:$AA$21,2,0)</f>
        <v>550</v>
      </c>
    </row>
    <row r="909" spans="1:6" ht="15.75" customHeight="1" x14ac:dyDescent="0.25">
      <c r="A909" s="62" t="s">
        <v>706</v>
      </c>
      <c r="B909" s="62">
        <v>22</v>
      </c>
      <c r="C909" s="62" t="s">
        <v>1278</v>
      </c>
      <c r="D909" s="82" t="s">
        <v>1243</v>
      </c>
      <c r="E909" s="82" t="s">
        <v>1248</v>
      </c>
      <c r="F909" s="70">
        <f>VLOOKUP(VLOOKUP(A909,'Личные данные'!A:V,6,0),'Личные данные'!$X$17:$AA$21,2,0)</f>
        <v>440</v>
      </c>
    </row>
    <row r="910" spans="1:6" ht="15.75" customHeight="1" x14ac:dyDescent="0.25">
      <c r="A910" s="62" t="s">
        <v>707</v>
      </c>
      <c r="B910" s="62">
        <v>22</v>
      </c>
      <c r="C910" s="62" t="s">
        <v>1278</v>
      </c>
      <c r="D910" s="82" t="s">
        <v>1243</v>
      </c>
      <c r="E910" s="82" t="s">
        <v>1253</v>
      </c>
      <c r="F910" s="70">
        <f>VLOOKUP(VLOOKUP(A910,'Личные данные'!A:V,6,0),'Личные данные'!$X$17:$AA$21,2,0)</f>
        <v>330</v>
      </c>
    </row>
    <row r="911" spans="1:6" ht="15.75" customHeight="1" x14ac:dyDescent="0.25">
      <c r="A911" s="62" t="s">
        <v>708</v>
      </c>
      <c r="B911" s="62">
        <v>22</v>
      </c>
      <c r="C911" s="62" t="s">
        <v>1278</v>
      </c>
      <c r="D911" s="82" t="s">
        <v>1257</v>
      </c>
      <c r="E911" s="82" t="s">
        <v>1248</v>
      </c>
      <c r="F911" s="70">
        <f>VLOOKUP(VLOOKUP(A911,'Личные данные'!A:V,6,0),'Личные данные'!$X$17:$AA$21,2,0)</f>
        <v>550</v>
      </c>
    </row>
    <row r="912" spans="1:6" ht="15.75" customHeight="1" x14ac:dyDescent="0.25">
      <c r="A912" s="62" t="s">
        <v>709</v>
      </c>
      <c r="B912" s="62">
        <v>22</v>
      </c>
      <c r="C912" s="62" t="s">
        <v>1278</v>
      </c>
      <c r="D912" s="82" t="s">
        <v>1256</v>
      </c>
      <c r="E912" s="82" t="s">
        <v>1248</v>
      </c>
      <c r="F912" s="70">
        <f>VLOOKUP(VLOOKUP(A912,'Личные данные'!A:V,6,0),'Личные данные'!$X$17:$AA$21,2,0)</f>
        <v>550</v>
      </c>
    </row>
    <row r="913" spans="1:6" ht="15.75" customHeight="1" x14ac:dyDescent="0.25">
      <c r="A913" s="62" t="s">
        <v>710</v>
      </c>
      <c r="B913" s="62">
        <v>22</v>
      </c>
      <c r="C913" s="62" t="s">
        <v>1278</v>
      </c>
      <c r="D913" s="82" t="s">
        <v>1243</v>
      </c>
      <c r="E913" s="82" t="s">
        <v>1253</v>
      </c>
      <c r="F913" s="70">
        <f>VLOOKUP(VLOOKUP(A913,'Личные данные'!A:V,6,0),'Личные данные'!$X$17:$AA$21,2,0)</f>
        <v>330</v>
      </c>
    </row>
    <row r="914" spans="1:6" ht="15.75" customHeight="1" x14ac:dyDescent="0.25">
      <c r="A914" s="62" t="s">
        <v>711</v>
      </c>
      <c r="B914" s="62">
        <v>22</v>
      </c>
      <c r="C914" s="62" t="s">
        <v>1278</v>
      </c>
      <c r="D914" s="82" t="s">
        <v>1243</v>
      </c>
      <c r="E914" s="82" t="s">
        <v>1253</v>
      </c>
      <c r="F914" s="70">
        <f>VLOOKUP(VLOOKUP(A914,'Личные данные'!A:V,6,0),'Личные данные'!$X$17:$AA$21,2,0)</f>
        <v>330</v>
      </c>
    </row>
    <row r="915" spans="1:6" ht="15.75" customHeight="1" x14ac:dyDescent="0.25">
      <c r="A915" s="62" t="s">
        <v>712</v>
      </c>
      <c r="B915" s="62">
        <v>22</v>
      </c>
      <c r="C915" s="62" t="s">
        <v>1278</v>
      </c>
      <c r="D915" s="82" t="s">
        <v>1243</v>
      </c>
      <c r="E915" s="82" t="s">
        <v>1253</v>
      </c>
      <c r="F915" s="70">
        <f>VLOOKUP(VLOOKUP(A915,'Личные данные'!A:V,6,0),'Личные данные'!$X$17:$AA$21,2,0)</f>
        <v>330</v>
      </c>
    </row>
    <row r="916" spans="1:6" ht="15.75" customHeight="1" x14ac:dyDescent="0.25">
      <c r="A916" s="62" t="s">
        <v>713</v>
      </c>
      <c r="B916" s="62">
        <v>22</v>
      </c>
      <c r="C916" s="62" t="s">
        <v>1278</v>
      </c>
      <c r="D916" s="82" t="s">
        <v>1243</v>
      </c>
      <c r="E916" s="82" t="s">
        <v>1253</v>
      </c>
      <c r="F916" s="70">
        <f>VLOOKUP(VLOOKUP(A916,'Личные данные'!A:V,6,0),'Личные данные'!$X$17:$AA$21,2,0)</f>
        <v>330</v>
      </c>
    </row>
    <row r="917" spans="1:6" ht="15.75" customHeight="1" x14ac:dyDescent="0.25">
      <c r="A917" s="62" t="s">
        <v>714</v>
      </c>
      <c r="B917" s="62">
        <v>22</v>
      </c>
      <c r="C917" s="62" t="s">
        <v>1278</v>
      </c>
      <c r="D917" s="82" t="s">
        <v>1243</v>
      </c>
      <c r="E917" s="82" t="s">
        <v>1253</v>
      </c>
      <c r="F917" s="70">
        <f>VLOOKUP(VLOOKUP(A917,'Личные данные'!A:V,6,0),'Личные данные'!$X$17:$AA$21,2,0)</f>
        <v>330</v>
      </c>
    </row>
    <row r="918" spans="1:6" ht="15.75" customHeight="1" x14ac:dyDescent="0.25">
      <c r="A918" s="62" t="s">
        <v>715</v>
      </c>
      <c r="B918" s="62">
        <v>22</v>
      </c>
      <c r="C918" s="62" t="s">
        <v>1278</v>
      </c>
      <c r="D918" s="82" t="s">
        <v>1243</v>
      </c>
      <c r="E918" s="82" t="s">
        <v>1244</v>
      </c>
      <c r="F918" s="70">
        <f>VLOOKUP(VLOOKUP(A918,'Личные данные'!A:V,6,0),'Личные данные'!$X$17:$AA$21,2,0)</f>
        <v>220</v>
      </c>
    </row>
    <row r="919" spans="1:6" ht="15.75" customHeight="1" x14ac:dyDescent="0.25">
      <c r="A919" s="62" t="s">
        <v>716</v>
      </c>
      <c r="B919" s="62">
        <v>22</v>
      </c>
      <c r="C919" s="62" t="s">
        <v>1278</v>
      </c>
      <c r="D919" s="82" t="s">
        <v>1257</v>
      </c>
      <c r="E919" s="82" t="s">
        <v>1248</v>
      </c>
      <c r="F919" s="70">
        <f>VLOOKUP(VLOOKUP(A919,'Личные данные'!A:V,6,0),'Личные данные'!$X$17:$AA$21,2,0)</f>
        <v>440</v>
      </c>
    </row>
    <row r="920" spans="1:6" ht="15.75" customHeight="1" x14ac:dyDescent="0.25">
      <c r="A920" s="62" t="s">
        <v>717</v>
      </c>
      <c r="B920" s="62">
        <v>22</v>
      </c>
      <c r="C920" s="62" t="s">
        <v>1278</v>
      </c>
      <c r="D920" s="82" t="s">
        <v>1243</v>
      </c>
      <c r="E920" s="82" t="s">
        <v>1253</v>
      </c>
      <c r="F920" s="70">
        <f>VLOOKUP(VLOOKUP(A920,'Личные данные'!A:V,6,0),'Личные данные'!$X$17:$AA$21,2,0)</f>
        <v>330</v>
      </c>
    </row>
    <row r="921" spans="1:6" ht="15.75" customHeight="1" x14ac:dyDescent="0.25">
      <c r="A921" s="62" t="s">
        <v>718</v>
      </c>
      <c r="B921" s="62">
        <v>22</v>
      </c>
      <c r="C921" s="62" t="s">
        <v>1278</v>
      </c>
      <c r="D921" s="82" t="s">
        <v>1258</v>
      </c>
      <c r="E921" s="82" t="s">
        <v>1244</v>
      </c>
      <c r="F921" s="70">
        <f>VLOOKUP(VLOOKUP(A921,'Личные данные'!A:V,6,0),'Личные данные'!$X$17:$AA$21,2,0)</f>
        <v>220</v>
      </c>
    </row>
    <row r="922" spans="1:6" ht="15.75" customHeight="1" x14ac:dyDescent="0.25">
      <c r="A922" s="62" t="s">
        <v>719</v>
      </c>
      <c r="B922" s="62">
        <v>22</v>
      </c>
      <c r="C922" s="62" t="s">
        <v>1278</v>
      </c>
      <c r="D922" s="82" t="s">
        <v>1256</v>
      </c>
      <c r="E922" s="82" t="s">
        <v>1255</v>
      </c>
      <c r="F922" s="70">
        <f>VLOOKUP(VLOOKUP(A922,'Личные данные'!A:V,6,0),'Личные данные'!$X$17:$AA$21,2,0)</f>
        <v>440</v>
      </c>
    </row>
    <row r="923" spans="1:6" ht="15.75" customHeight="1" x14ac:dyDescent="0.25">
      <c r="A923" s="62" t="s">
        <v>720</v>
      </c>
      <c r="B923" s="62">
        <v>22</v>
      </c>
      <c r="C923" s="62" t="s">
        <v>1278</v>
      </c>
      <c r="D923" s="82" t="s">
        <v>1243</v>
      </c>
      <c r="E923" s="82" t="s">
        <v>1244</v>
      </c>
      <c r="F923" s="70">
        <f>VLOOKUP(VLOOKUP(A923,'Личные данные'!A:V,6,0),'Личные данные'!$X$17:$AA$21,2,0)</f>
        <v>220</v>
      </c>
    </row>
    <row r="924" spans="1:6" ht="15.75" customHeight="1" x14ac:dyDescent="0.25">
      <c r="A924" s="62" t="s">
        <v>721</v>
      </c>
      <c r="B924" s="62">
        <v>22</v>
      </c>
      <c r="C924" s="62" t="s">
        <v>1278</v>
      </c>
      <c r="D924" s="82" t="s">
        <v>1258</v>
      </c>
      <c r="E924" s="82" t="s">
        <v>1253</v>
      </c>
      <c r="F924" s="70">
        <f>VLOOKUP(VLOOKUP(A924,'Личные данные'!A:V,6,0),'Личные данные'!$X$17:$AA$21,2,0)</f>
        <v>330</v>
      </c>
    </row>
    <row r="925" spans="1:6" ht="15.75" customHeight="1" x14ac:dyDescent="0.25">
      <c r="A925" s="62" t="s">
        <v>722</v>
      </c>
      <c r="B925" s="62">
        <v>22</v>
      </c>
      <c r="C925" s="62" t="s">
        <v>1278</v>
      </c>
      <c r="D925" s="82" t="s">
        <v>1243</v>
      </c>
      <c r="E925" s="82" t="s">
        <v>1253</v>
      </c>
      <c r="F925" s="70">
        <f>VLOOKUP(VLOOKUP(A925,'Личные данные'!A:V,6,0),'Личные данные'!$X$17:$AA$21,2,0)</f>
        <v>330</v>
      </c>
    </row>
    <row r="926" spans="1:6" ht="15.75" customHeight="1" x14ac:dyDescent="0.25">
      <c r="A926" s="62" t="s">
        <v>723</v>
      </c>
      <c r="B926" s="62">
        <v>22</v>
      </c>
      <c r="C926" s="62" t="s">
        <v>1278</v>
      </c>
      <c r="D926" s="82" t="s">
        <v>1258</v>
      </c>
      <c r="E926" s="82" t="s">
        <v>1248</v>
      </c>
      <c r="F926" s="70">
        <f>VLOOKUP(VLOOKUP(A926,'Личные данные'!A:V,6,0),'Личные данные'!$X$17:$AA$21,2,0)</f>
        <v>440</v>
      </c>
    </row>
    <row r="927" spans="1:6" ht="15.75" customHeight="1" x14ac:dyDescent="0.25">
      <c r="A927" s="62" t="s">
        <v>724</v>
      </c>
      <c r="B927" s="62">
        <v>22</v>
      </c>
      <c r="C927" s="62" t="s">
        <v>1278</v>
      </c>
      <c r="D927" s="82" t="s">
        <v>1243</v>
      </c>
      <c r="E927" s="82" t="s">
        <v>1253</v>
      </c>
      <c r="F927" s="70">
        <f>VLOOKUP(VLOOKUP(A927,'Личные данные'!A:V,6,0),'Личные данные'!$X$17:$AA$21,2,0)</f>
        <v>330</v>
      </c>
    </row>
    <row r="928" spans="1:6" ht="15.75" customHeight="1" x14ac:dyDescent="0.25">
      <c r="A928" s="62" t="s">
        <v>725</v>
      </c>
      <c r="B928" s="62">
        <v>22</v>
      </c>
      <c r="C928" s="62" t="s">
        <v>1278</v>
      </c>
      <c r="D928" s="82" t="s">
        <v>1243</v>
      </c>
      <c r="E928" s="82" t="s">
        <v>1253</v>
      </c>
      <c r="F928" s="70">
        <f>VLOOKUP(VLOOKUP(A928,'Личные данные'!A:V,6,0),'Личные данные'!$X$17:$AA$21,2,0)</f>
        <v>330</v>
      </c>
    </row>
    <row r="929" spans="1:6" ht="15.75" customHeight="1" x14ac:dyDescent="0.25">
      <c r="A929" s="62" t="s">
        <v>726</v>
      </c>
      <c r="B929" s="62">
        <v>22</v>
      </c>
      <c r="C929" s="62" t="s">
        <v>1278</v>
      </c>
      <c r="D929" s="82" t="s">
        <v>1243</v>
      </c>
      <c r="E929" s="82" t="s">
        <v>1253</v>
      </c>
      <c r="F929" s="70">
        <f>VLOOKUP(VLOOKUP(A929,'Личные данные'!A:V,6,0),'Личные данные'!$X$17:$AA$21,2,0)</f>
        <v>330</v>
      </c>
    </row>
    <row r="930" spans="1:6" ht="15.75" customHeight="1" x14ac:dyDescent="0.25">
      <c r="A930" s="62" t="s">
        <v>727</v>
      </c>
      <c r="B930" s="62">
        <v>22</v>
      </c>
      <c r="C930" s="62" t="s">
        <v>1278</v>
      </c>
      <c r="D930" s="82" t="s">
        <v>1243</v>
      </c>
      <c r="E930" s="82" t="s">
        <v>1253</v>
      </c>
      <c r="F930" s="70">
        <f>VLOOKUP(VLOOKUP(A930,'Личные данные'!A:V,6,0),'Личные данные'!$X$17:$AA$21,2,0)</f>
        <v>330</v>
      </c>
    </row>
    <row r="931" spans="1:6" ht="15.75" customHeight="1" x14ac:dyDescent="0.25">
      <c r="A931" s="62" t="s">
        <v>728</v>
      </c>
      <c r="B931" s="62">
        <v>22</v>
      </c>
      <c r="C931" s="62" t="s">
        <v>1278</v>
      </c>
      <c r="D931" s="82" t="s">
        <v>1243</v>
      </c>
      <c r="E931" s="82" t="s">
        <v>1253</v>
      </c>
      <c r="F931" s="70">
        <f>VLOOKUP(VLOOKUP(A931,'Личные данные'!A:V,6,0),'Личные данные'!$X$17:$AA$21,2,0)</f>
        <v>550</v>
      </c>
    </row>
    <row r="932" spans="1:6" ht="15.75" customHeight="1" x14ac:dyDescent="0.25">
      <c r="A932" s="62" t="s">
        <v>729</v>
      </c>
      <c r="B932" s="62">
        <v>22</v>
      </c>
      <c r="C932" s="62" t="s">
        <v>1278</v>
      </c>
      <c r="D932" s="82" t="s">
        <v>1260</v>
      </c>
      <c r="E932" s="82" t="s">
        <v>1253</v>
      </c>
      <c r="F932" s="70">
        <f>VLOOKUP(VLOOKUP(A932,'Личные данные'!A:V,6,0),'Личные данные'!$X$17:$AA$21,2,0)</f>
        <v>770</v>
      </c>
    </row>
    <row r="933" spans="1:6" ht="15.75" customHeight="1" x14ac:dyDescent="0.25">
      <c r="A933" s="62" t="s">
        <v>730</v>
      </c>
      <c r="B933" s="62">
        <v>22</v>
      </c>
      <c r="C933" s="62" t="s">
        <v>1278</v>
      </c>
      <c r="D933" s="82" t="s">
        <v>1243</v>
      </c>
      <c r="E933" s="82" t="s">
        <v>1253</v>
      </c>
      <c r="F933" s="70">
        <f>VLOOKUP(VLOOKUP(A933,'Личные данные'!A:V,6,0),'Личные данные'!$X$17:$AA$21,2,0)</f>
        <v>330</v>
      </c>
    </row>
    <row r="934" spans="1:6" ht="15.75" customHeight="1" x14ac:dyDescent="0.25">
      <c r="A934" s="62" t="s">
        <v>731</v>
      </c>
      <c r="B934" s="62">
        <v>22</v>
      </c>
      <c r="C934" s="62" t="s">
        <v>1278</v>
      </c>
      <c r="D934" s="82" t="s">
        <v>1258</v>
      </c>
      <c r="E934" s="82" t="s">
        <v>1248</v>
      </c>
      <c r="F934" s="70">
        <f>VLOOKUP(VLOOKUP(A934,'Личные данные'!A:V,6,0),'Личные данные'!$X$17:$AA$21,2,0)</f>
        <v>440</v>
      </c>
    </row>
    <row r="935" spans="1:6" ht="15.75" customHeight="1" x14ac:dyDescent="0.25">
      <c r="A935" s="62" t="s">
        <v>732</v>
      </c>
      <c r="B935" s="62">
        <v>22</v>
      </c>
      <c r="C935" s="62" t="s">
        <v>1278</v>
      </c>
      <c r="D935" s="82" t="s">
        <v>1243</v>
      </c>
      <c r="E935" s="82" t="s">
        <v>1253</v>
      </c>
      <c r="F935" s="70">
        <f>VLOOKUP(VLOOKUP(A935,'Личные данные'!A:V,6,0),'Личные данные'!$X$17:$AA$21,2,0)</f>
        <v>330</v>
      </c>
    </row>
    <row r="936" spans="1:6" ht="15.75" customHeight="1" x14ac:dyDescent="0.25">
      <c r="A936" s="62" t="s">
        <v>733</v>
      </c>
      <c r="B936" s="62">
        <v>22</v>
      </c>
      <c r="C936" s="62" t="s">
        <v>1278</v>
      </c>
      <c r="D936" s="82" t="s">
        <v>1243</v>
      </c>
      <c r="E936" s="82" t="s">
        <v>1253</v>
      </c>
      <c r="F936" s="70">
        <f>VLOOKUP(VLOOKUP(A936,'Личные данные'!A:V,6,0),'Личные данные'!$X$17:$AA$21,2,0)</f>
        <v>330</v>
      </c>
    </row>
    <row r="937" spans="1:6" ht="15.75" customHeight="1" x14ac:dyDescent="0.25">
      <c r="A937" s="62" t="s">
        <v>734</v>
      </c>
      <c r="B937" s="62">
        <v>22</v>
      </c>
      <c r="C937" s="62" t="s">
        <v>1278</v>
      </c>
      <c r="D937" s="82" t="s">
        <v>1256</v>
      </c>
      <c r="E937" s="82" t="s">
        <v>1253</v>
      </c>
      <c r="F937" s="70">
        <f>VLOOKUP(VLOOKUP(A937,'Личные данные'!A:V,6,0),'Личные данные'!$X$17:$AA$21,2,0)</f>
        <v>550</v>
      </c>
    </row>
    <row r="938" spans="1:6" ht="15.75" customHeight="1" x14ac:dyDescent="0.25">
      <c r="A938" s="62" t="s">
        <v>735</v>
      </c>
      <c r="B938" s="62">
        <v>22</v>
      </c>
      <c r="C938" s="62" t="s">
        <v>1278</v>
      </c>
      <c r="D938" s="82" t="s">
        <v>1257</v>
      </c>
      <c r="E938" s="82" t="s">
        <v>1244</v>
      </c>
      <c r="F938" s="70">
        <f>VLOOKUP(VLOOKUP(A938,'Личные данные'!A:V,6,0),'Личные данные'!$X$17:$AA$21,2,0)</f>
        <v>440</v>
      </c>
    </row>
    <row r="939" spans="1:6" ht="15.75" customHeight="1" x14ac:dyDescent="0.25">
      <c r="A939" s="62" t="s">
        <v>736</v>
      </c>
      <c r="B939" s="62">
        <v>22</v>
      </c>
      <c r="C939" s="62" t="s">
        <v>1278</v>
      </c>
      <c r="D939" s="82" t="s">
        <v>1243</v>
      </c>
      <c r="E939" s="82" t="s">
        <v>1244</v>
      </c>
      <c r="F939" s="70">
        <f>VLOOKUP(VLOOKUP(A939,'Личные данные'!A:V,6,0),'Личные данные'!$X$17:$AA$21,2,0)</f>
        <v>330</v>
      </c>
    </row>
    <row r="940" spans="1:6" ht="15.75" customHeight="1" x14ac:dyDescent="0.25">
      <c r="A940" s="62" t="s">
        <v>737</v>
      </c>
      <c r="B940" s="62">
        <v>22</v>
      </c>
      <c r="C940" s="62" t="s">
        <v>1278</v>
      </c>
      <c r="D940" s="82" t="s">
        <v>1257</v>
      </c>
      <c r="E940" s="82" t="s">
        <v>1248</v>
      </c>
      <c r="F940" s="70">
        <f>VLOOKUP(VLOOKUP(A940,'Личные данные'!A:V,6,0),'Личные данные'!$X$17:$AA$21,2,0)</f>
        <v>440</v>
      </c>
    </row>
    <row r="941" spans="1:6" ht="15.75" customHeight="1" x14ac:dyDescent="0.25">
      <c r="A941" s="62" t="s">
        <v>738</v>
      </c>
      <c r="B941" s="62">
        <v>22</v>
      </c>
      <c r="C941" s="62" t="s">
        <v>1278</v>
      </c>
      <c r="D941" s="82" t="s">
        <v>1243</v>
      </c>
      <c r="E941" s="82" t="s">
        <v>1253</v>
      </c>
      <c r="F941" s="70">
        <f>VLOOKUP(VLOOKUP(A941,'Личные данные'!A:V,6,0),'Личные данные'!$X$17:$AA$21,2,0)</f>
        <v>330</v>
      </c>
    </row>
    <row r="942" spans="1:6" ht="15.75" customHeight="1" x14ac:dyDescent="0.25">
      <c r="A942" s="62" t="s">
        <v>739</v>
      </c>
      <c r="B942" s="62">
        <v>22</v>
      </c>
      <c r="C942" s="62" t="s">
        <v>1278</v>
      </c>
      <c r="D942" s="82" t="s">
        <v>1243</v>
      </c>
      <c r="E942" s="82" t="s">
        <v>1248</v>
      </c>
      <c r="F942" s="70">
        <f>VLOOKUP(VLOOKUP(A942,'Личные данные'!A:V,6,0),'Личные данные'!$X$17:$AA$21,2,0)</f>
        <v>440</v>
      </c>
    </row>
    <row r="943" spans="1:6" ht="15.75" customHeight="1" x14ac:dyDescent="0.25">
      <c r="A943" s="62" t="s">
        <v>740</v>
      </c>
      <c r="B943" s="62">
        <v>22</v>
      </c>
      <c r="C943" s="62" t="s">
        <v>1278</v>
      </c>
      <c r="D943" s="82" t="s">
        <v>1260</v>
      </c>
      <c r="E943" s="82" t="s">
        <v>1250</v>
      </c>
      <c r="F943" s="70">
        <f>VLOOKUP(VLOOKUP(A943,'Личные данные'!A:V,6,0),'Личные данные'!$X$17:$AA$21,2,0)</f>
        <v>770</v>
      </c>
    </row>
    <row r="944" spans="1:6" ht="15.75" customHeight="1" x14ac:dyDescent="0.25">
      <c r="A944" s="62" t="s">
        <v>741</v>
      </c>
      <c r="B944" s="62">
        <v>22</v>
      </c>
      <c r="C944" s="62" t="s">
        <v>1278</v>
      </c>
      <c r="D944" s="82" t="s">
        <v>1243</v>
      </c>
      <c r="E944" s="82" t="s">
        <v>1255</v>
      </c>
      <c r="F944" s="70">
        <f>VLOOKUP(VLOOKUP(A944,'Личные данные'!A:V,6,0),'Личные данные'!$X$17:$AA$21,2,0)</f>
        <v>440</v>
      </c>
    </row>
    <row r="945" spans="1:6" ht="15.75" customHeight="1" x14ac:dyDescent="0.25">
      <c r="A945" s="62" t="s">
        <v>742</v>
      </c>
      <c r="B945" s="62">
        <v>22</v>
      </c>
      <c r="C945" s="62" t="s">
        <v>1278</v>
      </c>
      <c r="D945" s="82" t="s">
        <v>1243</v>
      </c>
      <c r="E945" s="82" t="s">
        <v>1244</v>
      </c>
      <c r="F945" s="70">
        <f>VLOOKUP(VLOOKUP(A945,'Личные данные'!A:V,6,0),'Личные данные'!$X$17:$AA$21,2,0)</f>
        <v>220</v>
      </c>
    </row>
    <row r="946" spans="1:6" ht="15.75" customHeight="1" x14ac:dyDescent="0.25">
      <c r="A946" s="62" t="s">
        <v>743</v>
      </c>
      <c r="B946" s="62">
        <v>22</v>
      </c>
      <c r="C946" s="62" t="s">
        <v>1278</v>
      </c>
      <c r="D946" s="82" t="s">
        <v>1243</v>
      </c>
      <c r="E946" s="82" t="s">
        <v>1248</v>
      </c>
      <c r="F946" s="70">
        <f>VLOOKUP(VLOOKUP(A946,'Личные данные'!A:V,6,0),'Личные данные'!$X$17:$AA$21,2,0)</f>
        <v>440</v>
      </c>
    </row>
    <row r="947" spans="1:6" ht="15.75" customHeight="1" x14ac:dyDescent="0.25">
      <c r="A947" s="62" t="s">
        <v>744</v>
      </c>
      <c r="B947" s="62">
        <v>22</v>
      </c>
      <c r="C947" s="62" t="s">
        <v>1278</v>
      </c>
      <c r="D947" s="82" t="s">
        <v>1243</v>
      </c>
      <c r="E947" s="82" t="s">
        <v>1244</v>
      </c>
      <c r="F947" s="70">
        <f>VLOOKUP(VLOOKUP(A947,'Личные данные'!A:V,6,0),'Личные данные'!$X$17:$AA$21,2,0)</f>
        <v>330</v>
      </c>
    </row>
    <row r="948" spans="1:6" ht="15.75" customHeight="1" x14ac:dyDescent="0.25">
      <c r="A948" s="62" t="s">
        <v>745</v>
      </c>
      <c r="B948" s="62">
        <v>22</v>
      </c>
      <c r="C948" s="62" t="s">
        <v>1278</v>
      </c>
      <c r="D948" s="82" t="s">
        <v>1243</v>
      </c>
      <c r="E948" s="82" t="s">
        <v>1244</v>
      </c>
      <c r="F948" s="70">
        <f>VLOOKUP(VLOOKUP(A948,'Личные данные'!A:V,6,0),'Личные данные'!$X$17:$AA$21,2,0)</f>
        <v>220</v>
      </c>
    </row>
    <row r="949" spans="1:6" ht="15.75" customHeight="1" x14ac:dyDescent="0.25">
      <c r="A949" s="62" t="s">
        <v>746</v>
      </c>
      <c r="B949" s="62">
        <v>22</v>
      </c>
      <c r="C949" s="62" t="s">
        <v>1278</v>
      </c>
      <c r="D949" s="82" t="s">
        <v>1258</v>
      </c>
      <c r="E949" s="82" t="s">
        <v>1244</v>
      </c>
      <c r="F949" s="70">
        <f>VLOOKUP(VLOOKUP(A949,'Личные данные'!A:V,6,0),'Личные данные'!$X$17:$AA$21,2,0)</f>
        <v>440</v>
      </c>
    </row>
    <row r="950" spans="1:6" ht="15.75" customHeight="1" x14ac:dyDescent="0.25">
      <c r="A950" s="62" t="s">
        <v>747</v>
      </c>
      <c r="B950" s="62">
        <v>22</v>
      </c>
      <c r="C950" s="62" t="s">
        <v>1278</v>
      </c>
      <c r="D950" s="82" t="s">
        <v>1258</v>
      </c>
      <c r="E950" s="82" t="s">
        <v>1244</v>
      </c>
      <c r="F950" s="70">
        <f>VLOOKUP(VLOOKUP(A950,'Личные данные'!A:V,6,0),'Личные данные'!$X$17:$AA$21,2,0)</f>
        <v>330</v>
      </c>
    </row>
    <row r="951" spans="1:6" ht="15.75" customHeight="1" x14ac:dyDescent="0.25">
      <c r="A951" s="62" t="s">
        <v>748</v>
      </c>
      <c r="B951" s="62">
        <v>22</v>
      </c>
      <c r="C951" s="62" t="s">
        <v>1278</v>
      </c>
      <c r="D951" s="82" t="s">
        <v>1243</v>
      </c>
      <c r="E951" s="82" t="s">
        <v>1253</v>
      </c>
      <c r="F951" s="70">
        <f>VLOOKUP(VLOOKUP(A951,'Личные данные'!A:V,6,0),'Личные данные'!$X$17:$AA$21,2,0)</f>
        <v>330</v>
      </c>
    </row>
    <row r="952" spans="1:6" ht="15.75" customHeight="1" x14ac:dyDescent="0.25">
      <c r="A952" s="62" t="s">
        <v>749</v>
      </c>
      <c r="B952" s="62">
        <v>22</v>
      </c>
      <c r="C952" s="62" t="s">
        <v>1278</v>
      </c>
      <c r="D952" s="82" t="s">
        <v>1256</v>
      </c>
      <c r="E952" s="82" t="s">
        <v>1248</v>
      </c>
      <c r="F952" s="70">
        <f>VLOOKUP(VLOOKUP(A952,'Личные данные'!A:V,6,0),'Личные данные'!$X$17:$AA$21,2,0)</f>
        <v>550</v>
      </c>
    </row>
    <row r="953" spans="1:6" ht="15.75" customHeight="1" x14ac:dyDescent="0.25">
      <c r="A953" s="62" t="s">
        <v>750</v>
      </c>
      <c r="B953" s="62">
        <v>22</v>
      </c>
      <c r="C953" s="62" t="s">
        <v>1278</v>
      </c>
      <c r="D953" s="82" t="s">
        <v>1243</v>
      </c>
      <c r="E953" s="82" t="s">
        <v>1253</v>
      </c>
      <c r="F953" s="70">
        <f>VLOOKUP(VLOOKUP(A953,'Личные данные'!A:V,6,0),'Личные данные'!$X$17:$AA$21,2,0)</f>
        <v>330</v>
      </c>
    </row>
    <row r="954" spans="1:6" ht="15.75" customHeight="1" x14ac:dyDescent="0.25">
      <c r="A954" s="62" t="s">
        <v>751</v>
      </c>
      <c r="B954" s="62">
        <v>22</v>
      </c>
      <c r="C954" s="62" t="s">
        <v>1278</v>
      </c>
      <c r="D954" s="82" t="s">
        <v>1243</v>
      </c>
      <c r="E954" s="82" t="s">
        <v>1253</v>
      </c>
      <c r="F954" s="70">
        <f>VLOOKUP(VLOOKUP(A954,'Личные данные'!A:V,6,0),'Личные данные'!$X$17:$AA$21,2,0)</f>
        <v>330</v>
      </c>
    </row>
    <row r="955" spans="1:6" ht="15.75" customHeight="1" x14ac:dyDescent="0.25">
      <c r="A955" s="62" t="s">
        <v>752</v>
      </c>
      <c r="B955" s="62">
        <v>22</v>
      </c>
      <c r="C955" s="62" t="s">
        <v>1278</v>
      </c>
      <c r="D955" s="82" t="s">
        <v>1243</v>
      </c>
      <c r="E955" s="82" t="s">
        <v>1248</v>
      </c>
      <c r="F955" s="70">
        <f>VLOOKUP(VLOOKUP(A955,'Личные данные'!A:V,6,0),'Личные данные'!$X$17:$AA$21,2,0)</f>
        <v>330</v>
      </c>
    </row>
    <row r="956" spans="1:6" ht="15.75" customHeight="1" x14ac:dyDescent="0.25">
      <c r="A956" s="62" t="s">
        <v>753</v>
      </c>
      <c r="B956" s="62">
        <v>22</v>
      </c>
      <c r="C956" s="62" t="s">
        <v>1278</v>
      </c>
      <c r="D956" s="82" t="s">
        <v>1243</v>
      </c>
      <c r="E956" s="82" t="s">
        <v>1253</v>
      </c>
      <c r="F956" s="70">
        <f>VLOOKUP(VLOOKUP(A956,'Личные данные'!A:V,6,0),'Личные данные'!$X$17:$AA$21,2,0)</f>
        <v>330</v>
      </c>
    </row>
    <row r="957" spans="1:6" ht="15.75" customHeight="1" x14ac:dyDescent="0.25">
      <c r="A957" s="62" t="s">
        <v>754</v>
      </c>
      <c r="B957" s="62">
        <v>22</v>
      </c>
      <c r="C957" s="62" t="s">
        <v>1278</v>
      </c>
      <c r="D957" s="82" t="s">
        <v>1243</v>
      </c>
      <c r="E957" s="82" t="s">
        <v>1253</v>
      </c>
      <c r="F957" s="70">
        <f>VLOOKUP(VLOOKUP(A957,'Личные данные'!A:V,6,0),'Личные данные'!$X$17:$AA$21,2,0)</f>
        <v>330</v>
      </c>
    </row>
    <row r="958" spans="1:6" ht="15.75" customHeight="1" x14ac:dyDescent="0.25">
      <c r="A958" s="62" t="s">
        <v>755</v>
      </c>
      <c r="B958" s="62">
        <v>22</v>
      </c>
      <c r="C958" s="62" t="s">
        <v>1278</v>
      </c>
      <c r="D958" s="82" t="s">
        <v>1243</v>
      </c>
      <c r="E958" s="82" t="s">
        <v>1253</v>
      </c>
      <c r="F958" s="70">
        <f>VLOOKUP(VLOOKUP(A958,'Личные данные'!A:V,6,0),'Личные данные'!$X$17:$AA$21,2,0)</f>
        <v>330</v>
      </c>
    </row>
    <row r="959" spans="1:6" ht="15.75" customHeight="1" x14ac:dyDescent="0.25">
      <c r="A959" s="62" t="s">
        <v>756</v>
      </c>
      <c r="B959" s="62">
        <v>22</v>
      </c>
      <c r="C959" s="62" t="s">
        <v>1278</v>
      </c>
      <c r="D959" s="82" t="s">
        <v>1243</v>
      </c>
      <c r="E959" s="82" t="s">
        <v>1244</v>
      </c>
      <c r="F959" s="70">
        <f>VLOOKUP(VLOOKUP(A959,'Личные данные'!A:V,6,0),'Личные данные'!$X$17:$AA$21,2,0)</f>
        <v>440</v>
      </c>
    </row>
    <row r="960" spans="1:6" ht="15.75" customHeight="1" x14ac:dyDescent="0.25">
      <c r="A960" s="62" t="s">
        <v>757</v>
      </c>
      <c r="B960" s="62">
        <v>22</v>
      </c>
      <c r="C960" s="62" t="s">
        <v>1278</v>
      </c>
      <c r="D960" s="82" t="s">
        <v>1256</v>
      </c>
      <c r="E960" s="82" t="s">
        <v>1255</v>
      </c>
      <c r="F960" s="70">
        <f>VLOOKUP(VLOOKUP(A960,'Личные данные'!A:V,6,0),'Личные данные'!$X$17:$AA$21,2,0)</f>
        <v>550</v>
      </c>
    </row>
    <row r="961" spans="1:6" ht="15.75" customHeight="1" x14ac:dyDescent="0.25">
      <c r="A961" s="62" t="s">
        <v>758</v>
      </c>
      <c r="B961" s="62">
        <v>22</v>
      </c>
      <c r="C961" s="62" t="s">
        <v>1278</v>
      </c>
      <c r="D961" s="82" t="s">
        <v>1243</v>
      </c>
      <c r="E961" s="82" t="s">
        <v>1253</v>
      </c>
      <c r="F961" s="70">
        <f>VLOOKUP(VLOOKUP(A961,'Личные данные'!A:V,6,0),'Личные данные'!$X$17:$AA$21,2,0)</f>
        <v>330</v>
      </c>
    </row>
    <row r="962" spans="1:6" ht="15.75" customHeight="1" x14ac:dyDescent="0.25">
      <c r="A962" s="62" t="s">
        <v>759</v>
      </c>
      <c r="B962" s="62">
        <v>23</v>
      </c>
      <c r="C962" s="62" t="s">
        <v>1278</v>
      </c>
      <c r="D962" s="82" t="s">
        <v>1243</v>
      </c>
      <c r="E962" s="82" t="s">
        <v>1253</v>
      </c>
      <c r="F962" s="70">
        <f>VLOOKUP(VLOOKUP(A962,'Личные данные'!A:V,6,0),'Личные данные'!$X$17:$AA$21,2,0)</f>
        <v>330</v>
      </c>
    </row>
    <row r="963" spans="1:6" ht="15.75" customHeight="1" x14ac:dyDescent="0.25">
      <c r="A963" s="62" t="s">
        <v>760</v>
      </c>
      <c r="B963" s="62">
        <v>23</v>
      </c>
      <c r="C963" s="62" t="s">
        <v>1278</v>
      </c>
      <c r="D963" s="82" t="s">
        <v>1258</v>
      </c>
      <c r="E963" s="82" t="s">
        <v>1250</v>
      </c>
      <c r="F963" s="70">
        <f>VLOOKUP(VLOOKUP(A963,'Личные данные'!A:V,6,0),'Личные данные'!$X$17:$AA$21,2,0)</f>
        <v>770</v>
      </c>
    </row>
    <row r="964" spans="1:6" ht="15.75" customHeight="1" x14ac:dyDescent="0.25">
      <c r="A964" s="62" t="s">
        <v>761</v>
      </c>
      <c r="B964" s="62">
        <v>23</v>
      </c>
      <c r="C964" s="62" t="s">
        <v>1278</v>
      </c>
      <c r="D964" s="82" t="s">
        <v>1258</v>
      </c>
      <c r="E964" s="82" t="s">
        <v>1244</v>
      </c>
      <c r="F964" s="70">
        <f>VLOOKUP(VLOOKUP(A964,'Личные данные'!A:V,6,0),'Личные данные'!$X$17:$AA$21,2,0)</f>
        <v>220</v>
      </c>
    </row>
    <row r="965" spans="1:6" ht="15.75" customHeight="1" x14ac:dyDescent="0.25">
      <c r="A965" s="62" t="s">
        <v>762</v>
      </c>
      <c r="B965" s="62">
        <v>23</v>
      </c>
      <c r="C965" s="62" t="s">
        <v>1278</v>
      </c>
      <c r="D965" s="82" t="s">
        <v>1243</v>
      </c>
      <c r="E965" s="82" t="s">
        <v>1253</v>
      </c>
      <c r="F965" s="70">
        <f>VLOOKUP(VLOOKUP(A965,'Личные данные'!A:V,6,0),'Личные данные'!$X$17:$AA$21,2,0)</f>
        <v>330</v>
      </c>
    </row>
    <row r="966" spans="1:6" ht="15.75" customHeight="1" x14ac:dyDescent="0.25">
      <c r="A966" s="62" t="s">
        <v>763</v>
      </c>
      <c r="B966" s="62">
        <v>23</v>
      </c>
      <c r="C966" s="62" t="s">
        <v>1278</v>
      </c>
      <c r="D966" s="82" t="s">
        <v>1243</v>
      </c>
      <c r="E966" s="82" t="s">
        <v>1248</v>
      </c>
      <c r="F966" s="70">
        <f>VLOOKUP(VLOOKUP(A966,'Личные данные'!A:V,6,0),'Личные данные'!$X$17:$AA$21,2,0)</f>
        <v>330</v>
      </c>
    </row>
    <row r="967" spans="1:6" ht="15.75" customHeight="1" x14ac:dyDescent="0.25">
      <c r="A967" s="62" t="s">
        <v>764</v>
      </c>
      <c r="B967" s="62">
        <v>23</v>
      </c>
      <c r="C967" s="62" t="s">
        <v>1278</v>
      </c>
      <c r="D967" s="82" t="s">
        <v>1257</v>
      </c>
      <c r="E967" s="82" t="s">
        <v>1248</v>
      </c>
      <c r="F967" s="70">
        <f>VLOOKUP(VLOOKUP(A967,'Личные данные'!A:V,6,0),'Личные данные'!$X$17:$AA$21,2,0)</f>
        <v>440</v>
      </c>
    </row>
    <row r="968" spans="1:6" ht="15.75" customHeight="1" x14ac:dyDescent="0.25">
      <c r="A968" s="62" t="s">
        <v>765</v>
      </c>
      <c r="B968" s="62">
        <v>23</v>
      </c>
      <c r="C968" s="62" t="s">
        <v>1278</v>
      </c>
      <c r="D968" s="82" t="s">
        <v>1260</v>
      </c>
      <c r="E968" s="82" t="s">
        <v>1255</v>
      </c>
      <c r="F968" s="70">
        <f>VLOOKUP(VLOOKUP(A968,'Личные данные'!A:V,6,0),'Личные данные'!$X$17:$AA$21,2,0)</f>
        <v>770</v>
      </c>
    </row>
    <row r="969" spans="1:6" ht="15.75" customHeight="1" x14ac:dyDescent="0.25">
      <c r="A969" s="62" t="s">
        <v>766</v>
      </c>
      <c r="B969" s="62">
        <v>23</v>
      </c>
      <c r="C969" s="62" t="s">
        <v>1278</v>
      </c>
      <c r="D969" s="82" t="s">
        <v>1258</v>
      </c>
      <c r="E969" s="82" t="s">
        <v>1255</v>
      </c>
      <c r="F969" s="70">
        <f>VLOOKUP(VLOOKUP(A969,'Личные данные'!A:V,6,0),'Личные данные'!$X$17:$AA$21,2,0)</f>
        <v>440</v>
      </c>
    </row>
    <row r="970" spans="1:6" ht="15.75" customHeight="1" x14ac:dyDescent="0.25">
      <c r="A970" s="62" t="s">
        <v>767</v>
      </c>
      <c r="B970" s="62">
        <v>23</v>
      </c>
      <c r="C970" s="62" t="s">
        <v>1278</v>
      </c>
      <c r="D970" s="82" t="s">
        <v>1260</v>
      </c>
      <c r="E970" s="82" t="s">
        <v>1250</v>
      </c>
      <c r="F970" s="70">
        <f>VLOOKUP(VLOOKUP(A970,'Личные данные'!A:V,6,0),'Личные данные'!$X$17:$AA$21,2,0)</f>
        <v>770</v>
      </c>
    </row>
    <row r="971" spans="1:6" ht="15.75" customHeight="1" x14ac:dyDescent="0.25">
      <c r="A971" s="62" t="s">
        <v>768</v>
      </c>
      <c r="B971" s="62">
        <v>23</v>
      </c>
      <c r="C971" s="62" t="s">
        <v>1278</v>
      </c>
      <c r="D971" s="82" t="s">
        <v>1256</v>
      </c>
      <c r="E971" s="82" t="s">
        <v>1244</v>
      </c>
      <c r="F971" s="70">
        <f>VLOOKUP(VLOOKUP(A971,'Личные данные'!A:V,6,0),'Личные данные'!$X$17:$AA$21,2,0)</f>
        <v>550</v>
      </c>
    </row>
    <row r="972" spans="1:6" ht="15.75" customHeight="1" x14ac:dyDescent="0.25">
      <c r="A972" s="62" t="s">
        <v>769</v>
      </c>
      <c r="B972" s="62">
        <v>23</v>
      </c>
      <c r="C972" s="62" t="s">
        <v>1278</v>
      </c>
      <c r="D972" s="82" t="s">
        <v>1243</v>
      </c>
      <c r="E972" s="82" t="s">
        <v>1253</v>
      </c>
      <c r="F972" s="70">
        <f>VLOOKUP(VLOOKUP(A972,'Личные данные'!A:V,6,0),'Личные данные'!$X$17:$AA$21,2,0)</f>
        <v>330</v>
      </c>
    </row>
    <row r="973" spans="1:6" ht="15.75" customHeight="1" x14ac:dyDescent="0.25">
      <c r="A973" s="62" t="s">
        <v>770</v>
      </c>
      <c r="B973" s="62">
        <v>23</v>
      </c>
      <c r="C973" s="62" t="s">
        <v>1278</v>
      </c>
      <c r="D973" s="82" t="s">
        <v>1243</v>
      </c>
      <c r="E973" s="82" t="s">
        <v>1244</v>
      </c>
      <c r="F973" s="70">
        <f>VLOOKUP(VLOOKUP(A973,'Личные данные'!A:V,6,0),'Личные данные'!$X$17:$AA$21,2,0)</f>
        <v>440</v>
      </c>
    </row>
    <row r="974" spans="1:6" ht="15.75" customHeight="1" x14ac:dyDescent="0.25">
      <c r="A974" s="62" t="s">
        <v>771</v>
      </c>
      <c r="B974" s="62">
        <v>23</v>
      </c>
      <c r="C974" s="62" t="s">
        <v>1278</v>
      </c>
      <c r="D974" s="82" t="s">
        <v>1243</v>
      </c>
      <c r="E974" s="82" t="s">
        <v>1244</v>
      </c>
      <c r="F974" s="70">
        <f>VLOOKUP(VLOOKUP(A974,'Личные данные'!A:V,6,0),'Личные данные'!$X$17:$AA$21,2,0)</f>
        <v>330</v>
      </c>
    </row>
    <row r="975" spans="1:6" ht="15.75" customHeight="1" x14ac:dyDescent="0.25">
      <c r="A975" s="62" t="s">
        <v>772</v>
      </c>
      <c r="B975" s="62">
        <v>23</v>
      </c>
      <c r="C975" s="62" t="s">
        <v>1278</v>
      </c>
      <c r="D975" s="82" t="s">
        <v>1260</v>
      </c>
      <c r="E975" s="82" t="s">
        <v>1244</v>
      </c>
      <c r="F975" s="70">
        <f>VLOOKUP(VLOOKUP(A975,'Личные данные'!A:V,6,0),'Личные данные'!$X$17:$AA$21,2,0)</f>
        <v>770</v>
      </c>
    </row>
    <row r="976" spans="1:6" ht="15.75" customHeight="1" x14ac:dyDescent="0.25">
      <c r="A976" s="62" t="s">
        <v>773</v>
      </c>
      <c r="B976" s="62">
        <v>23</v>
      </c>
      <c r="C976" s="62" t="s">
        <v>1278</v>
      </c>
      <c r="D976" s="82" t="s">
        <v>1260</v>
      </c>
      <c r="E976" s="82" t="s">
        <v>1244</v>
      </c>
      <c r="F976" s="70">
        <f>VLOOKUP(VLOOKUP(A976,'Личные данные'!A:V,6,0),'Личные данные'!$X$17:$AA$21,2,0)</f>
        <v>770</v>
      </c>
    </row>
    <row r="977" spans="1:6" ht="15.75" customHeight="1" x14ac:dyDescent="0.25">
      <c r="A977" s="62" t="s">
        <v>774</v>
      </c>
      <c r="B977" s="62">
        <v>23</v>
      </c>
      <c r="C977" s="62" t="s">
        <v>1278</v>
      </c>
      <c r="D977" s="82" t="s">
        <v>1258</v>
      </c>
      <c r="E977" s="82" t="s">
        <v>1248</v>
      </c>
      <c r="F977" s="70">
        <f>VLOOKUP(VLOOKUP(A977,'Личные данные'!A:V,6,0),'Личные данные'!$X$17:$AA$21,2,0)</f>
        <v>440</v>
      </c>
    </row>
    <row r="978" spans="1:6" ht="15.75" customHeight="1" x14ac:dyDescent="0.25">
      <c r="A978" s="62" t="s">
        <v>775</v>
      </c>
      <c r="B978" s="62">
        <v>23</v>
      </c>
      <c r="C978" s="62" t="s">
        <v>1278</v>
      </c>
      <c r="D978" s="82" t="s">
        <v>1243</v>
      </c>
      <c r="E978" s="82" t="s">
        <v>1253</v>
      </c>
      <c r="F978" s="70">
        <f>VLOOKUP(VLOOKUP(A978,'Личные данные'!A:V,6,0),'Личные данные'!$X$17:$AA$21,2,0)</f>
        <v>330</v>
      </c>
    </row>
    <row r="979" spans="1:6" ht="15.75" customHeight="1" x14ac:dyDescent="0.25">
      <c r="A979" s="62" t="s">
        <v>776</v>
      </c>
      <c r="B979" s="62">
        <v>23</v>
      </c>
      <c r="C979" s="62" t="s">
        <v>1278</v>
      </c>
      <c r="D979" s="82" t="s">
        <v>1243</v>
      </c>
      <c r="E979" s="82" t="s">
        <v>1253</v>
      </c>
      <c r="F979" s="70">
        <f>VLOOKUP(VLOOKUP(A979,'Личные данные'!A:V,6,0),'Личные данные'!$X$17:$AA$21,2,0)</f>
        <v>330</v>
      </c>
    </row>
    <row r="980" spans="1:6" ht="15.75" customHeight="1" x14ac:dyDescent="0.25">
      <c r="A980" s="62" t="s">
        <v>777</v>
      </c>
      <c r="B980" s="62">
        <v>23</v>
      </c>
      <c r="C980" s="62" t="s">
        <v>1278</v>
      </c>
      <c r="D980" s="82" t="s">
        <v>1243</v>
      </c>
      <c r="E980" s="82" t="s">
        <v>1253</v>
      </c>
      <c r="F980" s="70">
        <f>VLOOKUP(VLOOKUP(A980,'Личные данные'!A:V,6,0),'Личные данные'!$X$17:$AA$21,2,0)</f>
        <v>330</v>
      </c>
    </row>
    <row r="981" spans="1:6" ht="15.75" customHeight="1" x14ac:dyDescent="0.25">
      <c r="A981" s="62" t="s">
        <v>778</v>
      </c>
      <c r="B981" s="62">
        <v>23</v>
      </c>
      <c r="C981" s="62" t="s">
        <v>1278</v>
      </c>
      <c r="D981" s="82" t="s">
        <v>1243</v>
      </c>
      <c r="E981" s="82" t="s">
        <v>1255</v>
      </c>
      <c r="F981" s="70">
        <f>VLOOKUP(VLOOKUP(A981,'Личные данные'!A:V,6,0),'Личные данные'!$X$17:$AA$21,2,0)</f>
        <v>440</v>
      </c>
    </row>
    <row r="982" spans="1:6" ht="15.75" customHeight="1" x14ac:dyDescent="0.25">
      <c r="A982" s="62" t="s">
        <v>779</v>
      </c>
      <c r="B982" s="62">
        <v>23</v>
      </c>
      <c r="C982" s="62" t="s">
        <v>1278</v>
      </c>
      <c r="D982" s="82" t="s">
        <v>1243</v>
      </c>
      <c r="E982" s="82" t="s">
        <v>1253</v>
      </c>
      <c r="F982" s="70">
        <f>VLOOKUP(VLOOKUP(A982,'Личные данные'!A:V,6,0),'Личные данные'!$X$17:$AA$21,2,0)</f>
        <v>330</v>
      </c>
    </row>
    <row r="983" spans="1:6" ht="15.75" customHeight="1" x14ac:dyDescent="0.25">
      <c r="A983" s="62" t="s">
        <v>780</v>
      </c>
      <c r="B983" s="62">
        <v>23</v>
      </c>
      <c r="C983" s="62" t="s">
        <v>1278</v>
      </c>
      <c r="D983" s="82" t="s">
        <v>1243</v>
      </c>
      <c r="E983" s="82" t="s">
        <v>1244</v>
      </c>
      <c r="F983" s="70">
        <f>VLOOKUP(VLOOKUP(A983,'Личные данные'!A:V,6,0),'Личные данные'!$X$17:$AA$21,2,0)</f>
        <v>220</v>
      </c>
    </row>
    <row r="984" spans="1:6" ht="15.75" customHeight="1" x14ac:dyDescent="0.25">
      <c r="A984" s="62" t="s">
        <v>781</v>
      </c>
      <c r="B984" s="62">
        <v>23</v>
      </c>
      <c r="C984" s="62" t="s">
        <v>1278</v>
      </c>
      <c r="D984" s="82" t="s">
        <v>1243</v>
      </c>
      <c r="E984" s="82" t="s">
        <v>1253</v>
      </c>
      <c r="F984" s="70">
        <f>VLOOKUP(VLOOKUP(A984,'Личные данные'!A:V,6,0),'Личные данные'!$X$17:$AA$21,2,0)</f>
        <v>330</v>
      </c>
    </row>
    <row r="985" spans="1:6" ht="15.75" customHeight="1" x14ac:dyDescent="0.25">
      <c r="A985" s="62" t="s">
        <v>782</v>
      </c>
      <c r="B985" s="62">
        <v>23</v>
      </c>
      <c r="C985" s="62" t="s">
        <v>1278</v>
      </c>
      <c r="D985" s="82" t="s">
        <v>1256</v>
      </c>
      <c r="E985" s="82" t="s">
        <v>1253</v>
      </c>
      <c r="F985" s="70">
        <f>VLOOKUP(VLOOKUP(A985,'Личные данные'!A:V,6,0),'Личные данные'!$X$17:$AA$21,2,0)</f>
        <v>550</v>
      </c>
    </row>
    <row r="986" spans="1:6" ht="15.75" customHeight="1" x14ac:dyDescent="0.25">
      <c r="A986" s="62" t="s">
        <v>783</v>
      </c>
      <c r="B986" s="62">
        <v>23</v>
      </c>
      <c r="C986" s="62" t="s">
        <v>1278</v>
      </c>
      <c r="D986" s="82" t="s">
        <v>1243</v>
      </c>
      <c r="E986" s="82" t="s">
        <v>1253</v>
      </c>
      <c r="F986" s="70">
        <f>VLOOKUP(VLOOKUP(A986,'Личные данные'!A:V,6,0),'Личные данные'!$X$17:$AA$21,2,0)</f>
        <v>330</v>
      </c>
    </row>
    <row r="987" spans="1:6" ht="15.75" customHeight="1" x14ac:dyDescent="0.25">
      <c r="A987" s="62" t="s">
        <v>784</v>
      </c>
      <c r="B987" s="62">
        <v>23</v>
      </c>
      <c r="C987" s="62" t="s">
        <v>1278</v>
      </c>
      <c r="D987" s="82" t="s">
        <v>1256</v>
      </c>
      <c r="E987" s="82" t="s">
        <v>1248</v>
      </c>
      <c r="F987" s="70">
        <f>VLOOKUP(VLOOKUP(A987,'Личные данные'!A:V,6,0),'Личные данные'!$X$17:$AA$21,2,0)</f>
        <v>550</v>
      </c>
    </row>
    <row r="988" spans="1:6" ht="15.75" customHeight="1" x14ac:dyDescent="0.25">
      <c r="A988" s="62" t="s">
        <v>785</v>
      </c>
      <c r="B988" s="62">
        <v>23</v>
      </c>
      <c r="C988" s="62" t="s">
        <v>1278</v>
      </c>
      <c r="D988" s="82" t="s">
        <v>1243</v>
      </c>
      <c r="E988" s="82" t="s">
        <v>1248</v>
      </c>
      <c r="F988" s="70">
        <f>VLOOKUP(VLOOKUP(A988,'Личные данные'!A:V,6,0),'Личные данные'!$X$17:$AA$21,2,0)</f>
        <v>440</v>
      </c>
    </row>
    <row r="989" spans="1:6" ht="15.75" customHeight="1" x14ac:dyDescent="0.25">
      <c r="A989" s="62" t="s">
        <v>786</v>
      </c>
      <c r="B989" s="62">
        <v>23</v>
      </c>
      <c r="C989" s="62" t="s">
        <v>1278</v>
      </c>
      <c r="D989" s="82" t="s">
        <v>1243</v>
      </c>
      <c r="E989" s="82" t="s">
        <v>1253</v>
      </c>
      <c r="F989" s="70">
        <f>VLOOKUP(VLOOKUP(A989,'Личные данные'!A:V,6,0),'Личные данные'!$X$17:$AA$21,2,0)</f>
        <v>330</v>
      </c>
    </row>
    <row r="990" spans="1:6" ht="15.75" customHeight="1" x14ac:dyDescent="0.25">
      <c r="A990" s="62" t="s">
        <v>787</v>
      </c>
      <c r="B990" s="62">
        <v>23</v>
      </c>
      <c r="C990" s="62" t="s">
        <v>1278</v>
      </c>
      <c r="D990" s="82" t="s">
        <v>1243</v>
      </c>
      <c r="E990" s="82" t="s">
        <v>1255</v>
      </c>
      <c r="F990" s="70">
        <f>VLOOKUP(VLOOKUP(A990,'Личные данные'!A:V,6,0),'Личные данные'!$X$17:$AA$21,2,0)</f>
        <v>440</v>
      </c>
    </row>
    <row r="991" spans="1:6" ht="15.75" customHeight="1" x14ac:dyDescent="0.25">
      <c r="A991" s="62" t="s">
        <v>788</v>
      </c>
      <c r="B991" s="62">
        <v>23</v>
      </c>
      <c r="C991" s="62" t="s">
        <v>1278</v>
      </c>
      <c r="D991" s="82" t="s">
        <v>1243</v>
      </c>
      <c r="E991" s="82" t="s">
        <v>1253</v>
      </c>
      <c r="F991" s="70">
        <f>VLOOKUP(VLOOKUP(A991,'Личные данные'!A:V,6,0),'Личные данные'!$X$17:$AA$21,2,0)</f>
        <v>330</v>
      </c>
    </row>
    <row r="992" spans="1:6" ht="15.75" customHeight="1" x14ac:dyDescent="0.25">
      <c r="A992" s="62" t="s">
        <v>789</v>
      </c>
      <c r="B992" s="62">
        <v>23</v>
      </c>
      <c r="C992" s="62" t="s">
        <v>1278</v>
      </c>
      <c r="D992" s="82" t="s">
        <v>1243</v>
      </c>
      <c r="E992" s="82" t="s">
        <v>1253</v>
      </c>
      <c r="F992" s="70">
        <f>VLOOKUP(VLOOKUP(A992,'Личные данные'!A:V,6,0),'Личные данные'!$X$17:$AA$21,2,0)</f>
        <v>330</v>
      </c>
    </row>
    <row r="993" spans="1:6" ht="15.75" customHeight="1" x14ac:dyDescent="0.25">
      <c r="A993" s="62" t="s">
        <v>790</v>
      </c>
      <c r="B993" s="62">
        <v>23</v>
      </c>
      <c r="C993" s="62" t="s">
        <v>1278</v>
      </c>
      <c r="D993" s="82" t="s">
        <v>1243</v>
      </c>
      <c r="E993" s="82" t="s">
        <v>1255</v>
      </c>
      <c r="F993" s="70">
        <f>VLOOKUP(VLOOKUP(A993,'Личные данные'!A:V,6,0),'Личные данные'!$X$17:$AA$21,2,0)</f>
        <v>330</v>
      </c>
    </row>
    <row r="994" spans="1:6" ht="15.75" customHeight="1" x14ac:dyDescent="0.25">
      <c r="A994" s="62" t="s">
        <v>791</v>
      </c>
      <c r="B994" s="62">
        <v>23</v>
      </c>
      <c r="C994" s="62" t="s">
        <v>1278</v>
      </c>
      <c r="D994" s="82" t="s">
        <v>1243</v>
      </c>
      <c r="E994" s="82" t="s">
        <v>1253</v>
      </c>
      <c r="F994" s="70">
        <f>VLOOKUP(VLOOKUP(A994,'Личные данные'!A:V,6,0),'Личные данные'!$X$17:$AA$21,2,0)</f>
        <v>440</v>
      </c>
    </row>
    <row r="995" spans="1:6" ht="15.75" customHeight="1" x14ac:dyDescent="0.25">
      <c r="A995" s="62" t="s">
        <v>792</v>
      </c>
      <c r="B995" s="62">
        <v>23</v>
      </c>
      <c r="C995" s="62" t="s">
        <v>1278</v>
      </c>
      <c r="D995" s="82" t="s">
        <v>1257</v>
      </c>
      <c r="E995" s="82" t="s">
        <v>1244</v>
      </c>
      <c r="F995" s="70">
        <f>VLOOKUP(VLOOKUP(A995,'Личные данные'!A:V,6,0),'Личные данные'!$X$17:$AA$21,2,0)</f>
        <v>440</v>
      </c>
    </row>
    <row r="996" spans="1:6" ht="15.75" customHeight="1" x14ac:dyDescent="0.25">
      <c r="A996" s="62" t="s">
        <v>793</v>
      </c>
      <c r="B996" s="62">
        <v>23</v>
      </c>
      <c r="C996" s="62" t="s">
        <v>1278</v>
      </c>
      <c r="D996" s="82" t="s">
        <v>1258</v>
      </c>
      <c r="E996" s="82" t="s">
        <v>1244</v>
      </c>
      <c r="F996" s="70">
        <f>VLOOKUP(VLOOKUP(A996,'Личные данные'!A:V,6,0),'Личные данные'!$X$17:$AA$21,2,0)</f>
        <v>220</v>
      </c>
    </row>
    <row r="997" spans="1:6" ht="15.75" customHeight="1" x14ac:dyDescent="0.25">
      <c r="A997" s="62" t="s">
        <v>794</v>
      </c>
      <c r="B997" s="62">
        <v>23</v>
      </c>
      <c r="C997" s="62" t="s">
        <v>1278</v>
      </c>
      <c r="D997" s="82" t="s">
        <v>1256</v>
      </c>
      <c r="E997" s="82" t="s">
        <v>1255</v>
      </c>
      <c r="F997" s="70">
        <f>VLOOKUP(VLOOKUP(A997,'Личные данные'!A:V,6,0),'Личные данные'!$X$17:$AA$21,2,0)</f>
        <v>550</v>
      </c>
    </row>
    <row r="998" spans="1:6" ht="15.75" customHeight="1" x14ac:dyDescent="0.25">
      <c r="A998" s="62" t="s">
        <v>795</v>
      </c>
      <c r="B998" s="62">
        <v>23</v>
      </c>
      <c r="C998" s="62" t="s">
        <v>1278</v>
      </c>
      <c r="D998" s="82" t="s">
        <v>1243</v>
      </c>
      <c r="E998" s="82" t="s">
        <v>1244</v>
      </c>
      <c r="F998" s="70">
        <f>VLOOKUP(VLOOKUP(A998,'Личные данные'!A:V,6,0),'Личные данные'!$X$17:$AA$21,2,0)</f>
        <v>330</v>
      </c>
    </row>
    <row r="999" spans="1:6" ht="15.75" customHeight="1" x14ac:dyDescent="0.25">
      <c r="A999" s="62" t="s">
        <v>796</v>
      </c>
      <c r="B999" s="62">
        <v>23</v>
      </c>
      <c r="C999" s="62" t="s">
        <v>1278</v>
      </c>
      <c r="D999" s="82" t="s">
        <v>1243</v>
      </c>
      <c r="E999" s="82" t="s">
        <v>1253</v>
      </c>
      <c r="F999" s="70">
        <f>VLOOKUP(VLOOKUP(A999,'Личные данные'!A:V,6,0),'Личные данные'!$X$17:$AA$21,2,0)</f>
        <v>330</v>
      </c>
    </row>
    <row r="1000" spans="1:6" ht="15.75" customHeight="1" x14ac:dyDescent="0.25">
      <c r="A1000" s="62" t="s">
        <v>797</v>
      </c>
      <c r="B1000" s="62">
        <v>23</v>
      </c>
      <c r="C1000" s="62" t="s">
        <v>1278</v>
      </c>
      <c r="D1000" s="82" t="s">
        <v>1257</v>
      </c>
      <c r="E1000" s="82" t="s">
        <v>1248</v>
      </c>
      <c r="F1000" s="70">
        <f>VLOOKUP(VLOOKUP(A1000,'Личные данные'!A:V,6,0),'Личные данные'!$X$17:$AA$21,2,0)</f>
        <v>440</v>
      </c>
    </row>
    <row r="1001" spans="1:6" ht="15.75" customHeight="1" x14ac:dyDescent="0.25">
      <c r="A1001" s="62" t="s">
        <v>798</v>
      </c>
      <c r="B1001" s="62">
        <v>23</v>
      </c>
      <c r="C1001" s="62" t="s">
        <v>1278</v>
      </c>
      <c r="D1001" s="82" t="s">
        <v>1243</v>
      </c>
      <c r="E1001" s="82" t="s">
        <v>1248</v>
      </c>
      <c r="F1001" s="70">
        <f>VLOOKUP(VLOOKUP(A1001,'Личные данные'!A:V,6,0),'Личные данные'!$X$17:$AA$21,2,0)</f>
        <v>330</v>
      </c>
    </row>
    <row r="1002" spans="1:6" ht="15.75" customHeight="1" x14ac:dyDescent="0.25">
      <c r="A1002" s="62" t="s">
        <v>799</v>
      </c>
      <c r="B1002" s="62">
        <v>23</v>
      </c>
      <c r="C1002" s="62" t="s">
        <v>1278</v>
      </c>
      <c r="D1002" s="82" t="s">
        <v>1258</v>
      </c>
      <c r="E1002" s="82" t="s">
        <v>1244</v>
      </c>
      <c r="F1002" s="70">
        <f>VLOOKUP(VLOOKUP(A1002,'Личные данные'!A:V,6,0),'Личные данные'!$X$17:$AA$21,2,0)</f>
        <v>220</v>
      </c>
    </row>
    <row r="1003" spans="1:6" ht="15.75" customHeight="1" x14ac:dyDescent="0.25">
      <c r="A1003" s="62" t="s">
        <v>800</v>
      </c>
      <c r="B1003" s="62">
        <v>23</v>
      </c>
      <c r="C1003" s="62" t="s">
        <v>1278</v>
      </c>
      <c r="D1003" s="82" t="s">
        <v>1258</v>
      </c>
      <c r="E1003" s="82" t="s">
        <v>1248</v>
      </c>
      <c r="F1003" s="70">
        <f>VLOOKUP(VLOOKUP(A1003,'Личные данные'!A:V,6,0),'Личные данные'!$X$17:$AA$21,2,0)</f>
        <v>440</v>
      </c>
    </row>
    <row r="1004" spans="1:6" ht="15.75" customHeight="1" x14ac:dyDescent="0.25">
      <c r="A1004" s="62" t="s">
        <v>801</v>
      </c>
      <c r="B1004" s="62">
        <v>23</v>
      </c>
      <c r="C1004" s="62" t="s">
        <v>1278</v>
      </c>
      <c r="D1004" s="82" t="s">
        <v>1257</v>
      </c>
      <c r="E1004" s="82" t="s">
        <v>1255</v>
      </c>
      <c r="F1004" s="70">
        <f>VLOOKUP(VLOOKUP(A1004,'Личные данные'!A:V,6,0),'Личные данные'!$X$17:$AA$21,2,0)</f>
        <v>440</v>
      </c>
    </row>
    <row r="1005" spans="1:6" ht="15.75" customHeight="1" x14ac:dyDescent="0.25">
      <c r="A1005" s="62" t="s">
        <v>802</v>
      </c>
      <c r="B1005" s="62">
        <v>23</v>
      </c>
      <c r="C1005" s="62" t="s">
        <v>1278</v>
      </c>
      <c r="D1005" s="82" t="s">
        <v>1257</v>
      </c>
      <c r="E1005" s="82" t="s">
        <v>1248</v>
      </c>
      <c r="F1005" s="70">
        <f>VLOOKUP(VLOOKUP(A1005,'Личные данные'!A:V,6,0),'Личные данные'!$X$17:$AA$21,2,0)</f>
        <v>550</v>
      </c>
    </row>
    <row r="1006" spans="1:6" ht="15.75" customHeight="1" x14ac:dyDescent="0.25">
      <c r="A1006" s="62" t="s">
        <v>803</v>
      </c>
      <c r="B1006" s="62">
        <v>23</v>
      </c>
      <c r="C1006" s="62" t="s">
        <v>1278</v>
      </c>
      <c r="D1006" s="82" t="s">
        <v>1243</v>
      </c>
      <c r="E1006" s="82" t="s">
        <v>1255</v>
      </c>
      <c r="F1006" s="70">
        <f>VLOOKUP(VLOOKUP(A1006,'Личные данные'!A:V,6,0),'Личные данные'!$X$17:$AA$21,2,0)</f>
        <v>440</v>
      </c>
    </row>
    <row r="1007" spans="1:6" ht="15.75" customHeight="1" x14ac:dyDescent="0.25">
      <c r="A1007" s="62" t="s">
        <v>804</v>
      </c>
      <c r="B1007" s="62">
        <v>23</v>
      </c>
      <c r="C1007" s="62" t="s">
        <v>1278</v>
      </c>
      <c r="D1007" s="82" t="s">
        <v>1243</v>
      </c>
      <c r="E1007" s="82" t="s">
        <v>1253</v>
      </c>
      <c r="F1007" s="70">
        <f>VLOOKUP(VLOOKUP(A1007,'Личные данные'!A:V,6,0),'Личные данные'!$X$17:$AA$21,2,0)</f>
        <v>330</v>
      </c>
    </row>
    <row r="1008" spans="1:6" ht="15.75" customHeight="1" x14ac:dyDescent="0.25">
      <c r="A1008" s="62" t="s">
        <v>805</v>
      </c>
      <c r="B1008" s="62">
        <v>23</v>
      </c>
      <c r="C1008" s="62" t="s">
        <v>1278</v>
      </c>
      <c r="D1008" s="82" t="s">
        <v>1243</v>
      </c>
      <c r="E1008" s="82" t="s">
        <v>1253</v>
      </c>
      <c r="F1008" s="70">
        <f>VLOOKUP(VLOOKUP(A1008,'Личные данные'!A:V,6,0),'Личные данные'!$X$17:$AA$21,2,0)</f>
        <v>330</v>
      </c>
    </row>
    <row r="1009" spans="1:6" ht="15.75" customHeight="1" x14ac:dyDescent="0.25">
      <c r="A1009" s="62" t="s">
        <v>806</v>
      </c>
      <c r="B1009" s="62">
        <v>23</v>
      </c>
      <c r="C1009" s="62" t="s">
        <v>1278</v>
      </c>
      <c r="D1009" s="82" t="s">
        <v>1243</v>
      </c>
      <c r="E1009" s="82" t="s">
        <v>1253</v>
      </c>
      <c r="F1009" s="70">
        <f>VLOOKUP(VLOOKUP(A1009,'Личные данные'!A:V,6,0),'Личные данные'!$X$17:$AA$21,2,0)</f>
        <v>330</v>
      </c>
    </row>
    <row r="1010" spans="1:6" ht="15.75" customHeight="1" x14ac:dyDescent="0.25">
      <c r="A1010" s="62" t="s">
        <v>807</v>
      </c>
      <c r="B1010" s="62">
        <v>23</v>
      </c>
      <c r="C1010" s="62" t="s">
        <v>1278</v>
      </c>
      <c r="D1010" s="82" t="s">
        <v>1243</v>
      </c>
      <c r="E1010" s="82" t="s">
        <v>1248</v>
      </c>
      <c r="F1010" s="70">
        <f>VLOOKUP(VLOOKUP(A1010,'Личные данные'!A:V,6,0),'Личные данные'!$X$17:$AA$21,2,0)</f>
        <v>330</v>
      </c>
    </row>
    <row r="1011" spans="1:6" ht="15.75" customHeight="1" x14ac:dyDescent="0.25">
      <c r="A1011" s="62" t="s">
        <v>808</v>
      </c>
      <c r="B1011" s="62">
        <v>23</v>
      </c>
      <c r="C1011" s="62" t="s">
        <v>1278</v>
      </c>
      <c r="D1011" s="82" t="s">
        <v>1257</v>
      </c>
      <c r="E1011" s="82" t="s">
        <v>1248</v>
      </c>
      <c r="F1011" s="70">
        <f>VLOOKUP(VLOOKUP(A1011,'Личные данные'!A:V,6,0),'Личные данные'!$X$17:$AA$21,2,0)</f>
        <v>440</v>
      </c>
    </row>
    <row r="1012" spans="1:6" ht="15.75" customHeight="1" x14ac:dyDescent="0.25">
      <c r="A1012" s="62" t="s">
        <v>809</v>
      </c>
      <c r="B1012" s="62">
        <v>23</v>
      </c>
      <c r="C1012" s="62" t="s">
        <v>1278</v>
      </c>
      <c r="D1012" s="82" t="s">
        <v>1260</v>
      </c>
      <c r="E1012" s="82" t="s">
        <v>1250</v>
      </c>
      <c r="F1012" s="70">
        <f>VLOOKUP(VLOOKUP(A1012,'Личные данные'!A:V,6,0),'Личные данные'!$X$17:$AA$21,2,0)</f>
        <v>770</v>
      </c>
    </row>
    <row r="1013" spans="1:6" ht="15.75" customHeight="1" x14ac:dyDescent="0.25">
      <c r="A1013" s="62" t="s">
        <v>810</v>
      </c>
      <c r="B1013" s="62">
        <v>23</v>
      </c>
      <c r="C1013" s="62" t="s">
        <v>1278</v>
      </c>
      <c r="D1013" s="82" t="s">
        <v>1243</v>
      </c>
      <c r="E1013" s="82" t="s">
        <v>1253</v>
      </c>
      <c r="F1013" s="70">
        <f>VLOOKUP(VLOOKUP(A1013,'Личные данные'!A:V,6,0),'Личные данные'!$X$17:$AA$21,2,0)</f>
        <v>330</v>
      </c>
    </row>
    <row r="1014" spans="1:6" ht="15.75" customHeight="1" x14ac:dyDescent="0.25">
      <c r="A1014" s="62" t="s">
        <v>811</v>
      </c>
      <c r="B1014" s="62">
        <v>23</v>
      </c>
      <c r="C1014" s="62" t="s">
        <v>1278</v>
      </c>
      <c r="D1014" s="82" t="s">
        <v>1258</v>
      </c>
      <c r="E1014" s="82" t="s">
        <v>1255</v>
      </c>
      <c r="F1014" s="70">
        <f>VLOOKUP(VLOOKUP(A1014,'Личные данные'!A:V,6,0),'Личные данные'!$X$17:$AA$21,2,0)</f>
        <v>440</v>
      </c>
    </row>
    <row r="1015" spans="1:6" ht="15.75" customHeight="1" x14ac:dyDescent="0.25">
      <c r="A1015" s="62" t="s">
        <v>812</v>
      </c>
      <c r="B1015" s="62">
        <v>23</v>
      </c>
      <c r="C1015" s="62" t="s">
        <v>1278</v>
      </c>
      <c r="D1015" s="82" t="s">
        <v>1243</v>
      </c>
      <c r="E1015" s="82" t="s">
        <v>1244</v>
      </c>
      <c r="F1015" s="70">
        <f>VLOOKUP(VLOOKUP(A1015,'Личные данные'!A:V,6,0),'Личные данные'!$X$17:$AA$21,2,0)</f>
        <v>220</v>
      </c>
    </row>
    <row r="1016" spans="1:6" ht="15.75" customHeight="1" x14ac:dyDescent="0.25">
      <c r="A1016" s="62" t="s">
        <v>813</v>
      </c>
      <c r="B1016" s="62">
        <v>23</v>
      </c>
      <c r="C1016" s="62" t="s">
        <v>1278</v>
      </c>
      <c r="D1016" s="82" t="s">
        <v>1243</v>
      </c>
      <c r="E1016" s="82" t="s">
        <v>1248</v>
      </c>
      <c r="F1016" s="70">
        <f>VLOOKUP(VLOOKUP(A1016,'Личные данные'!A:V,6,0),'Личные данные'!$X$17:$AA$21,2,0)</f>
        <v>550</v>
      </c>
    </row>
    <row r="1017" spans="1:6" ht="15.75" customHeight="1" x14ac:dyDescent="0.25">
      <c r="A1017" s="62" t="s">
        <v>814</v>
      </c>
      <c r="B1017" s="62">
        <v>23</v>
      </c>
      <c r="C1017" s="62" t="s">
        <v>1278</v>
      </c>
      <c r="D1017" s="82" t="s">
        <v>1257</v>
      </c>
      <c r="E1017" s="82" t="s">
        <v>1255</v>
      </c>
      <c r="F1017" s="70">
        <f>VLOOKUP(VLOOKUP(A1017,'Личные данные'!A:V,6,0),'Личные данные'!$X$17:$AA$21,2,0)</f>
        <v>440</v>
      </c>
    </row>
    <row r="1018" spans="1:6" ht="15.75" customHeight="1" x14ac:dyDescent="0.25">
      <c r="A1018" s="62" t="s">
        <v>815</v>
      </c>
      <c r="B1018" s="62">
        <v>23</v>
      </c>
      <c r="C1018" s="62" t="s">
        <v>1278</v>
      </c>
      <c r="D1018" s="82" t="s">
        <v>1257</v>
      </c>
      <c r="E1018" s="82" t="s">
        <v>1248</v>
      </c>
      <c r="F1018" s="70">
        <f>VLOOKUP(VLOOKUP(A1018,'Личные данные'!A:V,6,0),'Личные данные'!$X$17:$AA$21,2,0)</f>
        <v>440</v>
      </c>
    </row>
    <row r="1019" spans="1:6" ht="15.75" customHeight="1" x14ac:dyDescent="0.25">
      <c r="A1019" s="62" t="s">
        <v>816</v>
      </c>
      <c r="B1019" s="62">
        <v>23</v>
      </c>
      <c r="C1019" s="62" t="s">
        <v>1278</v>
      </c>
      <c r="D1019" s="82" t="s">
        <v>1243</v>
      </c>
      <c r="E1019" s="82" t="s">
        <v>1253</v>
      </c>
      <c r="F1019" s="70">
        <f>VLOOKUP(VLOOKUP(A1019,'Личные данные'!A:V,6,0),'Личные данные'!$X$17:$AA$21,2,0)</f>
        <v>330</v>
      </c>
    </row>
    <row r="1020" spans="1:6" ht="15.75" customHeight="1" x14ac:dyDescent="0.25">
      <c r="A1020" s="62" t="s">
        <v>817</v>
      </c>
      <c r="B1020" s="62">
        <v>23</v>
      </c>
      <c r="C1020" s="62" t="s">
        <v>1278</v>
      </c>
      <c r="D1020" s="82" t="s">
        <v>1256</v>
      </c>
      <c r="E1020" s="82" t="s">
        <v>1248</v>
      </c>
      <c r="F1020" s="70">
        <f>VLOOKUP(VLOOKUP(A1020,'Личные данные'!A:V,6,0),'Личные данные'!$X$17:$AA$21,2,0)</f>
        <v>550</v>
      </c>
    </row>
    <row r="1021" spans="1:6" ht="15.75" customHeight="1" x14ac:dyDescent="0.25">
      <c r="A1021" s="62" t="s">
        <v>818</v>
      </c>
      <c r="B1021" s="62">
        <v>23</v>
      </c>
      <c r="C1021" s="62" t="s">
        <v>1278</v>
      </c>
      <c r="D1021" s="82" t="s">
        <v>1243</v>
      </c>
      <c r="E1021" s="82" t="s">
        <v>1253</v>
      </c>
      <c r="F1021" s="70">
        <f>VLOOKUP(VLOOKUP(A1021,'Личные данные'!A:V,6,0),'Личные данные'!$X$17:$AA$21,2,0)</f>
        <v>330</v>
      </c>
    </row>
    <row r="1022" spans="1:6" ht="15.75" customHeight="1" x14ac:dyDescent="0.25">
      <c r="A1022" s="62" t="s">
        <v>819</v>
      </c>
      <c r="B1022" s="62">
        <v>23</v>
      </c>
      <c r="C1022" s="62" t="s">
        <v>1278</v>
      </c>
      <c r="D1022" s="82" t="s">
        <v>1257</v>
      </c>
      <c r="E1022" s="82" t="s">
        <v>1253</v>
      </c>
      <c r="F1022" s="70">
        <f>VLOOKUP(VLOOKUP(A1022,'Личные данные'!A:V,6,0),'Личные данные'!$X$17:$AA$21,2,0)</f>
        <v>550</v>
      </c>
    </row>
    <row r="1023" spans="1:6" ht="15.75" customHeight="1" x14ac:dyDescent="0.25">
      <c r="A1023" s="62" t="s">
        <v>820</v>
      </c>
      <c r="B1023" s="62">
        <v>23</v>
      </c>
      <c r="C1023" s="62" t="s">
        <v>1278</v>
      </c>
      <c r="D1023" s="82" t="s">
        <v>1256</v>
      </c>
      <c r="E1023" s="82" t="s">
        <v>1253</v>
      </c>
      <c r="F1023" s="70">
        <f>VLOOKUP(VLOOKUP(A1023,'Личные данные'!A:V,6,0),'Личные данные'!$X$17:$AA$21,2,0)</f>
        <v>550</v>
      </c>
    </row>
    <row r="1024" spans="1:6" ht="15.75" customHeight="1" x14ac:dyDescent="0.25">
      <c r="A1024" s="62" t="s">
        <v>821</v>
      </c>
      <c r="B1024" s="62">
        <v>23</v>
      </c>
      <c r="C1024" s="62" t="s">
        <v>1278</v>
      </c>
      <c r="D1024" s="82" t="s">
        <v>1257</v>
      </c>
      <c r="E1024" s="82" t="s">
        <v>1255</v>
      </c>
      <c r="F1024" s="70">
        <f>VLOOKUP(VLOOKUP(A1024,'Личные данные'!A:V,6,0),'Личные данные'!$X$17:$AA$21,2,0)</f>
        <v>440</v>
      </c>
    </row>
    <row r="1025" spans="1:6" ht="15.75" customHeight="1" x14ac:dyDescent="0.25">
      <c r="A1025" s="62" t="s">
        <v>822</v>
      </c>
      <c r="B1025" s="62">
        <v>23</v>
      </c>
      <c r="C1025" s="62" t="s">
        <v>1278</v>
      </c>
      <c r="D1025" s="82" t="s">
        <v>1258</v>
      </c>
      <c r="E1025" s="82" t="s">
        <v>1253</v>
      </c>
      <c r="F1025" s="70">
        <f>VLOOKUP(VLOOKUP(A1025,'Личные данные'!A:V,6,0),'Личные данные'!$X$17:$AA$21,2,0)</f>
        <v>550</v>
      </c>
    </row>
    <row r="1026" spans="1:6" ht="15.75" customHeight="1" x14ac:dyDescent="0.25">
      <c r="A1026" s="62" t="s">
        <v>823</v>
      </c>
      <c r="B1026" s="62">
        <v>23</v>
      </c>
      <c r="C1026" s="62" t="s">
        <v>1278</v>
      </c>
      <c r="D1026" s="82" t="s">
        <v>1256</v>
      </c>
      <c r="E1026" s="82" t="s">
        <v>1248</v>
      </c>
      <c r="F1026" s="70">
        <f>VLOOKUP(VLOOKUP(A1026,'Личные данные'!A:V,6,0),'Личные данные'!$X$17:$AA$21,2,0)</f>
        <v>440</v>
      </c>
    </row>
    <row r="1027" spans="1:6" ht="15.75" customHeight="1" x14ac:dyDescent="0.25">
      <c r="A1027" s="62" t="s">
        <v>824</v>
      </c>
      <c r="B1027" s="62">
        <v>23</v>
      </c>
      <c r="C1027" s="62" t="s">
        <v>1278</v>
      </c>
      <c r="D1027" s="82" t="s">
        <v>1256</v>
      </c>
      <c r="E1027" s="82" t="s">
        <v>1253</v>
      </c>
      <c r="F1027" s="70">
        <f>VLOOKUP(VLOOKUP(A1027,'Личные данные'!A:V,6,0),'Личные данные'!$X$17:$AA$21,2,0)</f>
        <v>770</v>
      </c>
    </row>
    <row r="1028" spans="1:6" ht="15.75" customHeight="1" x14ac:dyDescent="0.25">
      <c r="A1028" s="62" t="s">
        <v>825</v>
      </c>
      <c r="B1028" s="62">
        <v>23</v>
      </c>
      <c r="C1028" s="62" t="s">
        <v>1278</v>
      </c>
      <c r="D1028" s="82" t="s">
        <v>1256</v>
      </c>
      <c r="E1028" s="82" t="s">
        <v>1244</v>
      </c>
      <c r="F1028" s="70">
        <f>VLOOKUP(VLOOKUP(A1028,'Личные данные'!A:V,6,0),'Личные данные'!$X$17:$AA$21,2,0)</f>
        <v>330</v>
      </c>
    </row>
    <row r="1029" spans="1:6" ht="15.75" customHeight="1" x14ac:dyDescent="0.25">
      <c r="A1029" s="62" t="s">
        <v>826</v>
      </c>
      <c r="B1029" s="62">
        <v>23</v>
      </c>
      <c r="C1029" s="62" t="s">
        <v>1278</v>
      </c>
      <c r="D1029" s="82" t="s">
        <v>1243</v>
      </c>
      <c r="E1029" s="82" t="s">
        <v>1253</v>
      </c>
      <c r="F1029" s="70">
        <f>VLOOKUP(VLOOKUP(A1029,'Личные данные'!A:V,6,0),'Личные данные'!$X$17:$AA$21,2,0)</f>
        <v>550</v>
      </c>
    </row>
    <row r="1030" spans="1:6" ht="15.75" customHeight="1" x14ac:dyDescent="0.25">
      <c r="A1030" s="62" t="s">
        <v>827</v>
      </c>
      <c r="B1030" s="62">
        <v>23</v>
      </c>
      <c r="C1030" s="62" t="s">
        <v>1278</v>
      </c>
      <c r="D1030" s="82" t="s">
        <v>1258</v>
      </c>
      <c r="E1030" s="82" t="s">
        <v>1248</v>
      </c>
      <c r="F1030" s="70">
        <f>VLOOKUP(VLOOKUP(A1030,'Личные данные'!A:V,6,0),'Личные данные'!$X$17:$AA$21,2,0)</f>
        <v>440</v>
      </c>
    </row>
    <row r="1031" spans="1:6" ht="15.75" customHeight="1" x14ac:dyDescent="0.25">
      <c r="A1031" s="62" t="s">
        <v>828</v>
      </c>
      <c r="B1031" s="62">
        <v>23</v>
      </c>
      <c r="C1031" s="62" t="s">
        <v>1278</v>
      </c>
      <c r="D1031" s="82" t="s">
        <v>1260</v>
      </c>
      <c r="E1031" s="82" t="s">
        <v>1248</v>
      </c>
      <c r="F1031" s="70">
        <f>VLOOKUP(VLOOKUP(A1031,'Личные данные'!A:V,6,0),'Личные данные'!$X$17:$AA$21,2,0)</f>
        <v>770</v>
      </c>
    </row>
    <row r="1032" spans="1:6" ht="15.75" customHeight="1" x14ac:dyDescent="0.25">
      <c r="A1032" s="62" t="s">
        <v>829</v>
      </c>
      <c r="B1032" s="62">
        <v>23</v>
      </c>
      <c r="C1032" s="62" t="s">
        <v>1278</v>
      </c>
      <c r="D1032" s="82" t="s">
        <v>1256</v>
      </c>
      <c r="E1032" s="82" t="s">
        <v>1244</v>
      </c>
      <c r="F1032" s="70">
        <f>VLOOKUP(VLOOKUP(A1032,'Личные данные'!A:V,6,0),'Личные данные'!$X$17:$AA$21,2,0)</f>
        <v>440</v>
      </c>
    </row>
    <row r="1033" spans="1:6" ht="15.75" customHeight="1" x14ac:dyDescent="0.25">
      <c r="A1033" s="62" t="s">
        <v>830</v>
      </c>
      <c r="B1033" s="62">
        <v>23</v>
      </c>
      <c r="C1033" s="62" t="s">
        <v>1278</v>
      </c>
      <c r="D1033" s="82" t="s">
        <v>1257</v>
      </c>
      <c r="E1033" s="82" t="s">
        <v>1248</v>
      </c>
      <c r="F1033" s="70">
        <f>VLOOKUP(VLOOKUP(A1033,'Личные данные'!A:V,6,0),'Личные данные'!$X$17:$AA$21,2,0)</f>
        <v>440</v>
      </c>
    </row>
    <row r="1034" spans="1:6" ht="15.75" customHeight="1" x14ac:dyDescent="0.25">
      <c r="A1034" s="62" t="s">
        <v>831</v>
      </c>
      <c r="B1034" s="62">
        <v>23</v>
      </c>
      <c r="C1034" s="62" t="s">
        <v>1278</v>
      </c>
      <c r="D1034" s="82" t="s">
        <v>1243</v>
      </c>
      <c r="E1034" s="82" t="s">
        <v>1244</v>
      </c>
      <c r="F1034" s="70">
        <f>VLOOKUP(VLOOKUP(A1034,'Личные данные'!A:V,6,0),'Личные данные'!$X$17:$AA$21,2,0)</f>
        <v>220</v>
      </c>
    </row>
    <row r="1035" spans="1:6" ht="15.75" customHeight="1" x14ac:dyDescent="0.25">
      <c r="A1035" s="62" t="s">
        <v>832</v>
      </c>
      <c r="B1035" s="62">
        <v>23</v>
      </c>
      <c r="C1035" s="62" t="s">
        <v>1278</v>
      </c>
      <c r="D1035" s="82" t="s">
        <v>1243</v>
      </c>
      <c r="E1035" s="82" t="s">
        <v>1244</v>
      </c>
      <c r="F1035" s="70">
        <f>VLOOKUP(VLOOKUP(A1035,'Личные данные'!A:V,6,0),'Личные данные'!$X$17:$AA$21,2,0)</f>
        <v>220</v>
      </c>
    </row>
    <row r="1036" spans="1:6" ht="15.75" customHeight="1" x14ac:dyDescent="0.25">
      <c r="A1036" s="62" t="s">
        <v>833</v>
      </c>
      <c r="B1036" s="62">
        <v>23</v>
      </c>
      <c r="C1036" s="62" t="s">
        <v>1278</v>
      </c>
      <c r="D1036" s="82" t="s">
        <v>1258</v>
      </c>
      <c r="E1036" s="82" t="s">
        <v>1244</v>
      </c>
      <c r="F1036" s="70">
        <f>VLOOKUP(VLOOKUP(A1036,'Личные данные'!A:V,6,0),'Личные данные'!$X$17:$AA$21,2,0)</f>
        <v>220</v>
      </c>
    </row>
    <row r="1037" spans="1:6" ht="15.75" customHeight="1" x14ac:dyDescent="0.25">
      <c r="A1037" s="62" t="s">
        <v>834</v>
      </c>
      <c r="B1037" s="62">
        <v>23</v>
      </c>
      <c r="C1037" s="62" t="s">
        <v>1278</v>
      </c>
      <c r="D1037" s="82" t="s">
        <v>1243</v>
      </c>
      <c r="E1037" s="82" t="s">
        <v>1253</v>
      </c>
      <c r="F1037" s="70">
        <f>VLOOKUP(VLOOKUP(A1037,'Личные данные'!A:V,6,0),'Личные данные'!$X$17:$AA$21,2,0)</f>
        <v>330</v>
      </c>
    </row>
    <row r="1038" spans="1:6" ht="15.75" customHeight="1" x14ac:dyDescent="0.25">
      <c r="A1038" s="62" t="s">
        <v>835</v>
      </c>
      <c r="B1038" s="62">
        <v>23</v>
      </c>
      <c r="C1038" s="62" t="s">
        <v>1278</v>
      </c>
      <c r="D1038" s="82" t="s">
        <v>1243</v>
      </c>
      <c r="E1038" s="82" t="s">
        <v>1244</v>
      </c>
      <c r="F1038" s="70">
        <f>VLOOKUP(VLOOKUP(A1038,'Личные данные'!A:V,6,0),'Личные данные'!$X$17:$AA$21,2,0)</f>
        <v>330</v>
      </c>
    </row>
    <row r="1039" spans="1:6" ht="15.75" customHeight="1" x14ac:dyDescent="0.25">
      <c r="A1039" s="62" t="s">
        <v>836</v>
      </c>
      <c r="B1039" s="62">
        <v>23</v>
      </c>
      <c r="C1039" s="62" t="s">
        <v>1278</v>
      </c>
      <c r="D1039" s="82" t="s">
        <v>1243</v>
      </c>
      <c r="E1039" s="82" t="s">
        <v>1253</v>
      </c>
      <c r="F1039" s="70">
        <f>VLOOKUP(VLOOKUP(A1039,'Личные данные'!A:V,6,0),'Личные данные'!$X$17:$AA$21,2,0)</f>
        <v>330</v>
      </c>
    </row>
    <row r="1040" spans="1:6" ht="15.75" customHeight="1" x14ac:dyDescent="0.25">
      <c r="A1040" s="62" t="s">
        <v>837</v>
      </c>
      <c r="B1040" s="62">
        <v>23</v>
      </c>
      <c r="C1040" s="62" t="s">
        <v>1278</v>
      </c>
      <c r="D1040" s="82" t="s">
        <v>1243</v>
      </c>
      <c r="E1040" s="82" t="s">
        <v>1248</v>
      </c>
      <c r="F1040" s="70">
        <f>VLOOKUP(VLOOKUP(A1040,'Личные данные'!A:V,6,0),'Личные данные'!$X$17:$AA$21,2,0)</f>
        <v>440</v>
      </c>
    </row>
    <row r="1041" spans="1:6" ht="15.75" customHeight="1" x14ac:dyDescent="0.25">
      <c r="A1041" s="62" t="s">
        <v>838</v>
      </c>
      <c r="B1041" s="62">
        <v>23</v>
      </c>
      <c r="C1041" s="62" t="s">
        <v>1278</v>
      </c>
      <c r="D1041" s="82" t="s">
        <v>1257</v>
      </c>
      <c r="E1041" s="82" t="s">
        <v>1248</v>
      </c>
      <c r="F1041" s="70">
        <f>VLOOKUP(VLOOKUP(A1041,'Личные данные'!A:V,6,0),'Личные данные'!$X$17:$AA$21,2,0)</f>
        <v>550</v>
      </c>
    </row>
    <row r="1042" spans="1:6" ht="15.75" customHeight="1" x14ac:dyDescent="0.25">
      <c r="A1042" s="62" t="s">
        <v>839</v>
      </c>
      <c r="B1042" s="62">
        <v>23</v>
      </c>
      <c r="C1042" s="62" t="s">
        <v>1278</v>
      </c>
      <c r="D1042" s="82" t="s">
        <v>1243</v>
      </c>
      <c r="E1042" s="82" t="s">
        <v>1253</v>
      </c>
      <c r="F1042" s="70">
        <f>VLOOKUP(VLOOKUP(A1042,'Личные данные'!A:V,6,0),'Личные данные'!$X$17:$AA$21,2,0)</f>
        <v>330</v>
      </c>
    </row>
    <row r="1043" spans="1:6" ht="15.75" customHeight="1" x14ac:dyDescent="0.25">
      <c r="A1043" s="62" t="s">
        <v>840</v>
      </c>
      <c r="B1043" s="62">
        <v>23</v>
      </c>
      <c r="C1043" s="62" t="s">
        <v>1278</v>
      </c>
      <c r="D1043" s="82" t="s">
        <v>1256</v>
      </c>
      <c r="E1043" s="82" t="s">
        <v>1248</v>
      </c>
      <c r="F1043" s="70">
        <f>VLOOKUP(VLOOKUP(A1043,'Личные данные'!A:V,6,0),'Личные данные'!$X$17:$AA$21,2,0)</f>
        <v>550</v>
      </c>
    </row>
    <row r="1044" spans="1:6" ht="15.75" customHeight="1" x14ac:dyDescent="0.25">
      <c r="A1044" s="62" t="s">
        <v>841</v>
      </c>
      <c r="B1044" s="62">
        <v>23</v>
      </c>
      <c r="C1044" s="62" t="s">
        <v>1278</v>
      </c>
      <c r="D1044" s="82" t="s">
        <v>1258</v>
      </c>
      <c r="E1044" s="82" t="s">
        <v>1244</v>
      </c>
      <c r="F1044" s="70">
        <f>VLOOKUP(VLOOKUP(A1044,'Личные данные'!A:V,6,0),'Личные данные'!$X$17:$AA$21,2,0)</f>
        <v>440</v>
      </c>
    </row>
    <row r="1045" spans="1:6" ht="15.75" customHeight="1" x14ac:dyDescent="0.25">
      <c r="A1045" s="62" t="s">
        <v>842</v>
      </c>
      <c r="B1045" s="62">
        <v>23</v>
      </c>
      <c r="C1045" s="62" t="s">
        <v>1278</v>
      </c>
      <c r="D1045" s="82" t="s">
        <v>1243</v>
      </c>
      <c r="E1045" s="82" t="s">
        <v>1253</v>
      </c>
      <c r="F1045" s="70">
        <f>VLOOKUP(VLOOKUP(A1045,'Личные данные'!A:V,6,0),'Личные данные'!$X$17:$AA$21,2,0)</f>
        <v>330</v>
      </c>
    </row>
    <row r="1046" spans="1:6" ht="15.75" customHeight="1" x14ac:dyDescent="0.25">
      <c r="A1046" s="62" t="s">
        <v>843</v>
      </c>
      <c r="B1046" s="62">
        <v>23</v>
      </c>
      <c r="C1046" s="62" t="s">
        <v>1278</v>
      </c>
      <c r="D1046" s="82" t="s">
        <v>1257</v>
      </c>
      <c r="E1046" s="82" t="s">
        <v>1248</v>
      </c>
      <c r="F1046" s="70">
        <f>VLOOKUP(VLOOKUP(A1046,'Личные данные'!A:V,6,0),'Личные данные'!$X$17:$AA$21,2,0)</f>
        <v>440</v>
      </c>
    </row>
    <row r="1047" spans="1:6" ht="15.75" customHeight="1" x14ac:dyDescent="0.25">
      <c r="A1047" s="62" t="s">
        <v>844</v>
      </c>
      <c r="B1047" s="62">
        <v>23</v>
      </c>
      <c r="C1047" s="62" t="s">
        <v>1278</v>
      </c>
      <c r="D1047" s="82" t="s">
        <v>1258</v>
      </c>
      <c r="E1047" s="82" t="s">
        <v>1244</v>
      </c>
      <c r="F1047" s="70">
        <f>VLOOKUP(VLOOKUP(A1047,'Личные данные'!A:V,6,0),'Личные данные'!$X$17:$AA$21,2,0)</f>
        <v>440</v>
      </c>
    </row>
    <row r="1048" spans="1:6" ht="15.75" customHeight="1" x14ac:dyDescent="0.25">
      <c r="A1048" s="62" t="s">
        <v>845</v>
      </c>
      <c r="B1048" s="62">
        <v>23</v>
      </c>
      <c r="C1048" s="62" t="s">
        <v>1278</v>
      </c>
      <c r="D1048" s="82" t="s">
        <v>1258</v>
      </c>
      <c r="E1048" s="82" t="s">
        <v>1248</v>
      </c>
      <c r="F1048" s="70">
        <f>VLOOKUP(VLOOKUP(A1048,'Личные данные'!A:V,6,0),'Личные данные'!$X$17:$AA$21,2,0)</f>
        <v>440</v>
      </c>
    </row>
    <row r="1049" spans="1:6" ht="15.75" customHeight="1" x14ac:dyDescent="0.25">
      <c r="A1049" s="62" t="s">
        <v>846</v>
      </c>
      <c r="B1049" s="62">
        <v>23</v>
      </c>
      <c r="C1049" s="62" t="s">
        <v>1278</v>
      </c>
      <c r="D1049" s="82" t="s">
        <v>1257</v>
      </c>
      <c r="E1049" s="82" t="s">
        <v>1244</v>
      </c>
      <c r="F1049" s="70">
        <f>VLOOKUP(VLOOKUP(A1049,'Личные данные'!A:V,6,0),'Личные данные'!$X$17:$AA$21,2,0)</f>
        <v>440</v>
      </c>
    </row>
    <row r="1050" spans="1:6" ht="15.75" customHeight="1" x14ac:dyDescent="0.25">
      <c r="A1050" s="62" t="s">
        <v>847</v>
      </c>
      <c r="B1050" s="62">
        <v>23</v>
      </c>
      <c r="C1050" s="62" t="s">
        <v>1278</v>
      </c>
      <c r="D1050" s="82" t="s">
        <v>1257</v>
      </c>
      <c r="E1050" s="82" t="s">
        <v>1255</v>
      </c>
      <c r="F1050" s="70">
        <f>VLOOKUP(VLOOKUP(A1050,'Личные данные'!A:V,6,0),'Личные данные'!$X$17:$AA$21,2,0)</f>
        <v>440</v>
      </c>
    </row>
    <row r="1051" spans="1:6" ht="15.75" customHeight="1" x14ac:dyDescent="0.25">
      <c r="A1051" s="62" t="s">
        <v>848</v>
      </c>
      <c r="B1051" s="62">
        <v>23</v>
      </c>
      <c r="C1051" s="62" t="s">
        <v>1278</v>
      </c>
      <c r="D1051" s="82" t="s">
        <v>1258</v>
      </c>
      <c r="E1051" s="82" t="s">
        <v>1248</v>
      </c>
      <c r="F1051" s="70">
        <f>VLOOKUP(VLOOKUP(A1051,'Личные данные'!A:V,6,0),'Личные данные'!$X$17:$AA$21,2,0)</f>
        <v>440</v>
      </c>
    </row>
    <row r="1052" spans="1:6" ht="15.75" customHeight="1" x14ac:dyDescent="0.25">
      <c r="A1052" s="62" t="s">
        <v>849</v>
      </c>
      <c r="B1052" s="62">
        <v>23</v>
      </c>
      <c r="C1052" s="62" t="s">
        <v>1278</v>
      </c>
      <c r="D1052" s="82" t="s">
        <v>1258</v>
      </c>
      <c r="E1052" s="82" t="s">
        <v>1244</v>
      </c>
      <c r="F1052" s="70">
        <f>VLOOKUP(VLOOKUP(A1052,'Личные данные'!A:V,6,0),'Личные данные'!$X$17:$AA$21,2,0)</f>
        <v>440</v>
      </c>
    </row>
    <row r="1053" spans="1:6" ht="15.75" customHeight="1" x14ac:dyDescent="0.25">
      <c r="A1053" s="62" t="s">
        <v>850</v>
      </c>
      <c r="B1053" s="62">
        <v>23</v>
      </c>
      <c r="C1053" s="62" t="s">
        <v>1278</v>
      </c>
      <c r="D1053" s="82" t="s">
        <v>1258</v>
      </c>
      <c r="E1053" s="82" t="s">
        <v>1244</v>
      </c>
      <c r="F1053" s="70">
        <f>VLOOKUP(VLOOKUP(A1053,'Личные данные'!A:V,6,0),'Личные данные'!$X$17:$AA$21,2,0)</f>
        <v>440</v>
      </c>
    </row>
    <row r="1054" spans="1:6" ht="15.75" customHeight="1" x14ac:dyDescent="0.25">
      <c r="A1054" s="62" t="s">
        <v>851</v>
      </c>
      <c r="B1054" s="62">
        <v>23</v>
      </c>
      <c r="C1054" s="62" t="s">
        <v>1278</v>
      </c>
      <c r="D1054" s="82" t="s">
        <v>1243</v>
      </c>
      <c r="E1054" s="82" t="s">
        <v>1248</v>
      </c>
      <c r="F1054" s="70">
        <f>VLOOKUP(VLOOKUP(A1054,'Личные данные'!A:V,6,0),'Личные данные'!$X$17:$AA$21,2,0)</f>
        <v>330</v>
      </c>
    </row>
    <row r="1055" spans="1:6" ht="15.75" customHeight="1" x14ac:dyDescent="0.25">
      <c r="A1055" s="62" t="s">
        <v>852</v>
      </c>
      <c r="B1055" s="62">
        <v>23</v>
      </c>
      <c r="C1055" s="62" t="s">
        <v>1278</v>
      </c>
      <c r="D1055" s="82" t="s">
        <v>1256</v>
      </c>
      <c r="E1055" s="82" t="s">
        <v>1244</v>
      </c>
      <c r="F1055" s="70">
        <f>VLOOKUP(VLOOKUP(A1055,'Личные данные'!A:V,6,0),'Личные данные'!$X$17:$AA$21,2,0)</f>
        <v>550</v>
      </c>
    </row>
    <row r="1056" spans="1:6" ht="15.75" customHeight="1" x14ac:dyDescent="0.25">
      <c r="A1056" s="62" t="s">
        <v>853</v>
      </c>
      <c r="B1056" s="62">
        <v>23</v>
      </c>
      <c r="C1056" s="62" t="s">
        <v>1278</v>
      </c>
      <c r="D1056" s="82" t="s">
        <v>1257</v>
      </c>
      <c r="E1056" s="82" t="s">
        <v>1253</v>
      </c>
      <c r="F1056" s="70">
        <f>VLOOKUP(VLOOKUP(A1056,'Личные данные'!A:V,6,0),'Личные данные'!$X$17:$AA$21,2,0)</f>
        <v>770</v>
      </c>
    </row>
    <row r="1057" spans="1:6" ht="15.75" customHeight="1" x14ac:dyDescent="0.25">
      <c r="A1057" s="62" t="s">
        <v>854</v>
      </c>
      <c r="B1057" s="62">
        <v>23</v>
      </c>
      <c r="C1057" s="62" t="s">
        <v>1278</v>
      </c>
      <c r="D1057" s="82" t="s">
        <v>1257</v>
      </c>
      <c r="E1057" s="82" t="s">
        <v>1248</v>
      </c>
      <c r="F1057" s="70">
        <f>VLOOKUP(VLOOKUP(A1057,'Личные данные'!A:V,6,0),'Личные данные'!$X$17:$AA$21,2,0)</f>
        <v>550</v>
      </c>
    </row>
    <row r="1058" spans="1:6" ht="15.75" customHeight="1" x14ac:dyDescent="0.25">
      <c r="A1058" s="62" t="s">
        <v>855</v>
      </c>
      <c r="B1058" s="62">
        <v>23</v>
      </c>
      <c r="C1058" s="62" t="s">
        <v>1278</v>
      </c>
      <c r="D1058" s="82" t="s">
        <v>1258</v>
      </c>
      <c r="E1058" s="82" t="s">
        <v>1248</v>
      </c>
      <c r="F1058" s="70">
        <f>VLOOKUP(VLOOKUP(A1058,'Личные данные'!A:V,6,0),'Личные данные'!$X$17:$AA$21,2,0)</f>
        <v>440</v>
      </c>
    </row>
    <row r="1059" spans="1:6" ht="15.75" customHeight="1" x14ac:dyDescent="0.25">
      <c r="A1059" s="62" t="s">
        <v>856</v>
      </c>
      <c r="B1059" s="62">
        <v>23</v>
      </c>
      <c r="C1059" s="62" t="s">
        <v>1278</v>
      </c>
      <c r="D1059" s="82" t="s">
        <v>1243</v>
      </c>
      <c r="E1059" s="82" t="s">
        <v>1253</v>
      </c>
      <c r="F1059" s="70">
        <f>VLOOKUP(VLOOKUP(A1059,'Личные данные'!A:V,6,0),'Личные данные'!$X$17:$AA$21,2,0)</f>
        <v>330</v>
      </c>
    </row>
    <row r="1060" spans="1:6" ht="15.75" customHeight="1" x14ac:dyDescent="0.25">
      <c r="A1060" s="62" t="s">
        <v>857</v>
      </c>
      <c r="B1060" s="62">
        <v>23</v>
      </c>
      <c r="C1060" s="62" t="s">
        <v>1278</v>
      </c>
      <c r="D1060" s="82" t="s">
        <v>1243</v>
      </c>
      <c r="E1060" s="82" t="s">
        <v>1248</v>
      </c>
      <c r="F1060" s="70">
        <f>VLOOKUP(VLOOKUP(A1060,'Личные данные'!A:V,6,0),'Личные данные'!$X$17:$AA$21,2,0)</f>
        <v>440</v>
      </c>
    </row>
    <row r="1061" spans="1:6" ht="15.75" customHeight="1" x14ac:dyDescent="0.25">
      <c r="A1061" s="62" t="s">
        <v>858</v>
      </c>
      <c r="B1061" s="62">
        <v>23</v>
      </c>
      <c r="C1061" s="62" t="s">
        <v>1278</v>
      </c>
      <c r="D1061" s="82" t="s">
        <v>1243</v>
      </c>
      <c r="E1061" s="82" t="s">
        <v>1253</v>
      </c>
      <c r="F1061" s="70">
        <f>VLOOKUP(VLOOKUP(A1061,'Личные данные'!A:V,6,0),'Личные данные'!$X$17:$AA$21,2,0)</f>
        <v>550</v>
      </c>
    </row>
    <row r="1062" spans="1:6" ht="15.75" customHeight="1" x14ac:dyDescent="0.25">
      <c r="A1062" s="62" t="s">
        <v>859</v>
      </c>
      <c r="B1062" s="62">
        <v>23</v>
      </c>
      <c r="C1062" s="62" t="s">
        <v>1278</v>
      </c>
      <c r="D1062" s="82" t="s">
        <v>1243</v>
      </c>
      <c r="E1062" s="82" t="s">
        <v>1253</v>
      </c>
      <c r="F1062" s="70">
        <f>VLOOKUP(VLOOKUP(A1062,'Личные данные'!A:V,6,0),'Личные данные'!$X$17:$AA$21,2,0)</f>
        <v>330</v>
      </c>
    </row>
    <row r="1063" spans="1:6" ht="15.75" customHeight="1" x14ac:dyDescent="0.25">
      <c r="A1063" s="62" t="s">
        <v>860</v>
      </c>
      <c r="B1063" s="62">
        <v>23</v>
      </c>
      <c r="C1063" s="62" t="s">
        <v>1278</v>
      </c>
      <c r="D1063" s="82" t="s">
        <v>1258</v>
      </c>
      <c r="E1063" s="82" t="s">
        <v>1244</v>
      </c>
      <c r="F1063" s="70">
        <f>VLOOKUP(VLOOKUP(A1063,'Личные данные'!A:V,6,0),'Личные данные'!$X$17:$AA$21,2,0)</f>
        <v>220</v>
      </c>
    </row>
    <row r="1064" spans="1:6" ht="15.75" customHeight="1" x14ac:dyDescent="0.25">
      <c r="A1064" s="62" t="s">
        <v>861</v>
      </c>
      <c r="B1064" s="62">
        <v>23</v>
      </c>
      <c r="C1064" s="62" t="s">
        <v>1278</v>
      </c>
      <c r="D1064" s="82" t="s">
        <v>1260</v>
      </c>
      <c r="E1064" s="82" t="s">
        <v>1250</v>
      </c>
      <c r="F1064" s="70">
        <f>VLOOKUP(VLOOKUP(A1064,'Личные данные'!A:V,6,0),'Личные данные'!$X$17:$AA$21,2,0)</f>
        <v>770</v>
      </c>
    </row>
    <row r="1065" spans="1:6" ht="15.75" customHeight="1" x14ac:dyDescent="0.25">
      <c r="A1065" s="62" t="s">
        <v>862</v>
      </c>
      <c r="B1065" s="62">
        <v>23</v>
      </c>
      <c r="C1065" s="62" t="s">
        <v>1278</v>
      </c>
      <c r="D1065" s="82" t="s">
        <v>1243</v>
      </c>
      <c r="E1065" s="82" t="s">
        <v>1248</v>
      </c>
      <c r="F1065" s="70">
        <f>VLOOKUP(VLOOKUP(A1065,'Личные данные'!A:V,6,0),'Личные данные'!$X$17:$AA$21,2,0)</f>
        <v>330</v>
      </c>
    </row>
    <row r="1066" spans="1:6" ht="15.75" customHeight="1" x14ac:dyDescent="0.25">
      <c r="A1066" s="62" t="s">
        <v>863</v>
      </c>
      <c r="B1066" s="62">
        <v>23</v>
      </c>
      <c r="C1066" s="62" t="s">
        <v>1278</v>
      </c>
      <c r="D1066" s="82" t="s">
        <v>1258</v>
      </c>
      <c r="E1066" s="82" t="s">
        <v>1248</v>
      </c>
      <c r="F1066" s="70">
        <f>VLOOKUP(VLOOKUP(A1066,'Личные данные'!A:V,6,0),'Личные данные'!$X$17:$AA$21,2,0)</f>
        <v>440</v>
      </c>
    </row>
    <row r="1067" spans="1:6" ht="15.75" customHeight="1" x14ac:dyDescent="0.25">
      <c r="A1067" s="62" t="s">
        <v>864</v>
      </c>
      <c r="B1067" s="62">
        <v>23</v>
      </c>
      <c r="C1067" s="62" t="s">
        <v>1278</v>
      </c>
      <c r="D1067" s="82" t="s">
        <v>1256</v>
      </c>
      <c r="E1067" s="82" t="s">
        <v>1244</v>
      </c>
      <c r="F1067" s="70">
        <f>VLOOKUP(VLOOKUP(A1067,'Личные данные'!A:V,6,0),'Личные данные'!$X$17:$AA$21,2,0)</f>
        <v>550</v>
      </c>
    </row>
    <row r="1068" spans="1:6" ht="15.75" customHeight="1" x14ac:dyDescent="0.25">
      <c r="A1068" s="62" t="s">
        <v>865</v>
      </c>
      <c r="B1068" s="62">
        <v>23</v>
      </c>
      <c r="C1068" s="62" t="s">
        <v>1278</v>
      </c>
      <c r="D1068" s="82" t="s">
        <v>1243</v>
      </c>
      <c r="E1068" s="82" t="s">
        <v>1253</v>
      </c>
      <c r="F1068" s="70">
        <f>VLOOKUP(VLOOKUP(A1068,'Личные данные'!A:V,6,0),'Личные данные'!$X$17:$AA$21,2,0)</f>
        <v>330</v>
      </c>
    </row>
    <row r="1069" spans="1:6" ht="15.75" customHeight="1" x14ac:dyDescent="0.25">
      <c r="A1069" s="62" t="s">
        <v>866</v>
      </c>
      <c r="B1069" s="62">
        <v>23</v>
      </c>
      <c r="C1069" s="62" t="s">
        <v>1278</v>
      </c>
      <c r="D1069" s="82" t="s">
        <v>1243</v>
      </c>
      <c r="E1069" s="82" t="s">
        <v>1244</v>
      </c>
      <c r="F1069" s="70">
        <f>VLOOKUP(VLOOKUP(A1069,'Личные данные'!A:V,6,0),'Личные данные'!$X$17:$AA$21,2,0)</f>
        <v>220</v>
      </c>
    </row>
    <row r="1070" spans="1:6" ht="15.75" customHeight="1" x14ac:dyDescent="0.25">
      <c r="A1070" s="62" t="s">
        <v>867</v>
      </c>
      <c r="B1070" s="62">
        <v>23</v>
      </c>
      <c r="C1070" s="62" t="s">
        <v>1278</v>
      </c>
      <c r="D1070" s="82" t="s">
        <v>1258</v>
      </c>
      <c r="E1070" s="82" t="s">
        <v>1248</v>
      </c>
      <c r="F1070" s="70">
        <f>VLOOKUP(VLOOKUP(A1070,'Личные данные'!A:V,6,0),'Личные данные'!$X$17:$AA$21,2,0)</f>
        <v>440</v>
      </c>
    </row>
    <row r="1071" spans="1:6" ht="15.75" customHeight="1" x14ac:dyDescent="0.25">
      <c r="A1071" s="62" t="s">
        <v>868</v>
      </c>
      <c r="B1071" s="62">
        <v>23</v>
      </c>
      <c r="C1071" s="62" t="s">
        <v>1278</v>
      </c>
      <c r="D1071" s="82" t="s">
        <v>1257</v>
      </c>
      <c r="E1071" s="82" t="s">
        <v>1244</v>
      </c>
      <c r="F1071" s="70">
        <f>VLOOKUP(VLOOKUP(A1071,'Личные данные'!A:V,6,0),'Личные данные'!$X$17:$AA$21,2,0)</f>
        <v>550</v>
      </c>
    </row>
    <row r="1072" spans="1:6" ht="15.75" customHeight="1" x14ac:dyDescent="0.25">
      <c r="A1072" s="62" t="s">
        <v>869</v>
      </c>
      <c r="B1072" s="62">
        <v>23</v>
      </c>
      <c r="C1072" s="62" t="s">
        <v>1278</v>
      </c>
      <c r="D1072" s="82" t="s">
        <v>1243</v>
      </c>
      <c r="E1072" s="82" t="s">
        <v>1253</v>
      </c>
      <c r="F1072" s="70">
        <f>VLOOKUP(VLOOKUP(A1072,'Личные данные'!A:V,6,0),'Личные данные'!$X$17:$AA$21,2,0)</f>
        <v>330</v>
      </c>
    </row>
    <row r="1073" spans="1:6" ht="15.75" customHeight="1" x14ac:dyDescent="0.25">
      <c r="A1073" s="62" t="s">
        <v>870</v>
      </c>
      <c r="B1073" s="62">
        <v>23</v>
      </c>
      <c r="C1073" s="62" t="s">
        <v>1278</v>
      </c>
      <c r="D1073" s="82" t="s">
        <v>1258</v>
      </c>
      <c r="E1073" s="82" t="s">
        <v>1253</v>
      </c>
      <c r="F1073" s="70">
        <f>VLOOKUP(VLOOKUP(A1073,'Личные данные'!A:V,6,0),'Личные данные'!$X$17:$AA$21,2,0)</f>
        <v>330</v>
      </c>
    </row>
    <row r="1074" spans="1:6" ht="15.75" customHeight="1" x14ac:dyDescent="0.25">
      <c r="A1074" s="62" t="s">
        <v>871</v>
      </c>
      <c r="B1074" s="62">
        <v>23</v>
      </c>
      <c r="C1074" s="62" t="s">
        <v>1278</v>
      </c>
      <c r="D1074" s="82" t="s">
        <v>1260</v>
      </c>
      <c r="E1074" s="82" t="s">
        <v>1250</v>
      </c>
      <c r="F1074" s="70">
        <f>VLOOKUP(VLOOKUP(A1074,'Личные данные'!A:V,6,0),'Личные данные'!$X$17:$AA$21,2,0)</f>
        <v>770</v>
      </c>
    </row>
    <row r="1075" spans="1:6" ht="15.75" customHeight="1" x14ac:dyDescent="0.25">
      <c r="A1075" s="62" t="s">
        <v>872</v>
      </c>
      <c r="B1075" s="62">
        <v>23</v>
      </c>
      <c r="C1075" s="62" t="s">
        <v>1278</v>
      </c>
      <c r="D1075" s="82" t="s">
        <v>1243</v>
      </c>
      <c r="E1075" s="82" t="s">
        <v>1248</v>
      </c>
      <c r="F1075" s="70">
        <f>VLOOKUP(VLOOKUP(A1075,'Личные данные'!A:V,6,0),'Личные данные'!$X$17:$AA$21,2,0)</f>
        <v>550</v>
      </c>
    </row>
    <row r="1076" spans="1:6" ht="15.75" customHeight="1" x14ac:dyDescent="0.25">
      <c r="A1076" s="62" t="s">
        <v>873</v>
      </c>
      <c r="B1076" s="62">
        <v>23</v>
      </c>
      <c r="C1076" s="62" t="s">
        <v>1278</v>
      </c>
      <c r="D1076" s="82" t="s">
        <v>1243</v>
      </c>
      <c r="E1076" s="82" t="s">
        <v>1244</v>
      </c>
      <c r="F1076" s="70">
        <f>VLOOKUP(VLOOKUP(A1076,'Личные данные'!A:V,6,0),'Личные данные'!$X$17:$AA$21,2,0)</f>
        <v>440</v>
      </c>
    </row>
    <row r="1077" spans="1:6" ht="15.75" customHeight="1" x14ac:dyDescent="0.25">
      <c r="A1077" s="62" t="s">
        <v>874</v>
      </c>
      <c r="B1077" s="62">
        <v>23</v>
      </c>
      <c r="C1077" s="62" t="s">
        <v>1278</v>
      </c>
      <c r="D1077" s="82" t="s">
        <v>1243</v>
      </c>
      <c r="E1077" s="82" t="s">
        <v>1253</v>
      </c>
      <c r="F1077" s="70">
        <f>VLOOKUP(VLOOKUP(A1077,'Личные данные'!A:V,6,0),'Личные данные'!$X$17:$AA$21,2,0)</f>
        <v>330</v>
      </c>
    </row>
    <row r="1078" spans="1:6" ht="15.75" customHeight="1" x14ac:dyDescent="0.25">
      <c r="A1078" s="62" t="s">
        <v>875</v>
      </c>
      <c r="B1078" s="62">
        <v>23</v>
      </c>
      <c r="C1078" s="62" t="s">
        <v>1278</v>
      </c>
      <c r="D1078" s="82" t="s">
        <v>1257</v>
      </c>
      <c r="E1078" s="82" t="s">
        <v>1253</v>
      </c>
      <c r="F1078" s="70">
        <f>VLOOKUP(VLOOKUP(A1078,'Личные данные'!A:V,6,0),'Личные данные'!$X$17:$AA$21,2,0)</f>
        <v>550</v>
      </c>
    </row>
    <row r="1079" spans="1:6" ht="15.75" customHeight="1" x14ac:dyDescent="0.25">
      <c r="A1079" s="62" t="s">
        <v>876</v>
      </c>
      <c r="B1079" s="62">
        <v>23</v>
      </c>
      <c r="C1079" s="62" t="s">
        <v>1278</v>
      </c>
      <c r="D1079" s="82" t="s">
        <v>1243</v>
      </c>
      <c r="E1079" s="82" t="s">
        <v>1253</v>
      </c>
      <c r="F1079" s="70">
        <f>VLOOKUP(VLOOKUP(A1079,'Личные данные'!A:V,6,0),'Личные данные'!$X$17:$AA$21,2,0)</f>
        <v>330</v>
      </c>
    </row>
    <row r="1080" spans="1:6" ht="15.75" customHeight="1" x14ac:dyDescent="0.25">
      <c r="A1080" s="62" t="s">
        <v>877</v>
      </c>
      <c r="B1080" s="62">
        <v>23</v>
      </c>
      <c r="C1080" s="62" t="s">
        <v>1278</v>
      </c>
      <c r="D1080" s="82" t="s">
        <v>1260</v>
      </c>
      <c r="E1080" s="82" t="s">
        <v>1250</v>
      </c>
      <c r="F1080" s="70">
        <f>VLOOKUP(VLOOKUP(A1080,'Личные данные'!A:V,6,0),'Личные данные'!$X$17:$AA$21,2,0)</f>
        <v>770</v>
      </c>
    </row>
    <row r="1081" spans="1:6" ht="15.75" customHeight="1" x14ac:dyDescent="0.25">
      <c r="A1081" s="62" t="s">
        <v>878</v>
      </c>
      <c r="B1081" s="62">
        <v>23</v>
      </c>
      <c r="C1081" s="62" t="s">
        <v>1278</v>
      </c>
      <c r="D1081" s="82" t="s">
        <v>1243</v>
      </c>
      <c r="E1081" s="82" t="s">
        <v>1253</v>
      </c>
      <c r="F1081" s="70">
        <f>VLOOKUP(VLOOKUP(A1081,'Личные данные'!A:V,6,0),'Личные данные'!$X$17:$AA$21,2,0)</f>
        <v>330</v>
      </c>
    </row>
    <row r="1082" spans="1:6" ht="15.75" customHeight="1" x14ac:dyDescent="0.25">
      <c r="A1082" s="62" t="s">
        <v>879</v>
      </c>
      <c r="B1082" s="62">
        <v>23</v>
      </c>
      <c r="C1082" s="62" t="s">
        <v>1278</v>
      </c>
      <c r="D1082" s="82" t="s">
        <v>1243</v>
      </c>
      <c r="E1082" s="82" t="s">
        <v>1244</v>
      </c>
      <c r="F1082" s="70">
        <f>VLOOKUP(VLOOKUP(A1082,'Личные данные'!A:V,6,0),'Личные данные'!$X$17:$AA$21,2,0)</f>
        <v>330</v>
      </c>
    </row>
    <row r="1083" spans="1:6" ht="15.75" customHeight="1" x14ac:dyDescent="0.25">
      <c r="A1083" s="62" t="s">
        <v>880</v>
      </c>
      <c r="B1083" s="62">
        <v>23</v>
      </c>
      <c r="C1083" s="62" t="s">
        <v>1278</v>
      </c>
      <c r="D1083" s="82" t="s">
        <v>1258</v>
      </c>
      <c r="E1083" s="82" t="s">
        <v>1248</v>
      </c>
      <c r="F1083" s="70">
        <f>VLOOKUP(VLOOKUP(A1083,'Личные данные'!A:V,6,0),'Личные данные'!$X$17:$AA$21,2,0)</f>
        <v>550</v>
      </c>
    </row>
    <row r="1084" spans="1:6" ht="15.75" customHeight="1" x14ac:dyDescent="0.25">
      <c r="A1084" s="62" t="s">
        <v>881</v>
      </c>
      <c r="B1084" s="62">
        <v>23</v>
      </c>
      <c r="C1084" s="62" t="s">
        <v>1278</v>
      </c>
      <c r="D1084" s="82" t="s">
        <v>1243</v>
      </c>
      <c r="E1084" s="82" t="s">
        <v>1248</v>
      </c>
      <c r="F1084" s="70">
        <f>VLOOKUP(VLOOKUP(A1084,'Личные данные'!A:V,6,0),'Личные данные'!$X$17:$AA$21,2,0)</f>
        <v>440</v>
      </c>
    </row>
    <row r="1085" spans="1:6" ht="15.75" customHeight="1" x14ac:dyDescent="0.25">
      <c r="A1085" s="62" t="s">
        <v>882</v>
      </c>
      <c r="B1085" s="62">
        <v>23</v>
      </c>
      <c r="C1085" s="62" t="s">
        <v>1278</v>
      </c>
      <c r="D1085" s="82" t="s">
        <v>1260</v>
      </c>
      <c r="E1085" s="82" t="s">
        <v>1250</v>
      </c>
      <c r="F1085" s="70">
        <f>VLOOKUP(VLOOKUP(A1085,'Личные данные'!A:V,6,0),'Личные данные'!$X$17:$AA$21,2,0)</f>
        <v>770</v>
      </c>
    </row>
    <row r="1086" spans="1:6" ht="15.75" customHeight="1" x14ac:dyDescent="0.25">
      <c r="A1086" s="62" t="s">
        <v>883</v>
      </c>
      <c r="B1086" s="62">
        <v>23</v>
      </c>
      <c r="C1086" s="62" t="s">
        <v>1278</v>
      </c>
      <c r="D1086" s="82" t="s">
        <v>1257</v>
      </c>
      <c r="E1086" s="82" t="s">
        <v>1248</v>
      </c>
      <c r="F1086" s="70">
        <f>VLOOKUP(VLOOKUP(A1086,'Личные данные'!A:V,6,0),'Личные данные'!$X$17:$AA$21,2,0)</f>
        <v>440</v>
      </c>
    </row>
    <row r="1087" spans="1:6" ht="15.75" customHeight="1" x14ac:dyDescent="0.25">
      <c r="A1087" s="62" t="s">
        <v>884</v>
      </c>
      <c r="B1087" s="62">
        <v>23</v>
      </c>
      <c r="C1087" s="62" t="s">
        <v>1278</v>
      </c>
      <c r="D1087" s="82" t="s">
        <v>1258</v>
      </c>
      <c r="E1087" s="82" t="s">
        <v>1248</v>
      </c>
      <c r="F1087" s="70">
        <f>VLOOKUP(VLOOKUP(A1087,'Личные данные'!A:V,6,0),'Личные данные'!$X$17:$AA$21,2,0)</f>
        <v>550</v>
      </c>
    </row>
    <row r="1088" spans="1:6" ht="15.75" customHeight="1" x14ac:dyDescent="0.25">
      <c r="A1088" s="62" t="s">
        <v>885</v>
      </c>
      <c r="B1088" s="62">
        <v>23</v>
      </c>
      <c r="C1088" s="62" t="s">
        <v>1278</v>
      </c>
      <c r="D1088" s="82" t="s">
        <v>1243</v>
      </c>
      <c r="E1088" s="82" t="s">
        <v>1248</v>
      </c>
      <c r="F1088" s="70">
        <f>VLOOKUP(VLOOKUP(A1088,'Личные данные'!A:V,6,0),'Личные данные'!$X$17:$AA$21,2,0)</f>
        <v>330</v>
      </c>
    </row>
    <row r="1089" spans="1:6" ht="15.75" customHeight="1" x14ac:dyDescent="0.25">
      <c r="A1089" s="62" t="s">
        <v>886</v>
      </c>
      <c r="B1089" s="62">
        <v>23</v>
      </c>
      <c r="C1089" s="62" t="s">
        <v>1278</v>
      </c>
      <c r="D1089" s="82" t="s">
        <v>1243</v>
      </c>
      <c r="E1089" s="82" t="s">
        <v>1248</v>
      </c>
      <c r="F1089" s="70">
        <f>VLOOKUP(VLOOKUP(A1089,'Личные данные'!A:V,6,0),'Личные данные'!$X$17:$AA$21,2,0)</f>
        <v>330</v>
      </c>
    </row>
    <row r="1090" spans="1:6" ht="15.75" customHeight="1" x14ac:dyDescent="0.25">
      <c r="A1090" s="62" t="s">
        <v>887</v>
      </c>
      <c r="B1090" s="62">
        <v>23</v>
      </c>
      <c r="C1090" s="62" t="s">
        <v>1278</v>
      </c>
      <c r="D1090" s="82" t="s">
        <v>1243</v>
      </c>
      <c r="E1090" s="82" t="s">
        <v>1244</v>
      </c>
      <c r="F1090" s="70">
        <f>VLOOKUP(VLOOKUP(A1090,'Личные данные'!A:V,6,0),'Личные данные'!$X$17:$AA$21,2,0)</f>
        <v>220</v>
      </c>
    </row>
    <row r="1091" spans="1:6" ht="15.75" customHeight="1" x14ac:dyDescent="0.25">
      <c r="A1091" s="62" t="s">
        <v>888</v>
      </c>
      <c r="B1091" s="62">
        <v>23</v>
      </c>
      <c r="C1091" s="62" t="s">
        <v>1278</v>
      </c>
      <c r="D1091" s="82" t="s">
        <v>1256</v>
      </c>
      <c r="E1091" s="82" t="s">
        <v>1248</v>
      </c>
      <c r="F1091" s="70">
        <f>VLOOKUP(VLOOKUP(A1091,'Личные данные'!A:V,6,0),'Личные данные'!$X$17:$AA$21,2,0)</f>
        <v>440</v>
      </c>
    </row>
    <row r="1092" spans="1:6" ht="15.75" customHeight="1" x14ac:dyDescent="0.25">
      <c r="A1092" s="62" t="s">
        <v>889</v>
      </c>
      <c r="B1092" s="62">
        <v>23</v>
      </c>
      <c r="C1092" s="62" t="s">
        <v>1278</v>
      </c>
      <c r="D1092" s="82" t="s">
        <v>1243</v>
      </c>
      <c r="E1092" s="82" t="s">
        <v>1253</v>
      </c>
      <c r="F1092" s="70">
        <f>VLOOKUP(VLOOKUP(A1092,'Личные данные'!A:V,6,0),'Личные данные'!$X$17:$AA$21,2,0)</f>
        <v>330</v>
      </c>
    </row>
    <row r="1093" spans="1:6" ht="15.75" customHeight="1" x14ac:dyDescent="0.25">
      <c r="A1093" s="62" t="s">
        <v>890</v>
      </c>
      <c r="B1093" s="62">
        <v>23</v>
      </c>
      <c r="C1093" s="62" t="s">
        <v>1278</v>
      </c>
      <c r="D1093" s="82" t="s">
        <v>1243</v>
      </c>
      <c r="E1093" s="82" t="s">
        <v>1244</v>
      </c>
      <c r="F1093" s="70">
        <f>VLOOKUP(VLOOKUP(A1093,'Личные данные'!A:V,6,0),'Личные данные'!$X$17:$AA$21,2,0)</f>
        <v>330</v>
      </c>
    </row>
    <row r="1094" spans="1:6" ht="15.75" customHeight="1" x14ac:dyDescent="0.25">
      <c r="A1094" s="62" t="s">
        <v>891</v>
      </c>
      <c r="B1094" s="62">
        <v>23</v>
      </c>
      <c r="C1094" s="62" t="s">
        <v>1278</v>
      </c>
      <c r="D1094" s="82" t="s">
        <v>1256</v>
      </c>
      <c r="E1094" s="82" t="s">
        <v>1248</v>
      </c>
      <c r="F1094" s="70">
        <f>VLOOKUP(VLOOKUP(A1094,'Личные данные'!A:V,6,0),'Личные данные'!$X$17:$AA$21,2,0)</f>
        <v>550</v>
      </c>
    </row>
    <row r="1095" spans="1:6" ht="15.75" customHeight="1" x14ac:dyDescent="0.25">
      <c r="A1095" s="62" t="s">
        <v>892</v>
      </c>
      <c r="B1095" s="62">
        <v>23</v>
      </c>
      <c r="C1095" s="62" t="s">
        <v>1278</v>
      </c>
      <c r="D1095" s="82" t="s">
        <v>1257</v>
      </c>
      <c r="E1095" s="82" t="s">
        <v>1255</v>
      </c>
      <c r="F1095" s="70">
        <f>VLOOKUP(VLOOKUP(A1095,'Личные данные'!A:V,6,0),'Личные данные'!$X$17:$AA$21,2,0)</f>
        <v>550</v>
      </c>
    </row>
    <row r="1096" spans="1:6" ht="15.75" customHeight="1" x14ac:dyDescent="0.25">
      <c r="A1096" s="62" t="s">
        <v>893</v>
      </c>
      <c r="B1096" s="62">
        <v>23</v>
      </c>
      <c r="C1096" s="62" t="s">
        <v>1278</v>
      </c>
      <c r="D1096" s="82" t="s">
        <v>1257</v>
      </c>
      <c r="E1096" s="82" t="s">
        <v>1255</v>
      </c>
      <c r="F1096" s="70">
        <f>VLOOKUP(VLOOKUP(A1096,'Личные данные'!A:V,6,0),'Личные данные'!$X$17:$AA$21,2,0)</f>
        <v>440</v>
      </c>
    </row>
    <row r="1097" spans="1:6" ht="15.75" customHeight="1" x14ac:dyDescent="0.25">
      <c r="A1097" s="62" t="s">
        <v>894</v>
      </c>
      <c r="B1097" s="62">
        <v>23</v>
      </c>
      <c r="C1097" s="62" t="s">
        <v>1278</v>
      </c>
      <c r="D1097" s="82" t="s">
        <v>1257</v>
      </c>
      <c r="E1097" s="82" t="s">
        <v>1255</v>
      </c>
      <c r="F1097" s="70">
        <f>VLOOKUP(VLOOKUP(A1097,'Личные данные'!A:V,6,0),'Личные данные'!$X$17:$AA$21,2,0)</f>
        <v>440</v>
      </c>
    </row>
    <row r="1098" spans="1:6" ht="15.75" customHeight="1" x14ac:dyDescent="0.25">
      <c r="A1098" s="62" t="s">
        <v>895</v>
      </c>
      <c r="B1098" s="62">
        <v>23</v>
      </c>
      <c r="C1098" s="62" t="s">
        <v>1278</v>
      </c>
      <c r="D1098" s="82" t="s">
        <v>1243</v>
      </c>
      <c r="E1098" s="82" t="s">
        <v>1253</v>
      </c>
      <c r="F1098" s="70">
        <f>VLOOKUP(VLOOKUP(A1098,'Личные данные'!A:V,6,0),'Личные данные'!$X$17:$AA$21,2,0)</f>
        <v>330</v>
      </c>
    </row>
    <row r="1099" spans="1:6" ht="15.75" customHeight="1" x14ac:dyDescent="0.25">
      <c r="A1099" s="62" t="s">
        <v>896</v>
      </c>
      <c r="B1099" s="62">
        <v>23</v>
      </c>
      <c r="C1099" s="62" t="s">
        <v>1278</v>
      </c>
      <c r="D1099" s="82" t="s">
        <v>1257</v>
      </c>
      <c r="E1099" s="82" t="s">
        <v>1248</v>
      </c>
      <c r="F1099" s="70">
        <f>VLOOKUP(VLOOKUP(A1099,'Личные данные'!A:V,6,0),'Личные данные'!$X$17:$AA$21,2,0)</f>
        <v>440</v>
      </c>
    </row>
    <row r="1100" spans="1:6" ht="15.75" customHeight="1" x14ac:dyDescent="0.25">
      <c r="A1100" s="62" t="s">
        <v>897</v>
      </c>
      <c r="B1100" s="62">
        <v>23</v>
      </c>
      <c r="C1100" s="62" t="s">
        <v>1278</v>
      </c>
      <c r="D1100" s="82" t="s">
        <v>1258</v>
      </c>
      <c r="E1100" s="82" t="s">
        <v>1244</v>
      </c>
      <c r="F1100" s="70">
        <f>VLOOKUP(VLOOKUP(A1100,'Личные данные'!A:V,6,0),'Личные данные'!$X$17:$AA$21,2,0)</f>
        <v>220</v>
      </c>
    </row>
    <row r="1101" spans="1:6" ht="15.75" customHeight="1" x14ac:dyDescent="0.25">
      <c r="A1101" s="62" t="s">
        <v>898</v>
      </c>
      <c r="B1101" s="62">
        <v>23</v>
      </c>
      <c r="C1101" s="62" t="s">
        <v>1278</v>
      </c>
      <c r="D1101" s="82" t="s">
        <v>1257</v>
      </c>
      <c r="E1101" s="82" t="s">
        <v>1255</v>
      </c>
      <c r="F1101" s="70">
        <f>VLOOKUP(VLOOKUP(A1101,'Личные данные'!A:V,6,0),'Личные данные'!$X$17:$AA$21,2,0)</f>
        <v>440</v>
      </c>
    </row>
    <row r="1102" spans="1:6" ht="15.75" customHeight="1" x14ac:dyDescent="0.25">
      <c r="A1102" s="62" t="s">
        <v>899</v>
      </c>
      <c r="B1102" s="62">
        <v>23</v>
      </c>
      <c r="C1102" s="62" t="s">
        <v>1278</v>
      </c>
      <c r="D1102" s="82" t="s">
        <v>1243</v>
      </c>
      <c r="E1102" s="82" t="s">
        <v>1244</v>
      </c>
      <c r="F1102" s="70">
        <f>VLOOKUP(VLOOKUP(A1102,'Личные данные'!A:V,6,0),'Личные данные'!$X$17:$AA$21,2,0)</f>
        <v>220</v>
      </c>
    </row>
    <row r="1103" spans="1:6" ht="15.75" customHeight="1" x14ac:dyDescent="0.25">
      <c r="A1103" s="62" t="s">
        <v>900</v>
      </c>
      <c r="B1103" s="62">
        <v>23</v>
      </c>
      <c r="C1103" s="62" t="s">
        <v>1278</v>
      </c>
      <c r="D1103" s="82" t="s">
        <v>1243</v>
      </c>
      <c r="E1103" s="82" t="s">
        <v>1244</v>
      </c>
      <c r="F1103" s="70">
        <f>VLOOKUP(VLOOKUP(A1103,'Личные данные'!A:V,6,0),'Личные данные'!$X$17:$AA$21,2,0)</f>
        <v>330</v>
      </c>
    </row>
    <row r="1104" spans="1:6" ht="15.75" customHeight="1" x14ac:dyDescent="0.25">
      <c r="A1104" s="62" t="s">
        <v>901</v>
      </c>
      <c r="B1104" s="62">
        <v>23</v>
      </c>
      <c r="C1104" s="62" t="s">
        <v>1278</v>
      </c>
      <c r="D1104" s="82" t="s">
        <v>1243</v>
      </c>
      <c r="E1104" s="82" t="s">
        <v>1253</v>
      </c>
      <c r="F1104" s="70">
        <f>VLOOKUP(VLOOKUP(A1104,'Личные данные'!A:V,6,0),'Личные данные'!$X$17:$AA$21,2,0)</f>
        <v>330</v>
      </c>
    </row>
    <row r="1105" spans="1:6" ht="15.75" customHeight="1" x14ac:dyDescent="0.25">
      <c r="A1105" s="62" t="s">
        <v>902</v>
      </c>
      <c r="B1105" s="62">
        <v>23</v>
      </c>
      <c r="C1105" s="62" t="s">
        <v>1278</v>
      </c>
      <c r="D1105" s="82" t="s">
        <v>1243</v>
      </c>
      <c r="E1105" s="82" t="s">
        <v>1248</v>
      </c>
      <c r="F1105" s="70">
        <f>VLOOKUP(VLOOKUP(A1105,'Личные данные'!A:V,6,0),'Личные данные'!$X$17:$AA$21,2,0)</f>
        <v>440</v>
      </c>
    </row>
    <row r="1106" spans="1:6" ht="15.75" customHeight="1" x14ac:dyDescent="0.25">
      <c r="A1106" s="62" t="s">
        <v>903</v>
      </c>
      <c r="B1106" s="62">
        <v>23</v>
      </c>
      <c r="C1106" s="62" t="s">
        <v>1278</v>
      </c>
      <c r="D1106" s="82" t="s">
        <v>1243</v>
      </c>
      <c r="E1106" s="82" t="s">
        <v>1248</v>
      </c>
      <c r="F1106" s="70">
        <f>VLOOKUP(VLOOKUP(A1106,'Личные данные'!A:V,6,0),'Личные данные'!$X$17:$AA$21,2,0)</f>
        <v>330</v>
      </c>
    </row>
    <row r="1107" spans="1:6" ht="15.75" customHeight="1" x14ac:dyDescent="0.25">
      <c r="A1107" s="62" t="s">
        <v>904</v>
      </c>
      <c r="B1107" s="62">
        <v>23</v>
      </c>
      <c r="C1107" s="62" t="s">
        <v>1278</v>
      </c>
      <c r="D1107" s="82" t="s">
        <v>1243</v>
      </c>
      <c r="E1107" s="82" t="s">
        <v>1253</v>
      </c>
      <c r="F1107" s="70">
        <f>VLOOKUP(VLOOKUP(A1107,'Личные данные'!A:V,6,0),'Личные данные'!$X$17:$AA$21,2,0)</f>
        <v>330</v>
      </c>
    </row>
    <row r="1108" spans="1:6" ht="15.75" customHeight="1" x14ac:dyDescent="0.25">
      <c r="A1108" s="62" t="s">
        <v>905</v>
      </c>
      <c r="B1108" s="62">
        <v>23</v>
      </c>
      <c r="C1108" s="62" t="s">
        <v>1278</v>
      </c>
      <c r="D1108" s="82" t="s">
        <v>1256</v>
      </c>
      <c r="E1108" s="82" t="s">
        <v>1248</v>
      </c>
      <c r="F1108" s="70">
        <f>VLOOKUP(VLOOKUP(A1108,'Личные данные'!A:V,6,0),'Личные данные'!$X$17:$AA$21,2,0)</f>
        <v>550</v>
      </c>
    </row>
    <row r="1109" spans="1:6" ht="15.75" customHeight="1" x14ac:dyDescent="0.25">
      <c r="A1109" s="62" t="s">
        <v>906</v>
      </c>
      <c r="B1109" s="62">
        <v>23</v>
      </c>
      <c r="C1109" s="62" t="s">
        <v>1278</v>
      </c>
      <c r="D1109" s="82" t="s">
        <v>1258</v>
      </c>
      <c r="E1109" s="82" t="s">
        <v>1255</v>
      </c>
      <c r="F1109" s="70">
        <f>VLOOKUP(VLOOKUP(A1109,'Личные данные'!A:V,6,0),'Личные данные'!$X$17:$AA$21,2,0)</f>
        <v>440</v>
      </c>
    </row>
    <row r="1110" spans="1:6" ht="15.75" customHeight="1" x14ac:dyDescent="0.25">
      <c r="A1110" s="62" t="s">
        <v>907</v>
      </c>
      <c r="B1110" s="62">
        <v>23</v>
      </c>
      <c r="C1110" s="62" t="s">
        <v>1278</v>
      </c>
      <c r="D1110" s="82" t="s">
        <v>1243</v>
      </c>
      <c r="E1110" s="82" t="s">
        <v>1255</v>
      </c>
      <c r="F1110" s="70">
        <f>VLOOKUP(VLOOKUP(A1110,'Личные данные'!A:V,6,0),'Личные данные'!$X$17:$AA$21,2,0)</f>
        <v>330</v>
      </c>
    </row>
    <row r="1111" spans="1:6" ht="15.75" customHeight="1" x14ac:dyDescent="0.25">
      <c r="A1111" s="62" t="s">
        <v>908</v>
      </c>
      <c r="B1111" s="62">
        <v>23</v>
      </c>
      <c r="C1111" s="62" t="s">
        <v>1278</v>
      </c>
      <c r="D1111" s="82" t="s">
        <v>1257</v>
      </c>
      <c r="E1111" s="82" t="s">
        <v>1255</v>
      </c>
      <c r="F1111" s="70">
        <f>VLOOKUP(VLOOKUP(A1111,'Личные данные'!A:V,6,0),'Личные данные'!$X$17:$AA$21,2,0)</f>
        <v>440</v>
      </c>
    </row>
    <row r="1112" spans="1:6" ht="15.75" customHeight="1" x14ac:dyDescent="0.25">
      <c r="A1112" s="62" t="s">
        <v>909</v>
      </c>
      <c r="B1112" s="62">
        <v>23</v>
      </c>
      <c r="C1112" s="62" t="s">
        <v>1278</v>
      </c>
      <c r="D1112" s="82" t="s">
        <v>1256</v>
      </c>
      <c r="E1112" s="82" t="s">
        <v>1248</v>
      </c>
      <c r="F1112" s="70">
        <f>VLOOKUP(VLOOKUP(A1112,'Личные данные'!A:V,6,0),'Личные данные'!$X$17:$AA$21,2,0)</f>
        <v>440</v>
      </c>
    </row>
    <row r="1113" spans="1:6" ht="15.75" customHeight="1" x14ac:dyDescent="0.25">
      <c r="A1113" s="62" t="s">
        <v>910</v>
      </c>
      <c r="B1113" s="62">
        <v>23</v>
      </c>
      <c r="C1113" s="62" t="s">
        <v>1278</v>
      </c>
      <c r="D1113" s="82" t="s">
        <v>1243</v>
      </c>
      <c r="E1113" s="82" t="s">
        <v>1244</v>
      </c>
      <c r="F1113" s="70">
        <f>VLOOKUP(VLOOKUP(A1113,'Личные данные'!A:V,6,0),'Личные данные'!$X$17:$AA$21,2,0)</f>
        <v>220</v>
      </c>
    </row>
    <row r="1114" spans="1:6" ht="15.75" customHeight="1" x14ac:dyDescent="0.25">
      <c r="A1114" s="62" t="s">
        <v>911</v>
      </c>
      <c r="B1114" s="62">
        <v>23</v>
      </c>
      <c r="C1114" s="62" t="s">
        <v>1278</v>
      </c>
      <c r="D1114" s="82" t="s">
        <v>1243</v>
      </c>
      <c r="E1114" s="82" t="s">
        <v>1248</v>
      </c>
      <c r="F1114" s="70">
        <f>VLOOKUP(VLOOKUP(A1114,'Личные данные'!A:V,6,0),'Личные данные'!$X$17:$AA$21,2,0)</f>
        <v>330</v>
      </c>
    </row>
    <row r="1115" spans="1:6" ht="15.75" customHeight="1" x14ac:dyDescent="0.25">
      <c r="A1115" s="62" t="s">
        <v>912</v>
      </c>
      <c r="B1115" s="62">
        <v>23</v>
      </c>
      <c r="C1115" s="62" t="s">
        <v>1278</v>
      </c>
      <c r="D1115" s="82" t="s">
        <v>1257</v>
      </c>
      <c r="E1115" s="82" t="s">
        <v>1255</v>
      </c>
      <c r="F1115" s="70">
        <f>VLOOKUP(VLOOKUP(A1115,'Личные данные'!A:V,6,0),'Личные данные'!$X$17:$AA$21,2,0)</f>
        <v>440</v>
      </c>
    </row>
    <row r="1116" spans="1:6" ht="15.75" customHeight="1" x14ac:dyDescent="0.25">
      <c r="A1116" s="62" t="s">
        <v>913</v>
      </c>
      <c r="B1116" s="62">
        <v>23</v>
      </c>
      <c r="C1116" s="62" t="s">
        <v>1278</v>
      </c>
      <c r="D1116" s="82" t="s">
        <v>1258</v>
      </c>
      <c r="E1116" s="82" t="s">
        <v>1248</v>
      </c>
      <c r="F1116" s="70">
        <f>VLOOKUP(VLOOKUP(A1116,'Личные данные'!A:V,6,0),'Личные данные'!$X$17:$AA$21,2,0)</f>
        <v>440</v>
      </c>
    </row>
    <row r="1117" spans="1:6" ht="15.75" customHeight="1" x14ac:dyDescent="0.25">
      <c r="A1117" s="62" t="s">
        <v>914</v>
      </c>
      <c r="B1117" s="62">
        <v>23</v>
      </c>
      <c r="C1117" s="62" t="s">
        <v>1278</v>
      </c>
      <c r="D1117" s="82" t="s">
        <v>1243</v>
      </c>
      <c r="E1117" s="82" t="s">
        <v>1253</v>
      </c>
      <c r="F1117" s="70">
        <f>VLOOKUP(VLOOKUP(A1117,'Личные данные'!A:V,6,0),'Личные данные'!$X$17:$AA$21,2,0)</f>
        <v>330</v>
      </c>
    </row>
    <row r="1118" spans="1:6" ht="15.75" customHeight="1" x14ac:dyDescent="0.25">
      <c r="A1118" s="62" t="s">
        <v>915</v>
      </c>
      <c r="B1118" s="62">
        <v>23</v>
      </c>
      <c r="C1118" s="62" t="s">
        <v>1278</v>
      </c>
      <c r="D1118" s="82" t="s">
        <v>1257</v>
      </c>
      <c r="E1118" s="82" t="s">
        <v>1248</v>
      </c>
      <c r="F1118" s="70">
        <f>VLOOKUP(VLOOKUP(A1118,'Личные данные'!A:V,6,0),'Личные данные'!$X$17:$AA$21,2,0)</f>
        <v>440</v>
      </c>
    </row>
    <row r="1119" spans="1:6" ht="15.75" customHeight="1" x14ac:dyDescent="0.25">
      <c r="A1119" s="62" t="s">
        <v>916</v>
      </c>
      <c r="B1119" s="62">
        <v>23</v>
      </c>
      <c r="C1119" s="62" t="s">
        <v>1278</v>
      </c>
      <c r="D1119" s="82" t="s">
        <v>1243</v>
      </c>
      <c r="E1119" s="82" t="s">
        <v>1253</v>
      </c>
      <c r="F1119" s="70">
        <f>VLOOKUP(VLOOKUP(A1119,'Личные данные'!A:V,6,0),'Личные данные'!$X$17:$AA$21,2,0)</f>
        <v>330</v>
      </c>
    </row>
    <row r="1120" spans="1:6" ht="15.75" customHeight="1" x14ac:dyDescent="0.25">
      <c r="A1120" s="62" t="s">
        <v>917</v>
      </c>
      <c r="B1120" s="62">
        <v>23</v>
      </c>
      <c r="C1120" s="62" t="s">
        <v>1278</v>
      </c>
      <c r="D1120" s="82" t="s">
        <v>1257</v>
      </c>
      <c r="E1120" s="82" t="s">
        <v>1250</v>
      </c>
      <c r="F1120" s="70">
        <f>VLOOKUP(VLOOKUP(A1120,'Личные данные'!A:V,6,0),'Личные данные'!$X$17:$AA$21,2,0)</f>
        <v>770</v>
      </c>
    </row>
    <row r="1121" spans="1:6" ht="15.75" customHeight="1" x14ac:dyDescent="0.25">
      <c r="A1121" s="62" t="s">
        <v>918</v>
      </c>
      <c r="B1121" s="62">
        <v>24</v>
      </c>
      <c r="C1121" s="62" t="s">
        <v>1278</v>
      </c>
      <c r="D1121" s="82" t="s">
        <v>1257</v>
      </c>
      <c r="E1121" s="82" t="s">
        <v>1244</v>
      </c>
      <c r="F1121" s="70">
        <f>VLOOKUP(VLOOKUP(A1121,'Личные данные'!A:V,6,0),'Личные данные'!$X$17:$AA$21,2,0)</f>
        <v>550</v>
      </c>
    </row>
    <row r="1122" spans="1:6" ht="15.75" customHeight="1" x14ac:dyDescent="0.25">
      <c r="A1122" s="62" t="s">
        <v>919</v>
      </c>
      <c r="B1122" s="62">
        <v>24</v>
      </c>
      <c r="C1122" s="62" t="s">
        <v>1278</v>
      </c>
      <c r="D1122" s="82" t="s">
        <v>1258</v>
      </c>
      <c r="E1122" s="82" t="s">
        <v>1248</v>
      </c>
      <c r="F1122" s="70">
        <f>VLOOKUP(VLOOKUP(A1122,'Личные данные'!A:V,6,0),'Личные данные'!$X$17:$AA$21,2,0)</f>
        <v>440</v>
      </c>
    </row>
    <row r="1123" spans="1:6" ht="15.75" customHeight="1" x14ac:dyDescent="0.25">
      <c r="A1123" s="62" t="s">
        <v>920</v>
      </c>
      <c r="B1123" s="62">
        <v>24</v>
      </c>
      <c r="C1123" s="62" t="s">
        <v>1278</v>
      </c>
      <c r="D1123" s="82" t="s">
        <v>1257</v>
      </c>
      <c r="E1123" s="82" t="s">
        <v>1244</v>
      </c>
      <c r="F1123" s="70">
        <f>VLOOKUP(VLOOKUP(A1123,'Личные данные'!A:V,6,0),'Личные данные'!$X$17:$AA$21,2,0)</f>
        <v>440</v>
      </c>
    </row>
    <row r="1124" spans="1:6" ht="15.75" customHeight="1" x14ac:dyDescent="0.25">
      <c r="A1124" s="62" t="s">
        <v>921</v>
      </c>
      <c r="B1124" s="62">
        <v>24</v>
      </c>
      <c r="C1124" s="62" t="s">
        <v>1278</v>
      </c>
      <c r="D1124" s="82" t="s">
        <v>1243</v>
      </c>
      <c r="E1124" s="82" t="s">
        <v>1253</v>
      </c>
      <c r="F1124" s="70">
        <f>VLOOKUP(VLOOKUP(A1124,'Личные данные'!A:V,6,0),'Личные данные'!$X$17:$AA$21,2,0)</f>
        <v>330</v>
      </c>
    </row>
    <row r="1125" spans="1:6" ht="15.75" customHeight="1" x14ac:dyDescent="0.25">
      <c r="A1125" s="62" t="s">
        <v>922</v>
      </c>
      <c r="B1125" s="62">
        <v>24</v>
      </c>
      <c r="C1125" s="62" t="s">
        <v>1278</v>
      </c>
      <c r="D1125" s="82" t="s">
        <v>1258</v>
      </c>
      <c r="E1125" s="82" t="s">
        <v>1248</v>
      </c>
      <c r="F1125" s="70">
        <f>VLOOKUP(VLOOKUP(A1125,'Личные данные'!A:V,6,0),'Личные данные'!$X$17:$AA$21,2,0)</f>
        <v>440</v>
      </c>
    </row>
    <row r="1126" spans="1:6" ht="15.75" customHeight="1" x14ac:dyDescent="0.25">
      <c r="A1126" s="62" t="s">
        <v>923</v>
      </c>
      <c r="B1126" s="62">
        <v>24</v>
      </c>
      <c r="C1126" s="62" t="s">
        <v>1278</v>
      </c>
      <c r="D1126" s="82" t="s">
        <v>1260</v>
      </c>
      <c r="E1126" s="82" t="s">
        <v>1250</v>
      </c>
      <c r="F1126" s="70">
        <f>VLOOKUP(VLOOKUP(A1126,'Личные данные'!A:V,6,0),'Личные данные'!$X$17:$AA$21,2,0)</f>
        <v>770</v>
      </c>
    </row>
    <row r="1127" spans="1:6" ht="15.75" customHeight="1" x14ac:dyDescent="0.25">
      <c r="A1127" s="62" t="s">
        <v>924</v>
      </c>
      <c r="B1127" s="62">
        <v>24</v>
      </c>
      <c r="C1127" s="62" t="s">
        <v>1278</v>
      </c>
      <c r="D1127" s="82" t="s">
        <v>1243</v>
      </c>
      <c r="E1127" s="82" t="s">
        <v>1244</v>
      </c>
      <c r="F1127" s="70">
        <f>VLOOKUP(VLOOKUP(A1127,'Личные данные'!A:V,6,0),'Личные данные'!$X$17:$AA$21,2,0)</f>
        <v>330</v>
      </c>
    </row>
    <row r="1128" spans="1:6" ht="15.75" customHeight="1" x14ac:dyDescent="0.25">
      <c r="A1128" s="62" t="s">
        <v>925</v>
      </c>
      <c r="B1128" s="62">
        <v>24</v>
      </c>
      <c r="C1128" s="62" t="s">
        <v>1278</v>
      </c>
      <c r="D1128" s="82" t="s">
        <v>1257</v>
      </c>
      <c r="E1128" s="82" t="s">
        <v>1248</v>
      </c>
      <c r="F1128" s="70">
        <f>VLOOKUP(VLOOKUP(A1128,'Личные данные'!A:V,6,0),'Личные данные'!$X$17:$AA$21,2,0)</f>
        <v>440</v>
      </c>
    </row>
    <row r="1129" spans="1:6" ht="15.75" customHeight="1" x14ac:dyDescent="0.25">
      <c r="A1129" s="62" t="s">
        <v>926</v>
      </c>
      <c r="B1129" s="62">
        <v>24</v>
      </c>
      <c r="C1129" s="62" t="s">
        <v>1278</v>
      </c>
      <c r="D1129" s="82" t="s">
        <v>1243</v>
      </c>
      <c r="E1129" s="82" t="s">
        <v>1253</v>
      </c>
      <c r="F1129" s="70">
        <f>VLOOKUP(VLOOKUP(A1129,'Личные данные'!A:V,6,0),'Личные данные'!$X$17:$AA$21,2,0)</f>
        <v>330</v>
      </c>
    </row>
    <row r="1130" spans="1:6" ht="15.75" customHeight="1" x14ac:dyDescent="0.25">
      <c r="A1130" s="62" t="s">
        <v>927</v>
      </c>
      <c r="B1130" s="62">
        <v>24</v>
      </c>
      <c r="C1130" s="62" t="s">
        <v>1278</v>
      </c>
      <c r="D1130" s="82" t="s">
        <v>1258</v>
      </c>
      <c r="E1130" s="82" t="s">
        <v>1248</v>
      </c>
      <c r="F1130" s="70">
        <f>VLOOKUP(VLOOKUP(A1130,'Личные данные'!A:V,6,0),'Личные данные'!$X$17:$AA$21,2,0)</f>
        <v>440</v>
      </c>
    </row>
    <row r="1131" spans="1:6" ht="15.75" customHeight="1" x14ac:dyDescent="0.25">
      <c r="A1131" s="62" t="s">
        <v>928</v>
      </c>
      <c r="B1131" s="62">
        <v>24</v>
      </c>
      <c r="C1131" s="62" t="s">
        <v>1278</v>
      </c>
      <c r="D1131" s="82" t="s">
        <v>1256</v>
      </c>
      <c r="E1131" s="82" t="s">
        <v>1248</v>
      </c>
      <c r="F1131" s="70">
        <f>VLOOKUP(VLOOKUP(A1131,'Личные данные'!A:V,6,0),'Личные данные'!$X$17:$AA$21,2,0)</f>
        <v>440</v>
      </c>
    </row>
    <row r="1132" spans="1:6" ht="15.75" customHeight="1" x14ac:dyDescent="0.25">
      <c r="A1132" s="62" t="s">
        <v>929</v>
      </c>
      <c r="B1132" s="62">
        <v>24</v>
      </c>
      <c r="C1132" s="62" t="s">
        <v>1278</v>
      </c>
      <c r="D1132" s="82" t="s">
        <v>1243</v>
      </c>
      <c r="E1132" s="82" t="s">
        <v>1255</v>
      </c>
      <c r="F1132" s="70">
        <f>VLOOKUP(VLOOKUP(A1132,'Личные данные'!A:V,6,0),'Личные данные'!$X$17:$AA$21,2,0)</f>
        <v>330</v>
      </c>
    </row>
    <row r="1133" spans="1:6" ht="15.75" customHeight="1" x14ac:dyDescent="0.25">
      <c r="A1133" s="62" t="s">
        <v>930</v>
      </c>
      <c r="B1133" s="62">
        <v>24</v>
      </c>
      <c r="C1133" s="62" t="s">
        <v>1278</v>
      </c>
      <c r="D1133" s="82" t="s">
        <v>1243</v>
      </c>
      <c r="E1133" s="82" t="s">
        <v>1253</v>
      </c>
      <c r="F1133" s="70">
        <f>VLOOKUP(VLOOKUP(A1133,'Личные данные'!A:V,6,0),'Личные данные'!$X$17:$AA$21,2,0)</f>
        <v>330</v>
      </c>
    </row>
    <row r="1134" spans="1:6" ht="15.75" customHeight="1" x14ac:dyDescent="0.25">
      <c r="A1134" s="62" t="s">
        <v>931</v>
      </c>
      <c r="B1134" s="62">
        <v>24</v>
      </c>
      <c r="C1134" s="62" t="s">
        <v>1278</v>
      </c>
      <c r="D1134" s="82" t="s">
        <v>1243</v>
      </c>
      <c r="E1134" s="82" t="s">
        <v>1255</v>
      </c>
      <c r="F1134" s="70">
        <f>VLOOKUP(VLOOKUP(A1134,'Личные данные'!A:V,6,0),'Личные данные'!$X$17:$AA$21,2,0)</f>
        <v>550</v>
      </c>
    </row>
    <row r="1135" spans="1:6" ht="15.75" customHeight="1" x14ac:dyDescent="0.25">
      <c r="A1135" s="62" t="s">
        <v>932</v>
      </c>
      <c r="B1135" s="62">
        <v>24</v>
      </c>
      <c r="C1135" s="62" t="s">
        <v>1278</v>
      </c>
      <c r="D1135" s="82" t="s">
        <v>1243</v>
      </c>
      <c r="E1135" s="82" t="s">
        <v>1253</v>
      </c>
      <c r="F1135" s="70">
        <f>VLOOKUP(VLOOKUP(A1135,'Личные данные'!A:V,6,0),'Личные данные'!$X$17:$AA$21,2,0)</f>
        <v>330</v>
      </c>
    </row>
    <row r="1136" spans="1:6" ht="15.75" customHeight="1" x14ac:dyDescent="0.25">
      <c r="A1136" s="62" t="s">
        <v>933</v>
      </c>
      <c r="B1136" s="62">
        <v>24</v>
      </c>
      <c r="C1136" s="62" t="s">
        <v>1278</v>
      </c>
      <c r="D1136" s="82" t="s">
        <v>1243</v>
      </c>
      <c r="E1136" s="82" t="s">
        <v>1248</v>
      </c>
      <c r="F1136" s="70">
        <f>VLOOKUP(VLOOKUP(A1136,'Личные данные'!A:V,6,0),'Личные данные'!$X$17:$AA$21,2,0)</f>
        <v>440</v>
      </c>
    </row>
    <row r="1137" spans="1:6" ht="15.75" customHeight="1" x14ac:dyDescent="0.25">
      <c r="A1137" s="62" t="s">
        <v>934</v>
      </c>
      <c r="B1137" s="62">
        <v>24</v>
      </c>
      <c r="C1137" s="62" t="s">
        <v>1278</v>
      </c>
      <c r="D1137" s="82" t="s">
        <v>1258</v>
      </c>
      <c r="E1137" s="82" t="s">
        <v>1248</v>
      </c>
      <c r="F1137" s="70">
        <f>VLOOKUP(VLOOKUP(A1137,'Личные данные'!A:V,6,0),'Личные данные'!$X$17:$AA$21,2,0)</f>
        <v>440</v>
      </c>
    </row>
    <row r="1138" spans="1:6" ht="15.75" customHeight="1" x14ac:dyDescent="0.25">
      <c r="A1138" s="62" t="s">
        <v>935</v>
      </c>
      <c r="B1138" s="62">
        <v>24</v>
      </c>
      <c r="C1138" s="62" t="s">
        <v>1278</v>
      </c>
      <c r="D1138" s="82" t="s">
        <v>1258</v>
      </c>
      <c r="E1138" s="82" t="s">
        <v>1248</v>
      </c>
      <c r="F1138" s="70">
        <f>VLOOKUP(VLOOKUP(A1138,'Личные данные'!A:V,6,0),'Личные данные'!$X$17:$AA$21,2,0)</f>
        <v>440</v>
      </c>
    </row>
    <row r="1139" spans="1:6" ht="15.75" customHeight="1" x14ac:dyDescent="0.25">
      <c r="A1139" s="62" t="s">
        <v>936</v>
      </c>
      <c r="B1139" s="62">
        <v>24</v>
      </c>
      <c r="C1139" s="62" t="s">
        <v>1278</v>
      </c>
      <c r="D1139" s="82" t="s">
        <v>1257</v>
      </c>
      <c r="E1139" s="82" t="s">
        <v>1255</v>
      </c>
      <c r="F1139" s="70">
        <f>VLOOKUP(VLOOKUP(A1139,'Личные данные'!A:V,6,0),'Личные данные'!$X$17:$AA$21,2,0)</f>
        <v>440</v>
      </c>
    </row>
    <row r="1140" spans="1:6" ht="15.75" customHeight="1" x14ac:dyDescent="0.25">
      <c r="A1140" s="62" t="s">
        <v>937</v>
      </c>
      <c r="B1140" s="62">
        <v>24</v>
      </c>
      <c r="C1140" s="62" t="s">
        <v>1278</v>
      </c>
      <c r="D1140" s="82" t="s">
        <v>1243</v>
      </c>
      <c r="E1140" s="82" t="s">
        <v>1248</v>
      </c>
      <c r="F1140" s="70">
        <f>VLOOKUP(VLOOKUP(A1140,'Личные данные'!A:V,6,0),'Личные данные'!$X$17:$AA$21,2,0)</f>
        <v>440</v>
      </c>
    </row>
    <row r="1141" spans="1:6" ht="15.75" customHeight="1" x14ac:dyDescent="0.25">
      <c r="A1141" s="62" t="s">
        <v>938</v>
      </c>
      <c r="B1141" s="62">
        <v>24</v>
      </c>
      <c r="C1141" s="62" t="s">
        <v>1278</v>
      </c>
      <c r="D1141" s="82" t="s">
        <v>1258</v>
      </c>
      <c r="E1141" s="82" t="s">
        <v>1248</v>
      </c>
      <c r="F1141" s="70">
        <f>VLOOKUP(VLOOKUP(A1141,'Личные данные'!A:V,6,0),'Личные данные'!$X$17:$AA$21,2,0)</f>
        <v>550</v>
      </c>
    </row>
    <row r="1142" spans="1:6" ht="15.75" customHeight="1" x14ac:dyDescent="0.25">
      <c r="A1142" s="62" t="s">
        <v>939</v>
      </c>
      <c r="B1142" s="62">
        <v>24</v>
      </c>
      <c r="C1142" s="62" t="s">
        <v>1278</v>
      </c>
      <c r="D1142" s="82" t="s">
        <v>1258</v>
      </c>
      <c r="E1142" s="82" t="s">
        <v>1244</v>
      </c>
      <c r="F1142" s="70">
        <f>VLOOKUP(VLOOKUP(A1142,'Личные данные'!A:V,6,0),'Личные данные'!$X$17:$AA$21,2,0)</f>
        <v>220</v>
      </c>
    </row>
    <row r="1143" spans="1:6" ht="15.75" customHeight="1" x14ac:dyDescent="0.25">
      <c r="A1143" s="62" t="s">
        <v>940</v>
      </c>
      <c r="B1143" s="62">
        <v>24</v>
      </c>
      <c r="C1143" s="62" t="s">
        <v>1278</v>
      </c>
      <c r="D1143" s="82" t="s">
        <v>1256</v>
      </c>
      <c r="E1143" s="82" t="s">
        <v>1248</v>
      </c>
      <c r="F1143" s="70">
        <f>VLOOKUP(VLOOKUP(A1143,'Личные данные'!A:V,6,0),'Личные данные'!$X$17:$AA$21,2,0)</f>
        <v>550</v>
      </c>
    </row>
    <row r="1144" spans="1:6" ht="15.75" customHeight="1" x14ac:dyDescent="0.25">
      <c r="A1144" s="62" t="s">
        <v>941</v>
      </c>
      <c r="B1144" s="62">
        <v>24</v>
      </c>
      <c r="C1144" s="62" t="s">
        <v>1278</v>
      </c>
      <c r="D1144" s="82" t="s">
        <v>1243</v>
      </c>
      <c r="E1144" s="82" t="s">
        <v>1253</v>
      </c>
      <c r="F1144" s="70">
        <f>VLOOKUP(VLOOKUP(A1144,'Личные данные'!A:V,6,0),'Личные данные'!$X$17:$AA$21,2,0)</f>
        <v>330</v>
      </c>
    </row>
    <row r="1145" spans="1:6" ht="15.75" customHeight="1" x14ac:dyDescent="0.25">
      <c r="A1145" s="62" t="s">
        <v>942</v>
      </c>
      <c r="B1145" s="62">
        <v>24</v>
      </c>
      <c r="C1145" s="62" t="s">
        <v>1278</v>
      </c>
      <c r="D1145" s="82" t="s">
        <v>1243</v>
      </c>
      <c r="E1145" s="82" t="s">
        <v>1244</v>
      </c>
      <c r="F1145" s="70">
        <f>VLOOKUP(VLOOKUP(A1145,'Личные данные'!A:V,6,0),'Личные данные'!$X$17:$AA$21,2,0)</f>
        <v>330</v>
      </c>
    </row>
    <row r="1146" spans="1:6" ht="15.75" customHeight="1" x14ac:dyDescent="0.25">
      <c r="A1146" s="62" t="s">
        <v>943</v>
      </c>
      <c r="B1146" s="62">
        <v>24</v>
      </c>
      <c r="C1146" s="62" t="s">
        <v>1278</v>
      </c>
      <c r="D1146" s="82" t="s">
        <v>1257</v>
      </c>
      <c r="E1146" s="82" t="s">
        <v>1248</v>
      </c>
      <c r="F1146" s="70">
        <f>VLOOKUP(VLOOKUP(A1146,'Личные данные'!A:V,6,0),'Личные данные'!$X$17:$AA$21,2,0)</f>
        <v>440</v>
      </c>
    </row>
    <row r="1147" spans="1:6" ht="15.75" customHeight="1" x14ac:dyDescent="0.25">
      <c r="A1147" s="62" t="s">
        <v>944</v>
      </c>
      <c r="B1147" s="62">
        <v>24</v>
      </c>
      <c r="C1147" s="62" t="s">
        <v>1278</v>
      </c>
      <c r="D1147" s="82" t="s">
        <v>1243</v>
      </c>
      <c r="E1147" s="82" t="s">
        <v>1248</v>
      </c>
      <c r="F1147" s="70">
        <f>VLOOKUP(VLOOKUP(A1147,'Личные данные'!A:V,6,0),'Личные данные'!$X$17:$AA$21,2,0)</f>
        <v>440</v>
      </c>
    </row>
    <row r="1148" spans="1:6" ht="15.75" customHeight="1" x14ac:dyDescent="0.25">
      <c r="A1148" s="62" t="s">
        <v>945</v>
      </c>
      <c r="B1148" s="62">
        <v>24</v>
      </c>
      <c r="C1148" s="62" t="s">
        <v>1278</v>
      </c>
      <c r="D1148" s="82" t="s">
        <v>1257</v>
      </c>
      <c r="E1148" s="82" t="s">
        <v>1248</v>
      </c>
      <c r="F1148" s="70">
        <f>VLOOKUP(VLOOKUP(A1148,'Личные данные'!A:V,6,0),'Личные данные'!$X$17:$AA$21,2,0)</f>
        <v>550</v>
      </c>
    </row>
    <row r="1149" spans="1:6" ht="15.75" customHeight="1" x14ac:dyDescent="0.25">
      <c r="A1149" s="62" t="s">
        <v>946</v>
      </c>
      <c r="B1149" s="62">
        <v>24</v>
      </c>
      <c r="C1149" s="62" t="s">
        <v>1278</v>
      </c>
      <c r="D1149" s="82" t="s">
        <v>1243</v>
      </c>
      <c r="E1149" s="82" t="s">
        <v>1253</v>
      </c>
      <c r="F1149" s="70">
        <f>VLOOKUP(VLOOKUP(A1149,'Личные данные'!A:V,6,0),'Личные данные'!$X$17:$AA$21,2,0)</f>
        <v>330</v>
      </c>
    </row>
    <row r="1150" spans="1:6" ht="15.75" customHeight="1" x14ac:dyDescent="0.25">
      <c r="A1150" s="62" t="s">
        <v>947</v>
      </c>
      <c r="B1150" s="62">
        <v>24</v>
      </c>
      <c r="C1150" s="62" t="s">
        <v>1278</v>
      </c>
      <c r="D1150" s="82" t="s">
        <v>1243</v>
      </c>
      <c r="E1150" s="82" t="s">
        <v>1244</v>
      </c>
      <c r="F1150" s="70">
        <f>VLOOKUP(VLOOKUP(A1150,'Личные данные'!A:V,6,0),'Личные данные'!$X$17:$AA$21,2,0)</f>
        <v>330</v>
      </c>
    </row>
    <row r="1151" spans="1:6" ht="15.75" customHeight="1" x14ac:dyDescent="0.25">
      <c r="A1151" s="62" t="s">
        <v>948</v>
      </c>
      <c r="B1151" s="62">
        <v>24</v>
      </c>
      <c r="C1151" s="62" t="s">
        <v>1278</v>
      </c>
      <c r="D1151" s="82" t="s">
        <v>1258</v>
      </c>
      <c r="E1151" s="82" t="s">
        <v>1248</v>
      </c>
      <c r="F1151" s="70">
        <f>VLOOKUP(VLOOKUP(A1151,'Личные данные'!A:V,6,0),'Личные данные'!$X$17:$AA$21,2,0)</f>
        <v>440</v>
      </c>
    </row>
    <row r="1152" spans="1:6" ht="15.75" customHeight="1" x14ac:dyDescent="0.25">
      <c r="A1152" s="62" t="s">
        <v>949</v>
      </c>
      <c r="B1152" s="62">
        <v>24</v>
      </c>
      <c r="C1152" s="62" t="s">
        <v>1278</v>
      </c>
      <c r="D1152" s="82" t="s">
        <v>1243</v>
      </c>
      <c r="E1152" s="82" t="s">
        <v>1255</v>
      </c>
      <c r="F1152" s="70">
        <f>VLOOKUP(VLOOKUP(A1152,'Личные данные'!A:V,6,0),'Личные данные'!$X$17:$AA$21,2,0)</f>
        <v>330</v>
      </c>
    </row>
    <row r="1153" spans="1:6" ht="15.75" customHeight="1" x14ac:dyDescent="0.25">
      <c r="A1153" s="62" t="s">
        <v>950</v>
      </c>
      <c r="B1153" s="62">
        <v>24</v>
      </c>
      <c r="C1153" s="62" t="s">
        <v>1278</v>
      </c>
      <c r="D1153" s="82" t="s">
        <v>1243</v>
      </c>
      <c r="E1153" s="82" t="s">
        <v>1248</v>
      </c>
      <c r="F1153" s="70">
        <f>VLOOKUP(VLOOKUP(A1153,'Личные данные'!A:V,6,0),'Личные данные'!$X$17:$AA$21,2,0)</f>
        <v>330</v>
      </c>
    </row>
    <row r="1154" spans="1:6" ht="15.75" customHeight="1" x14ac:dyDescent="0.25">
      <c r="A1154" s="62" t="s">
        <v>951</v>
      </c>
      <c r="B1154" s="62">
        <v>24</v>
      </c>
      <c r="C1154" s="62" t="s">
        <v>1278</v>
      </c>
      <c r="D1154" s="82" t="s">
        <v>1256</v>
      </c>
      <c r="E1154" s="82" t="s">
        <v>1248</v>
      </c>
      <c r="F1154" s="70">
        <f>VLOOKUP(VLOOKUP(A1154,'Личные данные'!A:V,6,0),'Личные данные'!$X$17:$AA$21,2,0)</f>
        <v>550</v>
      </c>
    </row>
    <row r="1155" spans="1:6" ht="15.75" customHeight="1" x14ac:dyDescent="0.25">
      <c r="A1155" s="62" t="s">
        <v>952</v>
      </c>
      <c r="B1155" s="62">
        <v>24</v>
      </c>
      <c r="C1155" s="62" t="s">
        <v>1278</v>
      </c>
      <c r="D1155" s="82" t="s">
        <v>1258</v>
      </c>
      <c r="E1155" s="82" t="s">
        <v>1244</v>
      </c>
      <c r="F1155" s="70">
        <f>VLOOKUP(VLOOKUP(A1155,'Личные данные'!A:V,6,0),'Личные данные'!$X$17:$AA$21,2,0)</f>
        <v>550</v>
      </c>
    </row>
    <row r="1156" spans="1:6" ht="15.75" customHeight="1" x14ac:dyDescent="0.25">
      <c r="A1156" s="62" t="s">
        <v>953</v>
      </c>
      <c r="B1156" s="62">
        <v>24</v>
      </c>
      <c r="C1156" s="62" t="s">
        <v>1278</v>
      </c>
      <c r="D1156" s="82" t="s">
        <v>1243</v>
      </c>
      <c r="E1156" s="82" t="s">
        <v>1253</v>
      </c>
      <c r="F1156" s="70">
        <f>VLOOKUP(VLOOKUP(A1156,'Личные данные'!A:V,6,0),'Личные данные'!$X$17:$AA$21,2,0)</f>
        <v>330</v>
      </c>
    </row>
    <row r="1157" spans="1:6" ht="15.75" customHeight="1" x14ac:dyDescent="0.25">
      <c r="A1157" s="62" t="s">
        <v>954</v>
      </c>
      <c r="B1157" s="62">
        <v>24</v>
      </c>
      <c r="C1157" s="62" t="s">
        <v>1278</v>
      </c>
      <c r="D1157" s="82" t="s">
        <v>1243</v>
      </c>
      <c r="E1157" s="82" t="s">
        <v>1253</v>
      </c>
      <c r="F1157" s="70">
        <f>VLOOKUP(VLOOKUP(A1157,'Личные данные'!A:V,6,0),'Личные данные'!$X$17:$AA$21,2,0)</f>
        <v>330</v>
      </c>
    </row>
    <row r="1158" spans="1:6" ht="15.75" customHeight="1" x14ac:dyDescent="0.25">
      <c r="A1158" s="62" t="s">
        <v>955</v>
      </c>
      <c r="B1158" s="62">
        <v>24</v>
      </c>
      <c r="C1158" s="62" t="s">
        <v>1278</v>
      </c>
      <c r="D1158" s="82" t="s">
        <v>1243</v>
      </c>
      <c r="E1158" s="82" t="s">
        <v>1244</v>
      </c>
      <c r="F1158" s="70">
        <f>VLOOKUP(VLOOKUP(A1158,'Личные данные'!A:V,6,0),'Личные данные'!$X$17:$AA$21,2,0)</f>
        <v>220</v>
      </c>
    </row>
    <row r="1159" spans="1:6" ht="15.75" customHeight="1" x14ac:dyDescent="0.25">
      <c r="A1159" s="62" t="s">
        <v>956</v>
      </c>
      <c r="B1159" s="62">
        <v>24</v>
      </c>
      <c r="C1159" s="62" t="s">
        <v>1278</v>
      </c>
      <c r="D1159" s="82" t="s">
        <v>1243</v>
      </c>
      <c r="E1159" s="82" t="s">
        <v>1248</v>
      </c>
      <c r="F1159" s="70">
        <f>VLOOKUP(VLOOKUP(A1159,'Личные данные'!A:V,6,0),'Личные данные'!$X$17:$AA$21,2,0)</f>
        <v>330</v>
      </c>
    </row>
    <row r="1160" spans="1:6" ht="15.75" customHeight="1" x14ac:dyDescent="0.25">
      <c r="A1160" s="62" t="s">
        <v>957</v>
      </c>
      <c r="B1160" s="62">
        <v>24</v>
      </c>
      <c r="C1160" s="62" t="s">
        <v>1278</v>
      </c>
      <c r="D1160" s="82" t="s">
        <v>1256</v>
      </c>
      <c r="E1160" s="82" t="s">
        <v>1255</v>
      </c>
      <c r="F1160" s="70">
        <f>VLOOKUP(VLOOKUP(A1160,'Личные данные'!A:V,6,0),'Личные данные'!$X$17:$AA$21,2,0)</f>
        <v>440</v>
      </c>
    </row>
    <row r="1161" spans="1:6" ht="15.75" customHeight="1" x14ac:dyDescent="0.25">
      <c r="A1161" s="62" t="s">
        <v>958</v>
      </c>
      <c r="B1161" s="62">
        <v>24</v>
      </c>
      <c r="C1161" s="62" t="s">
        <v>1278</v>
      </c>
      <c r="D1161" s="82" t="s">
        <v>1257</v>
      </c>
      <c r="E1161" s="82" t="s">
        <v>1244</v>
      </c>
      <c r="F1161" s="70">
        <f>VLOOKUP(VLOOKUP(A1161,'Личные данные'!A:V,6,0),'Личные данные'!$X$17:$AA$21,2,0)</f>
        <v>440</v>
      </c>
    </row>
    <row r="1162" spans="1:6" ht="15.75" customHeight="1" x14ac:dyDescent="0.25">
      <c r="A1162" s="62" t="s">
        <v>959</v>
      </c>
      <c r="B1162" s="62">
        <v>24</v>
      </c>
      <c r="C1162" s="62" t="s">
        <v>1278</v>
      </c>
      <c r="D1162" s="82" t="s">
        <v>1243</v>
      </c>
      <c r="E1162" s="82" t="s">
        <v>1248</v>
      </c>
      <c r="F1162" s="70">
        <f>VLOOKUP(VLOOKUP(A1162,'Личные данные'!A:V,6,0),'Личные данные'!$X$17:$AA$21,2,0)</f>
        <v>330</v>
      </c>
    </row>
    <row r="1163" spans="1:6" ht="15.75" customHeight="1" x14ac:dyDescent="0.25">
      <c r="A1163" s="62" t="s">
        <v>960</v>
      </c>
      <c r="B1163" s="62">
        <v>24</v>
      </c>
      <c r="C1163" s="62" t="s">
        <v>1278</v>
      </c>
      <c r="D1163" s="82" t="s">
        <v>1258</v>
      </c>
      <c r="E1163" s="82" t="s">
        <v>1248</v>
      </c>
      <c r="F1163" s="70">
        <f>VLOOKUP(VLOOKUP(A1163,'Личные данные'!A:V,6,0),'Личные данные'!$X$17:$AA$21,2,0)</f>
        <v>440</v>
      </c>
    </row>
    <row r="1164" spans="1:6" ht="15.75" customHeight="1" x14ac:dyDescent="0.25">
      <c r="A1164" s="62" t="s">
        <v>961</v>
      </c>
      <c r="B1164" s="62">
        <v>24</v>
      </c>
      <c r="C1164" s="62" t="s">
        <v>1278</v>
      </c>
      <c r="D1164" s="82" t="s">
        <v>1243</v>
      </c>
      <c r="E1164" s="82" t="s">
        <v>1244</v>
      </c>
      <c r="F1164" s="70">
        <f>VLOOKUP(VLOOKUP(A1164,'Личные данные'!A:V,6,0),'Личные данные'!$X$17:$AA$21,2,0)</f>
        <v>220</v>
      </c>
    </row>
    <row r="1165" spans="1:6" ht="15.75" customHeight="1" x14ac:dyDescent="0.25">
      <c r="A1165" s="62" t="s">
        <v>962</v>
      </c>
      <c r="B1165" s="62">
        <v>24</v>
      </c>
      <c r="C1165" s="62" t="s">
        <v>1278</v>
      </c>
      <c r="D1165" s="82" t="s">
        <v>1256</v>
      </c>
      <c r="E1165" s="82" t="s">
        <v>1248</v>
      </c>
      <c r="F1165" s="70">
        <f>VLOOKUP(VLOOKUP(A1165,'Личные данные'!A:V,6,0),'Личные данные'!$X$17:$AA$21,2,0)</f>
        <v>550</v>
      </c>
    </row>
    <row r="1166" spans="1:6" ht="15.75" customHeight="1" x14ac:dyDescent="0.25">
      <c r="A1166" s="62" t="s">
        <v>963</v>
      </c>
      <c r="B1166" s="62">
        <v>24</v>
      </c>
      <c r="C1166" s="62" t="s">
        <v>1278</v>
      </c>
      <c r="D1166" s="82" t="s">
        <v>1243</v>
      </c>
      <c r="E1166" s="82" t="s">
        <v>1253</v>
      </c>
      <c r="F1166" s="70">
        <f>VLOOKUP(VLOOKUP(A1166,'Личные данные'!A:V,6,0),'Личные данные'!$X$17:$AA$21,2,0)</f>
        <v>330</v>
      </c>
    </row>
    <row r="1167" spans="1:6" ht="15.75" customHeight="1" x14ac:dyDescent="0.25">
      <c r="A1167" s="62" t="s">
        <v>964</v>
      </c>
      <c r="B1167" s="62">
        <v>24</v>
      </c>
      <c r="C1167" s="62" t="s">
        <v>1278</v>
      </c>
      <c r="D1167" s="82" t="s">
        <v>1258</v>
      </c>
      <c r="E1167" s="82" t="s">
        <v>1253</v>
      </c>
      <c r="F1167" s="70">
        <f>VLOOKUP(VLOOKUP(A1167,'Личные данные'!A:V,6,0),'Личные данные'!$X$17:$AA$21,2,0)</f>
        <v>550</v>
      </c>
    </row>
    <row r="1168" spans="1:6" ht="15.75" customHeight="1" x14ac:dyDescent="0.25">
      <c r="A1168" s="62" t="s">
        <v>965</v>
      </c>
      <c r="B1168" s="62">
        <v>24</v>
      </c>
      <c r="C1168" s="62" t="s">
        <v>1278</v>
      </c>
      <c r="D1168" s="82" t="s">
        <v>1260</v>
      </c>
      <c r="E1168" s="82" t="s">
        <v>1250</v>
      </c>
      <c r="F1168" s="70">
        <f>VLOOKUP(VLOOKUP(A1168,'Личные данные'!A:V,6,0),'Личные данные'!$X$17:$AA$21,2,0)</f>
        <v>770</v>
      </c>
    </row>
    <row r="1169" spans="1:6" ht="15.75" customHeight="1" x14ac:dyDescent="0.25">
      <c r="A1169" s="62" t="s">
        <v>966</v>
      </c>
      <c r="B1169" s="62">
        <v>24</v>
      </c>
      <c r="C1169" s="62" t="s">
        <v>1278</v>
      </c>
      <c r="D1169" s="82" t="s">
        <v>1256</v>
      </c>
      <c r="E1169" s="82" t="s">
        <v>1244</v>
      </c>
      <c r="F1169" s="70">
        <f>VLOOKUP(VLOOKUP(A1169,'Личные данные'!A:V,6,0),'Личные данные'!$X$17:$AA$21,2,0)</f>
        <v>550</v>
      </c>
    </row>
    <row r="1170" spans="1:6" ht="15.75" customHeight="1" x14ac:dyDescent="0.25">
      <c r="A1170" s="62" t="s">
        <v>967</v>
      </c>
      <c r="B1170" s="62">
        <v>24</v>
      </c>
      <c r="C1170" s="62" t="s">
        <v>1278</v>
      </c>
      <c r="D1170" s="82" t="s">
        <v>1243</v>
      </c>
      <c r="E1170" s="82" t="s">
        <v>1244</v>
      </c>
      <c r="F1170" s="70">
        <f>VLOOKUP(VLOOKUP(A1170,'Личные данные'!A:V,6,0),'Личные данные'!$X$17:$AA$21,2,0)</f>
        <v>220</v>
      </c>
    </row>
    <row r="1171" spans="1:6" ht="15.75" customHeight="1" x14ac:dyDescent="0.25">
      <c r="A1171" s="62" t="s">
        <v>968</v>
      </c>
      <c r="B1171" s="62">
        <v>24</v>
      </c>
      <c r="C1171" s="62" t="s">
        <v>1278</v>
      </c>
      <c r="D1171" s="82" t="s">
        <v>1256</v>
      </c>
      <c r="E1171" s="82" t="s">
        <v>1248</v>
      </c>
      <c r="F1171" s="70">
        <f>VLOOKUP(VLOOKUP(A1171,'Личные данные'!A:V,6,0),'Личные данные'!$X$17:$AA$21,2,0)</f>
        <v>550</v>
      </c>
    </row>
    <row r="1172" spans="1:6" ht="15.75" customHeight="1" x14ac:dyDescent="0.25">
      <c r="A1172" s="62" t="s">
        <v>969</v>
      </c>
      <c r="B1172" s="62">
        <v>24</v>
      </c>
      <c r="C1172" s="62" t="s">
        <v>1278</v>
      </c>
      <c r="D1172" s="82" t="s">
        <v>1257</v>
      </c>
      <c r="E1172" s="82" t="s">
        <v>1248</v>
      </c>
      <c r="F1172" s="70">
        <f>VLOOKUP(VLOOKUP(A1172,'Личные данные'!A:V,6,0),'Личные данные'!$X$17:$AA$21,2,0)</f>
        <v>440</v>
      </c>
    </row>
    <row r="1173" spans="1:6" ht="15.75" customHeight="1" x14ac:dyDescent="0.25">
      <c r="A1173" s="62" t="s">
        <v>970</v>
      </c>
      <c r="B1173" s="62">
        <v>24</v>
      </c>
      <c r="C1173" s="62" t="s">
        <v>1278</v>
      </c>
      <c r="D1173" s="82" t="s">
        <v>1243</v>
      </c>
      <c r="E1173" s="82" t="s">
        <v>1255</v>
      </c>
      <c r="F1173" s="70">
        <f>VLOOKUP(VLOOKUP(A1173,'Личные данные'!A:V,6,0),'Личные данные'!$X$17:$AA$21,2,0)</f>
        <v>440</v>
      </c>
    </row>
    <row r="1174" spans="1:6" ht="15.75" customHeight="1" x14ac:dyDescent="0.25">
      <c r="A1174" s="62" t="s">
        <v>971</v>
      </c>
      <c r="B1174" s="62">
        <v>24</v>
      </c>
      <c r="C1174" s="62" t="s">
        <v>1278</v>
      </c>
      <c r="D1174" s="82" t="s">
        <v>1243</v>
      </c>
      <c r="E1174" s="82" t="s">
        <v>1255</v>
      </c>
      <c r="F1174" s="70">
        <f>VLOOKUP(VLOOKUP(A1174,'Личные данные'!A:V,6,0),'Личные данные'!$X$17:$AA$21,2,0)</f>
        <v>330</v>
      </c>
    </row>
    <row r="1175" spans="1:6" ht="15.75" customHeight="1" x14ac:dyDescent="0.25">
      <c r="A1175" s="62" t="s">
        <v>972</v>
      </c>
      <c r="B1175" s="62">
        <v>24</v>
      </c>
      <c r="C1175" s="62" t="s">
        <v>1278</v>
      </c>
      <c r="D1175" s="82" t="s">
        <v>1258</v>
      </c>
      <c r="E1175" s="82" t="s">
        <v>1248</v>
      </c>
      <c r="F1175" s="70">
        <f>VLOOKUP(VLOOKUP(A1175,'Личные данные'!A:V,6,0),'Личные данные'!$X$17:$AA$21,2,0)</f>
        <v>440</v>
      </c>
    </row>
    <row r="1176" spans="1:6" ht="15.75" customHeight="1" x14ac:dyDescent="0.25">
      <c r="A1176" s="62" t="s">
        <v>973</v>
      </c>
      <c r="B1176" s="62">
        <v>24</v>
      </c>
      <c r="C1176" s="62" t="s">
        <v>1278</v>
      </c>
      <c r="D1176" s="82" t="s">
        <v>1256</v>
      </c>
      <c r="E1176" s="82" t="s">
        <v>1248</v>
      </c>
      <c r="F1176" s="70">
        <f>VLOOKUP(VLOOKUP(A1176,'Личные данные'!A:V,6,0),'Личные данные'!$X$17:$AA$21,2,0)</f>
        <v>550</v>
      </c>
    </row>
    <row r="1177" spans="1:6" ht="15.75" customHeight="1" x14ac:dyDescent="0.25">
      <c r="A1177" s="62" t="s">
        <v>974</v>
      </c>
      <c r="B1177" s="62">
        <v>24</v>
      </c>
      <c r="C1177" s="62" t="s">
        <v>1278</v>
      </c>
      <c r="D1177" s="82" t="s">
        <v>1257</v>
      </c>
      <c r="E1177" s="82" t="s">
        <v>1255</v>
      </c>
      <c r="F1177" s="70">
        <f>VLOOKUP(VLOOKUP(A1177,'Личные данные'!A:V,6,0),'Личные данные'!$X$17:$AA$21,2,0)</f>
        <v>440</v>
      </c>
    </row>
    <row r="1178" spans="1:6" ht="15.75" customHeight="1" x14ac:dyDescent="0.25">
      <c r="A1178" s="62" t="s">
        <v>975</v>
      </c>
      <c r="B1178" s="62">
        <v>24</v>
      </c>
      <c r="C1178" s="62" t="s">
        <v>1278</v>
      </c>
      <c r="D1178" s="82" t="s">
        <v>1243</v>
      </c>
      <c r="E1178" s="82" t="s">
        <v>1253</v>
      </c>
      <c r="F1178" s="70">
        <f>VLOOKUP(VLOOKUP(A1178,'Личные данные'!A:V,6,0),'Личные данные'!$X$17:$AA$21,2,0)</f>
        <v>330</v>
      </c>
    </row>
    <row r="1179" spans="1:6" ht="15.75" customHeight="1" x14ac:dyDescent="0.25">
      <c r="A1179" s="62" t="s">
        <v>976</v>
      </c>
      <c r="B1179" s="62">
        <v>24</v>
      </c>
      <c r="C1179" s="62" t="s">
        <v>1278</v>
      </c>
      <c r="D1179" s="82" t="s">
        <v>1257</v>
      </c>
      <c r="E1179" s="82" t="s">
        <v>1248</v>
      </c>
      <c r="F1179" s="70">
        <f>VLOOKUP(VLOOKUP(A1179,'Личные данные'!A:V,6,0),'Личные данные'!$X$17:$AA$21,2,0)</f>
        <v>440</v>
      </c>
    </row>
    <row r="1180" spans="1:6" ht="15.75" customHeight="1" x14ac:dyDescent="0.25">
      <c r="A1180" s="62" t="s">
        <v>977</v>
      </c>
      <c r="B1180" s="62">
        <v>24</v>
      </c>
      <c r="C1180" s="62" t="s">
        <v>1278</v>
      </c>
      <c r="D1180" s="82" t="s">
        <v>1243</v>
      </c>
      <c r="E1180" s="82" t="s">
        <v>1253</v>
      </c>
      <c r="F1180" s="70">
        <f>VLOOKUP(VLOOKUP(A1180,'Личные данные'!A:V,6,0),'Личные данные'!$X$17:$AA$21,2,0)</f>
        <v>330</v>
      </c>
    </row>
    <row r="1181" spans="1:6" ht="15.75" customHeight="1" x14ac:dyDescent="0.25">
      <c r="A1181" s="62" t="s">
        <v>978</v>
      </c>
      <c r="B1181" s="62">
        <v>24</v>
      </c>
      <c r="C1181" s="62" t="s">
        <v>1278</v>
      </c>
      <c r="D1181" s="82" t="s">
        <v>1257</v>
      </c>
      <c r="E1181" s="82" t="s">
        <v>1248</v>
      </c>
      <c r="F1181" s="70">
        <f>VLOOKUP(VLOOKUP(A1181,'Личные данные'!A:V,6,0),'Личные данные'!$X$17:$AA$21,2,0)</f>
        <v>550</v>
      </c>
    </row>
    <row r="1182" spans="1:6" ht="15.75" customHeight="1" x14ac:dyDescent="0.25">
      <c r="A1182" s="62" t="s">
        <v>979</v>
      </c>
      <c r="B1182" s="62">
        <v>24</v>
      </c>
      <c r="C1182" s="62" t="s">
        <v>1278</v>
      </c>
      <c r="D1182" s="82" t="s">
        <v>1243</v>
      </c>
      <c r="E1182" s="82" t="s">
        <v>1244</v>
      </c>
      <c r="F1182" s="70">
        <f>VLOOKUP(VLOOKUP(A1182,'Личные данные'!A:V,6,0),'Личные данные'!$X$17:$AA$21,2,0)</f>
        <v>440</v>
      </c>
    </row>
    <row r="1183" spans="1:6" ht="15.75" customHeight="1" x14ac:dyDescent="0.25">
      <c r="A1183" s="62" t="s">
        <v>980</v>
      </c>
      <c r="B1183" s="62">
        <v>24</v>
      </c>
      <c r="C1183" s="62" t="s">
        <v>1278</v>
      </c>
      <c r="D1183" s="82" t="s">
        <v>1243</v>
      </c>
      <c r="E1183" s="82" t="s">
        <v>1248</v>
      </c>
      <c r="F1183" s="70">
        <f>VLOOKUP(VLOOKUP(A1183,'Личные данные'!A:V,6,0),'Личные данные'!$X$17:$AA$21,2,0)</f>
        <v>330</v>
      </c>
    </row>
    <row r="1184" spans="1:6" ht="15.75" customHeight="1" x14ac:dyDescent="0.25">
      <c r="A1184" s="62" t="s">
        <v>981</v>
      </c>
      <c r="B1184" s="62">
        <v>24</v>
      </c>
      <c r="C1184" s="62" t="s">
        <v>1278</v>
      </c>
      <c r="D1184" s="82" t="s">
        <v>1243</v>
      </c>
      <c r="E1184" s="82" t="s">
        <v>1253</v>
      </c>
      <c r="F1184" s="70">
        <f>VLOOKUP(VLOOKUP(A1184,'Личные данные'!A:V,6,0),'Личные данные'!$X$17:$AA$21,2,0)</f>
        <v>330</v>
      </c>
    </row>
    <row r="1185" spans="1:6" ht="15.75" customHeight="1" x14ac:dyDescent="0.25">
      <c r="A1185" s="62" t="s">
        <v>982</v>
      </c>
      <c r="B1185" s="62">
        <v>24</v>
      </c>
      <c r="C1185" s="62" t="s">
        <v>1278</v>
      </c>
      <c r="D1185" s="82" t="s">
        <v>1243</v>
      </c>
      <c r="E1185" s="82" t="s">
        <v>1253</v>
      </c>
      <c r="F1185" s="70">
        <f>VLOOKUP(VLOOKUP(A1185,'Личные данные'!A:V,6,0),'Личные данные'!$X$17:$AA$21,2,0)</f>
        <v>330</v>
      </c>
    </row>
    <row r="1186" spans="1:6" ht="15.75" customHeight="1" x14ac:dyDescent="0.25">
      <c r="A1186" s="62" t="s">
        <v>983</v>
      </c>
      <c r="B1186" s="62">
        <v>24</v>
      </c>
      <c r="C1186" s="62" t="s">
        <v>1278</v>
      </c>
      <c r="D1186" s="82" t="s">
        <v>1243</v>
      </c>
      <c r="E1186" s="82" t="s">
        <v>1253</v>
      </c>
      <c r="F1186" s="70">
        <f>VLOOKUP(VLOOKUP(A1186,'Личные данные'!A:V,6,0),'Личные данные'!$X$17:$AA$21,2,0)</f>
        <v>330</v>
      </c>
    </row>
    <row r="1187" spans="1:6" ht="15.75" customHeight="1" x14ac:dyDescent="0.25">
      <c r="A1187" s="62" t="s">
        <v>984</v>
      </c>
      <c r="B1187" s="62">
        <v>24</v>
      </c>
      <c r="C1187" s="62" t="s">
        <v>1278</v>
      </c>
      <c r="D1187" s="82" t="s">
        <v>1243</v>
      </c>
      <c r="E1187" s="82" t="s">
        <v>1248</v>
      </c>
      <c r="F1187" s="70">
        <f>VLOOKUP(VLOOKUP(A1187,'Личные данные'!A:V,6,0),'Личные данные'!$X$17:$AA$21,2,0)</f>
        <v>440</v>
      </c>
    </row>
    <row r="1188" spans="1:6" ht="15.75" customHeight="1" x14ac:dyDescent="0.25">
      <c r="A1188" s="62" t="s">
        <v>985</v>
      </c>
      <c r="B1188" s="62">
        <v>24</v>
      </c>
      <c r="C1188" s="62" t="s">
        <v>1278</v>
      </c>
      <c r="D1188" s="82" t="s">
        <v>1243</v>
      </c>
      <c r="E1188" s="82" t="s">
        <v>1248</v>
      </c>
      <c r="F1188" s="70">
        <f>VLOOKUP(VLOOKUP(A1188,'Личные данные'!A:V,6,0),'Личные данные'!$X$17:$AA$21,2,0)</f>
        <v>330</v>
      </c>
    </row>
    <row r="1189" spans="1:6" ht="15.75" customHeight="1" x14ac:dyDescent="0.25">
      <c r="A1189" s="62" t="s">
        <v>986</v>
      </c>
      <c r="B1189" s="62">
        <v>24</v>
      </c>
      <c r="C1189" s="62" t="s">
        <v>1278</v>
      </c>
      <c r="D1189" s="82" t="s">
        <v>1258</v>
      </c>
      <c r="E1189" s="82" t="s">
        <v>1248</v>
      </c>
      <c r="F1189" s="70">
        <f>VLOOKUP(VLOOKUP(A1189,'Личные данные'!A:V,6,0),'Личные данные'!$X$17:$AA$21,2,0)</f>
        <v>440</v>
      </c>
    </row>
    <row r="1190" spans="1:6" ht="15.75" customHeight="1" x14ac:dyDescent="0.25">
      <c r="A1190" s="62" t="s">
        <v>987</v>
      </c>
      <c r="B1190" s="62">
        <v>24</v>
      </c>
      <c r="C1190" s="62" t="s">
        <v>1278</v>
      </c>
      <c r="D1190" s="82" t="s">
        <v>1243</v>
      </c>
      <c r="E1190" s="82" t="s">
        <v>1255</v>
      </c>
      <c r="F1190" s="70">
        <f>VLOOKUP(VLOOKUP(A1190,'Личные данные'!A:V,6,0),'Личные данные'!$X$17:$AA$21,2,0)</f>
        <v>550</v>
      </c>
    </row>
    <row r="1191" spans="1:6" ht="15.75" customHeight="1" x14ac:dyDescent="0.25">
      <c r="A1191" s="62" t="s">
        <v>988</v>
      </c>
      <c r="B1191" s="62">
        <v>24</v>
      </c>
      <c r="C1191" s="62" t="s">
        <v>1278</v>
      </c>
      <c r="D1191" s="82" t="s">
        <v>1258</v>
      </c>
      <c r="E1191" s="82" t="s">
        <v>1244</v>
      </c>
      <c r="F1191" s="70">
        <f>VLOOKUP(VLOOKUP(A1191,'Личные данные'!A:V,6,0),'Личные данные'!$X$17:$AA$21,2,0)</f>
        <v>440</v>
      </c>
    </row>
    <row r="1192" spans="1:6" ht="15.75" customHeight="1" x14ac:dyDescent="0.25">
      <c r="A1192" s="62" t="s">
        <v>989</v>
      </c>
      <c r="B1192" s="62">
        <v>24</v>
      </c>
      <c r="C1192" s="62" t="s">
        <v>1278</v>
      </c>
      <c r="D1192" s="82" t="s">
        <v>1257</v>
      </c>
      <c r="E1192" s="82" t="s">
        <v>1253</v>
      </c>
      <c r="F1192" s="70">
        <f>VLOOKUP(VLOOKUP(A1192,'Личные данные'!A:V,6,0),'Личные данные'!$X$17:$AA$21,2,0)</f>
        <v>550</v>
      </c>
    </row>
    <row r="1193" spans="1:6" ht="15.75" customHeight="1" x14ac:dyDescent="0.25">
      <c r="A1193" s="62" t="s">
        <v>990</v>
      </c>
      <c r="B1193" s="62">
        <v>24</v>
      </c>
      <c r="C1193" s="62" t="s">
        <v>1278</v>
      </c>
      <c r="D1193" s="82" t="s">
        <v>1258</v>
      </c>
      <c r="E1193" s="82" t="s">
        <v>1248</v>
      </c>
      <c r="F1193" s="70">
        <f>VLOOKUP(VLOOKUP(A1193,'Личные данные'!A:V,6,0),'Личные данные'!$X$17:$AA$21,2,0)</f>
        <v>440</v>
      </c>
    </row>
    <row r="1194" spans="1:6" ht="15.75" customHeight="1" x14ac:dyDescent="0.25">
      <c r="A1194" s="62" t="s">
        <v>991</v>
      </c>
      <c r="B1194" s="62">
        <v>24</v>
      </c>
      <c r="C1194" s="62" t="s">
        <v>1278</v>
      </c>
      <c r="D1194" s="82" t="s">
        <v>1258</v>
      </c>
      <c r="E1194" s="82" t="s">
        <v>1248</v>
      </c>
      <c r="F1194" s="70">
        <f>VLOOKUP(VLOOKUP(A1194,'Личные данные'!A:V,6,0),'Личные данные'!$X$17:$AA$21,2,0)</f>
        <v>440</v>
      </c>
    </row>
    <row r="1195" spans="1:6" ht="15.75" customHeight="1" x14ac:dyDescent="0.25">
      <c r="A1195" s="62" t="s">
        <v>992</v>
      </c>
      <c r="B1195" s="62">
        <v>24</v>
      </c>
      <c r="C1195" s="62" t="s">
        <v>1278</v>
      </c>
      <c r="D1195" s="82" t="s">
        <v>1258</v>
      </c>
      <c r="E1195" s="82" t="s">
        <v>1248</v>
      </c>
      <c r="F1195" s="70">
        <f>VLOOKUP(VLOOKUP(A1195,'Личные данные'!A:V,6,0),'Личные данные'!$X$17:$AA$21,2,0)</f>
        <v>440</v>
      </c>
    </row>
    <row r="1196" spans="1:6" ht="15.75" customHeight="1" x14ac:dyDescent="0.25">
      <c r="A1196" s="62" t="s">
        <v>993</v>
      </c>
      <c r="B1196" s="62">
        <v>24</v>
      </c>
      <c r="C1196" s="62" t="s">
        <v>1278</v>
      </c>
      <c r="D1196" s="82" t="s">
        <v>1257</v>
      </c>
      <c r="E1196" s="82" t="s">
        <v>1255</v>
      </c>
      <c r="F1196" s="70">
        <f>VLOOKUP(VLOOKUP(A1196,'Личные данные'!A:V,6,0),'Личные данные'!$X$17:$AA$21,2,0)</f>
        <v>440</v>
      </c>
    </row>
    <row r="1197" spans="1:6" ht="15.75" customHeight="1" x14ac:dyDescent="0.25">
      <c r="A1197" s="62" t="s">
        <v>994</v>
      </c>
      <c r="B1197" s="62">
        <v>24</v>
      </c>
      <c r="C1197" s="62" t="s">
        <v>1278</v>
      </c>
      <c r="D1197" s="82" t="s">
        <v>1243</v>
      </c>
      <c r="E1197" s="82" t="s">
        <v>1244</v>
      </c>
      <c r="F1197" s="70">
        <f>VLOOKUP(VLOOKUP(A1197,'Личные данные'!A:V,6,0),'Личные данные'!$X$17:$AA$21,2,0)</f>
        <v>440</v>
      </c>
    </row>
    <row r="1198" spans="1:6" ht="15.75" customHeight="1" x14ac:dyDescent="0.25">
      <c r="A1198" s="62" t="s">
        <v>995</v>
      </c>
      <c r="B1198" s="62">
        <v>24</v>
      </c>
      <c r="C1198" s="62" t="s">
        <v>1278</v>
      </c>
      <c r="D1198" s="82" t="s">
        <v>1243</v>
      </c>
      <c r="E1198" s="82" t="s">
        <v>1255</v>
      </c>
      <c r="F1198" s="70">
        <f>VLOOKUP(VLOOKUP(A1198,'Личные данные'!A:V,6,0),'Личные данные'!$X$17:$AA$21,2,0)</f>
        <v>440</v>
      </c>
    </row>
    <row r="1199" spans="1:6" ht="15.75" customHeight="1" x14ac:dyDescent="0.25">
      <c r="A1199" s="62" t="s">
        <v>996</v>
      </c>
      <c r="B1199" s="62">
        <v>24</v>
      </c>
      <c r="C1199" s="62" t="s">
        <v>1278</v>
      </c>
      <c r="D1199" s="82" t="s">
        <v>1257</v>
      </c>
      <c r="E1199" s="82" t="s">
        <v>1244</v>
      </c>
      <c r="F1199" s="70">
        <f>VLOOKUP(VLOOKUP(A1199,'Личные данные'!A:V,6,0),'Личные данные'!$X$17:$AA$21,2,0)</f>
        <v>770</v>
      </c>
    </row>
    <row r="1200" spans="1:6" ht="15.75" customHeight="1" x14ac:dyDescent="0.25">
      <c r="A1200" s="62" t="s">
        <v>997</v>
      </c>
      <c r="B1200" s="62">
        <v>24</v>
      </c>
      <c r="C1200" s="62" t="s">
        <v>1278</v>
      </c>
      <c r="D1200" s="82" t="s">
        <v>1258</v>
      </c>
      <c r="E1200" s="82" t="s">
        <v>1244</v>
      </c>
      <c r="F1200" s="70">
        <f>VLOOKUP(VLOOKUP(A1200,'Личные данные'!A:V,6,0),'Личные данные'!$X$17:$AA$21,2,0)</f>
        <v>440</v>
      </c>
    </row>
    <row r="1201" spans="1:6" ht="15.75" customHeight="1" x14ac:dyDescent="0.25">
      <c r="A1201" s="62" t="s">
        <v>998</v>
      </c>
      <c r="B1201" s="62">
        <v>24</v>
      </c>
      <c r="C1201" s="62" t="s">
        <v>1278</v>
      </c>
      <c r="D1201" s="82" t="s">
        <v>1258</v>
      </c>
      <c r="E1201" s="82" t="s">
        <v>1248</v>
      </c>
      <c r="F1201" s="70">
        <f>VLOOKUP(VLOOKUP(A1201,'Личные данные'!A:V,6,0),'Личные данные'!$X$17:$AA$21,2,0)</f>
        <v>440</v>
      </c>
    </row>
    <row r="1202" spans="1:6" ht="15.75" customHeight="1" x14ac:dyDescent="0.25">
      <c r="A1202" s="62" t="s">
        <v>999</v>
      </c>
      <c r="B1202" s="62">
        <v>24</v>
      </c>
      <c r="C1202" s="62" t="s">
        <v>1278</v>
      </c>
      <c r="D1202" s="82" t="s">
        <v>1243</v>
      </c>
      <c r="E1202" s="82" t="s">
        <v>1253</v>
      </c>
      <c r="F1202" s="70">
        <f>VLOOKUP(VLOOKUP(A1202,'Личные данные'!A:V,6,0),'Личные данные'!$X$17:$AA$21,2,0)</f>
        <v>330</v>
      </c>
    </row>
    <row r="1203" spans="1:6" ht="15.75" customHeight="1" x14ac:dyDescent="0.25">
      <c r="A1203" s="62" t="s">
        <v>1000</v>
      </c>
      <c r="B1203" s="62">
        <v>24</v>
      </c>
      <c r="C1203" s="62" t="s">
        <v>1278</v>
      </c>
      <c r="D1203" s="82" t="s">
        <v>1256</v>
      </c>
      <c r="E1203" s="82" t="s">
        <v>1248</v>
      </c>
      <c r="F1203" s="70">
        <f>VLOOKUP(VLOOKUP(A1203,'Личные данные'!A:V,6,0),'Личные данные'!$X$17:$AA$21,2,0)</f>
        <v>550</v>
      </c>
    </row>
    <row r="1204" spans="1:6" ht="15.75" customHeight="1" x14ac:dyDescent="0.25">
      <c r="A1204" s="62" t="s">
        <v>1001</v>
      </c>
      <c r="B1204" s="62">
        <v>24</v>
      </c>
      <c r="C1204" s="62" t="s">
        <v>1278</v>
      </c>
      <c r="D1204" s="82" t="s">
        <v>1243</v>
      </c>
      <c r="E1204" s="82" t="s">
        <v>1244</v>
      </c>
      <c r="F1204" s="70">
        <f>VLOOKUP(VLOOKUP(A1204,'Личные данные'!A:V,6,0),'Личные данные'!$X$17:$AA$21,2,0)</f>
        <v>440</v>
      </c>
    </row>
    <row r="1205" spans="1:6" ht="15.75" customHeight="1" x14ac:dyDescent="0.25">
      <c r="A1205" s="62" t="s">
        <v>1002</v>
      </c>
      <c r="B1205" s="62">
        <v>24</v>
      </c>
      <c r="C1205" s="62" t="s">
        <v>1278</v>
      </c>
      <c r="D1205" s="82" t="s">
        <v>1243</v>
      </c>
      <c r="E1205" s="82" t="s">
        <v>1248</v>
      </c>
      <c r="F1205" s="70">
        <f>VLOOKUP(VLOOKUP(A1205,'Личные данные'!A:V,6,0),'Личные данные'!$X$17:$AA$21,2,0)</f>
        <v>330</v>
      </c>
    </row>
    <row r="1206" spans="1:6" ht="15.75" customHeight="1" x14ac:dyDescent="0.25">
      <c r="A1206" s="62" t="s">
        <v>1003</v>
      </c>
      <c r="B1206" s="62">
        <v>24</v>
      </c>
      <c r="C1206" s="62" t="s">
        <v>1278</v>
      </c>
      <c r="D1206" s="82" t="s">
        <v>1243</v>
      </c>
      <c r="E1206" s="82" t="s">
        <v>1255</v>
      </c>
      <c r="F1206" s="70">
        <f>VLOOKUP(VLOOKUP(A1206,'Личные данные'!A:V,6,0),'Личные данные'!$X$17:$AA$21,2,0)</f>
        <v>440</v>
      </c>
    </row>
    <row r="1207" spans="1:6" ht="15.75" customHeight="1" x14ac:dyDescent="0.25">
      <c r="A1207" s="62" t="s">
        <v>1004</v>
      </c>
      <c r="B1207" s="62">
        <v>24</v>
      </c>
      <c r="C1207" s="62" t="s">
        <v>1278</v>
      </c>
      <c r="D1207" s="82" t="s">
        <v>1256</v>
      </c>
      <c r="E1207" s="82" t="s">
        <v>1253</v>
      </c>
      <c r="F1207" s="70">
        <f>VLOOKUP(VLOOKUP(A1207,'Личные данные'!A:V,6,0),'Личные данные'!$X$17:$AA$21,2,0)</f>
        <v>550</v>
      </c>
    </row>
    <row r="1208" spans="1:6" ht="15.75" customHeight="1" x14ac:dyDescent="0.25">
      <c r="A1208" s="62" t="s">
        <v>1005</v>
      </c>
      <c r="B1208" s="62">
        <v>24</v>
      </c>
      <c r="C1208" s="62" t="s">
        <v>1278</v>
      </c>
      <c r="D1208" s="82" t="s">
        <v>1257</v>
      </c>
      <c r="E1208" s="82" t="s">
        <v>1248</v>
      </c>
      <c r="F1208" s="70">
        <f>VLOOKUP(VLOOKUP(A1208,'Личные данные'!A:V,6,0),'Личные данные'!$X$17:$AA$21,2,0)</f>
        <v>550</v>
      </c>
    </row>
    <row r="1209" spans="1:6" ht="15.75" customHeight="1" x14ac:dyDescent="0.25">
      <c r="A1209" s="62" t="s">
        <v>1006</v>
      </c>
      <c r="B1209" s="62">
        <v>24</v>
      </c>
      <c r="C1209" s="62" t="s">
        <v>1278</v>
      </c>
      <c r="D1209" s="82" t="s">
        <v>1243</v>
      </c>
      <c r="E1209" s="82" t="s">
        <v>1244</v>
      </c>
      <c r="F1209" s="70">
        <f>VLOOKUP(VLOOKUP(A1209,'Личные данные'!A:V,6,0),'Личные данные'!$X$17:$AA$21,2,0)</f>
        <v>440</v>
      </c>
    </row>
    <row r="1210" spans="1:6" ht="15.75" customHeight="1" x14ac:dyDescent="0.25">
      <c r="A1210" s="62" t="s">
        <v>1007</v>
      </c>
      <c r="B1210" s="62">
        <v>24</v>
      </c>
      <c r="C1210" s="62" t="s">
        <v>1278</v>
      </c>
      <c r="D1210" s="82" t="s">
        <v>1243</v>
      </c>
      <c r="E1210" s="82" t="s">
        <v>1253</v>
      </c>
      <c r="F1210" s="70">
        <f>VLOOKUP(VLOOKUP(A1210,'Личные данные'!A:V,6,0),'Личные данные'!$X$17:$AA$21,2,0)</f>
        <v>330</v>
      </c>
    </row>
    <row r="1211" spans="1:6" ht="15.75" customHeight="1" x14ac:dyDescent="0.25">
      <c r="A1211" s="62" t="s">
        <v>1008</v>
      </c>
      <c r="B1211" s="62">
        <v>24</v>
      </c>
      <c r="C1211" s="62" t="s">
        <v>1278</v>
      </c>
      <c r="D1211" s="82" t="s">
        <v>1256</v>
      </c>
      <c r="E1211" s="82" t="s">
        <v>1255</v>
      </c>
      <c r="F1211" s="70">
        <f>VLOOKUP(VLOOKUP(A1211,'Личные данные'!A:V,6,0),'Личные данные'!$X$17:$AA$21,2,0)</f>
        <v>550</v>
      </c>
    </row>
    <row r="1212" spans="1:6" ht="15.75" customHeight="1" x14ac:dyDescent="0.25">
      <c r="A1212" s="62" t="s">
        <v>1009</v>
      </c>
      <c r="B1212" s="62">
        <v>24</v>
      </c>
      <c r="C1212" s="62" t="s">
        <v>1278</v>
      </c>
      <c r="D1212" s="82" t="s">
        <v>1243</v>
      </c>
      <c r="E1212" s="82" t="s">
        <v>1255</v>
      </c>
      <c r="F1212" s="70">
        <f>VLOOKUP(VLOOKUP(A1212,'Личные данные'!A:V,6,0),'Личные данные'!$X$17:$AA$21,2,0)</f>
        <v>330</v>
      </c>
    </row>
    <row r="1213" spans="1:6" ht="15.75" customHeight="1" x14ac:dyDescent="0.25">
      <c r="A1213" s="62" t="s">
        <v>1010</v>
      </c>
      <c r="B1213" s="62">
        <v>24</v>
      </c>
      <c r="C1213" s="62" t="s">
        <v>1278</v>
      </c>
      <c r="D1213" s="82" t="s">
        <v>1243</v>
      </c>
      <c r="E1213" s="82" t="s">
        <v>1244</v>
      </c>
      <c r="F1213" s="70">
        <f>VLOOKUP(VLOOKUP(A1213,'Личные данные'!A:V,6,0),'Личные данные'!$X$17:$AA$21,2,0)</f>
        <v>440</v>
      </c>
    </row>
    <row r="1214" spans="1:6" ht="15.75" customHeight="1" x14ac:dyDescent="0.25">
      <c r="A1214" s="62" t="s">
        <v>1011</v>
      </c>
      <c r="B1214" s="62">
        <v>24</v>
      </c>
      <c r="C1214" s="62" t="s">
        <v>1278</v>
      </c>
      <c r="D1214" s="82" t="s">
        <v>1257</v>
      </c>
      <c r="E1214" s="82" t="s">
        <v>1244</v>
      </c>
      <c r="F1214" s="70">
        <f>VLOOKUP(VLOOKUP(A1214,'Личные данные'!A:V,6,0),'Личные данные'!$X$17:$AA$21,2,0)</f>
        <v>440</v>
      </c>
    </row>
    <row r="1215" spans="1:6" ht="15.75" customHeight="1" x14ac:dyDescent="0.25">
      <c r="A1215" s="62" t="s">
        <v>1012</v>
      </c>
      <c r="B1215" s="62">
        <v>24</v>
      </c>
      <c r="C1215" s="62" t="s">
        <v>1278</v>
      </c>
      <c r="D1215" s="82" t="s">
        <v>1243</v>
      </c>
      <c r="E1215" s="82" t="s">
        <v>1253</v>
      </c>
      <c r="F1215" s="70">
        <f>VLOOKUP(VLOOKUP(A1215,'Личные данные'!A:V,6,0),'Личные данные'!$X$17:$AA$21,2,0)</f>
        <v>330</v>
      </c>
    </row>
    <row r="1216" spans="1:6" ht="15.75" customHeight="1" x14ac:dyDescent="0.25">
      <c r="A1216" s="62" t="s">
        <v>1013</v>
      </c>
      <c r="B1216" s="62">
        <v>24</v>
      </c>
      <c r="C1216" s="62" t="s">
        <v>1278</v>
      </c>
      <c r="D1216" s="82" t="s">
        <v>1243</v>
      </c>
      <c r="E1216" s="82" t="s">
        <v>1248</v>
      </c>
      <c r="F1216" s="70">
        <f>VLOOKUP(VLOOKUP(A1216,'Личные данные'!A:V,6,0),'Личные данные'!$X$17:$AA$21,2,0)</f>
        <v>440</v>
      </c>
    </row>
    <row r="1217" spans="1:6" ht="15.75" customHeight="1" x14ac:dyDescent="0.25">
      <c r="A1217" s="62" t="s">
        <v>1014</v>
      </c>
      <c r="B1217" s="62">
        <v>24</v>
      </c>
      <c r="C1217" s="62" t="s">
        <v>1278</v>
      </c>
      <c r="D1217" s="82" t="s">
        <v>1243</v>
      </c>
      <c r="E1217" s="82" t="s">
        <v>1248</v>
      </c>
      <c r="F1217" s="70">
        <f>VLOOKUP(VLOOKUP(A1217,'Личные данные'!A:V,6,0),'Личные данные'!$X$17:$AA$21,2,0)</f>
        <v>440</v>
      </c>
    </row>
    <row r="1218" spans="1:6" ht="15.75" customHeight="1" x14ac:dyDescent="0.25">
      <c r="A1218" s="62" t="s">
        <v>1015</v>
      </c>
      <c r="B1218" s="62">
        <v>24</v>
      </c>
      <c r="C1218" s="62" t="s">
        <v>1278</v>
      </c>
      <c r="D1218" s="82" t="s">
        <v>1256</v>
      </c>
      <c r="E1218" s="82" t="s">
        <v>1253</v>
      </c>
      <c r="F1218" s="70">
        <f>VLOOKUP(VLOOKUP(A1218,'Личные данные'!A:V,6,0),'Личные данные'!$X$17:$AA$21,2,0)</f>
        <v>550</v>
      </c>
    </row>
    <row r="1219" spans="1:6" ht="15.75" customHeight="1" x14ac:dyDescent="0.25">
      <c r="A1219" s="62" t="s">
        <v>1016</v>
      </c>
      <c r="B1219" s="62">
        <v>24</v>
      </c>
      <c r="C1219" s="62" t="s">
        <v>1278</v>
      </c>
      <c r="D1219" s="82" t="s">
        <v>1243</v>
      </c>
      <c r="E1219" s="82" t="s">
        <v>1244</v>
      </c>
      <c r="F1219" s="70">
        <f>VLOOKUP(VLOOKUP(A1219,'Личные данные'!A:V,6,0),'Личные данные'!$X$17:$AA$21,2,0)</f>
        <v>220</v>
      </c>
    </row>
    <row r="1220" spans="1:6" ht="15.75" customHeight="1" x14ac:dyDescent="0.25">
      <c r="A1220" s="62" t="s">
        <v>1017</v>
      </c>
      <c r="B1220" s="62">
        <v>24</v>
      </c>
      <c r="C1220" s="62" t="s">
        <v>1278</v>
      </c>
      <c r="D1220" s="82" t="s">
        <v>1243</v>
      </c>
      <c r="E1220" s="82" t="s">
        <v>1244</v>
      </c>
      <c r="F1220" s="70">
        <f>VLOOKUP(VLOOKUP(A1220,'Личные данные'!A:V,6,0),'Личные данные'!$X$17:$AA$21,2,0)</f>
        <v>330</v>
      </c>
    </row>
    <row r="1221" spans="1:6" ht="15.75" customHeight="1" x14ac:dyDescent="0.25">
      <c r="A1221" s="62" t="s">
        <v>1018</v>
      </c>
      <c r="B1221" s="62">
        <v>24</v>
      </c>
      <c r="C1221" s="62" t="s">
        <v>1278</v>
      </c>
      <c r="D1221" s="82" t="s">
        <v>1258</v>
      </c>
      <c r="E1221" s="82" t="s">
        <v>1248</v>
      </c>
      <c r="F1221" s="70">
        <f>VLOOKUP(VLOOKUP(A1221,'Личные данные'!A:V,6,0),'Личные данные'!$X$17:$AA$21,2,0)</f>
        <v>440</v>
      </c>
    </row>
    <row r="1222" spans="1:6" ht="15.75" customHeight="1" x14ac:dyDescent="0.25">
      <c r="A1222" s="62" t="s">
        <v>1019</v>
      </c>
      <c r="B1222" s="62">
        <v>24</v>
      </c>
      <c r="C1222" s="62" t="s">
        <v>1278</v>
      </c>
      <c r="D1222" s="82" t="s">
        <v>1258</v>
      </c>
      <c r="E1222" s="82" t="s">
        <v>1255</v>
      </c>
      <c r="F1222" s="70">
        <f>VLOOKUP(VLOOKUP(A1222,'Личные данные'!A:V,6,0),'Личные данные'!$X$17:$AA$21,2,0)</f>
        <v>440</v>
      </c>
    </row>
    <row r="1223" spans="1:6" ht="15.75" customHeight="1" x14ac:dyDescent="0.25">
      <c r="A1223" s="62" t="s">
        <v>1020</v>
      </c>
      <c r="B1223" s="62">
        <v>24</v>
      </c>
      <c r="C1223" s="62" t="s">
        <v>1278</v>
      </c>
      <c r="D1223" s="82" t="s">
        <v>1243</v>
      </c>
      <c r="E1223" s="82" t="s">
        <v>1244</v>
      </c>
      <c r="F1223" s="70">
        <f>VLOOKUP(VLOOKUP(A1223,'Личные данные'!A:V,6,0),'Личные данные'!$X$17:$AA$21,2,0)</f>
        <v>330</v>
      </c>
    </row>
    <row r="1224" spans="1:6" ht="15.75" customHeight="1" x14ac:dyDescent="0.25">
      <c r="A1224" s="62" t="s">
        <v>1021</v>
      </c>
      <c r="B1224" s="62">
        <v>24</v>
      </c>
      <c r="C1224" s="62" t="s">
        <v>1278</v>
      </c>
      <c r="D1224" s="82" t="s">
        <v>1243</v>
      </c>
      <c r="E1224" s="82" t="s">
        <v>1244</v>
      </c>
      <c r="F1224" s="70">
        <f>VLOOKUP(VLOOKUP(A1224,'Личные данные'!A:V,6,0),'Личные данные'!$X$17:$AA$21,2,0)</f>
        <v>440</v>
      </c>
    </row>
    <row r="1225" spans="1:6" ht="15.75" customHeight="1" x14ac:dyDescent="0.25">
      <c r="A1225" s="62" t="s">
        <v>1022</v>
      </c>
      <c r="B1225" s="62">
        <v>24</v>
      </c>
      <c r="C1225" s="62" t="s">
        <v>1278</v>
      </c>
      <c r="D1225" s="82" t="s">
        <v>1243</v>
      </c>
      <c r="E1225" s="82" t="s">
        <v>1244</v>
      </c>
      <c r="F1225" s="70">
        <f>VLOOKUP(VLOOKUP(A1225,'Личные данные'!A:V,6,0),'Личные данные'!$X$17:$AA$21,2,0)</f>
        <v>220</v>
      </c>
    </row>
    <row r="1226" spans="1:6" ht="15.75" customHeight="1" x14ac:dyDescent="0.25">
      <c r="A1226" s="62" t="s">
        <v>1023</v>
      </c>
      <c r="B1226" s="62">
        <v>24</v>
      </c>
      <c r="C1226" s="62" t="s">
        <v>1278</v>
      </c>
      <c r="D1226" s="82" t="s">
        <v>1243</v>
      </c>
      <c r="E1226" s="82" t="s">
        <v>1253</v>
      </c>
      <c r="F1226" s="70">
        <f>VLOOKUP(VLOOKUP(A1226,'Личные данные'!A:V,6,0),'Личные данные'!$X$17:$AA$21,2,0)</f>
        <v>330</v>
      </c>
    </row>
    <row r="1227" spans="1:6" ht="15.75" customHeight="1" x14ac:dyDescent="0.25">
      <c r="A1227" s="62" t="s">
        <v>1024</v>
      </c>
      <c r="B1227" s="62">
        <v>24</v>
      </c>
      <c r="C1227" s="62" t="s">
        <v>1278</v>
      </c>
      <c r="D1227" s="82" t="s">
        <v>1256</v>
      </c>
      <c r="E1227" s="82" t="s">
        <v>1250</v>
      </c>
      <c r="F1227" s="70">
        <f>VLOOKUP(VLOOKUP(A1227,'Личные данные'!A:V,6,0),'Личные данные'!$X$17:$AA$21,2,0)</f>
        <v>770</v>
      </c>
    </row>
    <row r="1228" spans="1:6" ht="15.75" customHeight="1" x14ac:dyDescent="0.25">
      <c r="A1228" s="62" t="s">
        <v>1025</v>
      </c>
      <c r="B1228" s="62">
        <v>24</v>
      </c>
      <c r="C1228" s="62" t="s">
        <v>1278</v>
      </c>
      <c r="D1228" s="82" t="s">
        <v>1243</v>
      </c>
      <c r="E1228" s="82" t="s">
        <v>1253</v>
      </c>
      <c r="F1228" s="70">
        <f>VLOOKUP(VLOOKUP(A1228,'Личные данные'!A:V,6,0),'Личные данные'!$X$17:$AA$21,2,0)</f>
        <v>330</v>
      </c>
    </row>
    <row r="1229" spans="1:6" ht="15.75" customHeight="1" x14ac:dyDescent="0.25">
      <c r="A1229" s="62" t="s">
        <v>1026</v>
      </c>
      <c r="B1229" s="62">
        <v>24</v>
      </c>
      <c r="C1229" s="62" t="s">
        <v>1278</v>
      </c>
      <c r="D1229" s="82" t="s">
        <v>1260</v>
      </c>
      <c r="E1229" s="82" t="s">
        <v>1250</v>
      </c>
      <c r="F1229" s="70">
        <f>VLOOKUP(VLOOKUP(A1229,'Личные данные'!A:V,6,0),'Личные данные'!$X$17:$AA$21,2,0)</f>
        <v>770</v>
      </c>
    </row>
    <row r="1230" spans="1:6" ht="15.75" customHeight="1" x14ac:dyDescent="0.25">
      <c r="A1230" s="62" t="s">
        <v>1027</v>
      </c>
      <c r="B1230" s="62">
        <v>24</v>
      </c>
      <c r="C1230" s="62" t="s">
        <v>1278</v>
      </c>
      <c r="D1230" s="82" t="s">
        <v>1258</v>
      </c>
      <c r="E1230" s="82" t="s">
        <v>1244</v>
      </c>
      <c r="F1230" s="70">
        <f>VLOOKUP(VLOOKUP(A1230,'Личные данные'!A:V,6,0),'Личные данные'!$X$17:$AA$21,2,0)</f>
        <v>220</v>
      </c>
    </row>
    <row r="1231" spans="1:6" ht="15.75" customHeight="1" x14ac:dyDescent="0.25">
      <c r="A1231" s="62" t="s">
        <v>1028</v>
      </c>
      <c r="B1231" s="62">
        <v>24</v>
      </c>
      <c r="C1231" s="62" t="s">
        <v>1278</v>
      </c>
      <c r="D1231" s="82" t="s">
        <v>1258</v>
      </c>
      <c r="E1231" s="82" t="s">
        <v>1244</v>
      </c>
      <c r="F1231" s="70">
        <f>VLOOKUP(VLOOKUP(A1231,'Личные данные'!A:V,6,0),'Личные данные'!$X$17:$AA$21,2,0)</f>
        <v>440</v>
      </c>
    </row>
    <row r="1232" spans="1:6" ht="15.75" customHeight="1" x14ac:dyDescent="0.25">
      <c r="A1232" s="62" t="s">
        <v>1029</v>
      </c>
      <c r="B1232" s="62">
        <v>24</v>
      </c>
      <c r="C1232" s="62" t="s">
        <v>1278</v>
      </c>
      <c r="D1232" s="82" t="s">
        <v>1258</v>
      </c>
      <c r="E1232" s="82" t="s">
        <v>1248</v>
      </c>
      <c r="F1232" s="70">
        <f>VLOOKUP(VLOOKUP(A1232,'Личные данные'!A:V,6,0),'Личные данные'!$X$17:$AA$21,2,0)</f>
        <v>440</v>
      </c>
    </row>
    <row r="1233" spans="1:6" ht="15.75" customHeight="1" x14ac:dyDescent="0.25">
      <c r="A1233" s="62" t="s">
        <v>1030</v>
      </c>
      <c r="B1233" s="62">
        <v>24</v>
      </c>
      <c r="C1233" s="62" t="s">
        <v>1278</v>
      </c>
      <c r="D1233" s="82" t="s">
        <v>1243</v>
      </c>
      <c r="E1233" s="82" t="s">
        <v>1244</v>
      </c>
      <c r="F1233" s="70">
        <f>VLOOKUP(VLOOKUP(A1233,'Личные данные'!A:V,6,0),'Личные данные'!$X$17:$AA$21,2,0)</f>
        <v>220</v>
      </c>
    </row>
    <row r="1234" spans="1:6" ht="15.75" customHeight="1" x14ac:dyDescent="0.25">
      <c r="A1234" s="62" t="s">
        <v>1031</v>
      </c>
      <c r="B1234" s="62">
        <v>24</v>
      </c>
      <c r="C1234" s="62" t="s">
        <v>1278</v>
      </c>
      <c r="D1234" s="82" t="s">
        <v>1243</v>
      </c>
      <c r="E1234" s="82" t="s">
        <v>1248</v>
      </c>
      <c r="F1234" s="70">
        <f>VLOOKUP(VLOOKUP(A1234,'Личные данные'!A:V,6,0),'Личные данные'!$X$17:$AA$21,2,0)</f>
        <v>440</v>
      </c>
    </row>
    <row r="1235" spans="1:6" ht="15.75" customHeight="1" x14ac:dyDescent="0.25">
      <c r="A1235" s="62" t="s">
        <v>1032</v>
      </c>
      <c r="B1235" s="62">
        <v>24</v>
      </c>
      <c r="C1235" s="62" t="s">
        <v>1278</v>
      </c>
      <c r="D1235" s="82" t="s">
        <v>1243</v>
      </c>
      <c r="E1235" s="82" t="s">
        <v>1253</v>
      </c>
      <c r="F1235" s="70">
        <f>VLOOKUP(VLOOKUP(A1235,'Личные данные'!A:V,6,0),'Личные данные'!$X$17:$AA$21,2,0)</f>
        <v>330</v>
      </c>
    </row>
    <row r="1236" spans="1:6" ht="15.75" customHeight="1" x14ac:dyDescent="0.25">
      <c r="A1236" s="62" t="s">
        <v>1033</v>
      </c>
      <c r="B1236" s="62">
        <v>24</v>
      </c>
      <c r="C1236" s="62" t="s">
        <v>1278</v>
      </c>
      <c r="D1236" s="82" t="s">
        <v>1243</v>
      </c>
      <c r="E1236" s="82" t="s">
        <v>1248</v>
      </c>
      <c r="F1236" s="70">
        <f>VLOOKUP(VLOOKUP(A1236,'Личные данные'!A:V,6,0),'Личные данные'!$X$17:$AA$21,2,0)</f>
        <v>440</v>
      </c>
    </row>
    <row r="1237" spans="1:6" ht="15.75" customHeight="1" x14ac:dyDescent="0.25">
      <c r="A1237" s="62" t="s">
        <v>1034</v>
      </c>
      <c r="B1237" s="62">
        <v>24</v>
      </c>
      <c r="C1237" s="62" t="s">
        <v>1278</v>
      </c>
      <c r="D1237" s="82" t="s">
        <v>1243</v>
      </c>
      <c r="E1237" s="82" t="s">
        <v>1253</v>
      </c>
      <c r="F1237" s="70">
        <f>VLOOKUP(VLOOKUP(A1237,'Личные данные'!A:V,6,0),'Личные данные'!$X$17:$AA$21,2,0)</f>
        <v>330</v>
      </c>
    </row>
    <row r="1238" spans="1:6" ht="15.75" customHeight="1" x14ac:dyDescent="0.25">
      <c r="A1238" s="62" t="s">
        <v>1035</v>
      </c>
      <c r="B1238" s="62">
        <v>24</v>
      </c>
      <c r="C1238" s="62" t="s">
        <v>1278</v>
      </c>
      <c r="D1238" s="82" t="s">
        <v>1243</v>
      </c>
      <c r="E1238" s="82" t="s">
        <v>1255</v>
      </c>
      <c r="F1238" s="70">
        <f>VLOOKUP(VLOOKUP(A1238,'Личные данные'!A:V,6,0),'Личные данные'!$X$17:$AA$21,2,0)</f>
        <v>330</v>
      </c>
    </row>
    <row r="1239" spans="1:6" ht="15.75" customHeight="1" x14ac:dyDescent="0.25">
      <c r="A1239" s="62" t="s">
        <v>1036</v>
      </c>
      <c r="B1239" s="62">
        <v>24</v>
      </c>
      <c r="C1239" s="62" t="s">
        <v>1278</v>
      </c>
      <c r="D1239" s="82" t="s">
        <v>1243</v>
      </c>
      <c r="E1239" s="82" t="s">
        <v>1248</v>
      </c>
      <c r="F1239" s="70">
        <f>VLOOKUP(VLOOKUP(A1239,'Личные данные'!A:V,6,0),'Личные данные'!$X$17:$AA$21,2,0)</f>
        <v>440</v>
      </c>
    </row>
    <row r="1240" spans="1:6" ht="15.75" customHeight="1" x14ac:dyDescent="0.25">
      <c r="A1240" s="62" t="s">
        <v>1037</v>
      </c>
      <c r="B1240" s="62">
        <v>24</v>
      </c>
      <c r="C1240" s="62" t="s">
        <v>1278</v>
      </c>
      <c r="D1240" s="82" t="s">
        <v>1243</v>
      </c>
      <c r="E1240" s="82" t="s">
        <v>1253</v>
      </c>
      <c r="F1240" s="70">
        <f>VLOOKUP(VLOOKUP(A1240,'Личные данные'!A:V,6,0),'Личные данные'!$X$17:$AA$21,2,0)</f>
        <v>330</v>
      </c>
    </row>
    <row r="1241" spans="1:6" ht="15.75" customHeight="1" x14ac:dyDescent="0.25">
      <c r="A1241" s="62" t="s">
        <v>1038</v>
      </c>
      <c r="B1241" s="62">
        <v>24</v>
      </c>
      <c r="C1241" s="62" t="s">
        <v>1278</v>
      </c>
      <c r="D1241" s="82" t="s">
        <v>1258</v>
      </c>
      <c r="E1241" s="82" t="s">
        <v>1255</v>
      </c>
      <c r="F1241" s="70">
        <f>VLOOKUP(VLOOKUP(A1241,'Личные данные'!A:V,6,0),'Личные данные'!$X$17:$AA$21,2,0)</f>
        <v>440</v>
      </c>
    </row>
    <row r="1242" spans="1:6" ht="15.75" customHeight="1" x14ac:dyDescent="0.25">
      <c r="A1242" s="62" t="s">
        <v>1039</v>
      </c>
      <c r="B1242" s="62">
        <v>24</v>
      </c>
      <c r="C1242" s="62" t="s">
        <v>1278</v>
      </c>
      <c r="D1242" s="82" t="s">
        <v>1243</v>
      </c>
      <c r="E1242" s="82" t="s">
        <v>1248</v>
      </c>
      <c r="F1242" s="70">
        <f>VLOOKUP(VLOOKUP(A1242,'Личные данные'!A:V,6,0),'Личные данные'!$X$17:$AA$21,2,0)</f>
        <v>440</v>
      </c>
    </row>
    <row r="1243" spans="1:6" ht="15.75" customHeight="1" x14ac:dyDescent="0.25">
      <c r="A1243" s="62" t="s">
        <v>1040</v>
      </c>
      <c r="B1243" s="62">
        <v>24</v>
      </c>
      <c r="C1243" s="62" t="s">
        <v>1278</v>
      </c>
      <c r="D1243" s="82" t="s">
        <v>1258</v>
      </c>
      <c r="E1243" s="82" t="s">
        <v>1244</v>
      </c>
      <c r="F1243" s="70">
        <f>VLOOKUP(VLOOKUP(A1243,'Личные данные'!A:V,6,0),'Личные данные'!$X$17:$AA$21,2,0)</f>
        <v>440</v>
      </c>
    </row>
    <row r="1244" spans="1:6" ht="15.75" customHeight="1" x14ac:dyDescent="0.25">
      <c r="A1244" s="62" t="s">
        <v>1041</v>
      </c>
      <c r="B1244" s="62">
        <v>24</v>
      </c>
      <c r="C1244" s="62" t="s">
        <v>1278</v>
      </c>
      <c r="D1244" s="82" t="s">
        <v>1256</v>
      </c>
      <c r="E1244" s="82" t="s">
        <v>1255</v>
      </c>
      <c r="F1244" s="70">
        <f>VLOOKUP(VLOOKUP(A1244,'Личные данные'!A:V,6,0),'Личные данные'!$X$17:$AA$21,2,0)</f>
        <v>550</v>
      </c>
    </row>
    <row r="1245" spans="1:6" ht="15.75" customHeight="1" x14ac:dyDescent="0.25">
      <c r="A1245" s="62" t="s">
        <v>1042</v>
      </c>
      <c r="B1245" s="62">
        <v>24</v>
      </c>
      <c r="C1245" s="62" t="s">
        <v>1278</v>
      </c>
      <c r="D1245" s="82" t="s">
        <v>1243</v>
      </c>
      <c r="E1245" s="82" t="s">
        <v>1248</v>
      </c>
      <c r="F1245" s="70">
        <f>VLOOKUP(VLOOKUP(A1245,'Личные данные'!A:V,6,0),'Личные данные'!$X$17:$AA$21,2,0)</f>
        <v>440</v>
      </c>
    </row>
    <row r="1246" spans="1:6" ht="15.75" customHeight="1" x14ac:dyDescent="0.25">
      <c r="A1246" s="62" t="s">
        <v>1043</v>
      </c>
      <c r="B1246" s="62">
        <v>24</v>
      </c>
      <c r="C1246" s="62" t="s">
        <v>1278</v>
      </c>
      <c r="D1246" s="82" t="s">
        <v>1257</v>
      </c>
      <c r="E1246" s="82" t="s">
        <v>1244</v>
      </c>
      <c r="F1246" s="70">
        <f>VLOOKUP(VLOOKUP(A1246,'Личные данные'!A:V,6,0),'Личные данные'!$X$17:$AA$21,2,0)</f>
        <v>550</v>
      </c>
    </row>
    <row r="1247" spans="1:6" ht="15.75" customHeight="1" x14ac:dyDescent="0.25">
      <c r="A1247" s="62" t="s">
        <v>1044</v>
      </c>
      <c r="B1247" s="62">
        <v>24</v>
      </c>
      <c r="C1247" s="62" t="s">
        <v>1278</v>
      </c>
      <c r="D1247" s="82" t="s">
        <v>1243</v>
      </c>
      <c r="E1247" s="82" t="s">
        <v>1253</v>
      </c>
      <c r="F1247" s="70">
        <f>VLOOKUP(VLOOKUP(A1247,'Личные данные'!A:V,6,0),'Личные данные'!$X$17:$AA$21,2,0)</f>
        <v>330</v>
      </c>
    </row>
    <row r="1248" spans="1:6" ht="15.75" customHeight="1" x14ac:dyDescent="0.25">
      <c r="A1248" s="62" t="s">
        <v>1045</v>
      </c>
      <c r="B1248" s="62">
        <v>24</v>
      </c>
      <c r="C1248" s="62" t="s">
        <v>1278</v>
      </c>
      <c r="D1248" s="82" t="s">
        <v>1257</v>
      </c>
      <c r="E1248" s="82" t="s">
        <v>1248</v>
      </c>
      <c r="F1248" s="70">
        <f>VLOOKUP(VLOOKUP(A1248,'Личные данные'!A:V,6,0),'Личные данные'!$X$17:$AA$21,2,0)</f>
        <v>440</v>
      </c>
    </row>
    <row r="1249" spans="1:6" ht="15.75" customHeight="1" x14ac:dyDescent="0.25">
      <c r="A1249" s="62" t="s">
        <v>1046</v>
      </c>
      <c r="B1249" s="62">
        <v>24</v>
      </c>
      <c r="C1249" s="62" t="s">
        <v>1278</v>
      </c>
      <c r="D1249" s="82" t="s">
        <v>1243</v>
      </c>
      <c r="E1249" s="82" t="s">
        <v>1253</v>
      </c>
      <c r="F1249" s="70">
        <f>VLOOKUP(VLOOKUP(A1249,'Личные данные'!A:V,6,0),'Личные данные'!$X$17:$AA$21,2,0)</f>
        <v>330</v>
      </c>
    </row>
    <row r="1250" spans="1:6" ht="15.75" customHeight="1" x14ac:dyDescent="0.25">
      <c r="A1250" s="62" t="s">
        <v>1047</v>
      </c>
      <c r="B1250" s="62">
        <v>24</v>
      </c>
      <c r="C1250" s="62" t="s">
        <v>1278</v>
      </c>
      <c r="D1250" s="82" t="s">
        <v>1256</v>
      </c>
      <c r="E1250" s="82" t="s">
        <v>1253</v>
      </c>
      <c r="F1250" s="70">
        <f>VLOOKUP(VLOOKUP(A1250,'Личные данные'!A:V,6,0),'Личные данные'!$X$17:$AA$21,2,0)</f>
        <v>550</v>
      </c>
    </row>
    <row r="1251" spans="1:6" ht="15.75" customHeight="1" x14ac:dyDescent="0.25">
      <c r="A1251" s="62" t="s">
        <v>1048</v>
      </c>
      <c r="B1251" s="62">
        <v>24</v>
      </c>
      <c r="C1251" s="62" t="s">
        <v>1278</v>
      </c>
      <c r="D1251" s="82" t="s">
        <v>1257</v>
      </c>
      <c r="E1251" s="82" t="s">
        <v>1244</v>
      </c>
      <c r="F1251" s="70">
        <f>VLOOKUP(VLOOKUP(A1251,'Личные данные'!A:V,6,0),'Личные данные'!$X$17:$AA$21,2,0)</f>
        <v>550</v>
      </c>
    </row>
    <row r="1252" spans="1:6" ht="15.75" customHeight="1" x14ac:dyDescent="0.25">
      <c r="A1252" s="62" t="s">
        <v>1049</v>
      </c>
      <c r="B1252" s="62">
        <v>24</v>
      </c>
      <c r="C1252" s="62" t="s">
        <v>1278</v>
      </c>
      <c r="D1252" s="82" t="s">
        <v>1257</v>
      </c>
      <c r="E1252" s="82" t="s">
        <v>1248</v>
      </c>
      <c r="F1252" s="70">
        <f>VLOOKUP(VLOOKUP(A1252,'Личные данные'!A:V,6,0),'Личные данные'!$X$17:$AA$21,2,0)</f>
        <v>550</v>
      </c>
    </row>
    <row r="1253" spans="1:6" ht="15.75" customHeight="1" x14ac:dyDescent="0.25">
      <c r="A1253" s="62" t="s">
        <v>1050</v>
      </c>
      <c r="B1253" s="62">
        <v>24</v>
      </c>
      <c r="C1253" s="62" t="s">
        <v>1278</v>
      </c>
      <c r="D1253" s="82" t="s">
        <v>1243</v>
      </c>
      <c r="E1253" s="82" t="s">
        <v>1253</v>
      </c>
      <c r="F1253" s="70">
        <f>VLOOKUP(VLOOKUP(A1253,'Личные данные'!A:V,6,0),'Личные данные'!$X$17:$AA$21,2,0)</f>
        <v>330</v>
      </c>
    </row>
    <row r="1254" spans="1:6" ht="15.75" customHeight="1" x14ac:dyDescent="0.25">
      <c r="A1254" s="62" t="s">
        <v>1051</v>
      </c>
      <c r="B1254" s="62">
        <v>24</v>
      </c>
      <c r="C1254" s="62" t="s">
        <v>1278</v>
      </c>
      <c r="D1254" s="82" t="s">
        <v>1243</v>
      </c>
      <c r="E1254" s="82" t="s">
        <v>1248</v>
      </c>
      <c r="F1254" s="70">
        <f>VLOOKUP(VLOOKUP(A1254,'Личные данные'!A:V,6,0),'Личные данные'!$X$17:$AA$21,2,0)</f>
        <v>440</v>
      </c>
    </row>
    <row r="1255" spans="1:6" ht="15.75" customHeight="1" x14ac:dyDescent="0.25">
      <c r="A1255" s="62" t="s">
        <v>1052</v>
      </c>
      <c r="B1255" s="62">
        <v>24</v>
      </c>
      <c r="C1255" s="62" t="s">
        <v>1278</v>
      </c>
      <c r="D1255" s="82" t="s">
        <v>1258</v>
      </c>
      <c r="E1255" s="82" t="s">
        <v>1248</v>
      </c>
      <c r="F1255" s="70">
        <f>VLOOKUP(VLOOKUP(A1255,'Личные данные'!A:V,6,0),'Личные данные'!$X$17:$AA$21,2,0)</f>
        <v>550</v>
      </c>
    </row>
    <row r="1256" spans="1:6" ht="15.75" customHeight="1" x14ac:dyDescent="0.25">
      <c r="A1256" s="62" t="s">
        <v>1053</v>
      </c>
      <c r="B1256" s="62">
        <v>24</v>
      </c>
      <c r="C1256" s="62" t="s">
        <v>1278</v>
      </c>
      <c r="D1256" s="82" t="s">
        <v>1243</v>
      </c>
      <c r="E1256" s="82" t="s">
        <v>1244</v>
      </c>
      <c r="F1256" s="70">
        <f>VLOOKUP(VLOOKUP(A1256,'Личные данные'!A:V,6,0),'Личные данные'!$X$17:$AA$21,2,0)</f>
        <v>440</v>
      </c>
    </row>
    <row r="1257" spans="1:6" ht="15.75" customHeight="1" x14ac:dyDescent="0.25">
      <c r="A1257" s="62" t="s">
        <v>1054</v>
      </c>
      <c r="B1257" s="62">
        <v>24</v>
      </c>
      <c r="C1257" s="62" t="s">
        <v>1278</v>
      </c>
      <c r="D1257" s="82" t="s">
        <v>1243</v>
      </c>
      <c r="E1257" s="82" t="s">
        <v>1248</v>
      </c>
      <c r="F1257" s="70">
        <f>VLOOKUP(VLOOKUP(A1257,'Личные данные'!A:V,6,0),'Личные данные'!$X$17:$AA$21,2,0)</f>
        <v>440</v>
      </c>
    </row>
    <row r="1258" spans="1:6" ht="15.75" customHeight="1" x14ac:dyDescent="0.25">
      <c r="A1258" s="62" t="s">
        <v>1055</v>
      </c>
      <c r="B1258" s="62">
        <v>24</v>
      </c>
      <c r="C1258" s="62" t="s">
        <v>1278</v>
      </c>
      <c r="D1258" s="82" t="s">
        <v>1243</v>
      </c>
      <c r="E1258" s="82" t="s">
        <v>1253</v>
      </c>
      <c r="F1258" s="70">
        <f>VLOOKUP(VLOOKUP(A1258,'Личные данные'!A:V,6,0),'Личные данные'!$X$17:$AA$21,2,0)</f>
        <v>330</v>
      </c>
    </row>
    <row r="1259" spans="1:6" ht="15.75" customHeight="1" x14ac:dyDescent="0.25">
      <c r="A1259" s="62" t="s">
        <v>1056</v>
      </c>
      <c r="B1259" s="62">
        <v>24</v>
      </c>
      <c r="C1259" s="62" t="s">
        <v>1278</v>
      </c>
      <c r="D1259" s="82" t="s">
        <v>1243</v>
      </c>
      <c r="E1259" s="82" t="s">
        <v>1255</v>
      </c>
      <c r="F1259" s="70">
        <f>VLOOKUP(VLOOKUP(A1259,'Личные данные'!A:V,6,0),'Личные данные'!$X$17:$AA$21,2,0)</f>
        <v>330</v>
      </c>
    </row>
    <row r="1260" spans="1:6" ht="15.75" customHeight="1" x14ac:dyDescent="0.25">
      <c r="A1260" s="62" t="s">
        <v>1057</v>
      </c>
      <c r="B1260" s="62">
        <v>24</v>
      </c>
      <c r="C1260" s="62" t="s">
        <v>1278</v>
      </c>
      <c r="D1260" s="82" t="s">
        <v>1258</v>
      </c>
      <c r="E1260" s="82" t="s">
        <v>1248</v>
      </c>
      <c r="F1260" s="70">
        <f>VLOOKUP(VLOOKUP(A1260,'Личные данные'!A:V,6,0),'Личные данные'!$X$17:$AA$21,2,0)</f>
        <v>440</v>
      </c>
    </row>
    <row r="1261" spans="1:6" ht="15.75" customHeight="1" x14ac:dyDescent="0.25">
      <c r="A1261" s="62" t="s">
        <v>1058</v>
      </c>
      <c r="B1261" s="62">
        <v>24</v>
      </c>
      <c r="C1261" s="62" t="s">
        <v>1278</v>
      </c>
      <c r="D1261" s="82" t="s">
        <v>1243</v>
      </c>
      <c r="E1261" s="82" t="s">
        <v>1248</v>
      </c>
      <c r="F1261" s="70">
        <f>VLOOKUP(VLOOKUP(A1261,'Личные данные'!A:V,6,0),'Личные данные'!$X$17:$AA$21,2,0)</f>
        <v>550</v>
      </c>
    </row>
    <row r="1262" spans="1:6" ht="15.75" customHeight="1" x14ac:dyDescent="0.25">
      <c r="A1262" s="62" t="s">
        <v>1059</v>
      </c>
      <c r="B1262" s="62">
        <v>24</v>
      </c>
      <c r="C1262" s="62" t="s">
        <v>1278</v>
      </c>
      <c r="D1262" s="82" t="s">
        <v>1243</v>
      </c>
      <c r="E1262" s="82" t="s">
        <v>1253</v>
      </c>
      <c r="F1262" s="70">
        <f>VLOOKUP(VLOOKUP(A1262,'Личные данные'!A:V,6,0),'Личные данные'!$X$17:$AA$21,2,0)</f>
        <v>330</v>
      </c>
    </row>
    <row r="1263" spans="1:6" ht="15.75" customHeight="1" x14ac:dyDescent="0.25">
      <c r="A1263" s="62" t="s">
        <v>1060</v>
      </c>
      <c r="B1263" s="62">
        <v>24</v>
      </c>
      <c r="C1263" s="62" t="s">
        <v>1278</v>
      </c>
      <c r="D1263" s="82" t="s">
        <v>1243</v>
      </c>
      <c r="E1263" s="82" t="s">
        <v>1255</v>
      </c>
      <c r="F1263" s="70">
        <f>VLOOKUP(VLOOKUP(A1263,'Личные данные'!A:V,6,0),'Личные данные'!$X$17:$AA$21,2,0)</f>
        <v>550</v>
      </c>
    </row>
    <row r="1264" spans="1:6" ht="15.75" customHeight="1" x14ac:dyDescent="0.25">
      <c r="A1264" s="62" t="s">
        <v>1061</v>
      </c>
      <c r="B1264" s="62">
        <v>24</v>
      </c>
      <c r="C1264" s="62" t="s">
        <v>1278</v>
      </c>
      <c r="D1264" s="82" t="s">
        <v>1243</v>
      </c>
      <c r="E1264" s="82" t="s">
        <v>1253</v>
      </c>
      <c r="F1264" s="70">
        <f>VLOOKUP(VLOOKUP(A1264,'Личные данные'!A:V,6,0),'Личные данные'!$X$17:$AA$21,2,0)</f>
        <v>330</v>
      </c>
    </row>
    <row r="1265" spans="1:6" ht="15.75" customHeight="1" x14ac:dyDescent="0.25">
      <c r="A1265" s="62" t="s">
        <v>1062</v>
      </c>
      <c r="B1265" s="62">
        <v>24</v>
      </c>
      <c r="C1265" s="62" t="s">
        <v>1278</v>
      </c>
      <c r="D1265" s="82" t="s">
        <v>1258</v>
      </c>
      <c r="E1265" s="82" t="s">
        <v>1248</v>
      </c>
      <c r="F1265" s="70">
        <f>VLOOKUP(VLOOKUP(A1265,'Личные данные'!A:V,6,0),'Личные данные'!$X$17:$AA$21,2,0)</f>
        <v>440</v>
      </c>
    </row>
    <row r="1266" spans="1:6" ht="15.75" customHeight="1" x14ac:dyDescent="0.25">
      <c r="A1266" s="62" t="s">
        <v>1063</v>
      </c>
      <c r="B1266" s="62">
        <v>24</v>
      </c>
      <c r="C1266" s="62" t="s">
        <v>1278</v>
      </c>
      <c r="D1266" s="82" t="s">
        <v>1258</v>
      </c>
      <c r="E1266" s="82" t="s">
        <v>1248</v>
      </c>
      <c r="F1266" s="70">
        <f>VLOOKUP(VLOOKUP(A1266,'Личные данные'!A:V,6,0),'Личные данные'!$X$17:$AA$21,2,0)</f>
        <v>330</v>
      </c>
    </row>
    <row r="1267" spans="1:6" ht="15.75" customHeight="1" x14ac:dyDescent="0.25">
      <c r="A1267" s="62" t="s">
        <v>1064</v>
      </c>
      <c r="B1267" s="62">
        <v>24</v>
      </c>
      <c r="C1267" s="62" t="s">
        <v>1278</v>
      </c>
      <c r="D1267" s="82" t="s">
        <v>1243</v>
      </c>
      <c r="E1267" s="82" t="s">
        <v>1253</v>
      </c>
      <c r="F1267" s="70">
        <f>VLOOKUP(VLOOKUP(A1267,'Личные данные'!A:V,6,0),'Личные данные'!$X$17:$AA$21,2,0)</f>
        <v>330</v>
      </c>
    </row>
    <row r="1268" spans="1:6" ht="15.75" customHeight="1" x14ac:dyDescent="0.25">
      <c r="A1268" s="62" t="s">
        <v>1065</v>
      </c>
      <c r="B1268" s="62">
        <v>24</v>
      </c>
      <c r="C1268" s="62" t="s">
        <v>1278</v>
      </c>
      <c r="D1268" s="82" t="s">
        <v>1260</v>
      </c>
      <c r="E1268" s="82" t="s">
        <v>1255</v>
      </c>
      <c r="F1268" s="70">
        <f>VLOOKUP(VLOOKUP(A1268,'Личные данные'!A:V,6,0),'Личные данные'!$X$17:$AA$21,2,0)</f>
        <v>550</v>
      </c>
    </row>
    <row r="1269" spans="1:6" ht="15.75" customHeight="1" x14ac:dyDescent="0.25">
      <c r="A1269" s="62" t="s">
        <v>1066</v>
      </c>
      <c r="B1269" s="62">
        <v>24</v>
      </c>
      <c r="C1269" s="62" t="s">
        <v>1278</v>
      </c>
      <c r="D1269" s="82" t="s">
        <v>1257</v>
      </c>
      <c r="E1269" s="82" t="s">
        <v>1248</v>
      </c>
      <c r="F1269" s="70">
        <f>VLOOKUP(VLOOKUP(A1269,'Личные данные'!A:V,6,0),'Личные данные'!$X$17:$AA$21,2,0)</f>
        <v>440</v>
      </c>
    </row>
    <row r="1270" spans="1:6" ht="15.75" customHeight="1" x14ac:dyDescent="0.25">
      <c r="A1270" s="62" t="s">
        <v>1067</v>
      </c>
      <c r="B1270" s="62">
        <v>24</v>
      </c>
      <c r="C1270" s="62" t="s">
        <v>1278</v>
      </c>
      <c r="D1270" s="82" t="s">
        <v>1243</v>
      </c>
      <c r="E1270" s="82" t="s">
        <v>1248</v>
      </c>
      <c r="F1270" s="70">
        <f>VLOOKUP(VLOOKUP(A1270,'Личные данные'!A:V,6,0),'Личные данные'!$X$17:$AA$21,2,0)</f>
        <v>330</v>
      </c>
    </row>
    <row r="1271" spans="1:6" ht="15.75" customHeight="1" x14ac:dyDescent="0.25">
      <c r="A1271" s="62" t="s">
        <v>1068</v>
      </c>
      <c r="B1271" s="62">
        <v>25</v>
      </c>
      <c r="C1271" s="62" t="s">
        <v>1278</v>
      </c>
      <c r="D1271" s="82" t="s">
        <v>1243</v>
      </c>
      <c r="E1271" s="82" t="s">
        <v>1250</v>
      </c>
      <c r="F1271" s="70">
        <f>VLOOKUP(VLOOKUP(A1271,'Личные данные'!A:V,6,0),'Личные данные'!$X$17:$AA$21,2,0)</f>
        <v>330</v>
      </c>
    </row>
    <row r="1272" spans="1:6" ht="15.75" customHeight="1" x14ac:dyDescent="0.25">
      <c r="A1272" s="62" t="s">
        <v>1069</v>
      </c>
      <c r="B1272" s="62">
        <v>25</v>
      </c>
      <c r="C1272" s="62" t="s">
        <v>1278</v>
      </c>
      <c r="D1272" s="82" t="s">
        <v>1260</v>
      </c>
      <c r="E1272" s="82" t="s">
        <v>1244</v>
      </c>
      <c r="F1272" s="70">
        <f>VLOOKUP(VLOOKUP(A1272,'Личные данные'!A:V,6,0),'Личные данные'!$X$17:$AA$21,2,0)</f>
        <v>770</v>
      </c>
    </row>
    <row r="1273" spans="1:6" ht="15.75" customHeight="1" x14ac:dyDescent="0.25">
      <c r="A1273" s="62" t="s">
        <v>1070</v>
      </c>
      <c r="B1273" s="62">
        <v>25</v>
      </c>
      <c r="C1273" s="62" t="s">
        <v>1278</v>
      </c>
      <c r="D1273" s="82" t="s">
        <v>1243</v>
      </c>
      <c r="E1273" s="82" t="s">
        <v>1250</v>
      </c>
      <c r="F1273" s="70">
        <f>VLOOKUP(VLOOKUP(A1273,'Личные данные'!A:V,6,0),'Личные данные'!$X$17:$AA$21,2,0)</f>
        <v>330</v>
      </c>
    </row>
    <row r="1274" spans="1:6" ht="15.75" customHeight="1" x14ac:dyDescent="0.25">
      <c r="A1274" s="62" t="s">
        <v>1071</v>
      </c>
      <c r="B1274" s="62">
        <v>25</v>
      </c>
      <c r="C1274" s="62" t="s">
        <v>1278</v>
      </c>
      <c r="D1274" s="82" t="s">
        <v>1258</v>
      </c>
      <c r="E1274" s="82" t="s">
        <v>1253</v>
      </c>
      <c r="F1274" s="70">
        <f>VLOOKUP(VLOOKUP(A1274,'Личные данные'!A:V,6,0),'Личные данные'!$X$17:$AA$21,2,0)</f>
        <v>550</v>
      </c>
    </row>
    <row r="1275" spans="1:6" ht="15.75" customHeight="1" x14ac:dyDescent="0.25">
      <c r="A1275" s="62" t="s">
        <v>1072</v>
      </c>
      <c r="B1275" s="62">
        <v>25</v>
      </c>
      <c r="C1275" s="62" t="s">
        <v>1278</v>
      </c>
      <c r="D1275" s="82" t="s">
        <v>1243</v>
      </c>
      <c r="E1275" s="82" t="s">
        <v>1253</v>
      </c>
      <c r="F1275" s="70">
        <f>VLOOKUP(VLOOKUP(A1275,'Личные данные'!A:V,6,0),'Личные данные'!$X$17:$AA$21,2,0)</f>
        <v>550</v>
      </c>
    </row>
    <row r="1276" spans="1:6" ht="15.75" customHeight="1" x14ac:dyDescent="0.25">
      <c r="A1276" s="62" t="s">
        <v>1073</v>
      </c>
      <c r="B1276" s="62">
        <v>25</v>
      </c>
      <c r="C1276" s="62" t="s">
        <v>1278</v>
      </c>
      <c r="D1276" s="82" t="s">
        <v>1243</v>
      </c>
      <c r="E1276" s="82" t="s">
        <v>1253</v>
      </c>
      <c r="F1276" s="70">
        <f>VLOOKUP(VLOOKUP(A1276,'Личные данные'!A:V,6,0),'Личные данные'!$X$17:$AA$21,2,0)</f>
        <v>330</v>
      </c>
    </row>
    <row r="1277" spans="1:6" ht="15.75" customHeight="1" x14ac:dyDescent="0.25">
      <c r="A1277" s="62" t="s">
        <v>1074</v>
      </c>
      <c r="B1277" s="62">
        <v>25</v>
      </c>
      <c r="C1277" s="62" t="s">
        <v>1278</v>
      </c>
      <c r="D1277" s="82" t="s">
        <v>1243</v>
      </c>
      <c r="E1277" s="82" t="s">
        <v>1253</v>
      </c>
      <c r="F1277" s="70">
        <f>VLOOKUP(VLOOKUP(A1277,'Личные данные'!A:V,6,0),'Личные данные'!$X$17:$AA$21,2,0)</f>
        <v>440</v>
      </c>
    </row>
    <row r="1278" spans="1:6" ht="15.75" customHeight="1" x14ac:dyDescent="0.25">
      <c r="A1278" s="62" t="s">
        <v>1075</v>
      </c>
      <c r="B1278" s="62">
        <v>25</v>
      </c>
      <c r="C1278" s="62" t="s">
        <v>1278</v>
      </c>
      <c r="D1278" s="82" t="s">
        <v>1243</v>
      </c>
      <c r="E1278" s="82" t="s">
        <v>1255</v>
      </c>
      <c r="F1278" s="70">
        <f>VLOOKUP(VLOOKUP(A1278,'Личные данные'!A:V,6,0),'Личные данные'!$X$17:$AA$21,2,0)</f>
        <v>330</v>
      </c>
    </row>
    <row r="1279" spans="1:6" ht="15.75" customHeight="1" x14ac:dyDescent="0.25">
      <c r="A1279" s="62" t="s">
        <v>1076</v>
      </c>
      <c r="B1279" s="62">
        <v>25</v>
      </c>
      <c r="C1279" s="62" t="s">
        <v>1278</v>
      </c>
      <c r="D1279" s="82" t="s">
        <v>1258</v>
      </c>
      <c r="E1279" s="82" t="s">
        <v>1244</v>
      </c>
      <c r="F1279" s="70">
        <f>VLOOKUP(VLOOKUP(A1279,'Личные данные'!A:V,6,0),'Личные данные'!$X$17:$AA$21,2,0)</f>
        <v>220</v>
      </c>
    </row>
    <row r="1280" spans="1:6" ht="15.75" customHeight="1" x14ac:dyDescent="0.25">
      <c r="A1280" s="62" t="s">
        <v>1077</v>
      </c>
      <c r="B1280" s="62">
        <v>25</v>
      </c>
      <c r="C1280" s="62" t="s">
        <v>1278</v>
      </c>
      <c r="D1280" s="82" t="s">
        <v>1243</v>
      </c>
      <c r="E1280" s="82" t="s">
        <v>1248</v>
      </c>
      <c r="F1280" s="70">
        <f>VLOOKUP(VLOOKUP(A1280,'Личные данные'!A:V,6,0),'Личные данные'!$X$17:$AA$21,2,0)</f>
        <v>330</v>
      </c>
    </row>
    <row r="1281" spans="1:6" ht="15.75" customHeight="1" x14ac:dyDescent="0.25">
      <c r="A1281" s="62" t="s">
        <v>1078</v>
      </c>
      <c r="B1281" s="62">
        <v>25</v>
      </c>
      <c r="C1281" s="62" t="s">
        <v>1278</v>
      </c>
      <c r="D1281" s="82" t="s">
        <v>1256</v>
      </c>
      <c r="E1281" s="82" t="s">
        <v>1253</v>
      </c>
      <c r="F1281" s="70">
        <f>VLOOKUP(VLOOKUP(A1281,'Личные данные'!A:V,6,0),'Личные данные'!$X$17:$AA$21,2,0)</f>
        <v>550</v>
      </c>
    </row>
    <row r="1282" spans="1:6" ht="15.75" customHeight="1" x14ac:dyDescent="0.25">
      <c r="A1282" s="62" t="s">
        <v>1079</v>
      </c>
      <c r="B1282" s="62">
        <v>25</v>
      </c>
      <c r="C1282" s="62" t="s">
        <v>1278</v>
      </c>
      <c r="D1282" s="82" t="s">
        <v>1256</v>
      </c>
      <c r="E1282" s="82" t="s">
        <v>1253</v>
      </c>
      <c r="F1282" s="70">
        <f>VLOOKUP(VLOOKUP(A1282,'Личные данные'!A:V,6,0),'Личные данные'!$X$17:$AA$21,2,0)</f>
        <v>550</v>
      </c>
    </row>
    <row r="1283" spans="1:6" ht="15.75" customHeight="1" x14ac:dyDescent="0.25">
      <c r="A1283" s="62" t="s">
        <v>1080</v>
      </c>
      <c r="B1283" s="62">
        <v>25</v>
      </c>
      <c r="C1283" s="62" t="s">
        <v>1278</v>
      </c>
      <c r="D1283" s="82" t="s">
        <v>1257</v>
      </c>
      <c r="E1283" s="82" t="s">
        <v>1253</v>
      </c>
      <c r="F1283" s="70">
        <f>VLOOKUP(VLOOKUP(A1283,'Личные данные'!A:V,6,0),'Личные данные'!$X$17:$AA$21,2,0)</f>
        <v>440</v>
      </c>
    </row>
    <row r="1284" spans="1:6" ht="15.75" customHeight="1" x14ac:dyDescent="0.25">
      <c r="A1284" s="62" t="s">
        <v>1081</v>
      </c>
      <c r="B1284" s="62">
        <v>25</v>
      </c>
      <c r="C1284" s="62" t="s">
        <v>1278</v>
      </c>
      <c r="D1284" s="82" t="s">
        <v>1256</v>
      </c>
      <c r="E1284" s="82" t="s">
        <v>1255</v>
      </c>
      <c r="F1284" s="70">
        <f>VLOOKUP(VLOOKUP(A1284,'Личные данные'!A:V,6,0),'Личные данные'!$X$17:$AA$21,2,0)</f>
        <v>550</v>
      </c>
    </row>
    <row r="1285" spans="1:6" ht="15.75" customHeight="1" x14ac:dyDescent="0.25">
      <c r="A1285" s="62" t="s">
        <v>1082</v>
      </c>
      <c r="B1285" s="62">
        <v>25</v>
      </c>
      <c r="C1285" s="62" t="s">
        <v>1278</v>
      </c>
      <c r="D1285" s="82" t="s">
        <v>1243</v>
      </c>
      <c r="E1285" s="82" t="s">
        <v>1248</v>
      </c>
      <c r="F1285" s="70">
        <f>VLOOKUP(VLOOKUP(A1285,'Личные данные'!A:V,6,0),'Личные данные'!$X$17:$AA$21,2,0)</f>
        <v>440</v>
      </c>
    </row>
    <row r="1286" spans="1:6" ht="15.75" customHeight="1" x14ac:dyDescent="0.25">
      <c r="A1286" s="62" t="s">
        <v>1083</v>
      </c>
      <c r="B1286" s="62">
        <v>25</v>
      </c>
      <c r="C1286" s="62" t="s">
        <v>1278</v>
      </c>
      <c r="D1286" s="82" t="s">
        <v>1258</v>
      </c>
      <c r="E1286" s="82" t="s">
        <v>1248</v>
      </c>
      <c r="F1286" s="70">
        <f>VLOOKUP(VLOOKUP(A1286,'Личные данные'!A:V,6,0),'Личные данные'!$X$17:$AA$21,2,0)</f>
        <v>440</v>
      </c>
    </row>
    <row r="1287" spans="1:6" ht="15.75" customHeight="1" x14ac:dyDescent="0.25">
      <c r="A1287" s="62" t="s">
        <v>1084</v>
      </c>
      <c r="B1287" s="62">
        <v>25</v>
      </c>
      <c r="C1287" s="62" t="s">
        <v>1278</v>
      </c>
      <c r="D1287" s="82" t="s">
        <v>1243</v>
      </c>
      <c r="E1287" s="82" t="s">
        <v>1253</v>
      </c>
      <c r="F1287" s="70">
        <f>VLOOKUP(VLOOKUP(A1287,'Личные данные'!A:V,6,0),'Личные данные'!$X$17:$AA$21,2,0)</f>
        <v>440</v>
      </c>
    </row>
    <row r="1288" spans="1:6" ht="15.75" customHeight="1" x14ac:dyDescent="0.25">
      <c r="A1288" s="62" t="s">
        <v>1085</v>
      </c>
      <c r="B1288" s="62">
        <v>25</v>
      </c>
      <c r="C1288" s="62" t="s">
        <v>1278</v>
      </c>
      <c r="D1288" s="82" t="s">
        <v>1260</v>
      </c>
      <c r="E1288" s="82" t="s">
        <v>1250</v>
      </c>
      <c r="F1288" s="70">
        <f>VLOOKUP(VLOOKUP(A1288,'Личные данные'!A:V,6,0),'Личные данные'!$X$17:$AA$21,2,0)</f>
        <v>770</v>
      </c>
    </row>
    <row r="1289" spans="1:6" ht="15.75" customHeight="1" x14ac:dyDescent="0.25">
      <c r="A1289" s="62" t="s">
        <v>1086</v>
      </c>
      <c r="B1289" s="62">
        <v>25</v>
      </c>
      <c r="C1289" s="62" t="s">
        <v>1278</v>
      </c>
      <c r="D1289" s="82" t="s">
        <v>1256</v>
      </c>
      <c r="E1289" s="82" t="s">
        <v>1250</v>
      </c>
      <c r="F1289" s="70">
        <f>VLOOKUP(VLOOKUP(A1289,'Личные данные'!A:V,6,0),'Личные данные'!$X$17:$AA$21,2,0)</f>
        <v>770</v>
      </c>
    </row>
    <row r="1290" spans="1:6" ht="15.75" customHeight="1" x14ac:dyDescent="0.25">
      <c r="A1290" s="62" t="s">
        <v>1087</v>
      </c>
      <c r="B1290" s="62">
        <v>25</v>
      </c>
      <c r="C1290" s="62" t="s">
        <v>1278</v>
      </c>
      <c r="D1290" s="82" t="s">
        <v>1260</v>
      </c>
      <c r="E1290" s="82" t="s">
        <v>1253</v>
      </c>
      <c r="F1290" s="70">
        <f>VLOOKUP(VLOOKUP(A1290,'Личные данные'!A:V,6,0),'Личные данные'!$X$17:$AA$21,2,0)</f>
        <v>550</v>
      </c>
    </row>
    <row r="1291" spans="1:6" ht="15.75" customHeight="1" x14ac:dyDescent="0.25">
      <c r="A1291" s="62" t="s">
        <v>1088</v>
      </c>
      <c r="B1291" s="62">
        <v>25</v>
      </c>
      <c r="C1291" s="62" t="s">
        <v>1278</v>
      </c>
      <c r="D1291" s="82" t="s">
        <v>1258</v>
      </c>
      <c r="E1291" s="82" t="s">
        <v>1253</v>
      </c>
      <c r="F1291" s="70">
        <f>VLOOKUP(VLOOKUP(A1291,'Личные данные'!A:V,6,0),'Личные данные'!$X$17:$AA$21,2,0)</f>
        <v>440</v>
      </c>
    </row>
    <row r="1292" spans="1:6" ht="15.75" customHeight="1" x14ac:dyDescent="0.25">
      <c r="A1292" s="62" t="s">
        <v>1089</v>
      </c>
      <c r="B1292" s="62">
        <v>25</v>
      </c>
      <c r="C1292" s="62" t="s">
        <v>1278</v>
      </c>
      <c r="D1292" s="82" t="s">
        <v>1243</v>
      </c>
      <c r="E1292" s="82" t="s">
        <v>1250</v>
      </c>
      <c r="F1292" s="70">
        <f>VLOOKUP(VLOOKUP(A1292,'Личные данные'!A:V,6,0),'Личные данные'!$X$17:$AA$21,2,0)</f>
        <v>330</v>
      </c>
    </row>
    <row r="1293" spans="1:6" ht="15.75" customHeight="1" x14ac:dyDescent="0.25">
      <c r="A1293" s="62" t="s">
        <v>1090</v>
      </c>
      <c r="B1293" s="62">
        <v>25</v>
      </c>
      <c r="C1293" s="62" t="s">
        <v>1278</v>
      </c>
      <c r="D1293" s="82" t="s">
        <v>1257</v>
      </c>
      <c r="E1293" s="82" t="s">
        <v>1255</v>
      </c>
      <c r="F1293" s="70">
        <f>VLOOKUP(VLOOKUP(A1293,'Личные данные'!A:V,6,0),'Личные данные'!$X$17:$AA$21,2,0)</f>
        <v>440</v>
      </c>
    </row>
    <row r="1294" spans="1:6" ht="15.75" customHeight="1" x14ac:dyDescent="0.25">
      <c r="A1294" s="62" t="s">
        <v>1091</v>
      </c>
      <c r="B1294" s="62">
        <v>25</v>
      </c>
      <c r="C1294" s="62" t="s">
        <v>1278</v>
      </c>
      <c r="D1294" s="82" t="s">
        <v>1243</v>
      </c>
      <c r="E1294" s="82" t="s">
        <v>1253</v>
      </c>
      <c r="F1294" s="70">
        <f>VLOOKUP(VLOOKUP(A1294,'Личные данные'!A:V,6,0),'Личные данные'!$X$17:$AA$21,2,0)</f>
        <v>330</v>
      </c>
    </row>
    <row r="1295" spans="1:6" ht="15.75" customHeight="1" x14ac:dyDescent="0.25">
      <c r="A1295" s="62" t="s">
        <v>1092</v>
      </c>
      <c r="B1295" s="62">
        <v>25</v>
      </c>
      <c r="C1295" s="62" t="s">
        <v>1278</v>
      </c>
      <c r="D1295" s="82" t="s">
        <v>1258</v>
      </c>
      <c r="E1295" s="82" t="s">
        <v>1253</v>
      </c>
      <c r="F1295" s="70">
        <f>VLOOKUP(VLOOKUP(A1295,'Личные данные'!A:V,6,0),'Личные данные'!$X$17:$AA$21,2,0)</f>
        <v>440</v>
      </c>
    </row>
    <row r="1296" spans="1:6" ht="15.75" customHeight="1" x14ac:dyDescent="0.25">
      <c r="A1296" s="62" t="s">
        <v>1093</v>
      </c>
      <c r="B1296" s="62">
        <v>25</v>
      </c>
      <c r="C1296" s="62" t="s">
        <v>1278</v>
      </c>
      <c r="D1296" s="82" t="s">
        <v>1243</v>
      </c>
      <c r="E1296" s="82" t="s">
        <v>1253</v>
      </c>
      <c r="F1296" s="70">
        <f>VLOOKUP(VLOOKUP(A1296,'Личные данные'!A:V,6,0),'Личные данные'!$X$17:$AA$21,2,0)</f>
        <v>330</v>
      </c>
    </row>
    <row r="1297" spans="1:6" ht="15.75" customHeight="1" x14ac:dyDescent="0.25">
      <c r="A1297" s="62" t="s">
        <v>1094</v>
      </c>
      <c r="B1297" s="62">
        <v>25</v>
      </c>
      <c r="C1297" s="62" t="s">
        <v>1278</v>
      </c>
      <c r="D1297" s="82" t="s">
        <v>1260</v>
      </c>
      <c r="E1297" s="82" t="s">
        <v>1253</v>
      </c>
      <c r="F1297" s="70">
        <f>VLOOKUP(VLOOKUP(A1297,'Личные данные'!A:V,6,0),'Личные данные'!$X$17:$AA$21,2,0)</f>
        <v>770</v>
      </c>
    </row>
    <row r="1298" spans="1:6" ht="15.75" customHeight="1" x14ac:dyDescent="0.25">
      <c r="A1298" s="62" t="s">
        <v>1095</v>
      </c>
      <c r="B1298" s="62">
        <v>25</v>
      </c>
      <c r="C1298" s="62" t="s">
        <v>1278</v>
      </c>
      <c r="D1298" s="82" t="s">
        <v>1257</v>
      </c>
      <c r="E1298" s="82" t="s">
        <v>1255</v>
      </c>
      <c r="F1298" s="70">
        <f>VLOOKUP(VLOOKUP(A1298,'Личные данные'!A:V,6,0),'Личные данные'!$X$17:$AA$21,2,0)</f>
        <v>440</v>
      </c>
    </row>
    <row r="1299" spans="1:6" ht="15.75" customHeight="1" x14ac:dyDescent="0.25">
      <c r="A1299" s="62" t="s">
        <v>1096</v>
      </c>
      <c r="B1299" s="62">
        <v>25</v>
      </c>
      <c r="C1299" s="62" t="s">
        <v>1278</v>
      </c>
      <c r="D1299" s="82" t="s">
        <v>1257</v>
      </c>
      <c r="E1299" s="82" t="s">
        <v>1248</v>
      </c>
      <c r="F1299" s="70">
        <f>VLOOKUP(VLOOKUP(A1299,'Личные данные'!A:V,6,0),'Личные данные'!$X$17:$AA$21,2,0)</f>
        <v>440</v>
      </c>
    </row>
    <row r="1300" spans="1:6" ht="15.75" customHeight="1" x14ac:dyDescent="0.25">
      <c r="A1300" s="62" t="s">
        <v>1097</v>
      </c>
      <c r="B1300" s="62">
        <v>25</v>
      </c>
      <c r="C1300" s="62" t="s">
        <v>1278</v>
      </c>
      <c r="D1300" s="82" t="s">
        <v>1243</v>
      </c>
      <c r="E1300" s="82" t="s">
        <v>1248</v>
      </c>
      <c r="F1300" s="70">
        <f>VLOOKUP(VLOOKUP(A1300,'Личные данные'!A:V,6,0),'Личные данные'!$X$17:$AA$21,2,0)</f>
        <v>440</v>
      </c>
    </row>
    <row r="1301" spans="1:6" ht="15.75" customHeight="1" x14ac:dyDescent="0.25">
      <c r="A1301" s="62" t="s">
        <v>1098</v>
      </c>
      <c r="B1301" s="62">
        <v>25</v>
      </c>
      <c r="C1301" s="62" t="s">
        <v>1278</v>
      </c>
      <c r="D1301" s="82" t="s">
        <v>1243</v>
      </c>
      <c r="E1301" s="82" t="s">
        <v>1248</v>
      </c>
      <c r="F1301" s="70">
        <f>VLOOKUP(VLOOKUP(A1301,'Личные данные'!A:V,6,0),'Личные данные'!$X$17:$AA$21,2,0)</f>
        <v>330</v>
      </c>
    </row>
    <row r="1302" spans="1:6" ht="15.75" customHeight="1" x14ac:dyDescent="0.25">
      <c r="A1302" s="62" t="s">
        <v>1099</v>
      </c>
      <c r="B1302" s="62">
        <v>25</v>
      </c>
      <c r="C1302" s="62" t="s">
        <v>1278</v>
      </c>
      <c r="D1302" s="82" t="s">
        <v>1258</v>
      </c>
      <c r="E1302" s="82" t="s">
        <v>1244</v>
      </c>
      <c r="F1302" s="70">
        <f>VLOOKUP(VLOOKUP(A1302,'Личные данные'!A:V,6,0),'Личные данные'!$X$17:$AA$21,2,0)</f>
        <v>220</v>
      </c>
    </row>
    <row r="1303" spans="1:6" ht="15.75" customHeight="1" x14ac:dyDescent="0.25">
      <c r="A1303" s="62" t="s">
        <v>1100</v>
      </c>
      <c r="B1303" s="62">
        <v>25</v>
      </c>
      <c r="C1303" s="62" t="s">
        <v>1278</v>
      </c>
      <c r="D1303" s="82" t="s">
        <v>1256</v>
      </c>
      <c r="E1303" s="82" t="s">
        <v>1253</v>
      </c>
      <c r="F1303" s="70">
        <f>VLOOKUP(VLOOKUP(A1303,'Личные данные'!A:V,6,0),'Личные данные'!$X$17:$AA$21,2,0)</f>
        <v>550</v>
      </c>
    </row>
    <row r="1304" spans="1:6" ht="15.75" customHeight="1" x14ac:dyDescent="0.25">
      <c r="A1304" s="62" t="s">
        <v>1101</v>
      </c>
      <c r="B1304" s="62">
        <v>25</v>
      </c>
      <c r="C1304" s="62" t="s">
        <v>1278</v>
      </c>
      <c r="D1304" s="82" t="s">
        <v>1260</v>
      </c>
      <c r="E1304" s="82" t="s">
        <v>1253</v>
      </c>
      <c r="F1304" s="70">
        <f>VLOOKUP(VLOOKUP(A1304,'Личные данные'!A:V,6,0),'Личные данные'!$X$17:$AA$21,2,0)</f>
        <v>550</v>
      </c>
    </row>
    <row r="1305" spans="1:6" ht="15.75" customHeight="1" x14ac:dyDescent="0.25">
      <c r="A1305" s="62" t="s">
        <v>1102</v>
      </c>
      <c r="B1305" s="62">
        <v>25</v>
      </c>
      <c r="C1305" s="62" t="s">
        <v>1278</v>
      </c>
      <c r="D1305" s="82" t="s">
        <v>1256</v>
      </c>
      <c r="E1305" s="82" t="s">
        <v>1248</v>
      </c>
      <c r="F1305" s="70">
        <f>VLOOKUP(VLOOKUP(A1305,'Личные данные'!A:V,6,0),'Личные данные'!$X$17:$AA$21,2,0)</f>
        <v>550</v>
      </c>
    </row>
    <row r="1306" spans="1:6" ht="15.75" customHeight="1" x14ac:dyDescent="0.25">
      <c r="A1306" s="62" t="s">
        <v>1103</v>
      </c>
      <c r="B1306" s="62">
        <v>25</v>
      </c>
      <c r="C1306" s="62" t="s">
        <v>1278</v>
      </c>
      <c r="D1306" s="82" t="s">
        <v>1258</v>
      </c>
      <c r="E1306" s="82" t="s">
        <v>1255</v>
      </c>
      <c r="F1306" s="70">
        <f>VLOOKUP(VLOOKUP(A1306,'Личные данные'!A:V,6,0),'Личные данные'!$X$17:$AA$21,2,0)</f>
        <v>440</v>
      </c>
    </row>
    <row r="1307" spans="1:6" ht="15.75" customHeight="1" x14ac:dyDescent="0.25">
      <c r="A1307" s="62" t="s">
        <v>1104</v>
      </c>
      <c r="B1307" s="62">
        <v>25</v>
      </c>
      <c r="C1307" s="62" t="s">
        <v>1278</v>
      </c>
      <c r="D1307" s="82" t="s">
        <v>1243</v>
      </c>
      <c r="E1307" s="82" t="s">
        <v>1244</v>
      </c>
      <c r="F1307" s="70">
        <f>VLOOKUP(VLOOKUP(A1307,'Личные данные'!A:V,6,0),'Личные данные'!$X$17:$AA$21,2,0)</f>
        <v>440</v>
      </c>
    </row>
    <row r="1308" spans="1:6" ht="15.75" customHeight="1" x14ac:dyDescent="0.25">
      <c r="A1308" s="62" t="s">
        <v>1105</v>
      </c>
      <c r="B1308" s="62">
        <v>25</v>
      </c>
      <c r="C1308" s="62" t="s">
        <v>1278</v>
      </c>
      <c r="D1308" s="82" t="s">
        <v>1260</v>
      </c>
      <c r="E1308" s="82" t="s">
        <v>1250</v>
      </c>
      <c r="F1308" s="70">
        <f>VLOOKUP(VLOOKUP(A1308,'Личные данные'!A:V,6,0),'Личные данные'!$X$17:$AA$21,2,0)</f>
        <v>440</v>
      </c>
    </row>
    <row r="1309" spans="1:6" ht="15.75" customHeight="1" x14ac:dyDescent="0.25">
      <c r="A1309" s="62" t="s">
        <v>1106</v>
      </c>
      <c r="B1309" s="62">
        <v>25</v>
      </c>
      <c r="C1309" s="62" t="s">
        <v>1278</v>
      </c>
      <c r="D1309" s="82" t="s">
        <v>1256</v>
      </c>
      <c r="E1309" s="82" t="s">
        <v>1253</v>
      </c>
      <c r="F1309" s="70">
        <f>VLOOKUP(VLOOKUP(A1309,'Личные данные'!A:V,6,0),'Личные данные'!$X$17:$AA$21,2,0)</f>
        <v>440</v>
      </c>
    </row>
    <row r="1310" spans="1:6" ht="15.75" customHeight="1" x14ac:dyDescent="0.25">
      <c r="A1310" s="62" t="s">
        <v>1107</v>
      </c>
      <c r="B1310" s="62">
        <v>25</v>
      </c>
      <c r="C1310" s="62" t="s">
        <v>1278</v>
      </c>
      <c r="D1310" s="82" t="s">
        <v>1243</v>
      </c>
      <c r="E1310" s="82" t="s">
        <v>1253</v>
      </c>
      <c r="F1310" s="70">
        <f>VLOOKUP(VLOOKUP(A1310,'Личные данные'!A:V,6,0),'Личные данные'!$X$17:$AA$21,2,0)</f>
        <v>440</v>
      </c>
    </row>
    <row r="1311" spans="1:6" ht="15.75" customHeight="1" x14ac:dyDescent="0.25">
      <c r="A1311" s="62" t="s">
        <v>1108</v>
      </c>
      <c r="B1311" s="62">
        <v>25</v>
      </c>
      <c r="C1311" s="62" t="s">
        <v>1278</v>
      </c>
      <c r="D1311" s="82" t="s">
        <v>1257</v>
      </c>
      <c r="E1311" s="82" t="s">
        <v>1248</v>
      </c>
      <c r="F1311" s="70">
        <f>VLOOKUP(VLOOKUP(A1311,'Личные данные'!A:V,6,0),'Личные данные'!$X$17:$AA$21,2,0)</f>
        <v>440</v>
      </c>
    </row>
    <row r="1312" spans="1:6" ht="15.75" customHeight="1" x14ac:dyDescent="0.25">
      <c r="A1312" s="62" t="s">
        <v>1109</v>
      </c>
      <c r="B1312" s="62">
        <v>25</v>
      </c>
      <c r="C1312" s="62" t="s">
        <v>1278</v>
      </c>
      <c r="D1312" s="82" t="s">
        <v>1260</v>
      </c>
      <c r="E1312" s="82" t="s">
        <v>1253</v>
      </c>
      <c r="F1312" s="70">
        <f>VLOOKUP(VLOOKUP(A1312,'Личные данные'!A:V,6,0),'Личные данные'!$X$17:$AA$21,2,0)</f>
        <v>550</v>
      </c>
    </row>
    <row r="1313" spans="1:6" ht="15.75" customHeight="1" x14ac:dyDescent="0.25">
      <c r="A1313" s="62" t="s">
        <v>1110</v>
      </c>
      <c r="B1313" s="62">
        <v>25</v>
      </c>
      <c r="C1313" s="62" t="s">
        <v>1278</v>
      </c>
      <c r="D1313" s="82" t="s">
        <v>1258</v>
      </c>
      <c r="E1313" s="82" t="s">
        <v>1253</v>
      </c>
      <c r="F1313" s="70">
        <f>VLOOKUP(VLOOKUP(A1313,'Личные данные'!A:V,6,0),'Личные данные'!$X$17:$AA$21,2,0)</f>
        <v>440</v>
      </c>
    </row>
    <row r="1314" spans="1:6" ht="15.75" customHeight="1" x14ac:dyDescent="0.25">
      <c r="A1314" s="62" t="s">
        <v>1111</v>
      </c>
      <c r="B1314" s="62">
        <v>25</v>
      </c>
      <c r="C1314" s="62" t="s">
        <v>1278</v>
      </c>
      <c r="D1314" s="82" t="s">
        <v>1258</v>
      </c>
      <c r="E1314" s="82" t="s">
        <v>1248</v>
      </c>
      <c r="F1314" s="70">
        <f>VLOOKUP(VLOOKUP(A1314,'Личные данные'!A:V,6,0),'Личные данные'!$X$17:$AA$21,2,0)</f>
        <v>440</v>
      </c>
    </row>
    <row r="1315" spans="1:6" ht="15.75" customHeight="1" x14ac:dyDescent="0.25">
      <c r="A1315" s="62" t="s">
        <v>1112</v>
      </c>
      <c r="B1315" s="62">
        <v>25</v>
      </c>
      <c r="C1315" s="62" t="s">
        <v>1278</v>
      </c>
      <c r="D1315" s="82" t="s">
        <v>1243</v>
      </c>
      <c r="E1315" s="82" t="s">
        <v>1248</v>
      </c>
      <c r="F1315" s="70">
        <f>VLOOKUP(VLOOKUP(A1315,'Личные данные'!A:V,6,0),'Личные данные'!$X$17:$AA$21,2,0)</f>
        <v>330</v>
      </c>
    </row>
    <row r="1316" spans="1:6" ht="15.75" customHeight="1" x14ac:dyDescent="0.25">
      <c r="A1316" s="62" t="s">
        <v>1113</v>
      </c>
      <c r="B1316" s="62">
        <v>25</v>
      </c>
      <c r="C1316" s="62" t="s">
        <v>1278</v>
      </c>
      <c r="D1316" s="82" t="s">
        <v>1256</v>
      </c>
      <c r="E1316" s="82" t="s">
        <v>1248</v>
      </c>
      <c r="F1316" s="70">
        <f>VLOOKUP(VLOOKUP(A1316,'Личные данные'!A:V,6,0),'Личные данные'!$X$17:$AA$21,2,0)</f>
        <v>440</v>
      </c>
    </row>
    <row r="1317" spans="1:6" ht="15.75" customHeight="1" x14ac:dyDescent="0.25">
      <c r="A1317" s="62" t="s">
        <v>1114</v>
      </c>
      <c r="B1317" s="62">
        <v>25</v>
      </c>
      <c r="C1317" s="62" t="s">
        <v>1278</v>
      </c>
      <c r="D1317" s="82" t="s">
        <v>1243</v>
      </c>
      <c r="E1317" s="82" t="s">
        <v>1250</v>
      </c>
      <c r="F1317" s="70">
        <f>VLOOKUP(VLOOKUP(A1317,'Личные данные'!A:V,6,0),'Личные данные'!$X$17:$AA$21,2,0)</f>
        <v>330</v>
      </c>
    </row>
    <row r="1318" spans="1:6" ht="15.75" customHeight="1" x14ac:dyDescent="0.25">
      <c r="A1318" s="62" t="s">
        <v>1115</v>
      </c>
      <c r="B1318" s="62">
        <v>25</v>
      </c>
      <c r="C1318" s="62" t="s">
        <v>1278</v>
      </c>
      <c r="D1318" s="82" t="s">
        <v>1243</v>
      </c>
      <c r="E1318" s="82" t="s">
        <v>1255</v>
      </c>
      <c r="F1318" s="70">
        <f>VLOOKUP(VLOOKUP(A1318,'Личные данные'!A:V,6,0),'Личные данные'!$X$17:$AA$21,2,0)</f>
        <v>330</v>
      </c>
    </row>
    <row r="1319" spans="1:6" ht="15.75" customHeight="1" x14ac:dyDescent="0.25">
      <c r="A1319" s="62" t="s">
        <v>1116</v>
      </c>
      <c r="B1319" s="62">
        <v>25</v>
      </c>
      <c r="C1319" s="62" t="s">
        <v>1278</v>
      </c>
      <c r="D1319" s="82" t="s">
        <v>1257</v>
      </c>
      <c r="E1319" s="82" t="s">
        <v>1244</v>
      </c>
      <c r="F1319" s="70">
        <f>VLOOKUP(VLOOKUP(A1319,'Личные данные'!A:V,6,0),'Личные данные'!$X$17:$AA$21,2,0)</f>
        <v>440</v>
      </c>
    </row>
    <row r="1320" spans="1:6" ht="15.75" customHeight="1" x14ac:dyDescent="0.25">
      <c r="A1320" s="62" t="s">
        <v>1117</v>
      </c>
      <c r="B1320" s="62">
        <v>25</v>
      </c>
      <c r="C1320" s="62" t="s">
        <v>1278</v>
      </c>
      <c r="D1320" s="82" t="s">
        <v>1258</v>
      </c>
      <c r="E1320" s="82" t="s">
        <v>1253</v>
      </c>
      <c r="F1320" s="70">
        <f>VLOOKUP(VLOOKUP(A1320,'Личные данные'!A:V,6,0),'Личные данные'!$X$17:$AA$21,2,0)</f>
        <v>440</v>
      </c>
    </row>
    <row r="1321" spans="1:6" ht="15.75" customHeight="1" x14ac:dyDescent="0.25">
      <c r="A1321" s="62" t="s">
        <v>1118</v>
      </c>
      <c r="B1321" s="62">
        <v>25</v>
      </c>
      <c r="C1321" s="62" t="s">
        <v>1278</v>
      </c>
      <c r="D1321" s="82" t="s">
        <v>1256</v>
      </c>
      <c r="E1321" s="82" t="s">
        <v>1253</v>
      </c>
      <c r="F1321" s="70">
        <f>VLOOKUP(VLOOKUP(A1321,'Личные данные'!A:V,6,0),'Личные данные'!$X$17:$AA$21,2,0)</f>
        <v>440</v>
      </c>
    </row>
    <row r="1322" spans="1:6" ht="15.75" customHeight="1" x14ac:dyDescent="0.25">
      <c r="A1322" s="62" t="s">
        <v>1119</v>
      </c>
      <c r="B1322" s="62">
        <v>25</v>
      </c>
      <c r="C1322" s="62" t="s">
        <v>1278</v>
      </c>
      <c r="D1322" s="82" t="s">
        <v>1243</v>
      </c>
      <c r="E1322" s="82" t="s">
        <v>1248</v>
      </c>
      <c r="F1322" s="70">
        <f>VLOOKUP(VLOOKUP(A1322,'Личные данные'!A:V,6,0),'Личные данные'!$X$17:$AA$21,2,0)</f>
        <v>440</v>
      </c>
    </row>
    <row r="1323" spans="1:6" ht="15.75" customHeight="1" x14ac:dyDescent="0.25">
      <c r="A1323" s="62" t="s">
        <v>1120</v>
      </c>
      <c r="B1323" s="62">
        <v>25</v>
      </c>
      <c r="C1323" s="62" t="s">
        <v>1278</v>
      </c>
      <c r="D1323" s="82" t="s">
        <v>1243</v>
      </c>
      <c r="E1323" s="82" t="s">
        <v>1250</v>
      </c>
      <c r="F1323" s="70">
        <f>VLOOKUP(VLOOKUP(A1323,'Личные данные'!A:V,6,0),'Личные данные'!$X$17:$AA$21,2,0)</f>
        <v>770</v>
      </c>
    </row>
    <row r="1324" spans="1:6" ht="15.75" customHeight="1" x14ac:dyDescent="0.25">
      <c r="A1324" s="62" t="s">
        <v>1121</v>
      </c>
      <c r="B1324" s="62">
        <v>25</v>
      </c>
      <c r="C1324" s="62" t="s">
        <v>1278</v>
      </c>
      <c r="D1324" s="82" t="s">
        <v>1243</v>
      </c>
      <c r="E1324" s="82" t="s">
        <v>1253</v>
      </c>
      <c r="F1324" s="70">
        <f>VLOOKUP(VLOOKUP(A1324,'Личные данные'!A:V,6,0),'Личные данные'!$X$17:$AA$21,2,0)</f>
        <v>440</v>
      </c>
    </row>
    <row r="1325" spans="1:6" ht="15.75" customHeight="1" x14ac:dyDescent="0.25">
      <c r="A1325" s="62" t="s">
        <v>1122</v>
      </c>
      <c r="B1325" s="62">
        <v>25</v>
      </c>
      <c r="C1325" s="62" t="s">
        <v>1278</v>
      </c>
      <c r="D1325" s="82" t="s">
        <v>1256</v>
      </c>
      <c r="E1325" s="82" t="s">
        <v>1253</v>
      </c>
      <c r="F1325" s="70">
        <f>VLOOKUP(VLOOKUP(A1325,'Личные данные'!A:V,6,0),'Личные данные'!$X$17:$AA$21,2,0)</f>
        <v>550</v>
      </c>
    </row>
    <row r="1326" spans="1:6" ht="15.75" customHeight="1" x14ac:dyDescent="0.25">
      <c r="A1326" s="62" t="s">
        <v>1123</v>
      </c>
      <c r="B1326" s="62">
        <v>25</v>
      </c>
      <c r="C1326" s="62" t="s">
        <v>1278</v>
      </c>
      <c r="D1326" s="82" t="s">
        <v>1243</v>
      </c>
      <c r="E1326" s="82" t="s">
        <v>1248</v>
      </c>
      <c r="F1326" s="70">
        <f>VLOOKUP(VLOOKUP(A1326,'Личные данные'!A:V,6,0),'Личные данные'!$X$17:$AA$21,2,0)</f>
        <v>440</v>
      </c>
    </row>
    <row r="1327" spans="1:6" ht="15.75" customHeight="1" x14ac:dyDescent="0.25">
      <c r="A1327" s="62" t="s">
        <v>1124</v>
      </c>
      <c r="B1327" s="62">
        <v>25</v>
      </c>
      <c r="C1327" s="62" t="s">
        <v>1278</v>
      </c>
      <c r="D1327" s="82" t="s">
        <v>1256</v>
      </c>
      <c r="E1327" s="82" t="s">
        <v>1250</v>
      </c>
      <c r="F1327" s="70">
        <f>VLOOKUP(VLOOKUP(A1327,'Личные данные'!A:V,6,0),'Личные данные'!$X$17:$AA$21,2,0)</f>
        <v>550</v>
      </c>
    </row>
    <row r="1328" spans="1:6" ht="15.75" customHeight="1" x14ac:dyDescent="0.25">
      <c r="A1328" s="62" t="s">
        <v>1125</v>
      </c>
      <c r="B1328" s="62">
        <v>25</v>
      </c>
      <c r="C1328" s="62" t="s">
        <v>1278</v>
      </c>
      <c r="D1328" s="82" t="s">
        <v>1260</v>
      </c>
      <c r="E1328" s="82" t="s">
        <v>1250</v>
      </c>
      <c r="F1328" s="70">
        <f>VLOOKUP(VLOOKUP(A1328,'Личные данные'!A:V,6,0),'Личные данные'!$X$17:$AA$21,2,0)</f>
        <v>770</v>
      </c>
    </row>
    <row r="1329" spans="1:6" ht="15.75" customHeight="1" x14ac:dyDescent="0.25">
      <c r="A1329" s="62" t="s">
        <v>1126</v>
      </c>
      <c r="B1329" s="62">
        <v>25</v>
      </c>
      <c r="C1329" s="62" t="s">
        <v>1278</v>
      </c>
      <c r="D1329" s="82" t="s">
        <v>1258</v>
      </c>
      <c r="E1329" s="82" t="s">
        <v>1253</v>
      </c>
      <c r="F1329" s="70">
        <f>VLOOKUP(VLOOKUP(A1329,'Личные данные'!A:V,6,0),'Личные данные'!$X$17:$AA$21,2,0)</f>
        <v>330</v>
      </c>
    </row>
    <row r="1330" spans="1:6" ht="15.75" customHeight="1" x14ac:dyDescent="0.25">
      <c r="A1330" s="62" t="s">
        <v>1127</v>
      </c>
      <c r="B1330" s="62">
        <v>25</v>
      </c>
      <c r="C1330" s="62" t="s">
        <v>1278</v>
      </c>
      <c r="D1330" s="82" t="s">
        <v>1258</v>
      </c>
      <c r="E1330" s="82" t="s">
        <v>1253</v>
      </c>
      <c r="F1330" s="70">
        <f>VLOOKUP(VLOOKUP(A1330,'Личные данные'!A:V,6,0),'Личные данные'!$X$17:$AA$21,2,0)</f>
        <v>440</v>
      </c>
    </row>
    <row r="1331" spans="1:6" ht="15.75" customHeight="1" x14ac:dyDescent="0.25">
      <c r="A1331" s="62" t="s">
        <v>1128</v>
      </c>
      <c r="B1331" s="62">
        <v>25</v>
      </c>
      <c r="C1331" s="62" t="s">
        <v>1278</v>
      </c>
      <c r="D1331" s="82" t="s">
        <v>1258</v>
      </c>
      <c r="E1331" s="82" t="s">
        <v>1248</v>
      </c>
      <c r="F1331" s="70">
        <f>VLOOKUP(VLOOKUP(A1331,'Личные данные'!A:V,6,0),'Личные данные'!$X$17:$AA$21,2,0)</f>
        <v>550</v>
      </c>
    </row>
    <row r="1332" spans="1:6" ht="15.75" customHeight="1" x14ac:dyDescent="0.25">
      <c r="A1332" s="62" t="s">
        <v>1129</v>
      </c>
      <c r="B1332" s="62">
        <v>25</v>
      </c>
      <c r="C1332" s="62" t="s">
        <v>1278</v>
      </c>
      <c r="D1332" s="82" t="s">
        <v>1260</v>
      </c>
      <c r="E1332" s="82" t="s">
        <v>1248</v>
      </c>
      <c r="F1332" s="70">
        <f>VLOOKUP(VLOOKUP(A1332,'Личные данные'!A:V,6,0),'Личные данные'!$X$17:$AA$21,2,0)</f>
        <v>770</v>
      </c>
    </row>
    <row r="1333" spans="1:6" ht="15.75" customHeight="1" x14ac:dyDescent="0.25">
      <c r="A1333" s="62" t="s">
        <v>1130</v>
      </c>
      <c r="B1333" s="62">
        <v>25</v>
      </c>
      <c r="C1333" s="62" t="s">
        <v>1278</v>
      </c>
      <c r="D1333" s="82" t="s">
        <v>1256</v>
      </c>
      <c r="E1333" s="82" t="s">
        <v>1253</v>
      </c>
      <c r="F1333" s="70">
        <f>VLOOKUP(VLOOKUP(A1333,'Личные данные'!A:V,6,0),'Личные данные'!$X$17:$AA$21,2,0)</f>
        <v>550</v>
      </c>
    </row>
    <row r="1334" spans="1:6" ht="15.75" customHeight="1" x14ac:dyDescent="0.25">
      <c r="A1334" s="62" t="s">
        <v>1131</v>
      </c>
      <c r="B1334" s="62">
        <v>25</v>
      </c>
      <c r="C1334" s="62" t="s">
        <v>1278</v>
      </c>
      <c r="D1334" s="82" t="s">
        <v>1243</v>
      </c>
      <c r="E1334" s="82" t="s">
        <v>1253</v>
      </c>
      <c r="F1334" s="70">
        <f>VLOOKUP(VLOOKUP(A1334,'Личные данные'!A:V,6,0),'Личные данные'!$X$17:$AA$21,2,0)</f>
        <v>330</v>
      </c>
    </row>
    <row r="1335" spans="1:6" ht="15.75" customHeight="1" x14ac:dyDescent="0.25">
      <c r="A1335" s="62" t="s">
        <v>1132</v>
      </c>
      <c r="B1335" s="62">
        <v>25</v>
      </c>
      <c r="C1335" s="62" t="s">
        <v>1278</v>
      </c>
      <c r="D1335" s="82" t="s">
        <v>1257</v>
      </c>
      <c r="E1335" s="82" t="s">
        <v>1248</v>
      </c>
      <c r="F1335" s="70">
        <f>VLOOKUP(VLOOKUP(A1335,'Личные данные'!A:V,6,0),'Личные данные'!$X$17:$AA$21,2,0)</f>
        <v>440</v>
      </c>
    </row>
    <row r="1336" spans="1:6" ht="15.75" customHeight="1" x14ac:dyDescent="0.25">
      <c r="A1336" s="62" t="s">
        <v>1133</v>
      </c>
      <c r="B1336" s="62">
        <v>25</v>
      </c>
      <c r="C1336" s="62" t="s">
        <v>1278</v>
      </c>
      <c r="D1336" s="82" t="s">
        <v>1243</v>
      </c>
      <c r="E1336" s="82" t="s">
        <v>1250</v>
      </c>
      <c r="F1336" s="70">
        <f>VLOOKUP(VLOOKUP(A1336,'Личные данные'!A:V,6,0),'Личные данные'!$X$17:$AA$21,2,0)</f>
        <v>330</v>
      </c>
    </row>
    <row r="1337" spans="1:6" ht="15.75" customHeight="1" x14ac:dyDescent="0.25">
      <c r="A1337" s="62" t="s">
        <v>1134</v>
      </c>
      <c r="B1337" s="62">
        <v>25</v>
      </c>
      <c r="C1337" s="62" t="s">
        <v>1278</v>
      </c>
      <c r="D1337" s="82" t="s">
        <v>1243</v>
      </c>
      <c r="E1337" s="82" t="s">
        <v>1248</v>
      </c>
      <c r="F1337" s="70">
        <f>VLOOKUP(VLOOKUP(A1337,'Личные данные'!A:V,6,0),'Личные данные'!$X$17:$AA$21,2,0)</f>
        <v>440</v>
      </c>
    </row>
    <row r="1338" spans="1:6" ht="15.75" customHeight="1" x14ac:dyDescent="0.25">
      <c r="A1338" s="62" t="s">
        <v>1135</v>
      </c>
      <c r="B1338" s="62">
        <v>25</v>
      </c>
      <c r="C1338" s="62" t="s">
        <v>1278</v>
      </c>
      <c r="D1338" s="82" t="s">
        <v>1256</v>
      </c>
      <c r="E1338" s="82" t="s">
        <v>1253</v>
      </c>
      <c r="F1338" s="70">
        <f>VLOOKUP(VLOOKUP(A1338,'Личные данные'!A:V,6,0),'Личные данные'!$X$17:$AA$21,2,0)</f>
        <v>550</v>
      </c>
    </row>
    <row r="1339" spans="1:6" ht="15.75" customHeight="1" x14ac:dyDescent="0.25">
      <c r="A1339" s="62" t="s">
        <v>1136</v>
      </c>
      <c r="B1339" s="62">
        <v>25</v>
      </c>
      <c r="C1339" s="62" t="s">
        <v>1278</v>
      </c>
      <c r="D1339" s="82" t="s">
        <v>1243</v>
      </c>
      <c r="E1339" s="82" t="s">
        <v>1253</v>
      </c>
      <c r="F1339" s="70">
        <f>VLOOKUP(VLOOKUP(A1339,'Личные данные'!A:V,6,0),'Личные данные'!$X$17:$AA$21,2,0)</f>
        <v>330</v>
      </c>
    </row>
    <row r="1340" spans="1:6" ht="15.75" customHeight="1" x14ac:dyDescent="0.25">
      <c r="A1340" s="62" t="s">
        <v>1137</v>
      </c>
      <c r="B1340" s="62">
        <v>25</v>
      </c>
      <c r="C1340" s="62" t="s">
        <v>1278</v>
      </c>
      <c r="D1340" s="82" t="s">
        <v>1243</v>
      </c>
      <c r="E1340" s="82" t="s">
        <v>1253</v>
      </c>
      <c r="F1340" s="70">
        <f>VLOOKUP(VLOOKUP(A1340,'Личные данные'!A:V,6,0),'Личные данные'!$X$17:$AA$21,2,0)</f>
        <v>330</v>
      </c>
    </row>
    <row r="1341" spans="1:6" ht="15.75" customHeight="1" x14ac:dyDescent="0.25">
      <c r="A1341" s="62" t="s">
        <v>1138</v>
      </c>
      <c r="B1341" s="62">
        <v>25</v>
      </c>
      <c r="C1341" s="62" t="s">
        <v>1278</v>
      </c>
      <c r="D1341" s="82" t="s">
        <v>1243</v>
      </c>
      <c r="E1341" s="82" t="s">
        <v>1248</v>
      </c>
      <c r="F1341" s="70">
        <f>VLOOKUP(VLOOKUP(A1341,'Личные данные'!A:V,6,0),'Личные данные'!$X$17:$AA$21,2,0)</f>
        <v>440</v>
      </c>
    </row>
    <row r="1342" spans="1:6" ht="15.75" customHeight="1" x14ac:dyDescent="0.25">
      <c r="A1342" s="62" t="s">
        <v>1139</v>
      </c>
      <c r="B1342" s="62">
        <v>25</v>
      </c>
      <c r="C1342" s="62" t="s">
        <v>1278</v>
      </c>
      <c r="D1342" s="82" t="s">
        <v>1257</v>
      </c>
      <c r="E1342" s="82" t="s">
        <v>1253</v>
      </c>
      <c r="F1342" s="70">
        <f>VLOOKUP(VLOOKUP(A1342,'Личные данные'!A:V,6,0),'Личные данные'!$X$17:$AA$21,2,0)</f>
        <v>550</v>
      </c>
    </row>
    <row r="1343" spans="1:6" ht="15.75" customHeight="1" x14ac:dyDescent="0.25">
      <c r="A1343" s="62" t="s">
        <v>1140</v>
      </c>
      <c r="B1343" s="62">
        <v>25</v>
      </c>
      <c r="C1343" s="62" t="s">
        <v>1278</v>
      </c>
      <c r="D1343" s="82" t="s">
        <v>1256</v>
      </c>
      <c r="E1343" s="82" t="s">
        <v>1248</v>
      </c>
      <c r="F1343" s="70">
        <f>VLOOKUP(VLOOKUP(A1343,'Личные данные'!A:V,6,0),'Личные данные'!$X$17:$AA$21,2,0)</f>
        <v>440</v>
      </c>
    </row>
    <row r="1344" spans="1:6" ht="15.75" customHeight="1" x14ac:dyDescent="0.25">
      <c r="A1344" s="62" t="s">
        <v>1141</v>
      </c>
      <c r="B1344" s="62">
        <v>25</v>
      </c>
      <c r="C1344" s="62" t="s">
        <v>1278</v>
      </c>
      <c r="D1344" s="82" t="s">
        <v>1260</v>
      </c>
      <c r="E1344" s="82" t="s">
        <v>1250</v>
      </c>
      <c r="F1344" s="70">
        <f>VLOOKUP(VLOOKUP(A1344,'Личные данные'!A:V,6,0),'Личные данные'!$X$17:$AA$21,2,0)</f>
        <v>770</v>
      </c>
    </row>
    <row r="1345" spans="1:6" ht="15.75" customHeight="1" x14ac:dyDescent="0.25">
      <c r="A1345" s="62" t="s">
        <v>1142</v>
      </c>
      <c r="B1345" s="62">
        <v>25</v>
      </c>
      <c r="C1345" s="62" t="s">
        <v>1278</v>
      </c>
      <c r="D1345" s="82" t="s">
        <v>1260</v>
      </c>
      <c r="E1345" s="82" t="s">
        <v>1253</v>
      </c>
      <c r="F1345" s="70">
        <f>VLOOKUP(VLOOKUP(A1345,'Личные данные'!A:V,6,0),'Личные данные'!$X$17:$AA$21,2,0)</f>
        <v>550</v>
      </c>
    </row>
    <row r="1346" spans="1:6" ht="15.75" customHeight="1" x14ac:dyDescent="0.25">
      <c r="A1346" s="62" t="s">
        <v>1143</v>
      </c>
      <c r="B1346" s="62">
        <v>25</v>
      </c>
      <c r="C1346" s="62" t="s">
        <v>1278</v>
      </c>
      <c r="D1346" s="82" t="s">
        <v>1243</v>
      </c>
      <c r="E1346" s="82" t="s">
        <v>1253</v>
      </c>
      <c r="F1346" s="70">
        <f>VLOOKUP(VLOOKUP(A1346,'Личные данные'!A:V,6,0),'Личные данные'!$X$17:$AA$21,2,0)</f>
        <v>550</v>
      </c>
    </row>
    <row r="1347" spans="1:6" ht="15.75" customHeight="1" x14ac:dyDescent="0.25">
      <c r="A1347" s="62" t="s">
        <v>1144</v>
      </c>
      <c r="B1347" s="62">
        <v>25</v>
      </c>
      <c r="C1347" s="62" t="s">
        <v>1278</v>
      </c>
      <c r="D1347" s="82" t="s">
        <v>1257</v>
      </c>
      <c r="E1347" s="82" t="s">
        <v>1248</v>
      </c>
      <c r="F1347" s="70">
        <f>VLOOKUP(VLOOKUP(A1347,'Личные данные'!A:V,6,0),'Личные данные'!$X$17:$AA$21,2,0)</f>
        <v>440</v>
      </c>
    </row>
    <row r="1348" spans="1:6" ht="15.75" customHeight="1" x14ac:dyDescent="0.25">
      <c r="A1348" s="62" t="s">
        <v>1145</v>
      </c>
      <c r="B1348" s="62">
        <v>25</v>
      </c>
      <c r="C1348" s="62" t="s">
        <v>1278</v>
      </c>
      <c r="D1348" s="82" t="s">
        <v>1258</v>
      </c>
      <c r="E1348" s="82" t="s">
        <v>1248</v>
      </c>
      <c r="F1348" s="70">
        <f>VLOOKUP(VLOOKUP(A1348,'Личные данные'!A:V,6,0),'Личные данные'!$X$17:$AA$21,2,0)</f>
        <v>440</v>
      </c>
    </row>
    <row r="1349" spans="1:6" ht="15.75" customHeight="1" x14ac:dyDescent="0.25">
      <c r="A1349" s="62" t="s">
        <v>1146</v>
      </c>
      <c r="B1349" s="62">
        <v>25</v>
      </c>
      <c r="C1349" s="62" t="s">
        <v>1278</v>
      </c>
      <c r="D1349" s="82" t="s">
        <v>1243</v>
      </c>
      <c r="E1349" s="82" t="s">
        <v>1250</v>
      </c>
      <c r="F1349" s="70">
        <f>VLOOKUP(VLOOKUP(A1349,'Личные данные'!A:V,6,0),'Личные данные'!$X$17:$AA$21,2,0)</f>
        <v>330</v>
      </c>
    </row>
    <row r="1350" spans="1:6" ht="15.75" customHeight="1" x14ac:dyDescent="0.25">
      <c r="A1350" s="62" t="s">
        <v>1147</v>
      </c>
      <c r="B1350" s="62">
        <v>25</v>
      </c>
      <c r="C1350" s="62" t="s">
        <v>1278</v>
      </c>
      <c r="D1350" s="82" t="s">
        <v>1256</v>
      </c>
      <c r="E1350" s="82" t="s">
        <v>1255</v>
      </c>
      <c r="F1350" s="70">
        <f>VLOOKUP(VLOOKUP(A1350,'Личные данные'!A:V,6,0),'Личные данные'!$X$17:$AA$21,2,0)</f>
        <v>550</v>
      </c>
    </row>
    <row r="1351" spans="1:6" ht="15.75" customHeight="1" x14ac:dyDescent="0.25">
      <c r="A1351" s="62" t="s">
        <v>1148</v>
      </c>
      <c r="B1351" s="62">
        <v>25</v>
      </c>
      <c r="C1351" s="62" t="s">
        <v>1278</v>
      </c>
      <c r="D1351" s="82" t="s">
        <v>1243</v>
      </c>
      <c r="E1351" s="82" t="s">
        <v>1244</v>
      </c>
      <c r="F1351" s="70">
        <f>VLOOKUP(VLOOKUP(A1351,'Личные данные'!A:V,6,0),'Личные данные'!$X$17:$AA$21,2,0)</f>
        <v>220</v>
      </c>
    </row>
    <row r="1352" spans="1:6" ht="15.75" customHeight="1" x14ac:dyDescent="0.25">
      <c r="A1352" s="62" t="s">
        <v>1149</v>
      </c>
      <c r="B1352" s="62">
        <v>25</v>
      </c>
      <c r="C1352" s="62" t="s">
        <v>1278</v>
      </c>
      <c r="D1352" s="82" t="s">
        <v>1256</v>
      </c>
      <c r="E1352" s="82" t="s">
        <v>1248</v>
      </c>
      <c r="F1352" s="70">
        <f>VLOOKUP(VLOOKUP(A1352,'Личные данные'!A:V,6,0),'Личные данные'!$X$17:$AA$21,2,0)</f>
        <v>440</v>
      </c>
    </row>
    <row r="1353" spans="1:6" ht="15.75" customHeight="1" x14ac:dyDescent="0.25">
      <c r="A1353" s="62" t="s">
        <v>1150</v>
      </c>
      <c r="B1353" s="62">
        <v>25</v>
      </c>
      <c r="C1353" s="62" t="s">
        <v>1278</v>
      </c>
      <c r="D1353" s="82" t="s">
        <v>1243</v>
      </c>
      <c r="E1353" s="82" t="s">
        <v>1255</v>
      </c>
      <c r="F1353" s="70">
        <f>VLOOKUP(VLOOKUP(A1353,'Личные данные'!A:V,6,0),'Личные данные'!$X$17:$AA$21,2,0)</f>
        <v>550</v>
      </c>
    </row>
    <row r="1354" spans="1:6" ht="15.75" customHeight="1" x14ac:dyDescent="0.25">
      <c r="A1354" s="62" t="s">
        <v>1151</v>
      </c>
      <c r="B1354" s="62">
        <v>25</v>
      </c>
      <c r="C1354" s="62" t="s">
        <v>1278</v>
      </c>
      <c r="D1354" s="82" t="s">
        <v>1243</v>
      </c>
      <c r="E1354" s="82" t="s">
        <v>1250</v>
      </c>
      <c r="F1354" s="70">
        <f>VLOOKUP(VLOOKUP(A1354,'Личные данные'!A:V,6,0),'Личные данные'!$X$17:$AA$21,2,0)</f>
        <v>330</v>
      </c>
    </row>
    <row r="1355" spans="1:6" ht="15.75" customHeight="1" x14ac:dyDescent="0.25">
      <c r="A1355" s="62" t="s">
        <v>1152</v>
      </c>
      <c r="B1355" s="62">
        <v>25</v>
      </c>
      <c r="C1355" s="62" t="s">
        <v>1278</v>
      </c>
      <c r="D1355" s="82" t="s">
        <v>1243</v>
      </c>
      <c r="E1355" s="82" t="s">
        <v>1248</v>
      </c>
      <c r="F1355" s="70">
        <f>VLOOKUP(VLOOKUP(A1355,'Личные данные'!A:V,6,0),'Личные данные'!$X$17:$AA$21,2,0)</f>
        <v>440</v>
      </c>
    </row>
    <row r="1356" spans="1:6" ht="15.75" customHeight="1" x14ac:dyDescent="0.25">
      <c r="A1356" s="62" t="s">
        <v>1153</v>
      </c>
      <c r="B1356" s="62">
        <v>25</v>
      </c>
      <c r="C1356" s="62" t="s">
        <v>1278</v>
      </c>
      <c r="D1356" s="82" t="s">
        <v>1243</v>
      </c>
      <c r="E1356" s="82" t="s">
        <v>1248</v>
      </c>
      <c r="F1356" s="70">
        <f>VLOOKUP(VLOOKUP(A1356,'Личные данные'!A:V,6,0),'Личные данные'!$X$17:$AA$21,2,0)</f>
        <v>440</v>
      </c>
    </row>
    <row r="1357" spans="1:6" ht="15.75" customHeight="1" x14ac:dyDescent="0.25">
      <c r="A1357" s="62" t="s">
        <v>1154</v>
      </c>
      <c r="B1357" s="62">
        <v>25</v>
      </c>
      <c r="C1357" s="62" t="s">
        <v>1278</v>
      </c>
      <c r="D1357" s="82" t="s">
        <v>1243</v>
      </c>
      <c r="E1357" s="82" t="s">
        <v>1253</v>
      </c>
      <c r="F1357" s="70">
        <f>VLOOKUP(VLOOKUP(A1357,'Личные данные'!A:V,6,0),'Личные данные'!$X$17:$AA$21,2,0)</f>
        <v>330</v>
      </c>
    </row>
    <row r="1358" spans="1:6" ht="15.75" customHeight="1" x14ac:dyDescent="0.25">
      <c r="A1358" s="62" t="s">
        <v>1155</v>
      </c>
      <c r="B1358" s="62">
        <v>25</v>
      </c>
      <c r="C1358" s="62" t="s">
        <v>1278</v>
      </c>
      <c r="D1358" s="82" t="s">
        <v>1260</v>
      </c>
      <c r="E1358" s="82" t="s">
        <v>1253</v>
      </c>
      <c r="F1358" s="70">
        <f>VLOOKUP(VLOOKUP(A1358,'Личные данные'!A:V,6,0),'Личные данные'!$X$17:$AA$21,2,0)</f>
        <v>550</v>
      </c>
    </row>
    <row r="1359" spans="1:6" ht="15.75" customHeight="1" x14ac:dyDescent="0.25">
      <c r="A1359" s="62" t="s">
        <v>1156</v>
      </c>
      <c r="B1359" s="62">
        <v>25</v>
      </c>
      <c r="C1359" s="62" t="s">
        <v>1278</v>
      </c>
      <c r="D1359" s="82" t="s">
        <v>1258</v>
      </c>
      <c r="E1359" s="82" t="s">
        <v>1253</v>
      </c>
      <c r="F1359" s="70">
        <f>VLOOKUP(VLOOKUP(A1359,'Личные данные'!A:V,6,0),'Личные данные'!$X$17:$AA$21,2,0)</f>
        <v>440</v>
      </c>
    </row>
    <row r="1360" spans="1:6" ht="15.75" customHeight="1" x14ac:dyDescent="0.25">
      <c r="A1360" s="62" t="s">
        <v>1157</v>
      </c>
      <c r="B1360" s="62">
        <v>25</v>
      </c>
      <c r="C1360" s="62" t="s">
        <v>1278</v>
      </c>
      <c r="D1360" s="82" t="s">
        <v>1243</v>
      </c>
      <c r="E1360" s="82" t="s">
        <v>1250</v>
      </c>
      <c r="F1360" s="70">
        <f>VLOOKUP(VLOOKUP(A1360,'Личные данные'!A:V,6,0),'Личные данные'!$X$17:$AA$21,2,0)</f>
        <v>330</v>
      </c>
    </row>
    <row r="1361" spans="1:6" ht="15.75" customHeight="1" x14ac:dyDescent="0.25">
      <c r="A1361" s="62" t="s">
        <v>1158</v>
      </c>
      <c r="B1361" s="62">
        <v>25</v>
      </c>
      <c r="C1361" s="62" t="s">
        <v>1278</v>
      </c>
      <c r="D1361" s="82" t="s">
        <v>1257</v>
      </c>
      <c r="E1361" s="82" t="s">
        <v>1244</v>
      </c>
      <c r="F1361" s="70">
        <f>VLOOKUP(VLOOKUP(A1361,'Личные данные'!A:V,6,0),'Личные данные'!$X$17:$AA$21,2,0)</f>
        <v>440</v>
      </c>
    </row>
    <row r="1362" spans="1:6" ht="15.75" customHeight="1" x14ac:dyDescent="0.25">
      <c r="A1362" s="62" t="s">
        <v>1159</v>
      </c>
      <c r="B1362" s="62">
        <v>25</v>
      </c>
      <c r="C1362" s="62" t="s">
        <v>1278</v>
      </c>
      <c r="D1362" s="82" t="s">
        <v>1256</v>
      </c>
      <c r="E1362" s="82" t="s">
        <v>1253</v>
      </c>
      <c r="F1362" s="70">
        <f>VLOOKUP(VLOOKUP(A1362,'Личные данные'!A:V,6,0),'Личные данные'!$X$17:$AA$21,2,0)</f>
        <v>550</v>
      </c>
    </row>
    <row r="1363" spans="1:6" ht="15.75" customHeight="1" x14ac:dyDescent="0.25">
      <c r="A1363" s="62" t="s">
        <v>1160</v>
      </c>
      <c r="B1363" s="62">
        <v>25</v>
      </c>
      <c r="C1363" s="62" t="s">
        <v>1278</v>
      </c>
      <c r="D1363" s="82" t="s">
        <v>1257</v>
      </c>
      <c r="E1363" s="82" t="s">
        <v>1244</v>
      </c>
      <c r="F1363" s="70">
        <f>VLOOKUP(VLOOKUP(A1363,'Личные данные'!A:V,6,0),'Личные данные'!$X$17:$AA$21,2,0)</f>
        <v>440</v>
      </c>
    </row>
    <row r="1364" spans="1:6" ht="15.75" customHeight="1" x14ac:dyDescent="0.25">
      <c r="A1364" s="62" t="s">
        <v>1161</v>
      </c>
      <c r="B1364" s="62">
        <v>25</v>
      </c>
      <c r="C1364" s="62" t="s">
        <v>1278</v>
      </c>
      <c r="D1364" s="82" t="s">
        <v>1243</v>
      </c>
      <c r="E1364" s="82" t="s">
        <v>1248</v>
      </c>
      <c r="F1364" s="70">
        <f>VLOOKUP(VLOOKUP(A1364,'Личные данные'!A:V,6,0),'Личные данные'!$X$17:$AA$21,2,0)</f>
        <v>330</v>
      </c>
    </row>
    <row r="1365" spans="1:6" ht="15.75" customHeight="1" x14ac:dyDescent="0.25">
      <c r="A1365" s="62" t="s">
        <v>1162</v>
      </c>
      <c r="B1365" s="62">
        <v>25</v>
      </c>
      <c r="C1365" s="62" t="s">
        <v>1278</v>
      </c>
      <c r="D1365" s="82" t="s">
        <v>1243</v>
      </c>
      <c r="E1365" s="82" t="s">
        <v>1244</v>
      </c>
      <c r="F1365" s="70">
        <f>VLOOKUP(VLOOKUP(A1365,'Личные данные'!A:V,6,0),'Личные данные'!$X$17:$AA$21,2,0)</f>
        <v>220</v>
      </c>
    </row>
    <row r="1366" spans="1:6" ht="15.75" customHeight="1" x14ac:dyDescent="0.25">
      <c r="A1366" s="62" t="s">
        <v>1163</v>
      </c>
      <c r="B1366" s="62">
        <v>25</v>
      </c>
      <c r="C1366" s="62" t="s">
        <v>1278</v>
      </c>
      <c r="D1366" s="82" t="s">
        <v>1258</v>
      </c>
      <c r="E1366" s="82" t="s">
        <v>1250</v>
      </c>
      <c r="F1366" s="70">
        <f>VLOOKUP(VLOOKUP(A1366,'Личные данные'!A:V,6,0),'Личные данные'!$X$17:$AA$21,2,0)</f>
        <v>330</v>
      </c>
    </row>
    <row r="1367" spans="1:6" ht="15.75" customHeight="1" x14ac:dyDescent="0.25">
      <c r="A1367" s="62" t="s">
        <v>1164</v>
      </c>
      <c r="B1367" s="62">
        <v>25</v>
      </c>
      <c r="C1367" s="62" t="s">
        <v>1278</v>
      </c>
      <c r="D1367" s="82" t="s">
        <v>1260</v>
      </c>
      <c r="E1367" s="82" t="s">
        <v>1250</v>
      </c>
      <c r="F1367" s="70">
        <f>VLOOKUP(VLOOKUP(A1367,'Личные данные'!A:V,6,0),'Личные данные'!$X$17:$AA$21,2,0)</f>
        <v>770</v>
      </c>
    </row>
    <row r="1368" spans="1:6" ht="15.75" customHeight="1" x14ac:dyDescent="0.25">
      <c r="A1368" s="62" t="s">
        <v>1165</v>
      </c>
      <c r="B1368" s="62">
        <v>25</v>
      </c>
      <c r="C1368" s="62" t="s">
        <v>1278</v>
      </c>
      <c r="D1368" s="82" t="s">
        <v>1257</v>
      </c>
      <c r="E1368" s="82" t="s">
        <v>1253</v>
      </c>
      <c r="F1368" s="70">
        <f>VLOOKUP(VLOOKUP(A1368,'Личные данные'!A:V,6,0),'Личные данные'!$X$17:$AA$21,2,0)</f>
        <v>440</v>
      </c>
    </row>
    <row r="1369" spans="1:6" ht="15.75" customHeight="1" x14ac:dyDescent="0.25">
      <c r="A1369" s="62" t="s">
        <v>1166</v>
      </c>
      <c r="B1369" s="62">
        <v>25</v>
      </c>
      <c r="C1369" s="62" t="s">
        <v>1278</v>
      </c>
      <c r="D1369" s="82" t="s">
        <v>1243</v>
      </c>
      <c r="E1369" s="82" t="s">
        <v>1250</v>
      </c>
      <c r="F1369" s="70">
        <f>VLOOKUP(VLOOKUP(A1369,'Личные данные'!A:V,6,0),'Личные данные'!$X$17:$AA$21,2,0)</f>
        <v>330</v>
      </c>
    </row>
    <row r="1370" spans="1:6" ht="15.75" customHeight="1" x14ac:dyDescent="0.25">
      <c r="A1370" s="62" t="s">
        <v>1167</v>
      </c>
      <c r="B1370" s="62">
        <v>25</v>
      </c>
      <c r="C1370" s="62" t="s">
        <v>1278</v>
      </c>
      <c r="D1370" s="82" t="s">
        <v>1243</v>
      </c>
      <c r="E1370" s="82" t="s">
        <v>1253</v>
      </c>
      <c r="F1370" s="70">
        <f>VLOOKUP(VLOOKUP(A1370,'Личные данные'!A:V,6,0),'Личные данные'!$X$17:$AA$21,2,0)</f>
        <v>440</v>
      </c>
    </row>
    <row r="1371" spans="1:6" ht="15.75" customHeight="1" x14ac:dyDescent="0.25">
      <c r="A1371" s="62" t="s">
        <v>1168</v>
      </c>
      <c r="B1371" s="62">
        <v>25</v>
      </c>
      <c r="C1371" s="62" t="s">
        <v>1278</v>
      </c>
      <c r="D1371" s="82" t="s">
        <v>1258</v>
      </c>
      <c r="E1371" s="82" t="s">
        <v>1250</v>
      </c>
      <c r="F1371" s="70">
        <f>VLOOKUP(VLOOKUP(A1371,'Личные данные'!A:V,6,0),'Личные данные'!$X$17:$AA$21,2,0)</f>
        <v>330</v>
      </c>
    </row>
    <row r="1372" spans="1:6" ht="15.75" customHeight="1" x14ac:dyDescent="0.25">
      <c r="A1372" s="62" t="s">
        <v>1169</v>
      </c>
      <c r="B1372" s="62">
        <v>25</v>
      </c>
      <c r="C1372" s="62" t="s">
        <v>1278</v>
      </c>
      <c r="D1372" s="82" t="s">
        <v>1260</v>
      </c>
      <c r="E1372" s="82" t="s">
        <v>1253</v>
      </c>
      <c r="F1372" s="70">
        <f>VLOOKUP(VLOOKUP(A1372,'Личные данные'!A:V,6,0),'Личные данные'!$X$17:$AA$21,2,0)</f>
        <v>550</v>
      </c>
    </row>
    <row r="1373" spans="1:6" ht="15.75" customHeight="1" x14ac:dyDescent="0.25">
      <c r="A1373" s="62" t="s">
        <v>1170</v>
      </c>
      <c r="B1373" s="62">
        <v>25</v>
      </c>
      <c r="C1373" s="62" t="s">
        <v>1278</v>
      </c>
      <c r="D1373" s="82" t="s">
        <v>1258</v>
      </c>
      <c r="E1373" s="82" t="s">
        <v>1253</v>
      </c>
      <c r="F1373" s="70">
        <f>VLOOKUP(VLOOKUP(A1373,'Личные данные'!A:V,6,0),'Личные данные'!$X$17:$AA$21,2,0)</f>
        <v>330</v>
      </c>
    </row>
    <row r="1374" spans="1:6" ht="15.75" customHeight="1" x14ac:dyDescent="0.25">
      <c r="A1374" s="62" t="s">
        <v>1171</v>
      </c>
      <c r="B1374" s="62">
        <v>25</v>
      </c>
      <c r="C1374" s="62" t="s">
        <v>1278</v>
      </c>
      <c r="D1374" s="82" t="s">
        <v>1243</v>
      </c>
      <c r="E1374" s="82" t="s">
        <v>1255</v>
      </c>
      <c r="F1374" s="70">
        <f>VLOOKUP(VLOOKUP(A1374,'Личные данные'!A:V,6,0),'Личные данные'!$X$17:$AA$21,2,0)</f>
        <v>550</v>
      </c>
    </row>
    <row r="1375" spans="1:6" ht="15.75" customHeight="1" x14ac:dyDescent="0.25">
      <c r="A1375" s="62" t="s">
        <v>1172</v>
      </c>
      <c r="B1375" s="62">
        <v>25</v>
      </c>
      <c r="C1375" s="62" t="s">
        <v>1278</v>
      </c>
      <c r="D1375" s="82" t="s">
        <v>1260</v>
      </c>
      <c r="E1375" s="82" t="s">
        <v>1244</v>
      </c>
      <c r="F1375" s="70">
        <f>VLOOKUP(VLOOKUP(A1375,'Личные данные'!A:V,6,0),'Личные данные'!$X$17:$AA$21,2,0)</f>
        <v>550</v>
      </c>
    </row>
    <row r="1376" spans="1:6" ht="15.75" customHeight="1" x14ac:dyDescent="0.25">
      <c r="A1376" s="62" t="s">
        <v>1173</v>
      </c>
      <c r="B1376" s="62">
        <v>25</v>
      </c>
      <c r="C1376" s="62" t="s">
        <v>1278</v>
      </c>
      <c r="D1376" s="82" t="s">
        <v>1260</v>
      </c>
      <c r="E1376" s="82" t="s">
        <v>1255</v>
      </c>
      <c r="F1376" s="70">
        <f>VLOOKUP(VLOOKUP(A1376,'Личные данные'!A:V,6,0),'Личные данные'!$X$17:$AA$21,2,0)</f>
        <v>770</v>
      </c>
    </row>
    <row r="1377" spans="1:6" ht="15.75" customHeight="1" x14ac:dyDescent="0.25">
      <c r="A1377" s="62" t="s">
        <v>1174</v>
      </c>
      <c r="B1377" s="62">
        <v>25</v>
      </c>
      <c r="C1377" s="62" t="s">
        <v>1278</v>
      </c>
      <c r="D1377" s="82" t="s">
        <v>1243</v>
      </c>
      <c r="E1377" s="82" t="s">
        <v>1250</v>
      </c>
      <c r="F1377" s="70">
        <f>VLOOKUP(VLOOKUP(A1377,'Личные данные'!A:V,6,0),'Личные данные'!$X$17:$AA$21,2,0)</f>
        <v>330</v>
      </c>
    </row>
    <row r="1378" spans="1:6" ht="15.75" customHeight="1" x14ac:dyDescent="0.25">
      <c r="A1378" s="62" t="s">
        <v>1175</v>
      </c>
      <c r="B1378" s="62">
        <v>25</v>
      </c>
      <c r="C1378" s="62" t="s">
        <v>1278</v>
      </c>
      <c r="D1378" s="82" t="s">
        <v>1258</v>
      </c>
      <c r="E1378" s="82" t="s">
        <v>1250</v>
      </c>
      <c r="F1378" s="70">
        <f>VLOOKUP(VLOOKUP(A1378,'Личные данные'!A:V,6,0),'Личные данные'!$X$17:$AA$21,2,0)</f>
        <v>440</v>
      </c>
    </row>
    <row r="1379" spans="1:6" ht="15.75" customHeight="1" x14ac:dyDescent="0.25">
      <c r="A1379" s="62" t="s">
        <v>1176</v>
      </c>
      <c r="B1379" s="62">
        <v>25</v>
      </c>
      <c r="C1379" s="62" t="s">
        <v>1278</v>
      </c>
      <c r="D1379" s="82" t="s">
        <v>1260</v>
      </c>
      <c r="E1379" s="82" t="s">
        <v>1244</v>
      </c>
      <c r="F1379" s="70">
        <f>VLOOKUP(VLOOKUP(A1379,'Личные данные'!A:V,6,0),'Личные данные'!$X$17:$AA$21,2,0)</f>
        <v>770</v>
      </c>
    </row>
    <row r="1380" spans="1:6" ht="15.75" customHeight="1" x14ac:dyDescent="0.25">
      <c r="A1380" s="62" t="s">
        <v>1177</v>
      </c>
      <c r="B1380" s="62">
        <v>25</v>
      </c>
      <c r="C1380" s="62" t="s">
        <v>1278</v>
      </c>
      <c r="D1380" s="82" t="s">
        <v>1256</v>
      </c>
      <c r="E1380" s="82" t="s">
        <v>1250</v>
      </c>
      <c r="F1380" s="70">
        <f>VLOOKUP(VLOOKUP(A1380,'Личные данные'!A:V,6,0),'Личные данные'!$X$17:$AA$21,2,0)</f>
        <v>550</v>
      </c>
    </row>
    <row r="1381" spans="1:6" ht="15.75" customHeight="1" x14ac:dyDescent="0.25">
      <c r="A1381" s="62" t="s">
        <v>1178</v>
      </c>
      <c r="B1381" s="62">
        <v>25</v>
      </c>
      <c r="C1381" s="62" t="s">
        <v>1278</v>
      </c>
      <c r="D1381" s="82" t="s">
        <v>1243</v>
      </c>
      <c r="E1381" s="82" t="s">
        <v>1253</v>
      </c>
      <c r="F1381" s="70">
        <f>VLOOKUP(VLOOKUP(A1381,'Личные данные'!A:V,6,0),'Личные данные'!$X$17:$AA$21,2,0)</f>
        <v>330</v>
      </c>
    </row>
    <row r="1382" spans="1:6" ht="15.75" customHeight="1" x14ac:dyDescent="0.25">
      <c r="A1382" s="62" t="s">
        <v>1179</v>
      </c>
      <c r="B1382" s="62">
        <v>25</v>
      </c>
      <c r="C1382" s="62" t="s">
        <v>1278</v>
      </c>
      <c r="D1382" s="82" t="s">
        <v>1243</v>
      </c>
      <c r="E1382" s="82" t="s">
        <v>1244</v>
      </c>
      <c r="F1382" s="70">
        <f>VLOOKUP(VLOOKUP(A1382,'Личные данные'!A:V,6,0),'Личные данные'!$X$17:$AA$21,2,0)</f>
        <v>220</v>
      </c>
    </row>
    <row r="1383" spans="1:6" ht="15.75" customHeight="1" x14ac:dyDescent="0.25">
      <c r="A1383" s="62" t="s">
        <v>1180</v>
      </c>
      <c r="B1383" s="62">
        <v>25</v>
      </c>
      <c r="C1383" s="62" t="s">
        <v>1278</v>
      </c>
      <c r="D1383" s="82" t="s">
        <v>1257</v>
      </c>
      <c r="E1383" s="82" t="s">
        <v>1255</v>
      </c>
      <c r="F1383" s="70">
        <f>VLOOKUP(VLOOKUP(A1383,'Личные данные'!A:V,6,0),'Личные данные'!$X$17:$AA$21,2,0)</f>
        <v>440</v>
      </c>
    </row>
    <row r="1384" spans="1:6" ht="15.75" customHeight="1" x14ac:dyDescent="0.25">
      <c r="A1384" s="62" t="s">
        <v>1181</v>
      </c>
      <c r="B1384" s="62">
        <v>25</v>
      </c>
      <c r="C1384" s="62" t="s">
        <v>1278</v>
      </c>
      <c r="D1384" s="82" t="s">
        <v>1256</v>
      </c>
      <c r="E1384" s="82" t="s">
        <v>1253</v>
      </c>
      <c r="F1384" s="70">
        <f>VLOOKUP(VLOOKUP(A1384,'Личные данные'!A:V,6,0),'Личные данные'!$X$17:$AA$21,2,0)</f>
        <v>550</v>
      </c>
    </row>
    <row r="1385" spans="1:6" ht="15.75" customHeight="1" x14ac:dyDescent="0.25">
      <c r="A1385" s="62" t="s">
        <v>1182</v>
      </c>
      <c r="B1385" s="62">
        <v>25</v>
      </c>
      <c r="C1385" s="62" t="s">
        <v>1278</v>
      </c>
      <c r="D1385" s="82" t="s">
        <v>1256</v>
      </c>
      <c r="E1385" s="82" t="s">
        <v>1244</v>
      </c>
      <c r="F1385" s="70">
        <f>VLOOKUP(VLOOKUP(A1385,'Личные данные'!A:V,6,0),'Личные данные'!$X$17:$AA$21,2,0)</f>
        <v>440</v>
      </c>
    </row>
    <row r="1386" spans="1:6" ht="15.75" customHeight="1" x14ac:dyDescent="0.25">
      <c r="A1386" s="62" t="s">
        <v>1183</v>
      </c>
      <c r="B1386" s="62">
        <v>25</v>
      </c>
      <c r="C1386" s="62" t="s">
        <v>1278</v>
      </c>
      <c r="D1386" s="82" t="s">
        <v>1258</v>
      </c>
      <c r="E1386" s="82" t="s">
        <v>1244</v>
      </c>
      <c r="F1386" s="70">
        <f>VLOOKUP(VLOOKUP(A1386,'Личные данные'!A:V,6,0),'Личные данные'!$X$17:$AA$21,2,0)</f>
        <v>220</v>
      </c>
    </row>
    <row r="1387" spans="1:6" ht="15.75" customHeight="1" x14ac:dyDescent="0.25">
      <c r="A1387" s="62" t="s">
        <v>1184</v>
      </c>
      <c r="B1387" s="62">
        <v>25</v>
      </c>
      <c r="C1387" s="62" t="s">
        <v>1278</v>
      </c>
      <c r="D1387" s="82" t="s">
        <v>1243</v>
      </c>
      <c r="E1387" s="82" t="s">
        <v>1253</v>
      </c>
      <c r="F1387" s="70">
        <f>VLOOKUP(VLOOKUP(A1387,'Личные данные'!A:V,6,0),'Личные данные'!$X$17:$AA$21,2,0)</f>
        <v>330</v>
      </c>
    </row>
    <row r="1388" spans="1:6" ht="15.75" customHeight="1" x14ac:dyDescent="0.25">
      <c r="A1388" s="62" t="s">
        <v>1185</v>
      </c>
      <c r="B1388" s="62">
        <v>25</v>
      </c>
      <c r="C1388" s="62" t="s">
        <v>1278</v>
      </c>
      <c r="D1388" s="82" t="s">
        <v>1257</v>
      </c>
      <c r="E1388" s="82" t="s">
        <v>1253</v>
      </c>
      <c r="F1388" s="70">
        <f>VLOOKUP(VLOOKUP(A1388,'Личные данные'!A:V,6,0),'Личные данные'!$X$17:$AA$21,2,0)</f>
        <v>550</v>
      </c>
    </row>
    <row r="1389" spans="1:6" ht="15.75" customHeight="1" x14ac:dyDescent="0.25">
      <c r="A1389" s="62" t="s">
        <v>1186</v>
      </c>
      <c r="B1389" s="62">
        <v>25</v>
      </c>
      <c r="C1389" s="62" t="s">
        <v>1278</v>
      </c>
      <c r="D1389" s="82" t="s">
        <v>1256</v>
      </c>
      <c r="E1389" s="82" t="s">
        <v>1244</v>
      </c>
      <c r="F1389" s="70">
        <f>VLOOKUP(VLOOKUP(A1389,'Личные данные'!A:V,6,0),'Личные данные'!$X$17:$AA$21,2,0)</f>
        <v>440</v>
      </c>
    </row>
    <row r="1390" spans="1:6" ht="15.75" customHeight="1" x14ac:dyDescent="0.25">
      <c r="A1390" s="62" t="s">
        <v>1187</v>
      </c>
      <c r="B1390" s="62">
        <v>25</v>
      </c>
      <c r="C1390" s="62" t="s">
        <v>1278</v>
      </c>
      <c r="D1390" s="82" t="s">
        <v>1258</v>
      </c>
      <c r="E1390" s="82" t="s">
        <v>1250</v>
      </c>
      <c r="F1390" s="70">
        <f>VLOOKUP(VLOOKUP(A1390,'Личные данные'!A:V,6,0),'Личные данные'!$X$17:$AA$21,2,0)</f>
        <v>330</v>
      </c>
    </row>
    <row r="1391" spans="1:6" ht="15.75" customHeight="1" x14ac:dyDescent="0.25">
      <c r="A1391" s="62" t="s">
        <v>1188</v>
      </c>
      <c r="B1391" s="62">
        <v>25</v>
      </c>
      <c r="C1391" s="62" t="s">
        <v>1278</v>
      </c>
      <c r="D1391" s="82" t="s">
        <v>1258</v>
      </c>
      <c r="E1391" s="82" t="s">
        <v>1244</v>
      </c>
      <c r="F1391" s="70">
        <f>VLOOKUP(VLOOKUP(A1391,'Личные данные'!A:V,6,0),'Личные данные'!$X$17:$AA$21,2,0)</f>
        <v>220</v>
      </c>
    </row>
    <row r="1392" spans="1:6" ht="15.75" customHeight="1" x14ac:dyDescent="0.25">
      <c r="A1392" s="62" t="s">
        <v>1189</v>
      </c>
      <c r="B1392" s="62">
        <v>25</v>
      </c>
      <c r="C1392" s="62" t="s">
        <v>1278</v>
      </c>
      <c r="D1392" s="82" t="s">
        <v>1258</v>
      </c>
      <c r="E1392" s="82" t="s">
        <v>1244</v>
      </c>
      <c r="F1392" s="70">
        <f>VLOOKUP(VLOOKUP(A1392,'Личные данные'!A:V,6,0),'Личные данные'!$X$17:$AA$21,2,0)</f>
        <v>440</v>
      </c>
    </row>
    <row r="1393" spans="1:6" ht="15.75" customHeight="1" x14ac:dyDescent="0.25">
      <c r="A1393" s="62" t="s">
        <v>1190</v>
      </c>
      <c r="B1393" s="62">
        <v>25</v>
      </c>
      <c r="C1393" s="62" t="s">
        <v>1278</v>
      </c>
      <c r="D1393" s="82" t="s">
        <v>1243</v>
      </c>
      <c r="E1393" s="82" t="s">
        <v>1244</v>
      </c>
      <c r="F1393" s="70">
        <f>VLOOKUP(VLOOKUP(A1393,'Личные данные'!A:V,6,0),'Личные данные'!$X$17:$AA$21,2,0)</f>
        <v>440</v>
      </c>
    </row>
    <row r="1394" spans="1:6" ht="15.75" customHeight="1" x14ac:dyDescent="0.25">
      <c r="A1394" s="62" t="s">
        <v>1191</v>
      </c>
      <c r="B1394" s="62">
        <v>25</v>
      </c>
      <c r="C1394" s="62" t="s">
        <v>1278</v>
      </c>
      <c r="D1394" s="82" t="s">
        <v>1257</v>
      </c>
      <c r="E1394" s="82" t="s">
        <v>1248</v>
      </c>
      <c r="F1394" s="70">
        <f>VLOOKUP(VLOOKUP(A1394,'Личные данные'!A:V,6,0),'Личные данные'!$X$17:$AA$21,2,0)</f>
        <v>440</v>
      </c>
    </row>
    <row r="1395" spans="1:6" ht="15.75" customHeight="1" x14ac:dyDescent="0.25">
      <c r="A1395" s="62" t="s">
        <v>1192</v>
      </c>
      <c r="B1395" s="62">
        <v>25</v>
      </c>
      <c r="C1395" s="62" t="s">
        <v>1278</v>
      </c>
      <c r="D1395" s="82" t="s">
        <v>1243</v>
      </c>
      <c r="E1395" s="82" t="s">
        <v>1250</v>
      </c>
      <c r="F1395" s="70">
        <f>VLOOKUP(VLOOKUP(A1395,'Личные данные'!A:V,6,0),'Личные данные'!$X$17:$AA$21,2,0)</f>
        <v>330</v>
      </c>
    </row>
    <row r="1396" spans="1:6" ht="15.75" customHeight="1" x14ac:dyDescent="0.25">
      <c r="A1396" s="62" t="s">
        <v>1193</v>
      </c>
      <c r="B1396" s="62">
        <v>25</v>
      </c>
      <c r="C1396" s="62" t="s">
        <v>1278</v>
      </c>
      <c r="D1396" s="82" t="s">
        <v>1243</v>
      </c>
      <c r="E1396" s="82" t="s">
        <v>1253</v>
      </c>
      <c r="F1396" s="70">
        <f>VLOOKUP(VLOOKUP(A1396,'Личные данные'!A:V,6,0),'Личные данные'!$X$17:$AA$21,2,0)</f>
        <v>330</v>
      </c>
    </row>
    <row r="1397" spans="1:6" ht="15.75" customHeight="1" x14ac:dyDescent="0.25">
      <c r="A1397" s="62" t="s">
        <v>1194</v>
      </c>
      <c r="B1397" s="62">
        <v>25</v>
      </c>
      <c r="C1397" s="62" t="s">
        <v>1278</v>
      </c>
      <c r="D1397" s="82" t="s">
        <v>1258</v>
      </c>
      <c r="E1397" s="82" t="s">
        <v>1253</v>
      </c>
      <c r="F1397" s="70">
        <f>VLOOKUP(VLOOKUP(A1397,'Личные данные'!A:V,6,0),'Личные данные'!$X$17:$AA$21,2,0)</f>
        <v>550</v>
      </c>
    </row>
    <row r="1398" spans="1:6" ht="15.75" customHeight="1" x14ac:dyDescent="0.25">
      <c r="A1398" s="62" t="s">
        <v>1195</v>
      </c>
      <c r="B1398" s="62">
        <v>25</v>
      </c>
      <c r="C1398" s="62" t="s">
        <v>1278</v>
      </c>
      <c r="D1398" s="82" t="s">
        <v>1243</v>
      </c>
      <c r="E1398" s="82" t="s">
        <v>1253</v>
      </c>
      <c r="F1398" s="70">
        <f>VLOOKUP(VLOOKUP(A1398,'Личные данные'!A:V,6,0),'Личные данные'!$X$17:$AA$21,2,0)</f>
        <v>440</v>
      </c>
    </row>
    <row r="1399" spans="1:6" ht="15.75" customHeight="1" x14ac:dyDescent="0.25">
      <c r="A1399" s="62" t="s">
        <v>1196</v>
      </c>
      <c r="B1399" s="62">
        <v>25</v>
      </c>
      <c r="C1399" s="62" t="s">
        <v>1278</v>
      </c>
      <c r="D1399" s="82" t="s">
        <v>1257</v>
      </c>
      <c r="E1399" s="82" t="s">
        <v>1253</v>
      </c>
      <c r="F1399" s="70">
        <f>VLOOKUP(VLOOKUP(A1399,'Личные данные'!A:V,6,0),'Личные данные'!$X$17:$AA$21,2,0)</f>
        <v>550</v>
      </c>
    </row>
    <row r="1400" spans="1:6" ht="15.75" customHeight="1" x14ac:dyDescent="0.25">
      <c r="A1400" s="62" t="s">
        <v>1197</v>
      </c>
      <c r="B1400" s="62">
        <v>25</v>
      </c>
      <c r="C1400" s="62" t="s">
        <v>1278</v>
      </c>
      <c r="D1400" s="82" t="s">
        <v>1257</v>
      </c>
      <c r="E1400" s="82" t="s">
        <v>1253</v>
      </c>
      <c r="F1400" s="70">
        <f>VLOOKUP(VLOOKUP(A1400,'Личные данные'!A:V,6,0),'Личные данные'!$X$17:$AA$21,2,0)</f>
        <v>440</v>
      </c>
    </row>
    <row r="1401" spans="1:6" ht="15.75" customHeight="1" x14ac:dyDescent="0.25">
      <c r="A1401" s="62" t="s">
        <v>1198</v>
      </c>
      <c r="B1401" s="62">
        <v>25</v>
      </c>
      <c r="C1401" s="62" t="s">
        <v>1278</v>
      </c>
      <c r="D1401" s="82" t="s">
        <v>1243</v>
      </c>
      <c r="E1401" s="82" t="s">
        <v>1244</v>
      </c>
      <c r="F1401" s="70">
        <f>VLOOKUP(VLOOKUP(A1401,'Личные данные'!A:V,6,0),'Личные данные'!$X$17:$AA$21,2,0)</f>
        <v>220</v>
      </c>
    </row>
    <row r="1402" spans="1:6" ht="15.75" customHeight="1" x14ac:dyDescent="0.25">
      <c r="A1402" s="62" t="s">
        <v>1199</v>
      </c>
      <c r="B1402" s="62">
        <v>25</v>
      </c>
      <c r="C1402" s="62" t="s">
        <v>1278</v>
      </c>
      <c r="D1402" s="82" t="s">
        <v>1260</v>
      </c>
      <c r="E1402" s="82" t="s">
        <v>1250</v>
      </c>
      <c r="F1402" s="70">
        <f>VLOOKUP(VLOOKUP(A1402,'Личные данные'!A:V,6,0),'Личные данные'!$X$17:$AA$21,2,0)</f>
        <v>770</v>
      </c>
    </row>
    <row r="1403" spans="1:6" ht="15.75" customHeight="1" x14ac:dyDescent="0.25">
      <c r="A1403" s="62" t="s">
        <v>1200</v>
      </c>
      <c r="B1403" s="62">
        <v>25</v>
      </c>
      <c r="C1403" s="62" t="s">
        <v>1278</v>
      </c>
      <c r="D1403" s="82" t="s">
        <v>1260</v>
      </c>
      <c r="E1403" s="82" t="s">
        <v>1253</v>
      </c>
      <c r="F1403" s="70">
        <f>VLOOKUP(VLOOKUP(A1403,'Личные данные'!A:V,6,0),'Личные данные'!$X$17:$AA$21,2,0)</f>
        <v>550</v>
      </c>
    </row>
    <row r="1404" spans="1:6" ht="15.75" customHeight="1" x14ac:dyDescent="0.25">
      <c r="A1404" s="62" t="s">
        <v>1201</v>
      </c>
      <c r="B1404" s="62">
        <v>25</v>
      </c>
      <c r="C1404" s="62" t="s">
        <v>1278</v>
      </c>
      <c r="D1404" s="82" t="s">
        <v>1256</v>
      </c>
      <c r="E1404" s="82" t="s">
        <v>1244</v>
      </c>
      <c r="F1404" s="70">
        <f>VLOOKUP(VLOOKUP(A1404,'Личные данные'!A:V,6,0),'Личные данные'!$X$17:$AA$21,2,0)</f>
        <v>440</v>
      </c>
    </row>
    <row r="1405" spans="1:6" ht="15.75" customHeight="1" x14ac:dyDescent="0.25">
      <c r="A1405" s="62" t="s">
        <v>1202</v>
      </c>
      <c r="B1405" s="62">
        <v>25</v>
      </c>
      <c r="C1405" s="62" t="s">
        <v>1278</v>
      </c>
      <c r="D1405" s="82" t="s">
        <v>1257</v>
      </c>
      <c r="E1405" s="82" t="s">
        <v>1250</v>
      </c>
      <c r="F1405" s="70">
        <f>VLOOKUP(VLOOKUP(A1405,'Личные данные'!A:V,6,0),'Личные данные'!$X$17:$AA$21,2,0)</f>
        <v>550</v>
      </c>
    </row>
    <row r="1406" spans="1:6" ht="15.75" customHeight="1" x14ac:dyDescent="0.25">
      <c r="A1406" s="62" t="s">
        <v>1203</v>
      </c>
      <c r="B1406" s="62">
        <v>25</v>
      </c>
      <c r="C1406" s="62" t="s">
        <v>1278</v>
      </c>
      <c r="D1406" s="82" t="s">
        <v>1258</v>
      </c>
      <c r="E1406" s="82" t="s">
        <v>1253</v>
      </c>
      <c r="F1406" s="70">
        <f>VLOOKUP(VLOOKUP(A1406,'Личные данные'!A:V,6,0),'Личные данные'!$X$17:$AA$21,2,0)</f>
        <v>440</v>
      </c>
    </row>
    <row r="1407" spans="1:6" ht="15.75" customHeight="1" x14ac:dyDescent="0.25">
      <c r="A1407" s="62" t="s">
        <v>1204</v>
      </c>
      <c r="B1407" s="62">
        <v>25</v>
      </c>
      <c r="C1407" s="62" t="s">
        <v>1278</v>
      </c>
      <c r="D1407" s="82" t="s">
        <v>1260</v>
      </c>
      <c r="E1407" s="82" t="s">
        <v>1250</v>
      </c>
      <c r="F1407" s="70">
        <f>VLOOKUP(VLOOKUP(A1407,'Личные данные'!A:V,6,0),'Личные данные'!$X$17:$AA$21,2,0)</f>
        <v>770</v>
      </c>
    </row>
    <row r="1408" spans="1:6" ht="15.75" customHeight="1" x14ac:dyDescent="0.25">
      <c r="A1408" s="62" t="s">
        <v>1205</v>
      </c>
      <c r="B1408" s="62">
        <v>25</v>
      </c>
      <c r="C1408" s="62" t="s">
        <v>1278</v>
      </c>
      <c r="D1408" s="82" t="s">
        <v>1258</v>
      </c>
      <c r="E1408" s="82" t="s">
        <v>1244</v>
      </c>
      <c r="F1408" s="70">
        <f>VLOOKUP(VLOOKUP(A1408,'Личные данные'!A:V,6,0),'Личные данные'!$X$17:$AA$21,2,0)</f>
        <v>220</v>
      </c>
    </row>
    <row r="1409" spans="1:6" ht="15.75" customHeight="1" x14ac:dyDescent="0.25">
      <c r="A1409" s="62" t="s">
        <v>1206</v>
      </c>
      <c r="B1409" s="62">
        <v>25</v>
      </c>
      <c r="C1409" s="62" t="s">
        <v>1278</v>
      </c>
      <c r="D1409" s="82" t="s">
        <v>1243</v>
      </c>
      <c r="E1409" s="82" t="s">
        <v>1248</v>
      </c>
      <c r="F1409" s="70">
        <f>VLOOKUP(VLOOKUP(A1409,'Личные данные'!A:V,6,0),'Личные данные'!$X$17:$AA$21,2,0)</f>
        <v>440</v>
      </c>
    </row>
    <row r="1410" spans="1:6" ht="15.75" customHeight="1" x14ac:dyDescent="0.25">
      <c r="A1410" s="62" t="s">
        <v>1207</v>
      </c>
      <c r="B1410" s="62">
        <v>25</v>
      </c>
      <c r="C1410" s="62" t="s">
        <v>1278</v>
      </c>
      <c r="D1410" s="82" t="s">
        <v>1258</v>
      </c>
      <c r="E1410" s="82" t="s">
        <v>1244</v>
      </c>
      <c r="F1410" s="70">
        <f>VLOOKUP(VLOOKUP(A1410,'Личные данные'!A:V,6,0),'Личные данные'!$X$17:$AA$21,2,0)</f>
        <v>220</v>
      </c>
    </row>
    <row r="1411" spans="1:6" ht="15.75" customHeight="1" x14ac:dyDescent="0.25">
      <c r="A1411" s="62" t="s">
        <v>1208</v>
      </c>
      <c r="B1411" s="62">
        <v>25</v>
      </c>
      <c r="C1411" s="62" t="s">
        <v>1278</v>
      </c>
      <c r="D1411" s="82" t="s">
        <v>1256</v>
      </c>
      <c r="E1411" s="82" t="s">
        <v>1248</v>
      </c>
      <c r="F1411" s="70">
        <f>VLOOKUP(VLOOKUP(A1411,'Личные данные'!A:V,6,0),'Личные данные'!$X$17:$AA$21,2,0)</f>
        <v>440</v>
      </c>
    </row>
    <row r="1412" spans="1:6" ht="15.75" customHeight="1" x14ac:dyDescent="0.25">
      <c r="A1412" s="62" t="s">
        <v>1209</v>
      </c>
      <c r="B1412" s="62">
        <v>25</v>
      </c>
      <c r="C1412" s="62" t="s">
        <v>1278</v>
      </c>
      <c r="D1412" s="82" t="s">
        <v>1243</v>
      </c>
      <c r="E1412" s="82" t="s">
        <v>1253</v>
      </c>
      <c r="F1412" s="70">
        <f>VLOOKUP(VLOOKUP(A1412,'Личные данные'!A:V,6,0),'Личные данные'!$X$17:$AA$21,2,0)</f>
        <v>330</v>
      </c>
    </row>
    <row r="1413" spans="1:6" ht="15.75" customHeight="1" x14ac:dyDescent="0.25">
      <c r="A1413" s="62" t="s">
        <v>1210</v>
      </c>
      <c r="B1413" s="62">
        <v>25</v>
      </c>
      <c r="C1413" s="62" t="s">
        <v>1278</v>
      </c>
      <c r="D1413" s="82" t="s">
        <v>1243</v>
      </c>
      <c r="E1413" s="82" t="s">
        <v>1248</v>
      </c>
      <c r="F1413" s="70">
        <f>VLOOKUP(VLOOKUP(A1413,'Личные данные'!A:V,6,0),'Личные данные'!$X$17:$AA$21,2,0)</f>
        <v>440</v>
      </c>
    </row>
    <row r="1414" spans="1:6" ht="15.75" customHeight="1" x14ac:dyDescent="0.25">
      <c r="A1414" s="62" t="s">
        <v>1211</v>
      </c>
      <c r="B1414" s="62">
        <v>25</v>
      </c>
      <c r="C1414" s="62" t="s">
        <v>1278</v>
      </c>
      <c r="D1414" s="82" t="s">
        <v>1243</v>
      </c>
      <c r="E1414" s="82" t="s">
        <v>1244</v>
      </c>
      <c r="F1414" s="70">
        <f>VLOOKUP(VLOOKUP(A1414,'Личные данные'!A:V,6,0),'Личные данные'!$X$17:$AA$21,2,0)</f>
        <v>220</v>
      </c>
    </row>
    <row r="1415" spans="1:6" ht="15.75" customHeight="1" x14ac:dyDescent="0.25">
      <c r="A1415" s="62" t="s">
        <v>1212</v>
      </c>
      <c r="B1415" s="62">
        <v>25</v>
      </c>
      <c r="C1415" s="62" t="s">
        <v>1278</v>
      </c>
      <c r="D1415" s="82" t="s">
        <v>1257</v>
      </c>
      <c r="E1415" s="82" t="s">
        <v>1253</v>
      </c>
      <c r="F1415" s="70">
        <f>VLOOKUP(VLOOKUP(A1415,'Личные данные'!A:V,6,0),'Личные данные'!$X$17:$AA$21,2,0)</f>
        <v>440</v>
      </c>
    </row>
    <row r="1416" spans="1:6" ht="15.75" customHeight="1" x14ac:dyDescent="0.25">
      <c r="A1416" s="62" t="s">
        <v>1213</v>
      </c>
      <c r="B1416" s="62">
        <v>25</v>
      </c>
      <c r="C1416" s="62" t="s">
        <v>1278</v>
      </c>
      <c r="D1416" s="82" t="s">
        <v>1258</v>
      </c>
      <c r="E1416" s="82" t="s">
        <v>1255</v>
      </c>
      <c r="F1416" s="70">
        <f>VLOOKUP(VLOOKUP(A1416,'Личные данные'!A:V,6,0),'Личные данные'!$X$17:$AA$21,2,0)</f>
        <v>440</v>
      </c>
    </row>
    <row r="1417" spans="1:6" ht="15.75" customHeight="1" x14ac:dyDescent="0.25">
      <c r="A1417" s="62" t="s">
        <v>1214</v>
      </c>
      <c r="B1417" s="62">
        <v>25</v>
      </c>
      <c r="C1417" s="62" t="s">
        <v>1278</v>
      </c>
      <c r="D1417" s="82" t="s">
        <v>1256</v>
      </c>
      <c r="E1417" s="82" t="s">
        <v>1253</v>
      </c>
      <c r="F1417" s="70">
        <f>VLOOKUP(VLOOKUP(A1417,'Личные данные'!A:V,6,0),'Личные данные'!$X$17:$AA$21,2,0)</f>
        <v>550</v>
      </c>
    </row>
    <row r="1418" spans="1:6" ht="15.75" customHeight="1" x14ac:dyDescent="0.25">
      <c r="A1418" s="62" t="s">
        <v>1215</v>
      </c>
      <c r="B1418" s="62">
        <v>25</v>
      </c>
      <c r="C1418" s="62" t="s">
        <v>1278</v>
      </c>
      <c r="D1418" s="82" t="s">
        <v>1243</v>
      </c>
      <c r="E1418" s="82" t="s">
        <v>1250</v>
      </c>
      <c r="F1418" s="70">
        <f>VLOOKUP(VLOOKUP(A1418,'Личные данные'!A:V,6,0),'Личные данные'!$X$17:$AA$21,2,0)</f>
        <v>330</v>
      </c>
    </row>
    <row r="1419" spans="1:6" ht="15.75" customHeight="1" x14ac:dyDescent="0.25">
      <c r="A1419" s="62" t="s">
        <v>1216</v>
      </c>
      <c r="B1419" s="62">
        <v>25</v>
      </c>
      <c r="C1419" s="62" t="s">
        <v>1278</v>
      </c>
      <c r="D1419" s="82" t="s">
        <v>1257</v>
      </c>
      <c r="E1419" s="82" t="s">
        <v>1253</v>
      </c>
      <c r="F1419" s="70">
        <f>VLOOKUP(VLOOKUP(A1419,'Личные данные'!A:V,6,0),'Личные данные'!$X$17:$AA$21,2,0)</f>
        <v>440</v>
      </c>
    </row>
    <row r="1420" spans="1:6" ht="15.75" customHeight="1" x14ac:dyDescent="0.25">
      <c r="A1420" s="62" t="s">
        <v>1217</v>
      </c>
      <c r="B1420" s="62">
        <v>25</v>
      </c>
      <c r="C1420" s="62" t="s">
        <v>1278</v>
      </c>
      <c r="D1420" s="82" t="s">
        <v>1257</v>
      </c>
      <c r="E1420" s="82" t="s">
        <v>1248</v>
      </c>
      <c r="F1420" s="70">
        <f>VLOOKUP(VLOOKUP(A1420,'Личные данные'!A:V,6,0),'Личные данные'!$X$17:$AA$21,2,0)</f>
        <v>440</v>
      </c>
    </row>
    <row r="1421" spans="1:6" ht="15.75" customHeight="1" x14ac:dyDescent="0.25">
      <c r="A1421" s="62" t="s">
        <v>1218</v>
      </c>
      <c r="B1421" s="62">
        <v>25</v>
      </c>
      <c r="C1421" s="62" t="s">
        <v>1278</v>
      </c>
      <c r="D1421" s="82" t="s">
        <v>1243</v>
      </c>
      <c r="E1421" s="82" t="s">
        <v>1244</v>
      </c>
      <c r="F1421" s="70">
        <f>VLOOKUP(VLOOKUP(A1421,'Личные данные'!A:V,6,0),'Личные данные'!$X$17:$AA$21,2,0)</f>
        <v>220</v>
      </c>
    </row>
    <row r="1422" spans="1:6" ht="15.75" customHeight="1" x14ac:dyDescent="0.25">
      <c r="A1422" s="62" t="s">
        <v>1219</v>
      </c>
      <c r="B1422" s="62">
        <v>25</v>
      </c>
      <c r="C1422" s="62" t="s">
        <v>1278</v>
      </c>
      <c r="D1422" s="82" t="s">
        <v>1243</v>
      </c>
      <c r="E1422" s="82" t="s">
        <v>1253</v>
      </c>
      <c r="F1422" s="70">
        <f>VLOOKUP(VLOOKUP(A1422,'Личные данные'!A:V,6,0),'Личные данные'!$X$17:$AA$21,2,0)</f>
        <v>330</v>
      </c>
    </row>
    <row r="1423" spans="1:6" ht="15.75" customHeight="1" x14ac:dyDescent="0.25">
      <c r="A1423" s="62" t="s">
        <v>1220</v>
      </c>
      <c r="B1423" s="62">
        <v>25</v>
      </c>
      <c r="C1423" s="62" t="s">
        <v>1278</v>
      </c>
      <c r="D1423" s="82" t="s">
        <v>1256</v>
      </c>
      <c r="E1423" s="82" t="s">
        <v>1244</v>
      </c>
      <c r="F1423" s="70">
        <f>VLOOKUP(VLOOKUP(A1423,'Личные данные'!A:V,6,0),'Личные данные'!$X$17:$AA$21,2,0)</f>
        <v>440</v>
      </c>
    </row>
    <row r="1424" spans="1:6" ht="15.75" customHeight="1" x14ac:dyDescent="0.25">
      <c r="A1424" s="62" t="s">
        <v>1221</v>
      </c>
      <c r="B1424" s="62">
        <v>25</v>
      </c>
      <c r="C1424" s="62" t="s">
        <v>1278</v>
      </c>
      <c r="D1424" s="82" t="s">
        <v>1258</v>
      </c>
      <c r="E1424" s="82" t="s">
        <v>1248</v>
      </c>
      <c r="F1424" s="70">
        <f>VLOOKUP(VLOOKUP(A1424,'Личные данные'!A:V,6,0),'Личные данные'!$X$17:$AA$21,2,0)</f>
        <v>440</v>
      </c>
    </row>
    <row r="1425" spans="1:6" ht="15.75" customHeight="1" x14ac:dyDescent="0.25">
      <c r="A1425" s="62" t="s">
        <v>1222</v>
      </c>
      <c r="B1425" s="62">
        <v>25</v>
      </c>
      <c r="C1425" s="62" t="s">
        <v>1278</v>
      </c>
      <c r="D1425" s="82" t="s">
        <v>1243</v>
      </c>
      <c r="E1425" s="82" t="s">
        <v>1255</v>
      </c>
      <c r="F1425" s="70">
        <f>VLOOKUP(VLOOKUP(A1425,'Личные данные'!A:V,6,0),'Личные данные'!$X$17:$AA$21,2,0)</f>
        <v>330</v>
      </c>
    </row>
    <row r="1426" spans="1:6" ht="15.75" customHeight="1" x14ac:dyDescent="0.25">
      <c r="A1426" s="62" t="s">
        <v>1223</v>
      </c>
      <c r="B1426" s="62">
        <v>25</v>
      </c>
      <c r="C1426" s="62" t="s">
        <v>1278</v>
      </c>
      <c r="D1426" s="82" t="s">
        <v>1257</v>
      </c>
      <c r="E1426" s="82" t="s">
        <v>1244</v>
      </c>
      <c r="F1426" s="70">
        <f>VLOOKUP(VLOOKUP(A1426,'Личные данные'!A:V,6,0),'Личные данные'!$X$17:$AA$21,2,0)</f>
        <v>440</v>
      </c>
    </row>
    <row r="1427" spans="1:6" ht="15.75" customHeight="1" x14ac:dyDescent="0.25">
      <c r="A1427" s="62" t="s">
        <v>1224</v>
      </c>
      <c r="B1427" s="62">
        <v>25</v>
      </c>
      <c r="C1427" s="62" t="s">
        <v>1278</v>
      </c>
      <c r="D1427" s="82" t="s">
        <v>1258</v>
      </c>
      <c r="E1427" s="82" t="s">
        <v>1253</v>
      </c>
      <c r="F1427" s="70">
        <f>VLOOKUP(VLOOKUP(A1427,'Личные данные'!A:V,6,0),'Личные данные'!$X$17:$AA$21,2,0)</f>
        <v>440</v>
      </c>
    </row>
    <row r="1428" spans="1:6" ht="15.75" customHeight="1" x14ac:dyDescent="0.25">
      <c r="A1428" s="62" t="s">
        <v>1225</v>
      </c>
      <c r="B1428" s="62">
        <v>25</v>
      </c>
      <c r="C1428" s="62" t="s">
        <v>1278</v>
      </c>
      <c r="D1428" s="82" t="s">
        <v>1256</v>
      </c>
      <c r="E1428" s="82" t="s">
        <v>1250</v>
      </c>
      <c r="F1428" s="70">
        <f>VLOOKUP(VLOOKUP(A1428,'Личные данные'!A:V,6,0),'Личные данные'!$X$17:$AA$21,2,0)</f>
        <v>550</v>
      </c>
    </row>
    <row r="1429" spans="1:6" ht="15.75" customHeight="1" x14ac:dyDescent="0.25">
      <c r="A1429" s="62" t="s">
        <v>1226</v>
      </c>
      <c r="B1429" s="62">
        <v>25</v>
      </c>
      <c r="C1429" s="62" t="s">
        <v>1278</v>
      </c>
      <c r="D1429" s="82" t="s">
        <v>1243</v>
      </c>
      <c r="E1429" s="82" t="s">
        <v>1253</v>
      </c>
      <c r="F1429" s="70">
        <f>VLOOKUP(VLOOKUP(A1429,'Личные данные'!A:V,6,0),'Личные данные'!$X$17:$AA$21,2,0)</f>
        <v>330</v>
      </c>
    </row>
    <row r="1430" spans="1:6" ht="15.75" customHeight="1" x14ac:dyDescent="0.25">
      <c r="A1430" s="62" t="s">
        <v>1227</v>
      </c>
      <c r="B1430" s="62">
        <v>25</v>
      </c>
      <c r="C1430" s="62" t="s">
        <v>1278</v>
      </c>
      <c r="D1430" s="82" t="s">
        <v>1256</v>
      </c>
      <c r="E1430" s="82" t="s">
        <v>1255</v>
      </c>
      <c r="F1430" s="70">
        <f>VLOOKUP(VLOOKUP(A1430,'Личные данные'!A:V,6,0),'Личные данные'!$X$17:$AA$21,2,0)</f>
        <v>550</v>
      </c>
    </row>
    <row r="1431" spans="1:6" ht="15.75" customHeight="1" x14ac:dyDescent="0.25">
      <c r="A1431" s="62" t="s">
        <v>1228</v>
      </c>
      <c r="B1431" s="62">
        <v>25</v>
      </c>
      <c r="C1431" s="62" t="s">
        <v>1278</v>
      </c>
      <c r="D1431" s="82" t="s">
        <v>1257</v>
      </c>
      <c r="E1431" s="82" t="s">
        <v>1244</v>
      </c>
      <c r="F1431" s="70">
        <f>VLOOKUP(VLOOKUP(A1431,'Личные данные'!A:V,6,0),'Личные данные'!$X$17:$AA$21,2,0)</f>
        <v>440</v>
      </c>
    </row>
    <row r="1432" spans="1:6" ht="15.75" customHeight="1" x14ac:dyDescent="0.25">
      <c r="A1432" s="62" t="s">
        <v>1229</v>
      </c>
      <c r="B1432" s="62">
        <v>25</v>
      </c>
      <c r="C1432" s="62" t="s">
        <v>1278</v>
      </c>
      <c r="D1432" s="82" t="s">
        <v>1256</v>
      </c>
      <c r="E1432" s="82" t="s">
        <v>1244</v>
      </c>
      <c r="F1432" s="70">
        <f>VLOOKUP(VLOOKUP(A1432,'Личные данные'!A:V,6,0),'Личные данные'!$X$17:$AA$21,2,0)</f>
        <v>550</v>
      </c>
    </row>
    <row r="1433" spans="1:6" ht="15.75" customHeight="1" x14ac:dyDescent="0.25">
      <c r="A1433" s="62" t="s">
        <v>1230</v>
      </c>
      <c r="B1433" s="62">
        <v>25</v>
      </c>
      <c r="C1433" s="62" t="s">
        <v>1278</v>
      </c>
      <c r="D1433" s="82" t="s">
        <v>1257</v>
      </c>
      <c r="E1433" s="82" t="s">
        <v>1253</v>
      </c>
      <c r="F1433" s="70">
        <f>VLOOKUP(VLOOKUP(A1433,'Личные данные'!A:V,6,0),'Личные данные'!$X$17:$AA$21,2,0)</f>
        <v>440</v>
      </c>
    </row>
    <row r="1434" spans="1:6" ht="15.75" customHeight="1" x14ac:dyDescent="0.25">
      <c r="A1434" s="62" t="s">
        <v>1231</v>
      </c>
      <c r="B1434" s="62">
        <v>25</v>
      </c>
      <c r="C1434" s="62" t="s">
        <v>1278</v>
      </c>
      <c r="D1434" s="82" t="s">
        <v>1256</v>
      </c>
      <c r="E1434" s="82" t="s">
        <v>1253</v>
      </c>
      <c r="F1434" s="70">
        <f>VLOOKUP(VLOOKUP(A1434,'Личные данные'!A:V,6,0),'Личные данные'!$X$17:$AA$21,2,0)</f>
        <v>440</v>
      </c>
    </row>
    <row r="1435" spans="1:6" ht="15.75" customHeight="1" x14ac:dyDescent="0.25">
      <c r="A1435" s="62" t="s">
        <v>1232</v>
      </c>
      <c r="B1435" s="62">
        <v>25</v>
      </c>
      <c r="C1435" s="62" t="s">
        <v>1278</v>
      </c>
      <c r="D1435" s="82" t="s">
        <v>1243</v>
      </c>
      <c r="E1435" s="82" t="s">
        <v>1253</v>
      </c>
      <c r="F1435" s="70">
        <f>VLOOKUP(VLOOKUP(A1435,'Личные данные'!A:V,6,0),'Личные данные'!$X$17:$AA$21,2,0)</f>
        <v>440</v>
      </c>
    </row>
    <row r="1436" spans="1:6" ht="15.75" customHeight="1" x14ac:dyDescent="0.25">
      <c r="A1436" s="62" t="s">
        <v>1233</v>
      </c>
      <c r="B1436" s="62">
        <v>25</v>
      </c>
      <c r="C1436" s="62" t="s">
        <v>1278</v>
      </c>
      <c r="D1436" s="82" t="s">
        <v>1260</v>
      </c>
      <c r="E1436" s="82" t="s">
        <v>1248</v>
      </c>
      <c r="F1436" s="70">
        <f>VLOOKUP(VLOOKUP(A1436,'Личные данные'!A:V,6,0),'Личные данные'!$X$17:$AA$21,2,0)</f>
        <v>550</v>
      </c>
    </row>
    <row r="1437" spans="1:6" ht="15.75" customHeight="1" x14ac:dyDescent="0.25">
      <c r="A1437" s="62" t="s">
        <v>1234</v>
      </c>
      <c r="B1437" s="62">
        <v>25</v>
      </c>
      <c r="C1437" s="62" t="s">
        <v>1278</v>
      </c>
      <c r="D1437" s="82" t="s">
        <v>1257</v>
      </c>
      <c r="E1437" s="82" t="s">
        <v>1244</v>
      </c>
      <c r="F1437" s="70">
        <f>VLOOKUP(VLOOKUP(A1437,'Личные данные'!A:V,6,0),'Личные данные'!$X$17:$AA$21,2,0)</f>
        <v>440</v>
      </c>
    </row>
    <row r="1438" spans="1:6" ht="15.75" customHeight="1" x14ac:dyDescent="0.25">
      <c r="A1438" s="62" t="s">
        <v>1235</v>
      </c>
      <c r="B1438" s="62">
        <v>25</v>
      </c>
      <c r="C1438" s="62" t="s">
        <v>1278</v>
      </c>
      <c r="D1438" s="82" t="s">
        <v>1256</v>
      </c>
      <c r="E1438" s="82" t="s">
        <v>1255</v>
      </c>
      <c r="F1438" s="70">
        <f>VLOOKUP(VLOOKUP(A1438,'Личные данные'!A:V,6,0),'Личные данные'!$X$17:$AA$21,2,0)</f>
        <v>550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topLeftCell="A4" workbookViewId="0">
      <selection activeCell="K35" sqref="K35"/>
    </sheetView>
  </sheetViews>
  <sheetFormatPr defaultColWidth="11.25" defaultRowHeight="15" customHeight="1" x14ac:dyDescent="0.25"/>
  <cols>
    <col min="1" max="1" width="24.875" customWidth="1"/>
    <col min="2" max="2" width="7.75" customWidth="1"/>
    <col min="3" max="5" width="8" customWidth="1"/>
    <col min="6" max="6" width="6.375" customWidth="1"/>
    <col min="7" max="7" width="11" customWidth="1"/>
    <col min="8" max="26" width="8.5" customWidth="1"/>
  </cols>
  <sheetData>
    <row r="1" spans="1:7" ht="15.75" customHeight="1" x14ac:dyDescent="0.25"/>
    <row r="2" spans="1:7" ht="15.75" customHeight="1" x14ac:dyDescent="0.25"/>
    <row r="3" spans="1:7" ht="15.75" customHeight="1" x14ac:dyDescent="0.25">
      <c r="A3" s="88" t="s">
        <v>1279</v>
      </c>
      <c r="B3" s="88" t="s">
        <v>1240</v>
      </c>
      <c r="C3" s="89"/>
      <c r="D3" s="89"/>
      <c r="E3" s="89"/>
      <c r="F3" s="89"/>
      <c r="G3" s="90"/>
    </row>
    <row r="4" spans="1:7" ht="42" customHeight="1" x14ac:dyDescent="0.25">
      <c r="A4" s="115" t="s">
        <v>1297</v>
      </c>
      <c r="B4" s="91" t="s">
        <v>1244</v>
      </c>
      <c r="C4" s="92" t="s">
        <v>1255</v>
      </c>
      <c r="D4" s="92" t="s">
        <v>1248</v>
      </c>
      <c r="E4" s="92" t="s">
        <v>1253</v>
      </c>
      <c r="F4" s="92" t="s">
        <v>1250</v>
      </c>
      <c r="G4" s="93" t="s">
        <v>1264</v>
      </c>
    </row>
    <row r="5" spans="1:7" ht="15.75" customHeight="1" x14ac:dyDescent="0.25">
      <c r="A5" s="91" t="s">
        <v>1243</v>
      </c>
      <c r="B5" s="94">
        <v>8.844011142061281E-2</v>
      </c>
      <c r="C5" s="95">
        <v>5.4317548746518104E-2</v>
      </c>
      <c r="D5" s="95">
        <v>0.12674094707520892</v>
      </c>
      <c r="E5" s="95">
        <v>0.25069637883008355</v>
      </c>
      <c r="F5" s="95">
        <v>2.6462395543175487E-2</v>
      </c>
      <c r="G5" s="96">
        <v>0.54665738161559885</v>
      </c>
    </row>
    <row r="6" spans="1:7" ht="15.75" customHeight="1" x14ac:dyDescent="0.25">
      <c r="A6" s="97" t="s">
        <v>1260</v>
      </c>
      <c r="B6" s="98">
        <v>6.9637883008356544E-3</v>
      </c>
      <c r="C6" s="99">
        <v>6.9637883008356544E-3</v>
      </c>
      <c r="D6" s="99">
        <v>1.1838440111420613E-2</v>
      </c>
      <c r="E6" s="99">
        <v>1.1142061281337047E-2</v>
      </c>
      <c r="F6" s="99">
        <v>2.0194986072423399E-2</v>
      </c>
      <c r="G6" s="100">
        <v>5.7103064066852366E-2</v>
      </c>
    </row>
    <row r="7" spans="1:7" ht="15.75" customHeight="1" x14ac:dyDescent="0.25">
      <c r="A7" s="97" t="s">
        <v>1258</v>
      </c>
      <c r="B7" s="98">
        <v>3.4818941504178275E-2</v>
      </c>
      <c r="C7" s="99">
        <v>1.8802228412256268E-2</v>
      </c>
      <c r="D7" s="99">
        <v>5.6406685236768804E-2</v>
      </c>
      <c r="E7" s="99">
        <v>1.7409470752089137E-2</v>
      </c>
      <c r="F7" s="99">
        <v>1.0445682451253482E-2</v>
      </c>
      <c r="G7" s="100">
        <v>0.13788300835654596</v>
      </c>
    </row>
    <row r="8" spans="1:7" ht="15.75" customHeight="1" x14ac:dyDescent="0.25">
      <c r="A8" s="97" t="s">
        <v>1257</v>
      </c>
      <c r="B8" s="98">
        <v>2.1587743732590529E-2</v>
      </c>
      <c r="C8" s="99">
        <v>2.7158774373259052E-2</v>
      </c>
      <c r="D8" s="99">
        <v>6.8245125348189412E-2</v>
      </c>
      <c r="E8" s="99">
        <v>2.4373259052924791E-2</v>
      </c>
      <c r="F8" s="99">
        <v>4.8746518105849583E-3</v>
      </c>
      <c r="G8" s="100">
        <v>0.14623955431754876</v>
      </c>
    </row>
    <row r="9" spans="1:7" ht="15.75" customHeight="1" x14ac:dyDescent="0.25">
      <c r="A9" s="97" t="s">
        <v>1256</v>
      </c>
      <c r="B9" s="98">
        <v>1.7409470752089137E-2</v>
      </c>
      <c r="C9" s="99">
        <v>1.532033426183844E-2</v>
      </c>
      <c r="D9" s="99">
        <v>4.6657381615598889E-2</v>
      </c>
      <c r="E9" s="99">
        <v>2.5766016713091922E-2</v>
      </c>
      <c r="F9" s="99">
        <v>6.9637883008356544E-3</v>
      </c>
      <c r="G9" s="100">
        <v>0.11211699164345404</v>
      </c>
    </row>
    <row r="10" spans="1:7" ht="15.75" customHeight="1" x14ac:dyDescent="0.25">
      <c r="A10" s="101" t="s">
        <v>1264</v>
      </c>
      <c r="B10" s="102">
        <v>0.16922005571030641</v>
      </c>
      <c r="C10" s="103">
        <v>0.12256267409470752</v>
      </c>
      <c r="D10" s="103">
        <v>0.30988857938718661</v>
      </c>
      <c r="E10" s="103">
        <v>0.32938718662952648</v>
      </c>
      <c r="F10" s="103">
        <v>6.894150417827298E-2</v>
      </c>
      <c r="G10" s="104">
        <v>1</v>
      </c>
    </row>
    <row r="11" spans="1:7" ht="15.75" customHeight="1" x14ac:dyDescent="0.25"/>
    <row r="12" spans="1:7" ht="15.75" customHeight="1" x14ac:dyDescent="0.25"/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F729-CC83-4F2F-8E21-93A029E5F588}">
  <dimension ref="A1:I15"/>
  <sheetViews>
    <sheetView workbookViewId="0">
      <selection activeCell="A22" sqref="A22"/>
    </sheetView>
  </sheetViews>
  <sheetFormatPr defaultRowHeight="15.75" x14ac:dyDescent="0.25"/>
  <cols>
    <col min="1" max="1" width="72.375" bestFit="1" customWidth="1"/>
    <col min="2" max="2" width="16" bestFit="1" customWidth="1"/>
    <col min="3" max="3" width="10.875" bestFit="1" customWidth="1"/>
    <col min="4" max="4" width="11" bestFit="1" customWidth="1"/>
    <col min="5" max="6" width="6.875" bestFit="1" customWidth="1"/>
    <col min="7" max="7" width="11" bestFit="1" customWidth="1"/>
  </cols>
  <sheetData>
    <row r="1" spans="1:9" x14ac:dyDescent="0.25">
      <c r="A1" s="107" t="s">
        <v>1295</v>
      </c>
      <c r="B1" t="s">
        <v>1277</v>
      </c>
    </row>
    <row r="2" spans="1:9" x14ac:dyDescent="0.25">
      <c r="A2" s="107" t="s">
        <v>1239</v>
      </c>
      <c r="B2" t="s">
        <v>1243</v>
      </c>
    </row>
    <row r="3" spans="1:9" x14ac:dyDescent="0.25">
      <c r="A3" s="107" t="s">
        <v>1240</v>
      </c>
      <c r="B3" t="s">
        <v>1292</v>
      </c>
      <c r="H3" s="113" t="s">
        <v>1241</v>
      </c>
      <c r="I3" s="114" t="s">
        <v>1296</v>
      </c>
    </row>
    <row r="4" spans="1:9" x14ac:dyDescent="0.25">
      <c r="A4" s="107" t="s">
        <v>1238</v>
      </c>
      <c r="B4" t="s">
        <v>1292</v>
      </c>
      <c r="H4" s="110">
        <v>220</v>
      </c>
      <c r="I4" s="111">
        <v>81</v>
      </c>
    </row>
    <row r="5" spans="1:9" x14ac:dyDescent="0.25">
      <c r="H5" s="110">
        <v>330</v>
      </c>
      <c r="I5" s="111">
        <v>413</v>
      </c>
    </row>
    <row r="6" spans="1:9" x14ac:dyDescent="0.25">
      <c r="A6" s="107" t="s">
        <v>1263</v>
      </c>
      <c r="B6" t="s">
        <v>1279</v>
      </c>
      <c r="H6" s="110">
        <v>440</v>
      </c>
      <c r="I6" s="111">
        <v>369</v>
      </c>
    </row>
    <row r="7" spans="1:9" x14ac:dyDescent="0.25">
      <c r="A7" s="108" t="s">
        <v>1251</v>
      </c>
      <c r="B7" s="109">
        <v>0.2638888888888889</v>
      </c>
      <c r="H7" s="110">
        <v>550</v>
      </c>
      <c r="I7" s="111">
        <v>219</v>
      </c>
    </row>
    <row r="8" spans="1:9" x14ac:dyDescent="0.25">
      <c r="A8" s="108" t="s">
        <v>1254</v>
      </c>
      <c r="B8" s="109">
        <v>0.30555555555555558</v>
      </c>
      <c r="H8" s="110">
        <v>770</v>
      </c>
      <c r="I8" s="111">
        <v>57</v>
      </c>
    </row>
    <row r="9" spans="1:9" x14ac:dyDescent="0.25">
      <c r="A9" s="108" t="s">
        <v>1259</v>
      </c>
      <c r="B9" s="109">
        <v>0.16666666666666666</v>
      </c>
      <c r="H9" s="111"/>
      <c r="I9" s="111"/>
    </row>
    <row r="10" spans="1:9" x14ac:dyDescent="0.25">
      <c r="A10" s="108" t="s">
        <v>1245</v>
      </c>
      <c r="B10" s="109">
        <v>0.18055555555555555</v>
      </c>
      <c r="H10" s="113" t="s">
        <v>1241</v>
      </c>
      <c r="I10" s="114" t="s">
        <v>1296</v>
      </c>
    </row>
    <row r="11" spans="1:9" x14ac:dyDescent="0.25">
      <c r="A11" s="108" t="s">
        <v>1249</v>
      </c>
      <c r="B11" s="109">
        <v>8.3333333333333329E-2</v>
      </c>
      <c r="H11" s="110" t="s">
        <v>1254</v>
      </c>
      <c r="I11" s="111">
        <v>104</v>
      </c>
    </row>
    <row r="12" spans="1:9" x14ac:dyDescent="0.25">
      <c r="A12" s="108" t="s">
        <v>1264</v>
      </c>
      <c r="B12" s="109">
        <v>1</v>
      </c>
      <c r="H12" s="110" t="s">
        <v>1259</v>
      </c>
      <c r="I12" s="111">
        <v>45</v>
      </c>
    </row>
    <row r="13" spans="1:9" x14ac:dyDescent="0.25">
      <c r="H13" s="110" t="s">
        <v>1245</v>
      </c>
      <c r="I13" s="111">
        <v>31</v>
      </c>
    </row>
    <row r="14" spans="1:9" x14ac:dyDescent="0.25">
      <c r="H14" s="110" t="s">
        <v>1249</v>
      </c>
      <c r="I14" s="111">
        <v>36</v>
      </c>
    </row>
    <row r="15" spans="1:9" x14ac:dyDescent="0.25">
      <c r="H15" s="110" t="s">
        <v>1251</v>
      </c>
      <c r="I15" s="111">
        <v>81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CF4F-1231-449D-9547-5D100DA67103}">
  <dimension ref="B3:S12"/>
  <sheetViews>
    <sheetView tabSelected="1" workbookViewId="0">
      <selection activeCell="C6" sqref="C6"/>
    </sheetView>
  </sheetViews>
  <sheetFormatPr defaultRowHeight="15.75" x14ac:dyDescent="0.25"/>
  <cols>
    <col min="4" max="4" width="9.875" customWidth="1"/>
  </cols>
  <sheetData>
    <row r="3" spans="2:19" x14ac:dyDescent="0.25">
      <c r="D3" s="116"/>
      <c r="E3" s="116"/>
      <c r="F3" s="116"/>
      <c r="G3" s="116"/>
      <c r="H3" s="116"/>
      <c r="I3" s="116"/>
      <c r="N3" s="116"/>
      <c r="O3" s="116"/>
      <c r="P3" s="116"/>
      <c r="Q3" s="116"/>
      <c r="R3" s="116"/>
      <c r="S3" s="116"/>
    </row>
    <row r="4" spans="2:19" x14ac:dyDescent="0.25">
      <c r="C4" s="118" t="s">
        <v>1298</v>
      </c>
      <c r="D4" s="118" t="s">
        <v>70</v>
      </c>
      <c r="E4" s="118" t="s">
        <v>71</v>
      </c>
      <c r="F4" s="118" t="s">
        <v>72</v>
      </c>
      <c r="G4" s="118" t="s">
        <v>73</v>
      </c>
      <c r="H4" s="118" t="s">
        <v>74</v>
      </c>
      <c r="I4" s="118" t="s">
        <v>1299</v>
      </c>
    </row>
    <row r="5" spans="2:19" x14ac:dyDescent="0.25">
      <c r="B5" s="116"/>
      <c r="C5" s="118" t="s">
        <v>70</v>
      </c>
      <c r="D5" s="121">
        <f>IF(D$4=$C5,0,COUNTIFS('Личные данные'!K:K,"=1",'Личные данные'!$K:$K,"=1"))/$K$12</f>
        <v>0</v>
      </c>
      <c r="E5" s="121">
        <f>IF(E$4=$C5,0,COUNTIFS('Личные данные'!L:L,"=1",'Личные данные'!$K:$K,"=1"))/$K$12</f>
        <v>0.11877394636015326</v>
      </c>
      <c r="F5" s="121">
        <f>IF(F$4=$C5,0,COUNTIFS('Личные данные'!M:M,"=1",'Личные данные'!$K:$K,"=1"))/$K$12</f>
        <v>3.8314176245210725E-2</v>
      </c>
      <c r="G5" s="121">
        <f>IF(G$4=$C5,0,COUNTIFS('Личные данные'!N:N,"=1",'Личные данные'!$K:$K,"=1"))/$K$12</f>
        <v>3.0651340996168581E-2</v>
      </c>
      <c r="H5" s="121">
        <f>IF(H$4=$C5,0,COUNTIFS('Личные данные'!O:O,"=1",'Личные данные'!$K:$K,"=1"))/$K$12</f>
        <v>0.11685823754789272</v>
      </c>
      <c r="I5" s="119">
        <f>SUM(D5:H5)</f>
        <v>0.3045977011494253</v>
      </c>
    </row>
    <row r="6" spans="2:19" x14ac:dyDescent="0.25">
      <c r="B6" s="116"/>
      <c r="C6" s="118" t="s">
        <v>71</v>
      </c>
      <c r="D6" s="121">
        <f>IF(D$4=$C6,0,COUNTIFS('Личные данные'!K:K,"=1",'Личные данные'!$L:$L,"=1"))/$K$12</f>
        <v>0.11877394636015326</v>
      </c>
      <c r="E6" s="121">
        <f>IF(E$4=$C6,0,COUNTIFS('Личные данные'!L:L,"=1",'Личные данные'!$L:$L,"=1"))/$K$12</f>
        <v>0</v>
      </c>
      <c r="F6" s="121">
        <f>IF(F$4=$C6,0,COUNTIFS('Личные данные'!M:M,"=1",'Личные данные'!$L:$L,"=1"))/$K$12</f>
        <v>3.0651340996168581E-2</v>
      </c>
      <c r="G6" s="121">
        <f>IF(G$4=$C6,0,COUNTIFS('Личные данные'!N:N,"=1",'Личные данные'!$L:$L,"=1"))/$K$12</f>
        <v>4.9808429118773943E-2</v>
      </c>
      <c r="H6" s="121">
        <f>IF(H$4=$C6,0,COUNTIFS('Личные данные'!O:O,"=1",'Личные данные'!$L:$L,"=1"))/$K$12</f>
        <v>7.0881226053639848E-2</v>
      </c>
      <c r="I6" s="119">
        <f t="shared" ref="I6:I9" si="0">SUM(D6:H6)</f>
        <v>0.27011494252873564</v>
      </c>
    </row>
    <row r="7" spans="2:19" x14ac:dyDescent="0.25">
      <c r="B7" s="116"/>
      <c r="C7" s="118" t="s">
        <v>72</v>
      </c>
      <c r="D7" s="121">
        <f>IF(D$4=$C7,0,COUNTIFS('Личные данные'!K:K,"=1",'Личные данные'!$M:$M,"=1"))/$K$12</f>
        <v>3.8314176245210725E-2</v>
      </c>
      <c r="E7" s="121">
        <f>IF(E$4=$C7,0,COUNTIFS('Личные данные'!L:L,"=1",'Личные данные'!$M:$M,"=1"))/$K$12</f>
        <v>3.0651340996168581E-2</v>
      </c>
      <c r="F7" s="121">
        <f>IF(F$4=$C7,0,COUNTIFS('Личные данные'!M:M,"=1",'Личные данные'!$M:$M,"=1"))/$K$12</f>
        <v>0</v>
      </c>
      <c r="G7" s="121">
        <f>IF(G$4=$C7,0,COUNTIFS('Личные данные'!N:N,"=1",'Личные данные'!$M:$M,"=1"))/$K$12</f>
        <v>1.1494252873563218E-2</v>
      </c>
      <c r="H7" s="121">
        <f>IF(H$4=$C7,0,COUNTIFS('Личные данные'!O:O,"=1",'Личные данные'!$M:$M,"=1"))/$K$12</f>
        <v>2.1072796934865901E-2</v>
      </c>
      <c r="I7" s="119">
        <f t="shared" si="0"/>
        <v>0.10153256704980843</v>
      </c>
    </row>
    <row r="8" spans="2:19" x14ac:dyDescent="0.25">
      <c r="B8" s="116"/>
      <c r="C8" s="118" t="s">
        <v>73</v>
      </c>
      <c r="D8" s="121">
        <f>IF(D$4=$C8,0,COUNTIFS('Личные данные'!K:K,"=1",'Личные данные'!$N:$N,"=1"))/$K$12</f>
        <v>3.0651340996168581E-2</v>
      </c>
      <c r="E8" s="121">
        <f>IF(E$4=$C8,0,COUNTIFS('Личные данные'!L:L,"=1",'Личные данные'!$N:$N,"=1"))/$K$12</f>
        <v>4.9808429118773943E-2</v>
      </c>
      <c r="F8" s="121">
        <f>IF(F$4=$C8,0,COUNTIFS('Личные данные'!M:M,"=1",'Личные данные'!$N:$N,"=1"))/$K$12</f>
        <v>1.1494252873563218E-2</v>
      </c>
      <c r="G8" s="121">
        <f>IF(G$4=$C8,0,COUNTIFS('Личные данные'!N:N,"=1",'Личные данные'!$N:$N,"=1"))/$K$12</f>
        <v>0</v>
      </c>
      <c r="H8" s="121">
        <f>IF(H$4=$C8,0,COUNTIFS('Личные данные'!O:O,"=1",'Личные данные'!$N:$N,"=1"))/$K$12</f>
        <v>1.1494252873563218E-2</v>
      </c>
      <c r="I8" s="119">
        <f t="shared" si="0"/>
        <v>0.10344827586206896</v>
      </c>
    </row>
    <row r="9" spans="2:19" x14ac:dyDescent="0.25">
      <c r="B9" s="116"/>
      <c r="C9" s="118" t="s">
        <v>74</v>
      </c>
      <c r="D9" s="121">
        <f>IF(D$4=$C9,0,COUNTIFS('Личные данные'!K:K,"=1",'Личные данные'!$O:$O,"=1"))/$K$12</f>
        <v>0.11685823754789272</v>
      </c>
      <c r="E9" s="121">
        <f>IF(E$4=$C9,0,COUNTIFS('Личные данные'!L:L,"=1",'Личные данные'!$O:$O,"=1"))/$K$12</f>
        <v>7.0881226053639848E-2</v>
      </c>
      <c r="F9" s="121">
        <f>IF(F$4=$C9,0,COUNTIFS('Личные данные'!M:M,"=1",'Личные данные'!$O:$O,"=1"))/$K$12</f>
        <v>2.1072796934865901E-2</v>
      </c>
      <c r="G9" s="121">
        <f>IF(G$4=$C9,0,COUNTIFS('Личные данные'!N:N,"=1",'Личные данные'!$O:$O,"=1"))/$K$12</f>
        <v>1.1494252873563218E-2</v>
      </c>
      <c r="H9" s="121">
        <f>IF(H$4=$C9,0,COUNTIFS('Личные данные'!O:O,"=1",'Личные данные'!$O:$O,"=1"))/$K$12</f>
        <v>0</v>
      </c>
      <c r="I9" s="119">
        <f t="shared" si="0"/>
        <v>0.22030651340996171</v>
      </c>
    </row>
    <row r="10" spans="2:19" x14ac:dyDescent="0.25">
      <c r="B10" s="116"/>
      <c r="C10" s="118" t="s">
        <v>1299</v>
      </c>
      <c r="D10" s="119">
        <f>SUM(D5:D9)</f>
        <v>0.3045977011494253</v>
      </c>
      <c r="E10" s="119">
        <f t="shared" ref="E10:H10" si="1">SUM(E5:E9)</f>
        <v>0.27011494252873564</v>
      </c>
      <c r="F10" s="119">
        <f t="shared" si="1"/>
        <v>0.10153256704980843</v>
      </c>
      <c r="G10" s="119">
        <f t="shared" si="1"/>
        <v>0.10344827586206896</v>
      </c>
      <c r="H10" s="119">
        <f t="shared" si="1"/>
        <v>0.22030651340996171</v>
      </c>
      <c r="I10" s="120">
        <f>SUM(D10:H10)</f>
        <v>1</v>
      </c>
    </row>
    <row r="12" spans="2:19" x14ac:dyDescent="0.25">
      <c r="K12">
        <v>522</v>
      </c>
    </row>
  </sheetData>
  <conditionalFormatting sqref="D5:H9">
    <cfRule type="top10" dxfId="2" priority="1" rank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1.25" defaultRowHeight="15" customHeight="1" x14ac:dyDescent="0.25"/>
  <cols>
    <col min="1" max="1" width="11" customWidth="1"/>
    <col min="2" max="2" width="19.125" customWidth="1"/>
    <col min="3" max="7" width="11" customWidth="1"/>
    <col min="8" max="8" width="16.125" customWidth="1"/>
    <col min="9" max="26" width="11" customWidth="1"/>
  </cols>
  <sheetData>
    <row r="1" spans="1:26" ht="15.75" customHeight="1" x14ac:dyDescent="0.25">
      <c r="A1" s="53" t="s">
        <v>0</v>
      </c>
      <c r="B1" s="1"/>
      <c r="C1" s="1"/>
      <c r="D1" s="2"/>
      <c r="E1" s="1"/>
      <c r="F1" s="3"/>
      <c r="G1" s="4"/>
      <c r="H1" s="4"/>
      <c r="I1" s="4"/>
    </row>
    <row r="2" spans="1:26" ht="15.75" customHeight="1" x14ac:dyDescent="0.25">
      <c r="A2" s="8"/>
      <c r="B2" s="8"/>
      <c r="C2" s="8"/>
      <c r="D2" s="8"/>
      <c r="E2" s="8"/>
      <c r="F2" s="8"/>
      <c r="G2" s="8"/>
      <c r="H2" s="8"/>
      <c r="I2" s="8"/>
    </row>
    <row r="3" spans="1:26" ht="15.75" customHeight="1" x14ac:dyDescent="0.25">
      <c r="A3" s="131" t="s">
        <v>102</v>
      </c>
      <c r="B3" s="132"/>
      <c r="C3" s="132"/>
      <c r="D3" s="133"/>
      <c r="E3" s="8"/>
      <c r="F3" s="131" t="s">
        <v>103</v>
      </c>
      <c r="G3" s="132"/>
      <c r="H3" s="133"/>
      <c r="I3" s="8"/>
    </row>
    <row r="4" spans="1:26" ht="16.5" customHeight="1" x14ac:dyDescent="0.25">
      <c r="A4" s="65" t="s">
        <v>65</v>
      </c>
      <c r="B4" s="65" t="s">
        <v>105</v>
      </c>
      <c r="C4" s="65" t="s">
        <v>106</v>
      </c>
      <c r="D4" s="65" t="s">
        <v>107</v>
      </c>
      <c r="E4" s="8"/>
      <c r="F4" s="128" t="s">
        <v>70</v>
      </c>
      <c r="G4" s="129"/>
      <c r="H4" s="130"/>
      <c r="I4" s="8"/>
    </row>
    <row r="5" spans="1:26" ht="16.5" customHeight="1" x14ac:dyDescent="0.25">
      <c r="A5" s="66" t="s">
        <v>86</v>
      </c>
      <c r="B5" s="66">
        <v>770</v>
      </c>
      <c r="C5" s="66">
        <v>700</v>
      </c>
      <c r="D5" s="66">
        <v>50</v>
      </c>
      <c r="E5" s="8"/>
      <c r="F5" s="67" t="s">
        <v>71</v>
      </c>
      <c r="G5" s="68"/>
      <c r="H5" s="69"/>
      <c r="I5" s="8"/>
    </row>
    <row r="6" spans="1:26" ht="16.5" customHeight="1" x14ac:dyDescent="0.25">
      <c r="A6" s="66" t="s">
        <v>100</v>
      </c>
      <c r="B6" s="66">
        <v>550</v>
      </c>
      <c r="C6" s="66">
        <v>500</v>
      </c>
      <c r="D6" s="66">
        <v>35</v>
      </c>
      <c r="E6" s="8"/>
      <c r="F6" s="128" t="s">
        <v>72</v>
      </c>
      <c r="G6" s="129"/>
      <c r="H6" s="130"/>
      <c r="I6" s="8"/>
    </row>
    <row r="7" spans="1:26" ht="16.5" customHeight="1" x14ac:dyDescent="0.25">
      <c r="A7" s="66" t="s">
        <v>96</v>
      </c>
      <c r="B7" s="66">
        <v>440</v>
      </c>
      <c r="C7" s="66">
        <v>400</v>
      </c>
      <c r="D7" s="66">
        <v>30</v>
      </c>
      <c r="E7" s="8"/>
      <c r="F7" s="128" t="s">
        <v>73</v>
      </c>
      <c r="G7" s="129"/>
      <c r="H7" s="130"/>
      <c r="I7" s="8"/>
    </row>
    <row r="8" spans="1:26" ht="16.5" customHeight="1" x14ac:dyDescent="0.25">
      <c r="A8" s="66" t="s">
        <v>89</v>
      </c>
      <c r="B8" s="66">
        <v>330</v>
      </c>
      <c r="C8" s="66">
        <v>150</v>
      </c>
      <c r="D8" s="66">
        <v>40</v>
      </c>
      <c r="E8" s="8"/>
      <c r="F8" s="128" t="s">
        <v>74</v>
      </c>
      <c r="G8" s="129"/>
      <c r="H8" s="130"/>
      <c r="I8" s="8"/>
    </row>
    <row r="9" spans="1:26" ht="15.75" customHeight="1" x14ac:dyDescent="0.25">
      <c r="A9" s="66" t="s">
        <v>93</v>
      </c>
      <c r="B9" s="66">
        <v>220</v>
      </c>
      <c r="C9" s="66">
        <v>200</v>
      </c>
      <c r="D9" s="66">
        <v>5</v>
      </c>
      <c r="E9" s="8"/>
      <c r="F9" s="8"/>
      <c r="G9" s="8"/>
      <c r="H9" s="8"/>
      <c r="I9" s="8"/>
    </row>
    <row r="10" spans="1:26" ht="15.75" customHeight="1" x14ac:dyDescent="0.25">
      <c r="A10" s="8"/>
      <c r="B10" s="8"/>
      <c r="C10" s="8"/>
      <c r="D10" s="8"/>
      <c r="E10" s="8"/>
      <c r="F10" s="8"/>
      <c r="G10" s="8"/>
      <c r="H10" s="8"/>
      <c r="I10" s="8"/>
    </row>
    <row r="11" spans="1:26" ht="15.75" customHeight="1" x14ac:dyDescent="0.25">
      <c r="A11" s="131" t="s">
        <v>1280</v>
      </c>
      <c r="B11" s="132"/>
      <c r="C11" s="132"/>
      <c r="D11" s="132"/>
      <c r="E11" s="132"/>
      <c r="F11" s="132"/>
      <c r="G11" s="132"/>
      <c r="H11" s="132"/>
      <c r="I11" s="133"/>
    </row>
    <row r="12" spans="1:26" ht="15.75" customHeight="1" x14ac:dyDescent="0.25">
      <c r="A12" s="83"/>
      <c r="B12" s="83"/>
      <c r="C12" s="83"/>
      <c r="D12" s="83"/>
      <c r="E12" s="83"/>
      <c r="F12" s="83"/>
      <c r="G12" s="83"/>
      <c r="H12" s="83"/>
      <c r="I12" s="83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15.75" customHeight="1" x14ac:dyDescent="0.3">
      <c r="A13" s="85" t="s">
        <v>1281</v>
      </c>
      <c r="B13" s="86"/>
      <c r="C13" s="86"/>
      <c r="D13" s="86"/>
      <c r="E13" s="86"/>
      <c r="F13" s="86"/>
      <c r="G13" s="86"/>
      <c r="H13" s="86"/>
      <c r="I13" s="86"/>
    </row>
    <row r="14" spans="1:26" ht="15.75" customHeight="1" x14ac:dyDescent="0.3">
      <c r="A14" s="86" t="s">
        <v>1261</v>
      </c>
      <c r="B14" s="86"/>
      <c r="C14" s="86"/>
      <c r="D14" s="86"/>
      <c r="E14" s="86"/>
      <c r="F14" s="86"/>
      <c r="G14" s="86"/>
      <c r="H14" s="86"/>
      <c r="I14" s="86"/>
    </row>
    <row r="15" spans="1:26" ht="15.75" customHeight="1" x14ac:dyDescent="0.3">
      <c r="A15" s="86" t="s">
        <v>1252</v>
      </c>
      <c r="B15" s="86"/>
      <c r="C15" s="86"/>
      <c r="D15" s="86"/>
      <c r="E15" s="86"/>
      <c r="F15" s="86"/>
      <c r="G15" s="86"/>
      <c r="H15" s="86" t="s">
        <v>14</v>
      </c>
      <c r="I15" s="86"/>
    </row>
    <row r="16" spans="1:26" ht="15.75" customHeight="1" x14ac:dyDescent="0.3">
      <c r="A16" s="86" t="s">
        <v>1246</v>
      </c>
      <c r="B16" s="86"/>
      <c r="C16" s="86"/>
      <c r="D16" s="86"/>
      <c r="E16" s="86"/>
      <c r="F16" s="86"/>
      <c r="G16" s="86"/>
      <c r="H16" s="86"/>
      <c r="I16" s="86"/>
    </row>
    <row r="17" spans="1:9" ht="15.75" customHeight="1" x14ac:dyDescent="0.3">
      <c r="A17" s="86" t="s">
        <v>1247</v>
      </c>
      <c r="B17" s="86"/>
      <c r="C17" s="86"/>
      <c r="D17" s="86"/>
      <c r="E17" s="86"/>
      <c r="F17" s="86"/>
      <c r="G17" s="86"/>
      <c r="H17" s="86"/>
      <c r="I17" s="86"/>
    </row>
    <row r="18" spans="1:9" ht="15.75" customHeight="1" x14ac:dyDescent="0.3">
      <c r="A18" s="86" t="s">
        <v>1242</v>
      </c>
      <c r="B18" s="86"/>
      <c r="C18" s="86"/>
      <c r="D18" s="86"/>
      <c r="E18" s="86"/>
      <c r="F18" s="86"/>
      <c r="G18" s="86"/>
      <c r="H18" s="86"/>
      <c r="I18" s="86"/>
    </row>
    <row r="19" spans="1:9" ht="15.75" customHeight="1" x14ac:dyDescent="0.3">
      <c r="A19" s="85"/>
      <c r="B19" s="86"/>
      <c r="C19" s="86"/>
      <c r="D19" s="86"/>
      <c r="E19" s="86"/>
      <c r="F19" s="86"/>
      <c r="G19" s="86"/>
      <c r="H19" s="86"/>
      <c r="I19" s="86"/>
    </row>
    <row r="20" spans="1:9" ht="15.75" customHeight="1" x14ac:dyDescent="0.3">
      <c r="A20" s="85" t="s">
        <v>1282</v>
      </c>
      <c r="B20" s="86"/>
      <c r="C20" s="86"/>
      <c r="D20" s="86"/>
      <c r="E20" s="86"/>
      <c r="F20" s="86"/>
      <c r="G20" s="86"/>
      <c r="H20" s="86"/>
      <c r="I20" s="86"/>
    </row>
    <row r="21" spans="1:9" ht="15.75" customHeight="1" x14ac:dyDescent="0.3">
      <c r="A21" s="86" t="s">
        <v>1283</v>
      </c>
      <c r="B21" s="86"/>
      <c r="C21" s="86"/>
      <c r="D21" s="86"/>
      <c r="E21" s="86"/>
      <c r="F21" s="86"/>
      <c r="G21" s="86"/>
      <c r="H21" s="86"/>
      <c r="I21" s="86"/>
    </row>
    <row r="22" spans="1:9" ht="15.75" customHeight="1" x14ac:dyDescent="0.3">
      <c r="A22" s="87" t="s">
        <v>1266</v>
      </c>
      <c r="B22" s="86"/>
      <c r="C22" s="86"/>
      <c r="D22" s="86"/>
      <c r="E22" s="86"/>
      <c r="F22" s="86"/>
      <c r="G22" s="86"/>
      <c r="H22" s="86"/>
      <c r="I22" s="86"/>
    </row>
    <row r="23" spans="1:9" ht="15.75" customHeight="1" x14ac:dyDescent="0.3">
      <c r="A23" s="86" t="s">
        <v>1267</v>
      </c>
      <c r="B23" s="86"/>
      <c r="C23" s="86"/>
      <c r="D23" s="86"/>
      <c r="E23" s="86"/>
      <c r="F23" s="86"/>
      <c r="G23" s="86"/>
      <c r="H23" s="86"/>
      <c r="I23" s="86"/>
    </row>
    <row r="24" spans="1:9" ht="15.75" customHeight="1" x14ac:dyDescent="0.3">
      <c r="A24" s="86" t="s">
        <v>1268</v>
      </c>
      <c r="B24" s="86"/>
      <c r="C24" s="86"/>
      <c r="D24" s="86"/>
      <c r="E24" s="86"/>
      <c r="F24" s="86"/>
      <c r="G24" s="86"/>
      <c r="H24" s="86"/>
      <c r="I24" s="86"/>
    </row>
    <row r="25" spans="1:9" ht="15.75" customHeight="1" x14ac:dyDescent="0.3">
      <c r="A25" s="86" t="s">
        <v>1284</v>
      </c>
      <c r="B25" s="86"/>
      <c r="C25" s="86"/>
      <c r="D25" s="86"/>
      <c r="E25" s="86"/>
      <c r="F25" s="86"/>
      <c r="G25" s="86"/>
      <c r="H25" s="86"/>
      <c r="I25" s="86"/>
    </row>
    <row r="26" spans="1:9" ht="15.75" customHeight="1" x14ac:dyDescent="0.3">
      <c r="A26" s="86"/>
      <c r="B26" s="86"/>
      <c r="C26" s="86"/>
      <c r="D26" s="86"/>
      <c r="E26" s="86"/>
      <c r="F26" s="86"/>
      <c r="G26" s="86"/>
      <c r="H26" s="86"/>
      <c r="I26" s="86"/>
    </row>
    <row r="27" spans="1:9" ht="15.75" customHeight="1" x14ac:dyDescent="0.3">
      <c r="A27" s="85" t="s">
        <v>1285</v>
      </c>
      <c r="B27" s="86"/>
      <c r="C27" s="86"/>
      <c r="D27" s="86"/>
      <c r="E27" s="86"/>
      <c r="F27" s="86"/>
      <c r="G27" s="86"/>
      <c r="H27" s="86"/>
      <c r="I27" s="86"/>
    </row>
    <row r="28" spans="1:9" ht="15.75" customHeight="1" x14ac:dyDescent="0.3">
      <c r="A28" s="86" t="s">
        <v>1244</v>
      </c>
      <c r="B28" s="86"/>
      <c r="C28" s="86"/>
      <c r="D28" s="86"/>
      <c r="E28" s="86"/>
      <c r="F28" s="86"/>
      <c r="G28" s="86"/>
      <c r="H28" s="86"/>
      <c r="I28" s="86"/>
    </row>
    <row r="29" spans="1:9" ht="15.75" customHeight="1" x14ac:dyDescent="0.3">
      <c r="A29" s="86" t="s">
        <v>1255</v>
      </c>
      <c r="B29" s="86"/>
      <c r="C29" s="86"/>
      <c r="D29" s="86"/>
      <c r="E29" s="86"/>
      <c r="F29" s="86"/>
      <c r="G29" s="86"/>
      <c r="H29" s="86"/>
      <c r="I29" s="86"/>
    </row>
    <row r="30" spans="1:9" ht="15.75" customHeight="1" x14ac:dyDescent="0.3">
      <c r="A30" s="86" t="s">
        <v>1248</v>
      </c>
      <c r="B30" s="86"/>
      <c r="C30" s="86"/>
      <c r="D30" s="86"/>
      <c r="E30" s="86"/>
      <c r="F30" s="86"/>
      <c r="G30" s="86"/>
      <c r="H30" s="86"/>
      <c r="I30" s="86"/>
    </row>
    <row r="31" spans="1:9" ht="15.75" customHeight="1" x14ac:dyDescent="0.3">
      <c r="A31" s="86" t="s">
        <v>1253</v>
      </c>
      <c r="B31" s="86"/>
      <c r="C31" s="86"/>
      <c r="D31" s="86"/>
      <c r="E31" s="86"/>
      <c r="F31" s="86"/>
      <c r="G31" s="86"/>
      <c r="H31" s="86"/>
      <c r="I31" s="86"/>
    </row>
    <row r="32" spans="1:9" ht="15.75" customHeight="1" x14ac:dyDescent="0.3">
      <c r="A32" s="86" t="s">
        <v>1286</v>
      </c>
      <c r="B32" s="86"/>
      <c r="C32" s="86"/>
      <c r="D32" s="86"/>
      <c r="E32" s="86"/>
      <c r="F32" s="86"/>
      <c r="G32" s="86"/>
      <c r="H32" s="86"/>
      <c r="I32" s="86"/>
    </row>
    <row r="33" spans="1:9" ht="15.75" customHeight="1" x14ac:dyDescent="0.3">
      <c r="A33" s="86"/>
      <c r="B33" s="86"/>
      <c r="C33" s="86"/>
      <c r="D33" s="86"/>
      <c r="E33" s="86"/>
      <c r="F33" s="86"/>
      <c r="G33" s="86"/>
      <c r="H33" s="86"/>
      <c r="I33" s="86"/>
    </row>
    <row r="34" spans="1:9" ht="15.75" customHeight="1" x14ac:dyDescent="0.3">
      <c r="A34" s="85" t="s">
        <v>1287</v>
      </c>
      <c r="B34" s="86"/>
      <c r="C34" s="86"/>
      <c r="D34" s="86"/>
      <c r="E34" s="86"/>
      <c r="F34" s="86"/>
      <c r="G34" s="86"/>
      <c r="H34" s="86"/>
      <c r="I34" s="86"/>
    </row>
    <row r="35" spans="1:9" ht="15.75" customHeight="1" x14ac:dyDescent="0.3">
      <c r="A35" s="86" t="s">
        <v>1251</v>
      </c>
      <c r="B35" s="86"/>
      <c r="C35" s="86"/>
      <c r="D35" s="86"/>
      <c r="E35" s="86"/>
      <c r="F35" s="86"/>
      <c r="G35" s="86"/>
      <c r="H35" s="86"/>
      <c r="I35" s="86"/>
    </row>
    <row r="36" spans="1:9" ht="15.75" customHeight="1" x14ac:dyDescent="0.3">
      <c r="A36" s="86" t="s">
        <v>1288</v>
      </c>
      <c r="B36" s="86"/>
      <c r="C36" s="86"/>
      <c r="D36" s="86"/>
      <c r="E36" s="86"/>
      <c r="F36" s="86"/>
      <c r="G36" s="86"/>
      <c r="H36" s="86"/>
      <c r="I36" s="86"/>
    </row>
    <row r="37" spans="1:9" ht="15.75" customHeight="1" x14ac:dyDescent="0.3">
      <c r="A37" s="86" t="s">
        <v>1289</v>
      </c>
      <c r="B37" s="86"/>
      <c r="C37" s="86"/>
      <c r="D37" s="86"/>
      <c r="E37" s="86"/>
      <c r="F37" s="86"/>
      <c r="G37" s="86"/>
      <c r="H37" s="86"/>
      <c r="I37" s="86"/>
    </row>
    <row r="38" spans="1:9" ht="15.75" customHeight="1" x14ac:dyDescent="0.3">
      <c r="A38" s="86" t="s">
        <v>1290</v>
      </c>
      <c r="B38" s="86"/>
      <c r="C38" s="86"/>
      <c r="D38" s="86"/>
      <c r="E38" s="86"/>
      <c r="F38" s="86"/>
      <c r="G38" s="86"/>
      <c r="H38" s="86"/>
      <c r="I38" s="86"/>
    </row>
    <row r="39" spans="1:9" ht="15.75" customHeight="1" x14ac:dyDescent="0.3">
      <c r="A39" s="86" t="s">
        <v>1291</v>
      </c>
      <c r="B39" s="86"/>
      <c r="C39" s="86"/>
      <c r="D39" s="86"/>
      <c r="E39" s="86"/>
      <c r="F39" s="86"/>
      <c r="G39" s="86"/>
      <c r="H39" s="86"/>
      <c r="I39" s="86"/>
    </row>
    <row r="40" spans="1:9" ht="15.75" customHeight="1" x14ac:dyDescent="0.25">
      <c r="A40" s="8"/>
      <c r="B40" s="8"/>
      <c r="C40" s="8"/>
      <c r="D40" s="8"/>
      <c r="E40" s="8"/>
      <c r="F40" s="8"/>
      <c r="G40" s="8"/>
      <c r="H40" s="8"/>
      <c r="I40" s="8"/>
    </row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F8:H8"/>
    <mergeCell ref="A11:I11"/>
    <mergeCell ref="A3:D3"/>
    <mergeCell ref="F3:H3"/>
    <mergeCell ref="F4:H4"/>
    <mergeCell ref="F6:H6"/>
    <mergeCell ref="F7:H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Содержание</vt:lpstr>
      <vt:lpstr>Задание</vt:lpstr>
      <vt:lpstr>Личные данные</vt:lpstr>
      <vt:lpstr>Результаты опроса</vt:lpstr>
      <vt:lpstr>Свод (Рез. опр.)</vt:lpstr>
      <vt:lpstr>Сгруппированные данные</vt:lpstr>
      <vt:lpstr>Свод (Сгруп. дан.)</vt:lpstr>
      <vt:lpstr>Свод (Тариф)</vt:lpstr>
      <vt:lpstr>Матрица</vt:lpstr>
      <vt:lpstr>Дополнительные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Янов Георгий Тимофеевич</cp:lastModifiedBy>
  <dcterms:created xsi:type="dcterms:W3CDTF">2019-09-13T15:48:37Z</dcterms:created>
  <dcterms:modified xsi:type="dcterms:W3CDTF">2025-12-08T11:56:24Z</dcterms:modified>
</cp:coreProperties>
</file>